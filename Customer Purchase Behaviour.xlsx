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 projects\"/>
    </mc:Choice>
  </mc:AlternateContent>
  <xr:revisionPtr revIDLastSave="0" documentId="13_ncr:1_{E1B4646D-56EC-46A7-B096-CE0B7B9833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 Table" sheetId="2" r:id="rId1"/>
    <sheet name="Charts" sheetId="4" r:id="rId2"/>
    <sheet name="Analysis Report" sheetId="3" r:id="rId3"/>
    <sheet name="shopping_behavior_updated" sheetId="1" r:id="rId4"/>
    <sheet name="Statistics" sheetId="5" r:id="rId5"/>
  </sheets>
  <definedNames>
    <definedName name="_xlnm._FilterDatabase" localSheetId="3" hidden="1">shopping_behavior_updated!$A$1:$S$3901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S3" i="1"/>
  <c r="T3" i="1" s="1" a="1"/>
  <c r="T3" i="1" s="1"/>
  <c r="S4" i="1"/>
  <c r="T4" i="1" s="1" a="1"/>
  <c r="T4" i="1" s="1"/>
  <c r="S5" i="1"/>
  <c r="T5" i="1" s="1" a="1"/>
  <c r="T5" i="1" s="1"/>
  <c r="S6" i="1"/>
  <c r="T6" i="1" s="1" a="1"/>
  <c r="T6" i="1" s="1"/>
  <c r="S7" i="1"/>
  <c r="T7" i="1" s="1" a="1"/>
  <c r="T7" i="1" s="1"/>
  <c r="S8" i="1"/>
  <c r="T8" i="1" s="1" a="1"/>
  <c r="T8" i="1" s="1"/>
  <c r="S9" i="1"/>
  <c r="T9" i="1" s="1" a="1"/>
  <c r="T9" i="1" s="1"/>
  <c r="S10" i="1"/>
  <c r="T10" i="1" s="1" a="1"/>
  <c r="T10" i="1" s="1"/>
  <c r="S11" i="1"/>
  <c r="T11" i="1" s="1" a="1"/>
  <c r="T11" i="1" s="1"/>
  <c r="S12" i="1"/>
  <c r="T12" i="1" s="1" a="1"/>
  <c r="T12" i="1" s="1"/>
  <c r="S13" i="1"/>
  <c r="T13" i="1" s="1" a="1"/>
  <c r="T13" i="1" s="1"/>
  <c r="S14" i="1"/>
  <c r="T14" i="1" s="1" a="1"/>
  <c r="T14" i="1" s="1"/>
  <c r="S15" i="1"/>
  <c r="T15" i="1" s="1" a="1"/>
  <c r="T15" i="1" s="1"/>
  <c r="S16" i="1"/>
  <c r="T16" i="1" s="1" a="1"/>
  <c r="T16" i="1" s="1"/>
  <c r="S17" i="1"/>
  <c r="T17" i="1" s="1" a="1"/>
  <c r="T17" i="1" s="1"/>
  <c r="S18" i="1"/>
  <c r="T18" i="1" s="1" a="1"/>
  <c r="T18" i="1" s="1"/>
  <c r="S19" i="1"/>
  <c r="T19" i="1" s="1" a="1"/>
  <c r="T19" i="1" s="1"/>
  <c r="S20" i="1"/>
  <c r="T20" i="1" s="1" a="1"/>
  <c r="T20" i="1" s="1"/>
  <c r="S21" i="1"/>
  <c r="T21" i="1" s="1" a="1"/>
  <c r="T21" i="1" s="1"/>
  <c r="S22" i="1"/>
  <c r="T22" i="1" s="1" a="1"/>
  <c r="T22" i="1" s="1"/>
  <c r="S23" i="1"/>
  <c r="T23" i="1" s="1" a="1"/>
  <c r="T23" i="1" s="1"/>
  <c r="S24" i="1"/>
  <c r="T24" i="1" s="1" a="1"/>
  <c r="T24" i="1" s="1"/>
  <c r="S25" i="1"/>
  <c r="T25" i="1" s="1" a="1"/>
  <c r="T25" i="1" s="1"/>
  <c r="S26" i="1"/>
  <c r="T26" i="1" s="1" a="1"/>
  <c r="T26" i="1" s="1"/>
  <c r="S27" i="1"/>
  <c r="T27" i="1" s="1" a="1"/>
  <c r="T27" i="1" s="1"/>
  <c r="S28" i="1"/>
  <c r="T28" i="1" s="1" a="1"/>
  <c r="T28" i="1" s="1"/>
  <c r="S29" i="1"/>
  <c r="T29" i="1" s="1" a="1"/>
  <c r="T29" i="1" s="1"/>
  <c r="S30" i="1"/>
  <c r="T30" i="1" s="1" a="1"/>
  <c r="T30" i="1" s="1"/>
  <c r="S31" i="1"/>
  <c r="T31" i="1" s="1" a="1"/>
  <c r="T31" i="1" s="1"/>
  <c r="S32" i="1"/>
  <c r="T32" i="1" s="1" a="1"/>
  <c r="T32" i="1" s="1"/>
  <c r="S33" i="1"/>
  <c r="T33" i="1" s="1" a="1"/>
  <c r="T33" i="1" s="1"/>
  <c r="S34" i="1"/>
  <c r="T34" i="1" s="1" a="1"/>
  <c r="T34" i="1" s="1"/>
  <c r="S35" i="1"/>
  <c r="T35" i="1" s="1" a="1"/>
  <c r="T35" i="1" s="1"/>
  <c r="S36" i="1"/>
  <c r="T36" i="1" s="1" a="1"/>
  <c r="T36" i="1" s="1"/>
  <c r="S37" i="1"/>
  <c r="T37" i="1" s="1" a="1"/>
  <c r="T37" i="1" s="1"/>
  <c r="S38" i="1"/>
  <c r="T38" i="1" s="1" a="1"/>
  <c r="T38" i="1" s="1"/>
  <c r="S39" i="1"/>
  <c r="T39" i="1" s="1" a="1"/>
  <c r="T39" i="1" s="1"/>
  <c r="S40" i="1"/>
  <c r="T40" i="1" s="1" a="1"/>
  <c r="T40" i="1" s="1"/>
  <c r="S41" i="1"/>
  <c r="T41" i="1" s="1" a="1"/>
  <c r="T41" i="1" s="1"/>
  <c r="S42" i="1"/>
  <c r="T42" i="1" s="1" a="1"/>
  <c r="T42" i="1" s="1"/>
  <c r="S43" i="1"/>
  <c r="T43" i="1" s="1" a="1"/>
  <c r="T43" i="1" s="1"/>
  <c r="S44" i="1"/>
  <c r="T44" i="1" s="1" a="1"/>
  <c r="T44" i="1" s="1"/>
  <c r="S45" i="1"/>
  <c r="T45" i="1" s="1" a="1"/>
  <c r="T45" i="1" s="1"/>
  <c r="S46" i="1"/>
  <c r="T46" i="1" s="1" a="1"/>
  <c r="T46" i="1" s="1"/>
  <c r="S47" i="1"/>
  <c r="T47" i="1" s="1" a="1"/>
  <c r="T47" i="1" s="1"/>
  <c r="S48" i="1"/>
  <c r="T48" i="1" s="1" a="1"/>
  <c r="T48" i="1" s="1"/>
  <c r="S49" i="1"/>
  <c r="T49" i="1" s="1" a="1"/>
  <c r="T49" i="1" s="1"/>
  <c r="S50" i="1"/>
  <c r="T50" i="1" s="1" a="1"/>
  <c r="T50" i="1" s="1"/>
  <c r="S51" i="1"/>
  <c r="T51" i="1" s="1" a="1"/>
  <c r="T51" i="1" s="1"/>
  <c r="S52" i="1"/>
  <c r="T52" i="1" s="1" a="1"/>
  <c r="T52" i="1" s="1"/>
  <c r="S53" i="1"/>
  <c r="T53" i="1" s="1" a="1"/>
  <c r="T53" i="1" s="1"/>
  <c r="S54" i="1"/>
  <c r="T54" i="1" s="1" a="1"/>
  <c r="T54" i="1" s="1"/>
  <c r="S55" i="1"/>
  <c r="T55" i="1" s="1" a="1"/>
  <c r="T55" i="1" s="1"/>
  <c r="S56" i="1"/>
  <c r="T56" i="1" s="1" a="1"/>
  <c r="T56" i="1" s="1"/>
  <c r="S57" i="1"/>
  <c r="T57" i="1" s="1" a="1"/>
  <c r="T57" i="1" s="1"/>
  <c r="S58" i="1"/>
  <c r="T58" i="1" s="1" a="1"/>
  <c r="T58" i="1" s="1"/>
  <c r="S59" i="1"/>
  <c r="T59" i="1" s="1" a="1"/>
  <c r="T59" i="1" s="1"/>
  <c r="S60" i="1"/>
  <c r="T60" i="1" s="1" a="1"/>
  <c r="T60" i="1" s="1"/>
  <c r="S61" i="1"/>
  <c r="T61" i="1" s="1" a="1"/>
  <c r="T61" i="1" s="1"/>
  <c r="S62" i="1"/>
  <c r="T62" i="1" s="1" a="1"/>
  <c r="T62" i="1" s="1"/>
  <c r="S63" i="1"/>
  <c r="T63" i="1" s="1" a="1"/>
  <c r="T63" i="1" s="1"/>
  <c r="S64" i="1"/>
  <c r="T64" i="1" s="1" a="1"/>
  <c r="T64" i="1" s="1"/>
  <c r="S65" i="1"/>
  <c r="T65" i="1" s="1" a="1"/>
  <c r="T65" i="1" s="1"/>
  <c r="S66" i="1"/>
  <c r="T66" i="1" s="1" a="1"/>
  <c r="T66" i="1" s="1"/>
  <c r="S67" i="1"/>
  <c r="T67" i="1" s="1" a="1"/>
  <c r="T67" i="1" s="1"/>
  <c r="S68" i="1"/>
  <c r="T68" i="1" s="1" a="1"/>
  <c r="T68" i="1" s="1"/>
  <c r="S69" i="1"/>
  <c r="T69" i="1" s="1" a="1"/>
  <c r="T69" i="1" s="1"/>
  <c r="S70" i="1"/>
  <c r="T70" i="1" s="1" a="1"/>
  <c r="T70" i="1" s="1"/>
  <c r="S71" i="1"/>
  <c r="T71" i="1" s="1" a="1"/>
  <c r="T71" i="1" s="1"/>
  <c r="S72" i="1"/>
  <c r="T72" i="1" s="1" a="1"/>
  <c r="T72" i="1" s="1"/>
  <c r="S73" i="1"/>
  <c r="T73" i="1" s="1" a="1"/>
  <c r="T73" i="1" s="1"/>
  <c r="S74" i="1"/>
  <c r="T74" i="1" s="1" a="1"/>
  <c r="T74" i="1" s="1"/>
  <c r="S75" i="1"/>
  <c r="T75" i="1" s="1" a="1"/>
  <c r="T75" i="1" s="1"/>
  <c r="S76" i="1"/>
  <c r="T76" i="1" s="1" a="1"/>
  <c r="T76" i="1" s="1"/>
  <c r="S77" i="1"/>
  <c r="T77" i="1" s="1" a="1"/>
  <c r="T77" i="1" s="1"/>
  <c r="S78" i="1"/>
  <c r="T78" i="1" s="1" a="1"/>
  <c r="T78" i="1" s="1"/>
  <c r="S79" i="1"/>
  <c r="T79" i="1" s="1" a="1"/>
  <c r="T79" i="1" s="1"/>
  <c r="S80" i="1"/>
  <c r="T80" i="1" s="1" a="1"/>
  <c r="T80" i="1" s="1"/>
  <c r="S81" i="1"/>
  <c r="T81" i="1" s="1" a="1"/>
  <c r="T81" i="1" s="1"/>
  <c r="S82" i="1"/>
  <c r="T82" i="1" s="1" a="1"/>
  <c r="T82" i="1" s="1"/>
  <c r="S83" i="1"/>
  <c r="T83" i="1" s="1" a="1"/>
  <c r="T83" i="1" s="1"/>
  <c r="S84" i="1"/>
  <c r="T84" i="1" s="1" a="1"/>
  <c r="T84" i="1" s="1"/>
  <c r="S85" i="1"/>
  <c r="T85" i="1" s="1" a="1"/>
  <c r="T85" i="1" s="1"/>
  <c r="S86" i="1"/>
  <c r="T86" i="1" s="1" a="1"/>
  <c r="T86" i="1" s="1"/>
  <c r="S87" i="1"/>
  <c r="T87" i="1" s="1" a="1"/>
  <c r="T87" i="1" s="1"/>
  <c r="S88" i="1"/>
  <c r="T88" i="1" s="1" a="1"/>
  <c r="T88" i="1" s="1"/>
  <c r="S89" i="1"/>
  <c r="T89" i="1" s="1" a="1"/>
  <c r="T89" i="1" s="1"/>
  <c r="S90" i="1"/>
  <c r="T90" i="1" s="1" a="1"/>
  <c r="T90" i="1" s="1"/>
  <c r="S91" i="1"/>
  <c r="T91" i="1" s="1" a="1"/>
  <c r="T91" i="1" s="1"/>
  <c r="S92" i="1"/>
  <c r="T92" i="1" s="1" a="1"/>
  <c r="T92" i="1" s="1"/>
  <c r="S93" i="1"/>
  <c r="T93" i="1" s="1" a="1"/>
  <c r="T93" i="1" s="1"/>
  <c r="S94" i="1"/>
  <c r="T94" i="1" s="1" a="1"/>
  <c r="T94" i="1" s="1"/>
  <c r="S95" i="1"/>
  <c r="T95" i="1" s="1" a="1"/>
  <c r="T95" i="1" s="1"/>
  <c r="S96" i="1"/>
  <c r="T96" i="1" s="1" a="1"/>
  <c r="T96" i="1" s="1"/>
  <c r="S97" i="1"/>
  <c r="T97" i="1" s="1" a="1"/>
  <c r="T97" i="1" s="1"/>
  <c r="S98" i="1"/>
  <c r="T98" i="1" s="1" a="1"/>
  <c r="T98" i="1" s="1"/>
  <c r="S99" i="1"/>
  <c r="T99" i="1" s="1" a="1"/>
  <c r="T99" i="1" s="1"/>
  <c r="S100" i="1"/>
  <c r="T100" i="1" s="1" a="1"/>
  <c r="T100" i="1" s="1"/>
  <c r="S101" i="1"/>
  <c r="T101" i="1" s="1" a="1"/>
  <c r="T101" i="1" s="1"/>
  <c r="S102" i="1"/>
  <c r="T102" i="1" s="1" a="1"/>
  <c r="T102" i="1" s="1"/>
  <c r="S103" i="1"/>
  <c r="T103" i="1" s="1" a="1"/>
  <c r="T103" i="1" s="1"/>
  <c r="S104" i="1"/>
  <c r="T104" i="1" s="1" a="1"/>
  <c r="T104" i="1" s="1"/>
  <c r="S105" i="1"/>
  <c r="T105" i="1" s="1" a="1"/>
  <c r="T105" i="1" s="1"/>
  <c r="S106" i="1"/>
  <c r="T106" i="1" s="1" a="1"/>
  <c r="T106" i="1" s="1"/>
  <c r="S107" i="1"/>
  <c r="T107" i="1" s="1" a="1"/>
  <c r="T107" i="1" s="1"/>
  <c r="S108" i="1"/>
  <c r="T108" i="1" s="1" a="1"/>
  <c r="T108" i="1" s="1"/>
  <c r="S109" i="1"/>
  <c r="T109" i="1" s="1" a="1"/>
  <c r="T109" i="1" s="1"/>
  <c r="S110" i="1"/>
  <c r="T110" i="1" s="1" a="1"/>
  <c r="T110" i="1" s="1"/>
  <c r="S111" i="1"/>
  <c r="T111" i="1" s="1" a="1"/>
  <c r="T111" i="1" s="1"/>
  <c r="S112" i="1"/>
  <c r="T112" i="1" s="1" a="1"/>
  <c r="T112" i="1" s="1"/>
  <c r="S113" i="1"/>
  <c r="T113" i="1" s="1" a="1"/>
  <c r="T113" i="1" s="1"/>
  <c r="S114" i="1"/>
  <c r="T114" i="1" s="1" a="1"/>
  <c r="T114" i="1" s="1"/>
  <c r="S115" i="1"/>
  <c r="T115" i="1" s="1" a="1"/>
  <c r="T115" i="1" s="1"/>
  <c r="S116" i="1"/>
  <c r="T116" i="1" s="1" a="1"/>
  <c r="T116" i="1" s="1"/>
  <c r="S117" i="1"/>
  <c r="T117" i="1" s="1" a="1"/>
  <c r="T117" i="1" s="1"/>
  <c r="S118" i="1"/>
  <c r="T118" i="1" s="1" a="1"/>
  <c r="T118" i="1" s="1"/>
  <c r="S119" i="1"/>
  <c r="T119" i="1" s="1" a="1"/>
  <c r="T119" i="1" s="1"/>
  <c r="S120" i="1"/>
  <c r="T120" i="1" s="1" a="1"/>
  <c r="T120" i="1" s="1"/>
  <c r="S121" i="1"/>
  <c r="T121" i="1" s="1" a="1"/>
  <c r="T121" i="1" s="1"/>
  <c r="S122" i="1"/>
  <c r="T122" i="1" s="1" a="1"/>
  <c r="T122" i="1" s="1"/>
  <c r="S123" i="1"/>
  <c r="T123" i="1" s="1" a="1"/>
  <c r="T123" i="1" s="1"/>
  <c r="S124" i="1"/>
  <c r="T124" i="1" s="1" a="1"/>
  <c r="T124" i="1" s="1"/>
  <c r="S125" i="1"/>
  <c r="T125" i="1" s="1" a="1"/>
  <c r="T125" i="1" s="1"/>
  <c r="S126" i="1"/>
  <c r="T126" i="1" s="1" a="1"/>
  <c r="T126" i="1" s="1"/>
  <c r="S127" i="1"/>
  <c r="T127" i="1" s="1" a="1"/>
  <c r="T127" i="1" s="1"/>
  <c r="S128" i="1"/>
  <c r="T128" i="1" s="1" a="1"/>
  <c r="T128" i="1" s="1"/>
  <c r="S129" i="1"/>
  <c r="T129" i="1" s="1" a="1"/>
  <c r="T129" i="1" s="1"/>
  <c r="S130" i="1"/>
  <c r="T130" i="1" s="1" a="1"/>
  <c r="T130" i="1" s="1"/>
  <c r="S131" i="1"/>
  <c r="T131" i="1" s="1" a="1"/>
  <c r="T131" i="1" s="1"/>
  <c r="S132" i="1"/>
  <c r="T132" i="1" s="1" a="1"/>
  <c r="T132" i="1" s="1"/>
  <c r="S133" i="1"/>
  <c r="T133" i="1" s="1" a="1"/>
  <c r="T133" i="1" s="1"/>
  <c r="S134" i="1"/>
  <c r="T134" i="1" s="1" a="1"/>
  <c r="T134" i="1" s="1"/>
  <c r="S135" i="1"/>
  <c r="T135" i="1" s="1" a="1"/>
  <c r="T135" i="1" s="1"/>
  <c r="S136" i="1"/>
  <c r="T136" i="1" s="1" a="1"/>
  <c r="T136" i="1" s="1"/>
  <c r="S137" i="1"/>
  <c r="T137" i="1" s="1" a="1"/>
  <c r="T137" i="1" s="1"/>
  <c r="S138" i="1"/>
  <c r="T138" i="1" s="1" a="1"/>
  <c r="T138" i="1" s="1"/>
  <c r="S139" i="1"/>
  <c r="T139" i="1" s="1" a="1"/>
  <c r="T139" i="1" s="1"/>
  <c r="S140" i="1"/>
  <c r="T140" i="1" s="1" a="1"/>
  <c r="T140" i="1" s="1"/>
  <c r="S141" i="1"/>
  <c r="T141" i="1" s="1" a="1"/>
  <c r="T141" i="1" s="1"/>
  <c r="S142" i="1"/>
  <c r="T142" i="1" s="1" a="1"/>
  <c r="T142" i="1" s="1"/>
  <c r="S143" i="1"/>
  <c r="T143" i="1" s="1" a="1"/>
  <c r="T143" i="1" s="1"/>
  <c r="S144" i="1"/>
  <c r="T144" i="1" s="1" a="1"/>
  <c r="T144" i="1" s="1"/>
  <c r="S145" i="1"/>
  <c r="T145" i="1" s="1" a="1"/>
  <c r="T145" i="1" s="1"/>
  <c r="S146" i="1"/>
  <c r="T146" i="1" s="1" a="1"/>
  <c r="T146" i="1" s="1"/>
  <c r="S147" i="1"/>
  <c r="T147" i="1" s="1" a="1"/>
  <c r="T147" i="1" s="1"/>
  <c r="S148" i="1"/>
  <c r="T148" i="1" s="1" a="1"/>
  <c r="T148" i="1" s="1"/>
  <c r="S149" i="1"/>
  <c r="T149" i="1" s="1" a="1"/>
  <c r="T149" i="1" s="1"/>
  <c r="S150" i="1"/>
  <c r="T150" i="1" s="1" a="1"/>
  <c r="T150" i="1" s="1"/>
  <c r="S151" i="1"/>
  <c r="T151" i="1" s="1" a="1"/>
  <c r="T151" i="1" s="1"/>
  <c r="S152" i="1"/>
  <c r="T152" i="1" s="1" a="1"/>
  <c r="T152" i="1" s="1"/>
  <c r="S153" i="1"/>
  <c r="T153" i="1" s="1" a="1"/>
  <c r="T153" i="1" s="1"/>
  <c r="S154" i="1"/>
  <c r="T154" i="1" s="1" a="1"/>
  <c r="T154" i="1" s="1"/>
  <c r="S155" i="1"/>
  <c r="T155" i="1" s="1" a="1"/>
  <c r="T155" i="1" s="1"/>
  <c r="S156" i="1"/>
  <c r="T156" i="1" s="1" a="1"/>
  <c r="T156" i="1" s="1"/>
  <c r="S157" i="1"/>
  <c r="T157" i="1" s="1" a="1"/>
  <c r="T157" i="1" s="1"/>
  <c r="S158" i="1"/>
  <c r="T158" i="1" s="1" a="1"/>
  <c r="T158" i="1" s="1"/>
  <c r="S159" i="1"/>
  <c r="T159" i="1" s="1" a="1"/>
  <c r="T159" i="1" s="1"/>
  <c r="S160" i="1"/>
  <c r="T160" i="1" s="1" a="1"/>
  <c r="T160" i="1" s="1"/>
  <c r="S161" i="1"/>
  <c r="T161" i="1" s="1" a="1"/>
  <c r="T161" i="1" s="1"/>
  <c r="S162" i="1"/>
  <c r="T162" i="1" s="1" a="1"/>
  <c r="T162" i="1" s="1"/>
  <c r="S163" i="1"/>
  <c r="T163" i="1" s="1" a="1"/>
  <c r="T163" i="1" s="1"/>
  <c r="S164" i="1"/>
  <c r="T164" i="1" s="1" a="1"/>
  <c r="T164" i="1" s="1"/>
  <c r="S165" i="1"/>
  <c r="T165" i="1" s="1" a="1"/>
  <c r="T165" i="1" s="1"/>
  <c r="S166" i="1"/>
  <c r="T166" i="1" s="1" a="1"/>
  <c r="T166" i="1" s="1"/>
  <c r="S167" i="1"/>
  <c r="T167" i="1" s="1" a="1"/>
  <c r="T167" i="1" s="1"/>
  <c r="S168" i="1"/>
  <c r="T168" i="1" s="1" a="1"/>
  <c r="T168" i="1" s="1"/>
  <c r="S169" i="1"/>
  <c r="T169" i="1" s="1" a="1"/>
  <c r="T169" i="1" s="1"/>
  <c r="S170" i="1"/>
  <c r="T170" i="1" s="1" a="1"/>
  <c r="T170" i="1" s="1"/>
  <c r="S171" i="1"/>
  <c r="T171" i="1" s="1" a="1"/>
  <c r="T171" i="1" s="1"/>
  <c r="S172" i="1"/>
  <c r="T172" i="1" s="1" a="1"/>
  <c r="T172" i="1" s="1"/>
  <c r="S173" i="1"/>
  <c r="T173" i="1" s="1" a="1"/>
  <c r="T173" i="1" s="1"/>
  <c r="S174" i="1"/>
  <c r="T174" i="1" s="1" a="1"/>
  <c r="T174" i="1" s="1"/>
  <c r="S175" i="1"/>
  <c r="T175" i="1" s="1" a="1"/>
  <c r="T175" i="1" s="1"/>
  <c r="S176" i="1"/>
  <c r="T176" i="1" s="1" a="1"/>
  <c r="T176" i="1" s="1"/>
  <c r="S177" i="1"/>
  <c r="T177" i="1" s="1" a="1"/>
  <c r="T177" i="1" s="1"/>
  <c r="S178" i="1"/>
  <c r="T178" i="1" s="1" a="1"/>
  <c r="T178" i="1" s="1"/>
  <c r="S179" i="1"/>
  <c r="T179" i="1" s="1" a="1"/>
  <c r="T179" i="1" s="1"/>
  <c r="S180" i="1"/>
  <c r="T180" i="1" s="1" a="1"/>
  <c r="T180" i="1" s="1"/>
  <c r="S181" i="1"/>
  <c r="T181" i="1" s="1" a="1"/>
  <c r="T181" i="1" s="1"/>
  <c r="S182" i="1"/>
  <c r="T182" i="1" s="1" a="1"/>
  <c r="T182" i="1" s="1"/>
  <c r="S183" i="1"/>
  <c r="T183" i="1" s="1" a="1"/>
  <c r="T183" i="1" s="1"/>
  <c r="S184" i="1"/>
  <c r="T184" i="1" s="1" a="1"/>
  <c r="T184" i="1" s="1"/>
  <c r="S185" i="1"/>
  <c r="T185" i="1" s="1" a="1"/>
  <c r="T185" i="1" s="1"/>
  <c r="S186" i="1"/>
  <c r="T186" i="1" s="1" a="1"/>
  <c r="T186" i="1" s="1"/>
  <c r="S187" i="1"/>
  <c r="T187" i="1" s="1" a="1"/>
  <c r="T187" i="1" s="1"/>
  <c r="S188" i="1"/>
  <c r="T188" i="1" s="1" a="1"/>
  <c r="T188" i="1" s="1"/>
  <c r="S189" i="1"/>
  <c r="T189" i="1" s="1" a="1"/>
  <c r="T189" i="1" s="1"/>
  <c r="S190" i="1"/>
  <c r="T190" i="1" s="1" a="1"/>
  <c r="T190" i="1" s="1"/>
  <c r="S191" i="1"/>
  <c r="T191" i="1" s="1" a="1"/>
  <c r="T191" i="1" s="1"/>
  <c r="S192" i="1"/>
  <c r="T192" i="1" s="1" a="1"/>
  <c r="T192" i="1" s="1"/>
  <c r="S193" i="1"/>
  <c r="T193" i="1" s="1" a="1"/>
  <c r="T193" i="1" s="1"/>
  <c r="S194" i="1"/>
  <c r="T194" i="1" s="1" a="1"/>
  <c r="T194" i="1" s="1"/>
  <c r="S195" i="1"/>
  <c r="T195" i="1" s="1" a="1"/>
  <c r="T195" i="1" s="1"/>
  <c r="S196" i="1"/>
  <c r="T196" i="1" s="1" a="1"/>
  <c r="T196" i="1" s="1"/>
  <c r="S197" i="1"/>
  <c r="T197" i="1" s="1" a="1"/>
  <c r="T197" i="1" s="1"/>
  <c r="S198" i="1"/>
  <c r="T198" i="1" s="1" a="1"/>
  <c r="T198" i="1" s="1"/>
  <c r="S199" i="1"/>
  <c r="T199" i="1" s="1" a="1"/>
  <c r="T199" i="1" s="1"/>
  <c r="S200" i="1"/>
  <c r="T200" i="1" s="1" a="1"/>
  <c r="T200" i="1" s="1"/>
  <c r="S201" i="1"/>
  <c r="T201" i="1" s="1" a="1"/>
  <c r="T201" i="1" s="1"/>
  <c r="S202" i="1"/>
  <c r="T202" i="1" s="1" a="1"/>
  <c r="T202" i="1" s="1"/>
  <c r="S203" i="1"/>
  <c r="T203" i="1" s="1" a="1"/>
  <c r="T203" i="1" s="1"/>
  <c r="S204" i="1"/>
  <c r="T204" i="1" s="1" a="1"/>
  <c r="T204" i="1" s="1"/>
  <c r="S205" i="1"/>
  <c r="T205" i="1" s="1" a="1"/>
  <c r="T205" i="1" s="1"/>
  <c r="S206" i="1"/>
  <c r="T206" i="1" s="1" a="1"/>
  <c r="T206" i="1" s="1"/>
  <c r="S207" i="1"/>
  <c r="T207" i="1" s="1" a="1"/>
  <c r="T207" i="1" s="1"/>
  <c r="S208" i="1"/>
  <c r="T208" i="1" s="1" a="1"/>
  <c r="T208" i="1" s="1"/>
  <c r="S209" i="1"/>
  <c r="T209" i="1" s="1" a="1"/>
  <c r="T209" i="1" s="1"/>
  <c r="S210" i="1"/>
  <c r="T210" i="1" s="1" a="1"/>
  <c r="T210" i="1" s="1"/>
  <c r="S211" i="1"/>
  <c r="T211" i="1" s="1" a="1"/>
  <c r="T211" i="1" s="1"/>
  <c r="S212" i="1"/>
  <c r="T212" i="1" s="1" a="1"/>
  <c r="T212" i="1" s="1"/>
  <c r="S213" i="1"/>
  <c r="T213" i="1" s="1" a="1"/>
  <c r="T213" i="1" s="1"/>
  <c r="S214" i="1"/>
  <c r="T214" i="1" s="1" a="1"/>
  <c r="T214" i="1" s="1"/>
  <c r="S215" i="1"/>
  <c r="T215" i="1" s="1" a="1"/>
  <c r="T215" i="1" s="1"/>
  <c r="S216" i="1"/>
  <c r="T216" i="1" s="1" a="1"/>
  <c r="T216" i="1" s="1"/>
  <c r="S217" i="1"/>
  <c r="T217" i="1" s="1" a="1"/>
  <c r="T217" i="1" s="1"/>
  <c r="S218" i="1"/>
  <c r="T218" i="1" s="1" a="1"/>
  <c r="T218" i="1" s="1"/>
  <c r="S219" i="1"/>
  <c r="T219" i="1" s="1" a="1"/>
  <c r="T219" i="1" s="1"/>
  <c r="S220" i="1"/>
  <c r="T220" i="1" s="1" a="1"/>
  <c r="T220" i="1" s="1"/>
  <c r="S221" i="1"/>
  <c r="T221" i="1" s="1" a="1"/>
  <c r="T221" i="1" s="1"/>
  <c r="S222" i="1"/>
  <c r="T222" i="1" s="1" a="1"/>
  <c r="T222" i="1" s="1"/>
  <c r="S223" i="1"/>
  <c r="T223" i="1" s="1" a="1"/>
  <c r="T223" i="1" s="1"/>
  <c r="S224" i="1"/>
  <c r="T224" i="1" s="1" a="1"/>
  <c r="T224" i="1" s="1"/>
  <c r="S225" i="1"/>
  <c r="T225" i="1" s="1" a="1"/>
  <c r="T225" i="1" s="1"/>
  <c r="S226" i="1"/>
  <c r="T226" i="1" s="1" a="1"/>
  <c r="T226" i="1" s="1"/>
  <c r="S227" i="1"/>
  <c r="T227" i="1" s="1" a="1"/>
  <c r="T227" i="1" s="1"/>
  <c r="S228" i="1"/>
  <c r="T228" i="1" s="1" a="1"/>
  <c r="T228" i="1" s="1"/>
  <c r="S229" i="1"/>
  <c r="T229" i="1" s="1" a="1"/>
  <c r="T229" i="1" s="1"/>
  <c r="S230" i="1"/>
  <c r="T230" i="1" s="1" a="1"/>
  <c r="T230" i="1" s="1"/>
  <c r="S231" i="1"/>
  <c r="T231" i="1" s="1" a="1"/>
  <c r="T231" i="1" s="1"/>
  <c r="S232" i="1"/>
  <c r="T232" i="1" s="1" a="1"/>
  <c r="T232" i="1" s="1"/>
  <c r="S233" i="1"/>
  <c r="T233" i="1" s="1" a="1"/>
  <c r="T233" i="1" s="1"/>
  <c r="S234" i="1"/>
  <c r="T234" i="1" s="1" a="1"/>
  <c r="T234" i="1" s="1"/>
  <c r="S235" i="1"/>
  <c r="T235" i="1" s="1" a="1"/>
  <c r="T235" i="1" s="1"/>
  <c r="S236" i="1"/>
  <c r="T236" i="1" s="1" a="1"/>
  <c r="T236" i="1" s="1"/>
  <c r="S237" i="1"/>
  <c r="T237" i="1" s="1" a="1"/>
  <c r="T237" i="1" s="1"/>
  <c r="S238" i="1"/>
  <c r="T238" i="1" s="1" a="1"/>
  <c r="T238" i="1" s="1"/>
  <c r="S239" i="1"/>
  <c r="T239" i="1" s="1" a="1"/>
  <c r="T239" i="1" s="1"/>
  <c r="S240" i="1"/>
  <c r="T240" i="1" s="1" a="1"/>
  <c r="T240" i="1" s="1"/>
  <c r="S241" i="1"/>
  <c r="T241" i="1" s="1" a="1"/>
  <c r="T241" i="1" s="1"/>
  <c r="S242" i="1"/>
  <c r="T242" i="1" s="1" a="1"/>
  <c r="T242" i="1" s="1"/>
  <c r="S243" i="1"/>
  <c r="T243" i="1" s="1" a="1"/>
  <c r="T243" i="1" s="1"/>
  <c r="S244" i="1"/>
  <c r="T244" i="1" s="1" a="1"/>
  <c r="T244" i="1" s="1"/>
  <c r="S245" i="1"/>
  <c r="T245" i="1" s="1" a="1"/>
  <c r="T245" i="1" s="1"/>
  <c r="S246" i="1"/>
  <c r="T246" i="1" s="1" a="1"/>
  <c r="T246" i="1" s="1"/>
  <c r="S247" i="1"/>
  <c r="T247" i="1" s="1" a="1"/>
  <c r="T247" i="1" s="1"/>
  <c r="S248" i="1"/>
  <c r="T248" i="1" s="1" a="1"/>
  <c r="T248" i="1" s="1"/>
  <c r="S249" i="1"/>
  <c r="T249" i="1" s="1" a="1"/>
  <c r="T249" i="1" s="1"/>
  <c r="S250" i="1"/>
  <c r="T250" i="1" s="1" a="1"/>
  <c r="T250" i="1" s="1"/>
  <c r="S251" i="1"/>
  <c r="T251" i="1" s="1" a="1"/>
  <c r="T251" i="1" s="1"/>
  <c r="S252" i="1"/>
  <c r="T252" i="1" s="1" a="1"/>
  <c r="T252" i="1" s="1"/>
  <c r="S253" i="1"/>
  <c r="T253" i="1" s="1" a="1"/>
  <c r="T253" i="1" s="1"/>
  <c r="S254" i="1"/>
  <c r="T254" i="1" s="1" a="1"/>
  <c r="T254" i="1" s="1"/>
  <c r="S255" i="1"/>
  <c r="T255" i="1" s="1" a="1"/>
  <c r="T255" i="1" s="1"/>
  <c r="S256" i="1"/>
  <c r="T256" i="1" s="1" a="1"/>
  <c r="T256" i="1" s="1"/>
  <c r="S257" i="1"/>
  <c r="T257" i="1" s="1" a="1"/>
  <c r="T257" i="1" s="1"/>
  <c r="S258" i="1"/>
  <c r="T258" i="1" s="1" a="1"/>
  <c r="T258" i="1" s="1"/>
  <c r="S259" i="1"/>
  <c r="T259" i="1" s="1" a="1"/>
  <c r="T259" i="1" s="1"/>
  <c r="S260" i="1"/>
  <c r="T260" i="1" s="1" a="1"/>
  <c r="T260" i="1" s="1"/>
  <c r="S261" i="1"/>
  <c r="T261" i="1" s="1" a="1"/>
  <c r="T261" i="1" s="1"/>
  <c r="S262" i="1"/>
  <c r="T262" i="1" s="1" a="1"/>
  <c r="T262" i="1" s="1"/>
  <c r="S263" i="1"/>
  <c r="T263" i="1" s="1" a="1"/>
  <c r="T263" i="1" s="1"/>
  <c r="S264" i="1"/>
  <c r="T264" i="1" s="1" a="1"/>
  <c r="T264" i="1" s="1"/>
  <c r="S265" i="1"/>
  <c r="T265" i="1" s="1" a="1"/>
  <c r="T265" i="1" s="1"/>
  <c r="S266" i="1"/>
  <c r="T266" i="1" s="1" a="1"/>
  <c r="T266" i="1" s="1"/>
  <c r="S267" i="1"/>
  <c r="T267" i="1" s="1" a="1"/>
  <c r="T267" i="1" s="1"/>
  <c r="S268" i="1"/>
  <c r="T268" i="1" s="1" a="1"/>
  <c r="T268" i="1" s="1"/>
  <c r="S269" i="1"/>
  <c r="T269" i="1" s="1" a="1"/>
  <c r="T269" i="1" s="1"/>
  <c r="S270" i="1"/>
  <c r="T270" i="1" s="1" a="1"/>
  <c r="T270" i="1" s="1"/>
  <c r="S271" i="1"/>
  <c r="T271" i="1" s="1" a="1"/>
  <c r="T271" i="1" s="1"/>
  <c r="S272" i="1"/>
  <c r="T272" i="1" s="1" a="1"/>
  <c r="T272" i="1" s="1"/>
  <c r="S273" i="1"/>
  <c r="T273" i="1" s="1" a="1"/>
  <c r="T273" i="1" s="1"/>
  <c r="S274" i="1"/>
  <c r="T274" i="1" s="1" a="1"/>
  <c r="T274" i="1" s="1"/>
  <c r="S275" i="1"/>
  <c r="T275" i="1" s="1" a="1"/>
  <c r="T275" i="1" s="1"/>
  <c r="S276" i="1"/>
  <c r="T276" i="1" s="1" a="1"/>
  <c r="T276" i="1" s="1"/>
  <c r="S277" i="1"/>
  <c r="T277" i="1" s="1" a="1"/>
  <c r="T277" i="1" s="1"/>
  <c r="S278" i="1"/>
  <c r="T278" i="1" s="1" a="1"/>
  <c r="T278" i="1" s="1"/>
  <c r="S279" i="1"/>
  <c r="T279" i="1" s="1" a="1"/>
  <c r="T279" i="1" s="1"/>
  <c r="S280" i="1"/>
  <c r="T280" i="1" s="1" a="1"/>
  <c r="T280" i="1" s="1"/>
  <c r="S281" i="1"/>
  <c r="T281" i="1" s="1" a="1"/>
  <c r="T281" i="1" s="1"/>
  <c r="S282" i="1"/>
  <c r="T282" i="1" s="1" a="1"/>
  <c r="T282" i="1" s="1"/>
  <c r="S283" i="1"/>
  <c r="T283" i="1" s="1" a="1"/>
  <c r="T283" i="1" s="1"/>
  <c r="S284" i="1"/>
  <c r="T284" i="1" s="1" a="1"/>
  <c r="T284" i="1" s="1"/>
  <c r="S285" i="1"/>
  <c r="T285" i="1" s="1" a="1"/>
  <c r="T285" i="1" s="1"/>
  <c r="S286" i="1"/>
  <c r="T286" i="1" s="1" a="1"/>
  <c r="T286" i="1" s="1"/>
  <c r="S287" i="1"/>
  <c r="T287" i="1" s="1" a="1"/>
  <c r="T287" i="1" s="1"/>
  <c r="S288" i="1"/>
  <c r="T288" i="1" s="1" a="1"/>
  <c r="T288" i="1" s="1"/>
  <c r="S289" i="1"/>
  <c r="T289" i="1" s="1" a="1"/>
  <c r="T289" i="1" s="1"/>
  <c r="S290" i="1"/>
  <c r="T290" i="1" s="1" a="1"/>
  <c r="T290" i="1" s="1"/>
  <c r="S291" i="1"/>
  <c r="T291" i="1" s="1" a="1"/>
  <c r="T291" i="1" s="1"/>
  <c r="S292" i="1"/>
  <c r="T292" i="1" s="1" a="1"/>
  <c r="T292" i="1" s="1"/>
  <c r="S293" i="1"/>
  <c r="T293" i="1" s="1" a="1"/>
  <c r="T293" i="1" s="1"/>
  <c r="S294" i="1"/>
  <c r="T294" i="1" s="1" a="1"/>
  <c r="T294" i="1" s="1"/>
  <c r="S295" i="1"/>
  <c r="T295" i="1" s="1" a="1"/>
  <c r="T295" i="1" s="1"/>
  <c r="S296" i="1"/>
  <c r="T296" i="1" s="1" a="1"/>
  <c r="T296" i="1" s="1"/>
  <c r="S297" i="1"/>
  <c r="T297" i="1" s="1" a="1"/>
  <c r="T297" i="1" s="1"/>
  <c r="S298" i="1"/>
  <c r="T298" i="1" s="1" a="1"/>
  <c r="T298" i="1" s="1"/>
  <c r="S299" i="1"/>
  <c r="T299" i="1" s="1" a="1"/>
  <c r="T299" i="1" s="1"/>
  <c r="S300" i="1"/>
  <c r="T300" i="1" s="1" a="1"/>
  <c r="T300" i="1" s="1"/>
  <c r="S301" i="1"/>
  <c r="T301" i="1" s="1" a="1"/>
  <c r="T301" i="1" s="1"/>
  <c r="S302" i="1"/>
  <c r="T302" i="1" s="1" a="1"/>
  <c r="T302" i="1" s="1"/>
  <c r="S303" i="1"/>
  <c r="T303" i="1" s="1" a="1"/>
  <c r="T303" i="1" s="1"/>
  <c r="S304" i="1"/>
  <c r="T304" i="1" s="1" a="1"/>
  <c r="T304" i="1" s="1"/>
  <c r="S305" i="1"/>
  <c r="T305" i="1" s="1" a="1"/>
  <c r="T305" i="1" s="1"/>
  <c r="S306" i="1"/>
  <c r="T306" i="1" s="1" a="1"/>
  <c r="T306" i="1" s="1"/>
  <c r="S307" i="1"/>
  <c r="T307" i="1" s="1" a="1"/>
  <c r="T307" i="1" s="1"/>
  <c r="S308" i="1"/>
  <c r="T308" i="1" s="1" a="1"/>
  <c r="T308" i="1" s="1"/>
  <c r="S309" i="1"/>
  <c r="T309" i="1" s="1" a="1"/>
  <c r="T309" i="1" s="1"/>
  <c r="S310" i="1"/>
  <c r="T310" i="1" s="1" a="1"/>
  <c r="T310" i="1" s="1"/>
  <c r="S311" i="1"/>
  <c r="T311" i="1" s="1" a="1"/>
  <c r="T311" i="1" s="1"/>
  <c r="S312" i="1"/>
  <c r="T312" i="1" s="1" a="1"/>
  <c r="T312" i="1" s="1"/>
  <c r="S313" i="1"/>
  <c r="T313" i="1" s="1" a="1"/>
  <c r="T313" i="1" s="1"/>
  <c r="S314" i="1"/>
  <c r="T314" i="1" s="1" a="1"/>
  <c r="T314" i="1" s="1"/>
  <c r="S315" i="1"/>
  <c r="T315" i="1" s="1" a="1"/>
  <c r="T315" i="1" s="1"/>
  <c r="S316" i="1"/>
  <c r="T316" i="1" s="1" a="1"/>
  <c r="T316" i="1" s="1"/>
  <c r="S317" i="1"/>
  <c r="T317" i="1" s="1" a="1"/>
  <c r="T317" i="1" s="1"/>
  <c r="S318" i="1"/>
  <c r="T318" i="1" s="1" a="1"/>
  <c r="T318" i="1" s="1"/>
  <c r="S319" i="1"/>
  <c r="T319" i="1" s="1" a="1"/>
  <c r="T319" i="1" s="1"/>
  <c r="S320" i="1"/>
  <c r="T320" i="1" s="1" a="1"/>
  <c r="T320" i="1" s="1"/>
  <c r="S321" i="1"/>
  <c r="T321" i="1" s="1" a="1"/>
  <c r="T321" i="1" s="1"/>
  <c r="S322" i="1"/>
  <c r="T322" i="1" s="1" a="1"/>
  <c r="T322" i="1" s="1"/>
  <c r="S323" i="1"/>
  <c r="T323" i="1" s="1" a="1"/>
  <c r="T323" i="1" s="1"/>
  <c r="S324" i="1"/>
  <c r="T324" i="1" s="1" a="1"/>
  <c r="T324" i="1" s="1"/>
  <c r="S325" i="1"/>
  <c r="T325" i="1" s="1" a="1"/>
  <c r="T325" i="1" s="1"/>
  <c r="S326" i="1"/>
  <c r="T326" i="1" s="1" a="1"/>
  <c r="T326" i="1" s="1"/>
  <c r="S327" i="1"/>
  <c r="T327" i="1" s="1" a="1"/>
  <c r="T327" i="1" s="1"/>
  <c r="S328" i="1"/>
  <c r="T328" i="1" s="1" a="1"/>
  <c r="T328" i="1" s="1"/>
  <c r="S329" i="1"/>
  <c r="T329" i="1" s="1" a="1"/>
  <c r="T329" i="1" s="1"/>
  <c r="S330" i="1"/>
  <c r="T330" i="1" s="1" a="1"/>
  <c r="T330" i="1" s="1"/>
  <c r="S331" i="1"/>
  <c r="T331" i="1" s="1" a="1"/>
  <c r="T331" i="1" s="1"/>
  <c r="S332" i="1"/>
  <c r="T332" i="1" s="1" a="1"/>
  <c r="T332" i="1" s="1"/>
  <c r="S333" i="1"/>
  <c r="T333" i="1" s="1" a="1"/>
  <c r="T333" i="1" s="1"/>
  <c r="S334" i="1"/>
  <c r="T334" i="1" s="1" a="1"/>
  <c r="T334" i="1" s="1"/>
  <c r="S335" i="1"/>
  <c r="T335" i="1" s="1" a="1"/>
  <c r="T335" i="1" s="1"/>
  <c r="S336" i="1"/>
  <c r="T336" i="1" s="1" a="1"/>
  <c r="T336" i="1" s="1"/>
  <c r="S337" i="1"/>
  <c r="T337" i="1" s="1" a="1"/>
  <c r="T337" i="1" s="1"/>
  <c r="S338" i="1"/>
  <c r="T338" i="1" s="1" a="1"/>
  <c r="T338" i="1" s="1"/>
  <c r="S339" i="1"/>
  <c r="T339" i="1" s="1" a="1"/>
  <c r="T339" i="1" s="1"/>
  <c r="S340" i="1"/>
  <c r="T340" i="1" s="1" a="1"/>
  <c r="T340" i="1" s="1"/>
  <c r="S341" i="1"/>
  <c r="T341" i="1" s="1" a="1"/>
  <c r="T341" i="1" s="1"/>
  <c r="S342" i="1"/>
  <c r="T342" i="1" s="1" a="1"/>
  <c r="T342" i="1" s="1"/>
  <c r="S343" i="1"/>
  <c r="T343" i="1" s="1" a="1"/>
  <c r="T343" i="1" s="1"/>
  <c r="S344" i="1"/>
  <c r="T344" i="1" s="1" a="1"/>
  <c r="T344" i="1" s="1"/>
  <c r="S345" i="1"/>
  <c r="T345" i="1" s="1" a="1"/>
  <c r="T345" i="1" s="1"/>
  <c r="S346" i="1"/>
  <c r="T346" i="1" s="1" a="1"/>
  <c r="T346" i="1" s="1"/>
  <c r="S347" i="1"/>
  <c r="T347" i="1" s="1" a="1"/>
  <c r="T347" i="1" s="1"/>
  <c r="S348" i="1"/>
  <c r="T348" i="1" s="1" a="1"/>
  <c r="T348" i="1" s="1"/>
  <c r="S349" i="1"/>
  <c r="T349" i="1" s="1" a="1"/>
  <c r="T349" i="1" s="1"/>
  <c r="S350" i="1"/>
  <c r="T350" i="1" s="1" a="1"/>
  <c r="T350" i="1" s="1"/>
  <c r="S351" i="1"/>
  <c r="T351" i="1" s="1" a="1"/>
  <c r="T351" i="1" s="1"/>
  <c r="S352" i="1"/>
  <c r="T352" i="1" s="1" a="1"/>
  <c r="T352" i="1" s="1"/>
  <c r="S353" i="1"/>
  <c r="T353" i="1" s="1" a="1"/>
  <c r="T353" i="1" s="1"/>
  <c r="S354" i="1"/>
  <c r="T354" i="1" s="1" a="1"/>
  <c r="T354" i="1" s="1"/>
  <c r="S355" i="1"/>
  <c r="T355" i="1" s="1" a="1"/>
  <c r="T355" i="1" s="1"/>
  <c r="S356" i="1"/>
  <c r="T356" i="1" s="1" a="1"/>
  <c r="T356" i="1" s="1"/>
  <c r="S357" i="1"/>
  <c r="T357" i="1" s="1" a="1"/>
  <c r="T357" i="1" s="1"/>
  <c r="S358" i="1"/>
  <c r="T358" i="1" s="1" a="1"/>
  <c r="T358" i="1" s="1"/>
  <c r="S359" i="1"/>
  <c r="T359" i="1" s="1" a="1"/>
  <c r="T359" i="1" s="1"/>
  <c r="S360" i="1"/>
  <c r="T360" i="1" s="1" a="1"/>
  <c r="T360" i="1" s="1"/>
  <c r="S361" i="1"/>
  <c r="T361" i="1" s="1" a="1"/>
  <c r="T361" i="1" s="1"/>
  <c r="S362" i="1"/>
  <c r="T362" i="1" s="1" a="1"/>
  <c r="T362" i="1" s="1"/>
  <c r="S363" i="1"/>
  <c r="T363" i="1" s="1" a="1"/>
  <c r="T363" i="1" s="1"/>
  <c r="S364" i="1"/>
  <c r="T364" i="1" s="1" a="1"/>
  <c r="T364" i="1" s="1"/>
  <c r="S365" i="1"/>
  <c r="T365" i="1" s="1" a="1"/>
  <c r="T365" i="1" s="1"/>
  <c r="S366" i="1"/>
  <c r="T366" i="1" s="1" a="1"/>
  <c r="T366" i="1" s="1"/>
  <c r="S367" i="1"/>
  <c r="T367" i="1" s="1" a="1"/>
  <c r="T367" i="1" s="1"/>
  <c r="S368" i="1"/>
  <c r="T368" i="1" s="1" a="1"/>
  <c r="T368" i="1" s="1"/>
  <c r="S369" i="1"/>
  <c r="T369" i="1" s="1" a="1"/>
  <c r="T369" i="1" s="1"/>
  <c r="S370" i="1"/>
  <c r="T370" i="1" s="1" a="1"/>
  <c r="T370" i="1" s="1"/>
  <c r="S371" i="1"/>
  <c r="T371" i="1" s="1" a="1"/>
  <c r="T371" i="1" s="1"/>
  <c r="S372" i="1"/>
  <c r="T372" i="1" s="1" a="1"/>
  <c r="T372" i="1" s="1"/>
  <c r="S373" i="1"/>
  <c r="T373" i="1" s="1" a="1"/>
  <c r="T373" i="1" s="1"/>
  <c r="S374" i="1"/>
  <c r="T374" i="1" s="1" a="1"/>
  <c r="T374" i="1" s="1"/>
  <c r="S375" i="1"/>
  <c r="T375" i="1" s="1" a="1"/>
  <c r="T375" i="1" s="1"/>
  <c r="S376" i="1"/>
  <c r="T376" i="1" s="1" a="1"/>
  <c r="T376" i="1" s="1"/>
  <c r="S377" i="1"/>
  <c r="T377" i="1" s="1" a="1"/>
  <c r="T377" i="1" s="1"/>
  <c r="S378" i="1"/>
  <c r="T378" i="1" s="1" a="1"/>
  <c r="T378" i="1" s="1"/>
  <c r="S379" i="1"/>
  <c r="T379" i="1" s="1" a="1"/>
  <c r="T379" i="1" s="1"/>
  <c r="S380" i="1"/>
  <c r="T380" i="1" s="1" a="1"/>
  <c r="T380" i="1" s="1"/>
  <c r="S381" i="1"/>
  <c r="T381" i="1" s="1" a="1"/>
  <c r="T381" i="1" s="1"/>
  <c r="S382" i="1"/>
  <c r="T382" i="1" s="1" a="1"/>
  <c r="T382" i="1" s="1"/>
  <c r="S383" i="1"/>
  <c r="T383" i="1" s="1" a="1"/>
  <c r="T383" i="1" s="1"/>
  <c r="S384" i="1"/>
  <c r="T384" i="1" s="1" a="1"/>
  <c r="T384" i="1" s="1"/>
  <c r="S385" i="1"/>
  <c r="T385" i="1" s="1" a="1"/>
  <c r="T385" i="1" s="1"/>
  <c r="S386" i="1"/>
  <c r="T386" i="1" s="1" a="1"/>
  <c r="T386" i="1" s="1"/>
  <c r="S387" i="1"/>
  <c r="T387" i="1" s="1" a="1"/>
  <c r="T387" i="1" s="1"/>
  <c r="S388" i="1"/>
  <c r="T388" i="1" s="1" a="1"/>
  <c r="T388" i="1" s="1"/>
  <c r="S389" i="1"/>
  <c r="T389" i="1" s="1" a="1"/>
  <c r="T389" i="1" s="1"/>
  <c r="S390" i="1"/>
  <c r="T390" i="1" s="1" a="1"/>
  <c r="T390" i="1" s="1"/>
  <c r="S391" i="1"/>
  <c r="T391" i="1" s="1" a="1"/>
  <c r="T391" i="1" s="1"/>
  <c r="S392" i="1"/>
  <c r="T392" i="1" s="1" a="1"/>
  <c r="T392" i="1" s="1"/>
  <c r="S393" i="1"/>
  <c r="T393" i="1" s="1" a="1"/>
  <c r="T393" i="1" s="1"/>
  <c r="S394" i="1"/>
  <c r="T394" i="1" s="1" a="1"/>
  <c r="T394" i="1" s="1"/>
  <c r="S395" i="1"/>
  <c r="T395" i="1" s="1" a="1"/>
  <c r="T395" i="1" s="1"/>
  <c r="S396" i="1"/>
  <c r="T396" i="1" s="1" a="1"/>
  <c r="T396" i="1" s="1"/>
  <c r="S397" i="1"/>
  <c r="T397" i="1" s="1" a="1"/>
  <c r="T397" i="1" s="1"/>
  <c r="S398" i="1"/>
  <c r="T398" i="1" s="1" a="1"/>
  <c r="T398" i="1" s="1"/>
  <c r="S399" i="1"/>
  <c r="T399" i="1" s="1" a="1"/>
  <c r="T399" i="1" s="1"/>
  <c r="S400" i="1"/>
  <c r="T400" i="1" s="1" a="1"/>
  <c r="T400" i="1" s="1"/>
  <c r="S401" i="1"/>
  <c r="T401" i="1" s="1" a="1"/>
  <c r="T401" i="1" s="1"/>
  <c r="S402" i="1"/>
  <c r="T402" i="1" s="1" a="1"/>
  <c r="T402" i="1" s="1"/>
  <c r="S403" i="1"/>
  <c r="T403" i="1" s="1" a="1"/>
  <c r="T403" i="1" s="1"/>
  <c r="S404" i="1"/>
  <c r="T404" i="1" s="1" a="1"/>
  <c r="T404" i="1" s="1"/>
  <c r="S405" i="1"/>
  <c r="T405" i="1" s="1" a="1"/>
  <c r="T405" i="1" s="1"/>
  <c r="S406" i="1"/>
  <c r="T406" i="1" s="1" a="1"/>
  <c r="T406" i="1" s="1"/>
  <c r="S407" i="1"/>
  <c r="T407" i="1" s="1" a="1"/>
  <c r="T407" i="1" s="1"/>
  <c r="S408" i="1"/>
  <c r="T408" i="1" s="1" a="1"/>
  <c r="T408" i="1" s="1"/>
  <c r="S409" i="1"/>
  <c r="T409" i="1" s="1" a="1"/>
  <c r="T409" i="1" s="1"/>
  <c r="S410" i="1"/>
  <c r="T410" i="1" s="1" a="1"/>
  <c r="T410" i="1" s="1"/>
  <c r="S411" i="1"/>
  <c r="T411" i="1" s="1" a="1"/>
  <c r="T411" i="1" s="1"/>
  <c r="S412" i="1"/>
  <c r="T412" i="1" s="1" a="1"/>
  <c r="T412" i="1" s="1"/>
  <c r="S413" i="1"/>
  <c r="T413" i="1" s="1" a="1"/>
  <c r="T413" i="1" s="1"/>
  <c r="S414" i="1"/>
  <c r="T414" i="1" s="1" a="1"/>
  <c r="T414" i="1" s="1"/>
  <c r="S415" i="1"/>
  <c r="T415" i="1" s="1" a="1"/>
  <c r="T415" i="1" s="1"/>
  <c r="S416" i="1"/>
  <c r="T416" i="1" s="1" a="1"/>
  <c r="T416" i="1" s="1"/>
  <c r="S417" i="1"/>
  <c r="T417" i="1" s="1" a="1"/>
  <c r="T417" i="1" s="1"/>
  <c r="S418" i="1"/>
  <c r="T418" i="1" s="1" a="1"/>
  <c r="T418" i="1" s="1"/>
  <c r="S419" i="1"/>
  <c r="T419" i="1" s="1" a="1"/>
  <c r="T419" i="1" s="1"/>
  <c r="S420" i="1"/>
  <c r="T420" i="1" s="1" a="1"/>
  <c r="T420" i="1" s="1"/>
  <c r="S421" i="1"/>
  <c r="T421" i="1" s="1" a="1"/>
  <c r="T421" i="1" s="1"/>
  <c r="S422" i="1"/>
  <c r="T422" i="1" s="1" a="1"/>
  <c r="T422" i="1" s="1"/>
  <c r="S423" i="1"/>
  <c r="T423" i="1" s="1" a="1"/>
  <c r="T423" i="1" s="1"/>
  <c r="S424" i="1"/>
  <c r="T424" i="1" s="1" a="1"/>
  <c r="T424" i="1" s="1"/>
  <c r="S425" i="1"/>
  <c r="T425" i="1" s="1" a="1"/>
  <c r="T425" i="1" s="1"/>
  <c r="S426" i="1"/>
  <c r="T426" i="1" s="1" a="1"/>
  <c r="T426" i="1" s="1"/>
  <c r="S427" i="1"/>
  <c r="T427" i="1" s="1" a="1"/>
  <c r="T427" i="1" s="1"/>
  <c r="S428" i="1"/>
  <c r="T428" i="1" s="1" a="1"/>
  <c r="T428" i="1" s="1"/>
  <c r="S429" i="1"/>
  <c r="T429" i="1" s="1" a="1"/>
  <c r="T429" i="1" s="1"/>
  <c r="S430" i="1"/>
  <c r="T430" i="1" s="1" a="1"/>
  <c r="T430" i="1" s="1"/>
  <c r="S431" i="1"/>
  <c r="T431" i="1" s="1" a="1"/>
  <c r="T431" i="1" s="1"/>
  <c r="S432" i="1"/>
  <c r="T432" i="1" s="1" a="1"/>
  <c r="T432" i="1" s="1"/>
  <c r="S433" i="1"/>
  <c r="T433" i="1" s="1" a="1"/>
  <c r="T433" i="1" s="1"/>
  <c r="S434" i="1"/>
  <c r="T434" i="1" s="1" a="1"/>
  <c r="T434" i="1" s="1"/>
  <c r="S435" i="1"/>
  <c r="T435" i="1" s="1" a="1"/>
  <c r="T435" i="1" s="1"/>
  <c r="S436" i="1"/>
  <c r="T436" i="1" s="1" a="1"/>
  <c r="T436" i="1" s="1"/>
  <c r="S437" i="1"/>
  <c r="T437" i="1" s="1" a="1"/>
  <c r="T437" i="1" s="1"/>
  <c r="S438" i="1"/>
  <c r="T438" i="1" s="1" a="1"/>
  <c r="T438" i="1" s="1"/>
  <c r="S439" i="1"/>
  <c r="T439" i="1" s="1" a="1"/>
  <c r="T439" i="1" s="1"/>
  <c r="S440" i="1"/>
  <c r="T440" i="1" s="1" a="1"/>
  <c r="T440" i="1" s="1"/>
  <c r="S441" i="1"/>
  <c r="T441" i="1" s="1" a="1"/>
  <c r="T441" i="1" s="1"/>
  <c r="S442" i="1"/>
  <c r="T442" i="1" s="1" a="1"/>
  <c r="T442" i="1" s="1"/>
  <c r="S443" i="1"/>
  <c r="T443" i="1" s="1" a="1"/>
  <c r="T443" i="1" s="1"/>
  <c r="S444" i="1"/>
  <c r="T444" i="1" s="1" a="1"/>
  <c r="T444" i="1" s="1"/>
  <c r="S445" i="1"/>
  <c r="T445" i="1" s="1" a="1"/>
  <c r="T445" i="1" s="1"/>
  <c r="S446" i="1"/>
  <c r="T446" i="1" s="1" a="1"/>
  <c r="T446" i="1" s="1"/>
  <c r="S447" i="1"/>
  <c r="T447" i="1" s="1" a="1"/>
  <c r="T447" i="1" s="1"/>
  <c r="S448" i="1"/>
  <c r="T448" i="1" s="1" a="1"/>
  <c r="T448" i="1" s="1"/>
  <c r="S449" i="1"/>
  <c r="T449" i="1" s="1" a="1"/>
  <c r="T449" i="1" s="1"/>
  <c r="S450" i="1"/>
  <c r="T450" i="1" s="1" a="1"/>
  <c r="T450" i="1" s="1"/>
  <c r="S451" i="1"/>
  <c r="T451" i="1" s="1" a="1"/>
  <c r="T451" i="1" s="1"/>
  <c r="S452" i="1"/>
  <c r="T452" i="1" s="1" a="1"/>
  <c r="T452" i="1" s="1"/>
  <c r="S453" i="1"/>
  <c r="T453" i="1" s="1" a="1"/>
  <c r="T453" i="1" s="1"/>
  <c r="S454" i="1"/>
  <c r="T454" i="1" s="1" a="1"/>
  <c r="T454" i="1" s="1"/>
  <c r="S455" i="1"/>
  <c r="T455" i="1" s="1" a="1"/>
  <c r="T455" i="1" s="1"/>
  <c r="S456" i="1"/>
  <c r="T456" i="1" s="1" a="1"/>
  <c r="T456" i="1" s="1"/>
  <c r="S457" i="1"/>
  <c r="T457" i="1" s="1" a="1"/>
  <c r="T457" i="1" s="1"/>
  <c r="S458" i="1"/>
  <c r="T458" i="1" s="1" a="1"/>
  <c r="T458" i="1" s="1"/>
  <c r="S459" i="1"/>
  <c r="T459" i="1" s="1" a="1"/>
  <c r="T459" i="1" s="1"/>
  <c r="S460" i="1"/>
  <c r="T460" i="1" s="1" a="1"/>
  <c r="T460" i="1" s="1"/>
  <c r="S461" i="1"/>
  <c r="T461" i="1" s="1" a="1"/>
  <c r="T461" i="1" s="1"/>
  <c r="S462" i="1"/>
  <c r="T462" i="1" s="1" a="1"/>
  <c r="T462" i="1" s="1"/>
  <c r="S463" i="1"/>
  <c r="T463" i="1" s="1" a="1"/>
  <c r="T463" i="1" s="1"/>
  <c r="S464" i="1"/>
  <c r="T464" i="1" s="1" a="1"/>
  <c r="T464" i="1" s="1"/>
  <c r="S465" i="1"/>
  <c r="T465" i="1" s="1" a="1"/>
  <c r="T465" i="1" s="1"/>
  <c r="S466" i="1"/>
  <c r="T466" i="1" s="1" a="1"/>
  <c r="T466" i="1" s="1"/>
  <c r="S467" i="1"/>
  <c r="T467" i="1" s="1" a="1"/>
  <c r="T467" i="1" s="1"/>
  <c r="S468" i="1"/>
  <c r="T468" i="1" s="1" a="1"/>
  <c r="T468" i="1" s="1"/>
  <c r="S469" i="1"/>
  <c r="T469" i="1" s="1" a="1"/>
  <c r="T469" i="1" s="1"/>
  <c r="S470" i="1"/>
  <c r="T470" i="1" s="1" a="1"/>
  <c r="T470" i="1" s="1"/>
  <c r="S471" i="1"/>
  <c r="T471" i="1" s="1" a="1"/>
  <c r="T471" i="1" s="1"/>
  <c r="S472" i="1"/>
  <c r="T472" i="1" s="1" a="1"/>
  <c r="T472" i="1" s="1"/>
  <c r="S473" i="1"/>
  <c r="T473" i="1" s="1" a="1"/>
  <c r="T473" i="1" s="1"/>
  <c r="S474" i="1"/>
  <c r="T474" i="1" s="1" a="1"/>
  <c r="T474" i="1" s="1"/>
  <c r="S475" i="1"/>
  <c r="T475" i="1" s="1" a="1"/>
  <c r="T475" i="1" s="1"/>
  <c r="S476" i="1"/>
  <c r="T476" i="1" s="1" a="1"/>
  <c r="T476" i="1" s="1"/>
  <c r="S477" i="1"/>
  <c r="T477" i="1" s="1" a="1"/>
  <c r="T477" i="1" s="1"/>
  <c r="S478" i="1"/>
  <c r="T478" i="1" s="1" a="1"/>
  <c r="T478" i="1" s="1"/>
  <c r="S479" i="1"/>
  <c r="T479" i="1" s="1" a="1"/>
  <c r="T479" i="1" s="1"/>
  <c r="S480" i="1"/>
  <c r="T480" i="1" s="1" a="1"/>
  <c r="T480" i="1" s="1"/>
  <c r="S481" i="1"/>
  <c r="T481" i="1" s="1" a="1"/>
  <c r="T481" i="1" s="1"/>
  <c r="S482" i="1"/>
  <c r="T482" i="1" s="1" a="1"/>
  <c r="T482" i="1" s="1"/>
  <c r="S483" i="1"/>
  <c r="T483" i="1" s="1" a="1"/>
  <c r="T483" i="1" s="1"/>
  <c r="S484" i="1"/>
  <c r="T484" i="1" s="1" a="1"/>
  <c r="T484" i="1" s="1"/>
  <c r="S485" i="1"/>
  <c r="T485" i="1" s="1" a="1"/>
  <c r="T485" i="1" s="1"/>
  <c r="S486" i="1"/>
  <c r="T486" i="1" s="1" a="1"/>
  <c r="T486" i="1" s="1"/>
  <c r="S487" i="1"/>
  <c r="T487" i="1" s="1" a="1"/>
  <c r="T487" i="1" s="1"/>
  <c r="S488" i="1"/>
  <c r="T488" i="1" s="1" a="1"/>
  <c r="T488" i="1" s="1"/>
  <c r="S489" i="1"/>
  <c r="T489" i="1" s="1" a="1"/>
  <c r="T489" i="1" s="1"/>
  <c r="S490" i="1"/>
  <c r="T490" i="1" s="1" a="1"/>
  <c r="T490" i="1" s="1"/>
  <c r="S491" i="1"/>
  <c r="T491" i="1" s="1" a="1"/>
  <c r="T491" i="1" s="1"/>
  <c r="S492" i="1"/>
  <c r="T492" i="1" s="1" a="1"/>
  <c r="T492" i="1" s="1"/>
  <c r="S493" i="1"/>
  <c r="T493" i="1" s="1" a="1"/>
  <c r="T493" i="1" s="1"/>
  <c r="S494" i="1"/>
  <c r="T494" i="1" s="1" a="1"/>
  <c r="T494" i="1" s="1"/>
  <c r="S495" i="1"/>
  <c r="T495" i="1" s="1" a="1"/>
  <c r="T495" i="1" s="1"/>
  <c r="S496" i="1"/>
  <c r="T496" i="1" s="1" a="1"/>
  <c r="T496" i="1" s="1"/>
  <c r="S497" i="1"/>
  <c r="T497" i="1" s="1" a="1"/>
  <c r="T497" i="1" s="1"/>
  <c r="S498" i="1"/>
  <c r="T498" i="1" s="1" a="1"/>
  <c r="T498" i="1" s="1"/>
  <c r="S499" i="1"/>
  <c r="T499" i="1" s="1" a="1"/>
  <c r="T499" i="1" s="1"/>
  <c r="S500" i="1"/>
  <c r="T500" i="1" s="1" a="1"/>
  <c r="T500" i="1" s="1"/>
  <c r="S501" i="1"/>
  <c r="T501" i="1" s="1" a="1"/>
  <c r="T501" i="1" s="1"/>
  <c r="S502" i="1"/>
  <c r="T502" i="1" s="1" a="1"/>
  <c r="T502" i="1" s="1"/>
  <c r="S503" i="1"/>
  <c r="T503" i="1" s="1" a="1"/>
  <c r="T503" i="1" s="1"/>
  <c r="S504" i="1"/>
  <c r="T504" i="1" s="1" a="1"/>
  <c r="T504" i="1" s="1"/>
  <c r="S505" i="1"/>
  <c r="T505" i="1" s="1" a="1"/>
  <c r="T505" i="1" s="1"/>
  <c r="S506" i="1"/>
  <c r="T506" i="1" s="1" a="1"/>
  <c r="T506" i="1" s="1"/>
  <c r="S507" i="1"/>
  <c r="T507" i="1" s="1" a="1"/>
  <c r="T507" i="1" s="1"/>
  <c r="S508" i="1"/>
  <c r="T508" i="1" s="1" a="1"/>
  <c r="T508" i="1" s="1"/>
  <c r="S509" i="1"/>
  <c r="T509" i="1" s="1" a="1"/>
  <c r="T509" i="1" s="1"/>
  <c r="S510" i="1"/>
  <c r="T510" i="1" s="1" a="1"/>
  <c r="T510" i="1" s="1"/>
  <c r="S511" i="1"/>
  <c r="T511" i="1" s="1" a="1"/>
  <c r="T511" i="1" s="1"/>
  <c r="S512" i="1"/>
  <c r="T512" i="1" s="1" a="1"/>
  <c r="T512" i="1" s="1"/>
  <c r="S513" i="1"/>
  <c r="T513" i="1" s="1" a="1"/>
  <c r="T513" i="1" s="1"/>
  <c r="S514" i="1"/>
  <c r="T514" i="1" s="1" a="1"/>
  <c r="T514" i="1" s="1"/>
  <c r="S515" i="1"/>
  <c r="T515" i="1" s="1" a="1"/>
  <c r="T515" i="1" s="1"/>
  <c r="S516" i="1"/>
  <c r="T516" i="1" s="1" a="1"/>
  <c r="T516" i="1" s="1"/>
  <c r="S517" i="1"/>
  <c r="T517" i="1" s="1" a="1"/>
  <c r="T517" i="1" s="1"/>
  <c r="S518" i="1"/>
  <c r="T518" i="1" s="1" a="1"/>
  <c r="T518" i="1" s="1"/>
  <c r="S519" i="1"/>
  <c r="T519" i="1" s="1" a="1"/>
  <c r="T519" i="1" s="1"/>
  <c r="S520" i="1"/>
  <c r="T520" i="1" s="1" a="1"/>
  <c r="T520" i="1" s="1"/>
  <c r="S521" i="1"/>
  <c r="T521" i="1" s="1" a="1"/>
  <c r="T521" i="1" s="1"/>
  <c r="S522" i="1"/>
  <c r="T522" i="1" s="1" a="1"/>
  <c r="T522" i="1" s="1"/>
  <c r="S523" i="1"/>
  <c r="T523" i="1" s="1" a="1"/>
  <c r="T523" i="1" s="1"/>
  <c r="S524" i="1"/>
  <c r="T524" i="1" s="1" a="1"/>
  <c r="T524" i="1" s="1"/>
  <c r="S525" i="1"/>
  <c r="T525" i="1" s="1" a="1"/>
  <c r="T525" i="1" s="1"/>
  <c r="S526" i="1"/>
  <c r="T526" i="1" s="1" a="1"/>
  <c r="T526" i="1" s="1"/>
  <c r="S527" i="1"/>
  <c r="T527" i="1" s="1" a="1"/>
  <c r="T527" i="1" s="1"/>
  <c r="S528" i="1"/>
  <c r="T528" i="1" s="1" a="1"/>
  <c r="T528" i="1" s="1"/>
  <c r="S529" i="1"/>
  <c r="T529" i="1" s="1" a="1"/>
  <c r="T529" i="1" s="1"/>
  <c r="S530" i="1"/>
  <c r="T530" i="1" s="1" a="1"/>
  <c r="T530" i="1" s="1"/>
  <c r="S531" i="1"/>
  <c r="T531" i="1" s="1" a="1"/>
  <c r="T531" i="1" s="1"/>
  <c r="S532" i="1"/>
  <c r="T532" i="1" s="1" a="1"/>
  <c r="T532" i="1" s="1"/>
  <c r="S533" i="1"/>
  <c r="T533" i="1" s="1" a="1"/>
  <c r="T533" i="1" s="1"/>
  <c r="S534" i="1"/>
  <c r="T534" i="1" s="1" a="1"/>
  <c r="T534" i="1" s="1"/>
  <c r="S535" i="1"/>
  <c r="T535" i="1" s="1" a="1"/>
  <c r="T535" i="1" s="1"/>
  <c r="S536" i="1"/>
  <c r="T536" i="1" s="1" a="1"/>
  <c r="T536" i="1" s="1"/>
  <c r="S537" i="1"/>
  <c r="T537" i="1" s="1" a="1"/>
  <c r="T537" i="1" s="1"/>
  <c r="S538" i="1"/>
  <c r="T538" i="1" s="1" a="1"/>
  <c r="T538" i="1" s="1"/>
  <c r="S539" i="1"/>
  <c r="T539" i="1" s="1" a="1"/>
  <c r="T539" i="1" s="1"/>
  <c r="S540" i="1"/>
  <c r="T540" i="1" s="1" a="1"/>
  <c r="T540" i="1" s="1"/>
  <c r="S541" i="1"/>
  <c r="T541" i="1" s="1" a="1"/>
  <c r="T541" i="1" s="1"/>
  <c r="S542" i="1"/>
  <c r="T542" i="1" s="1" a="1"/>
  <c r="T542" i="1" s="1"/>
  <c r="S543" i="1"/>
  <c r="T543" i="1" s="1" a="1"/>
  <c r="T543" i="1" s="1"/>
  <c r="S544" i="1"/>
  <c r="T544" i="1" s="1" a="1"/>
  <c r="T544" i="1" s="1"/>
  <c r="S545" i="1"/>
  <c r="T545" i="1" s="1" a="1"/>
  <c r="T545" i="1" s="1"/>
  <c r="S546" i="1"/>
  <c r="T546" i="1" s="1" a="1"/>
  <c r="T546" i="1" s="1"/>
  <c r="S547" i="1"/>
  <c r="T547" i="1" s="1" a="1"/>
  <c r="T547" i="1" s="1"/>
  <c r="S548" i="1"/>
  <c r="T548" i="1" s="1" a="1"/>
  <c r="T548" i="1" s="1"/>
  <c r="S549" i="1"/>
  <c r="T549" i="1" s="1" a="1"/>
  <c r="T549" i="1" s="1"/>
  <c r="S550" i="1"/>
  <c r="T550" i="1" s="1" a="1"/>
  <c r="T550" i="1" s="1"/>
  <c r="S551" i="1"/>
  <c r="T551" i="1" s="1" a="1"/>
  <c r="T551" i="1" s="1"/>
  <c r="S552" i="1"/>
  <c r="T552" i="1" s="1" a="1"/>
  <c r="T552" i="1" s="1"/>
  <c r="S553" i="1"/>
  <c r="T553" i="1" s="1" a="1"/>
  <c r="T553" i="1" s="1"/>
  <c r="S554" i="1"/>
  <c r="T554" i="1" s="1" a="1"/>
  <c r="T554" i="1" s="1"/>
  <c r="S555" i="1"/>
  <c r="T555" i="1" s="1" a="1"/>
  <c r="T555" i="1" s="1"/>
  <c r="S556" i="1"/>
  <c r="T556" i="1" s="1" a="1"/>
  <c r="T556" i="1" s="1"/>
  <c r="S557" i="1"/>
  <c r="T557" i="1" s="1" a="1"/>
  <c r="T557" i="1" s="1"/>
  <c r="S558" i="1"/>
  <c r="T558" i="1" s="1" a="1"/>
  <c r="T558" i="1" s="1"/>
  <c r="S559" i="1"/>
  <c r="T559" i="1" s="1" a="1"/>
  <c r="T559" i="1" s="1"/>
  <c r="S560" i="1"/>
  <c r="T560" i="1" s="1" a="1"/>
  <c r="T560" i="1" s="1"/>
  <c r="S561" i="1"/>
  <c r="T561" i="1" s="1" a="1"/>
  <c r="T561" i="1" s="1"/>
  <c r="S562" i="1"/>
  <c r="T562" i="1" s="1" a="1"/>
  <c r="T562" i="1" s="1"/>
  <c r="S563" i="1"/>
  <c r="T563" i="1" s="1" a="1"/>
  <c r="T563" i="1" s="1"/>
  <c r="S564" i="1"/>
  <c r="T564" i="1" s="1" a="1"/>
  <c r="T564" i="1" s="1"/>
  <c r="S565" i="1"/>
  <c r="T565" i="1" s="1" a="1"/>
  <c r="T565" i="1" s="1"/>
  <c r="S566" i="1"/>
  <c r="T566" i="1" s="1" a="1"/>
  <c r="T566" i="1" s="1"/>
  <c r="S567" i="1"/>
  <c r="T567" i="1" s="1" a="1"/>
  <c r="T567" i="1" s="1"/>
  <c r="S568" i="1"/>
  <c r="T568" i="1" s="1" a="1"/>
  <c r="T568" i="1" s="1"/>
  <c r="S569" i="1"/>
  <c r="T569" i="1" s="1" a="1"/>
  <c r="T569" i="1" s="1"/>
  <c r="S570" i="1"/>
  <c r="T570" i="1" s="1" a="1"/>
  <c r="T570" i="1" s="1"/>
  <c r="S571" i="1"/>
  <c r="T571" i="1" s="1" a="1"/>
  <c r="T571" i="1" s="1"/>
  <c r="S572" i="1"/>
  <c r="T572" i="1" s="1" a="1"/>
  <c r="T572" i="1" s="1"/>
  <c r="S573" i="1"/>
  <c r="T573" i="1" s="1" a="1"/>
  <c r="T573" i="1" s="1"/>
  <c r="S574" i="1"/>
  <c r="T574" i="1" s="1" a="1"/>
  <c r="T574" i="1" s="1"/>
  <c r="S575" i="1"/>
  <c r="T575" i="1" s="1" a="1"/>
  <c r="T575" i="1" s="1"/>
  <c r="S576" i="1"/>
  <c r="T576" i="1" s="1" a="1"/>
  <c r="T576" i="1" s="1"/>
  <c r="S577" i="1"/>
  <c r="T577" i="1" s="1" a="1"/>
  <c r="T577" i="1" s="1"/>
  <c r="S578" i="1"/>
  <c r="T578" i="1" s="1" a="1"/>
  <c r="T578" i="1" s="1"/>
  <c r="S579" i="1"/>
  <c r="T579" i="1" s="1" a="1"/>
  <c r="T579" i="1" s="1"/>
  <c r="S580" i="1"/>
  <c r="T580" i="1" s="1" a="1"/>
  <c r="T580" i="1" s="1"/>
  <c r="S581" i="1"/>
  <c r="T581" i="1" s="1" a="1"/>
  <c r="T581" i="1" s="1"/>
  <c r="S582" i="1"/>
  <c r="T582" i="1" s="1" a="1"/>
  <c r="T582" i="1" s="1"/>
  <c r="S583" i="1"/>
  <c r="T583" i="1" s="1" a="1"/>
  <c r="T583" i="1" s="1"/>
  <c r="S584" i="1"/>
  <c r="T584" i="1" s="1" a="1"/>
  <c r="T584" i="1" s="1"/>
  <c r="S585" i="1"/>
  <c r="T585" i="1" s="1" a="1"/>
  <c r="T585" i="1" s="1"/>
  <c r="S586" i="1"/>
  <c r="T586" i="1" s="1" a="1"/>
  <c r="T586" i="1" s="1"/>
  <c r="S587" i="1"/>
  <c r="T587" i="1" s="1" a="1"/>
  <c r="T587" i="1" s="1"/>
  <c r="S588" i="1"/>
  <c r="T588" i="1" s="1" a="1"/>
  <c r="T588" i="1" s="1"/>
  <c r="S589" i="1"/>
  <c r="T589" i="1" s="1" a="1"/>
  <c r="T589" i="1" s="1"/>
  <c r="S590" i="1"/>
  <c r="T590" i="1" s="1" a="1"/>
  <c r="T590" i="1" s="1"/>
  <c r="S591" i="1"/>
  <c r="T591" i="1" s="1" a="1"/>
  <c r="T591" i="1" s="1"/>
  <c r="S592" i="1"/>
  <c r="T592" i="1" s="1" a="1"/>
  <c r="T592" i="1" s="1"/>
  <c r="S593" i="1"/>
  <c r="T593" i="1" s="1" a="1"/>
  <c r="T593" i="1" s="1"/>
  <c r="S594" i="1"/>
  <c r="T594" i="1" s="1" a="1"/>
  <c r="T594" i="1" s="1"/>
  <c r="S595" i="1"/>
  <c r="T595" i="1" s="1" a="1"/>
  <c r="T595" i="1" s="1"/>
  <c r="S596" i="1"/>
  <c r="T596" i="1" s="1" a="1"/>
  <c r="T596" i="1" s="1"/>
  <c r="S597" i="1"/>
  <c r="T597" i="1" s="1" a="1"/>
  <c r="T597" i="1" s="1"/>
  <c r="S598" i="1"/>
  <c r="T598" i="1" s="1" a="1"/>
  <c r="T598" i="1" s="1"/>
  <c r="S599" i="1"/>
  <c r="T599" i="1" s="1" a="1"/>
  <c r="T599" i="1" s="1"/>
  <c r="S600" i="1"/>
  <c r="T600" i="1" s="1" a="1"/>
  <c r="T600" i="1" s="1"/>
  <c r="S601" i="1"/>
  <c r="T601" i="1" s="1" a="1"/>
  <c r="T601" i="1" s="1"/>
  <c r="S602" i="1"/>
  <c r="T602" i="1" s="1" a="1"/>
  <c r="T602" i="1" s="1"/>
  <c r="S603" i="1"/>
  <c r="T603" i="1" s="1" a="1"/>
  <c r="T603" i="1" s="1"/>
  <c r="S604" i="1"/>
  <c r="T604" i="1" s="1" a="1"/>
  <c r="T604" i="1" s="1"/>
  <c r="S605" i="1"/>
  <c r="T605" i="1" s="1" a="1"/>
  <c r="T605" i="1" s="1"/>
  <c r="S606" i="1"/>
  <c r="T606" i="1" s="1" a="1"/>
  <c r="T606" i="1" s="1"/>
  <c r="S607" i="1"/>
  <c r="T607" i="1" s="1" a="1"/>
  <c r="T607" i="1" s="1"/>
  <c r="S608" i="1"/>
  <c r="T608" i="1" s="1" a="1"/>
  <c r="T608" i="1" s="1"/>
  <c r="S609" i="1"/>
  <c r="T609" i="1" s="1" a="1"/>
  <c r="T609" i="1" s="1"/>
  <c r="S610" i="1"/>
  <c r="T610" i="1" s="1" a="1"/>
  <c r="T610" i="1" s="1"/>
  <c r="S611" i="1"/>
  <c r="T611" i="1" s="1" a="1"/>
  <c r="T611" i="1" s="1"/>
  <c r="S612" i="1"/>
  <c r="T612" i="1" s="1" a="1"/>
  <c r="T612" i="1" s="1"/>
  <c r="S613" i="1"/>
  <c r="T613" i="1" s="1" a="1"/>
  <c r="T613" i="1" s="1"/>
  <c r="S614" i="1"/>
  <c r="T614" i="1" s="1" a="1"/>
  <c r="T614" i="1" s="1"/>
  <c r="S615" i="1"/>
  <c r="T615" i="1" s="1" a="1"/>
  <c r="T615" i="1" s="1"/>
  <c r="S616" i="1"/>
  <c r="T616" i="1" s="1" a="1"/>
  <c r="T616" i="1" s="1"/>
  <c r="S617" i="1"/>
  <c r="T617" i="1" s="1" a="1"/>
  <c r="T617" i="1" s="1"/>
  <c r="S618" i="1"/>
  <c r="T618" i="1" s="1" a="1"/>
  <c r="T618" i="1" s="1"/>
  <c r="S619" i="1"/>
  <c r="T619" i="1" s="1" a="1"/>
  <c r="T619" i="1" s="1"/>
  <c r="S620" i="1"/>
  <c r="T620" i="1" s="1" a="1"/>
  <c r="T620" i="1" s="1"/>
  <c r="S621" i="1"/>
  <c r="T621" i="1" s="1" a="1"/>
  <c r="T621" i="1" s="1"/>
  <c r="S622" i="1"/>
  <c r="T622" i="1" s="1" a="1"/>
  <c r="T622" i="1" s="1"/>
  <c r="S623" i="1"/>
  <c r="T623" i="1" s="1" a="1"/>
  <c r="T623" i="1" s="1"/>
  <c r="S624" i="1"/>
  <c r="T624" i="1" s="1" a="1"/>
  <c r="T624" i="1" s="1"/>
  <c r="S625" i="1"/>
  <c r="T625" i="1" s="1" a="1"/>
  <c r="T625" i="1" s="1"/>
  <c r="S626" i="1"/>
  <c r="T626" i="1" s="1" a="1"/>
  <c r="T626" i="1" s="1"/>
  <c r="S627" i="1"/>
  <c r="T627" i="1" s="1" a="1"/>
  <c r="T627" i="1" s="1"/>
  <c r="S628" i="1"/>
  <c r="T628" i="1" s="1" a="1"/>
  <c r="T628" i="1" s="1"/>
  <c r="S629" i="1"/>
  <c r="T629" i="1" s="1" a="1"/>
  <c r="T629" i="1" s="1"/>
  <c r="S630" i="1"/>
  <c r="T630" i="1" s="1" a="1"/>
  <c r="T630" i="1" s="1"/>
  <c r="S631" i="1"/>
  <c r="T631" i="1" s="1" a="1"/>
  <c r="T631" i="1" s="1"/>
  <c r="S632" i="1"/>
  <c r="T632" i="1" s="1" a="1"/>
  <c r="T632" i="1" s="1"/>
  <c r="S633" i="1"/>
  <c r="T633" i="1" s="1" a="1"/>
  <c r="T633" i="1" s="1"/>
  <c r="S634" i="1"/>
  <c r="T634" i="1" s="1" a="1"/>
  <c r="T634" i="1" s="1"/>
  <c r="S635" i="1"/>
  <c r="T635" i="1" s="1" a="1"/>
  <c r="T635" i="1" s="1"/>
  <c r="S636" i="1"/>
  <c r="T636" i="1" s="1" a="1"/>
  <c r="T636" i="1" s="1"/>
  <c r="S637" i="1"/>
  <c r="T637" i="1" s="1" a="1"/>
  <c r="T637" i="1" s="1"/>
  <c r="S638" i="1"/>
  <c r="T638" i="1" s="1" a="1"/>
  <c r="T638" i="1" s="1"/>
  <c r="S639" i="1"/>
  <c r="T639" i="1" s="1" a="1"/>
  <c r="T639" i="1" s="1"/>
  <c r="S640" i="1"/>
  <c r="T640" i="1" s="1" a="1"/>
  <c r="T640" i="1" s="1"/>
  <c r="S641" i="1"/>
  <c r="T641" i="1" s="1" a="1"/>
  <c r="T641" i="1" s="1"/>
  <c r="S642" i="1"/>
  <c r="T642" i="1" s="1" a="1"/>
  <c r="T642" i="1" s="1"/>
  <c r="S643" i="1"/>
  <c r="T643" i="1" s="1" a="1"/>
  <c r="T643" i="1" s="1"/>
  <c r="S644" i="1"/>
  <c r="T644" i="1" s="1" a="1"/>
  <c r="T644" i="1" s="1"/>
  <c r="S645" i="1"/>
  <c r="T645" i="1" s="1" a="1"/>
  <c r="T645" i="1" s="1"/>
  <c r="S646" i="1"/>
  <c r="T646" i="1" s="1" a="1"/>
  <c r="T646" i="1" s="1"/>
  <c r="S647" i="1"/>
  <c r="T647" i="1" s="1" a="1"/>
  <c r="T647" i="1" s="1"/>
  <c r="S648" i="1"/>
  <c r="T648" i="1" s="1" a="1"/>
  <c r="T648" i="1" s="1"/>
  <c r="S649" i="1"/>
  <c r="T649" i="1" s="1" a="1"/>
  <c r="T649" i="1" s="1"/>
  <c r="S650" i="1"/>
  <c r="T650" i="1" s="1" a="1"/>
  <c r="T650" i="1" s="1"/>
  <c r="S651" i="1"/>
  <c r="T651" i="1" s="1" a="1"/>
  <c r="T651" i="1" s="1"/>
  <c r="S652" i="1"/>
  <c r="T652" i="1" s="1" a="1"/>
  <c r="T652" i="1" s="1"/>
  <c r="S653" i="1"/>
  <c r="T653" i="1" s="1" a="1"/>
  <c r="T653" i="1" s="1"/>
  <c r="S654" i="1"/>
  <c r="T654" i="1" s="1" a="1"/>
  <c r="T654" i="1" s="1"/>
  <c r="S655" i="1"/>
  <c r="T655" i="1" s="1" a="1"/>
  <c r="T655" i="1" s="1"/>
  <c r="S656" i="1"/>
  <c r="T656" i="1" s="1" a="1"/>
  <c r="T656" i="1" s="1"/>
  <c r="S657" i="1"/>
  <c r="T657" i="1" s="1" a="1"/>
  <c r="T657" i="1" s="1"/>
  <c r="S658" i="1"/>
  <c r="T658" i="1" s="1" a="1"/>
  <c r="T658" i="1" s="1"/>
  <c r="S659" i="1"/>
  <c r="T659" i="1" s="1" a="1"/>
  <c r="T659" i="1" s="1"/>
  <c r="S660" i="1"/>
  <c r="T660" i="1" s="1" a="1"/>
  <c r="T660" i="1" s="1"/>
  <c r="S661" i="1"/>
  <c r="T661" i="1" s="1" a="1"/>
  <c r="T661" i="1" s="1"/>
  <c r="S662" i="1"/>
  <c r="T662" i="1" s="1" a="1"/>
  <c r="T662" i="1" s="1"/>
  <c r="S663" i="1"/>
  <c r="T663" i="1" s="1" a="1"/>
  <c r="T663" i="1" s="1"/>
  <c r="S664" i="1"/>
  <c r="T664" i="1" s="1" a="1"/>
  <c r="T664" i="1" s="1"/>
  <c r="S665" i="1"/>
  <c r="T665" i="1" s="1" a="1"/>
  <c r="T665" i="1" s="1"/>
  <c r="S666" i="1"/>
  <c r="T666" i="1" s="1" a="1"/>
  <c r="T666" i="1" s="1"/>
  <c r="S667" i="1"/>
  <c r="T667" i="1" s="1" a="1"/>
  <c r="T667" i="1" s="1"/>
  <c r="S668" i="1"/>
  <c r="T668" i="1" s="1" a="1"/>
  <c r="T668" i="1" s="1"/>
  <c r="S669" i="1"/>
  <c r="T669" i="1" s="1" a="1"/>
  <c r="T669" i="1" s="1"/>
  <c r="S670" i="1"/>
  <c r="T670" i="1" s="1" a="1"/>
  <c r="T670" i="1" s="1"/>
  <c r="S671" i="1"/>
  <c r="T671" i="1" s="1" a="1"/>
  <c r="T671" i="1" s="1"/>
  <c r="S672" i="1"/>
  <c r="T672" i="1" s="1" a="1"/>
  <c r="T672" i="1" s="1"/>
  <c r="S673" i="1"/>
  <c r="T673" i="1" s="1" a="1"/>
  <c r="T673" i="1" s="1"/>
  <c r="S674" i="1"/>
  <c r="T674" i="1" s="1" a="1"/>
  <c r="T674" i="1" s="1"/>
  <c r="S675" i="1"/>
  <c r="T675" i="1" s="1" a="1"/>
  <c r="T675" i="1" s="1"/>
  <c r="S676" i="1"/>
  <c r="T676" i="1" s="1" a="1"/>
  <c r="T676" i="1" s="1"/>
  <c r="S677" i="1"/>
  <c r="T677" i="1" s="1" a="1"/>
  <c r="T677" i="1" s="1"/>
  <c r="S678" i="1"/>
  <c r="T678" i="1" s="1" a="1"/>
  <c r="T678" i="1" s="1"/>
  <c r="S679" i="1"/>
  <c r="T679" i="1" s="1" a="1"/>
  <c r="T679" i="1" s="1"/>
  <c r="S680" i="1"/>
  <c r="T680" i="1" s="1" a="1"/>
  <c r="T680" i="1" s="1"/>
  <c r="S681" i="1"/>
  <c r="T681" i="1" s="1" a="1"/>
  <c r="T681" i="1" s="1"/>
  <c r="S682" i="1"/>
  <c r="T682" i="1" s="1" a="1"/>
  <c r="T682" i="1" s="1"/>
  <c r="S683" i="1"/>
  <c r="T683" i="1" s="1" a="1"/>
  <c r="T683" i="1" s="1"/>
  <c r="S684" i="1"/>
  <c r="T684" i="1" s="1" a="1"/>
  <c r="T684" i="1" s="1"/>
  <c r="S685" i="1"/>
  <c r="T685" i="1" s="1" a="1"/>
  <c r="T685" i="1" s="1"/>
  <c r="S686" i="1"/>
  <c r="T686" i="1" s="1" a="1"/>
  <c r="T686" i="1" s="1"/>
  <c r="S687" i="1"/>
  <c r="T687" i="1" s="1" a="1"/>
  <c r="T687" i="1" s="1"/>
  <c r="S688" i="1"/>
  <c r="T688" i="1" s="1" a="1"/>
  <c r="T688" i="1" s="1"/>
  <c r="S689" i="1"/>
  <c r="T689" i="1" s="1" a="1"/>
  <c r="T689" i="1" s="1"/>
  <c r="S690" i="1"/>
  <c r="T690" i="1" s="1" a="1"/>
  <c r="T690" i="1" s="1"/>
  <c r="S691" i="1"/>
  <c r="T691" i="1" s="1" a="1"/>
  <c r="T691" i="1" s="1"/>
  <c r="S692" i="1"/>
  <c r="T692" i="1" s="1" a="1"/>
  <c r="T692" i="1" s="1"/>
  <c r="S693" i="1"/>
  <c r="T693" i="1" s="1" a="1"/>
  <c r="T693" i="1" s="1"/>
  <c r="S694" i="1"/>
  <c r="T694" i="1" s="1" a="1"/>
  <c r="T694" i="1" s="1"/>
  <c r="S695" i="1"/>
  <c r="T695" i="1" s="1" a="1"/>
  <c r="T695" i="1" s="1"/>
  <c r="S696" i="1"/>
  <c r="T696" i="1" s="1" a="1"/>
  <c r="T696" i="1" s="1"/>
  <c r="S697" i="1"/>
  <c r="T697" i="1" s="1" a="1"/>
  <c r="T697" i="1" s="1"/>
  <c r="S698" i="1"/>
  <c r="T698" i="1" s="1" a="1"/>
  <c r="T698" i="1" s="1"/>
  <c r="S699" i="1"/>
  <c r="T699" i="1" s="1" a="1"/>
  <c r="T699" i="1" s="1"/>
  <c r="S700" i="1"/>
  <c r="T700" i="1" s="1" a="1"/>
  <c r="T700" i="1" s="1"/>
  <c r="S701" i="1"/>
  <c r="T701" i="1" s="1" a="1"/>
  <c r="T701" i="1" s="1"/>
  <c r="S702" i="1"/>
  <c r="T702" i="1" s="1" a="1"/>
  <c r="T702" i="1" s="1"/>
  <c r="S703" i="1"/>
  <c r="T703" i="1" s="1" a="1"/>
  <c r="T703" i="1" s="1"/>
  <c r="S704" i="1"/>
  <c r="T704" i="1" s="1" a="1"/>
  <c r="T704" i="1" s="1"/>
  <c r="S705" i="1"/>
  <c r="T705" i="1" s="1" a="1"/>
  <c r="T705" i="1" s="1"/>
  <c r="S706" i="1"/>
  <c r="T706" i="1" s="1" a="1"/>
  <c r="T706" i="1" s="1"/>
  <c r="S707" i="1"/>
  <c r="T707" i="1" s="1" a="1"/>
  <c r="T707" i="1" s="1"/>
  <c r="S708" i="1"/>
  <c r="T708" i="1" s="1" a="1"/>
  <c r="T708" i="1" s="1"/>
  <c r="S709" i="1"/>
  <c r="T709" i="1" s="1" a="1"/>
  <c r="T709" i="1" s="1"/>
  <c r="S710" i="1"/>
  <c r="T710" i="1" s="1" a="1"/>
  <c r="T710" i="1" s="1"/>
  <c r="S711" i="1"/>
  <c r="T711" i="1" s="1" a="1"/>
  <c r="T711" i="1" s="1"/>
  <c r="S712" i="1"/>
  <c r="T712" i="1" s="1" a="1"/>
  <c r="T712" i="1" s="1"/>
  <c r="S713" i="1"/>
  <c r="T713" i="1" s="1" a="1"/>
  <c r="T713" i="1" s="1"/>
  <c r="S714" i="1"/>
  <c r="T714" i="1" s="1" a="1"/>
  <c r="T714" i="1" s="1"/>
  <c r="S715" i="1"/>
  <c r="T715" i="1" s="1" a="1"/>
  <c r="T715" i="1" s="1"/>
  <c r="S716" i="1"/>
  <c r="T716" i="1" s="1" a="1"/>
  <c r="T716" i="1" s="1"/>
  <c r="S717" i="1"/>
  <c r="T717" i="1" s="1" a="1"/>
  <c r="T717" i="1" s="1"/>
  <c r="S718" i="1"/>
  <c r="T718" i="1" s="1" a="1"/>
  <c r="T718" i="1" s="1"/>
  <c r="S719" i="1"/>
  <c r="T719" i="1" s="1" a="1"/>
  <c r="T719" i="1" s="1"/>
  <c r="S720" i="1"/>
  <c r="T720" i="1" s="1" a="1"/>
  <c r="T720" i="1" s="1"/>
  <c r="S721" i="1"/>
  <c r="T721" i="1" s="1" a="1"/>
  <c r="T721" i="1" s="1"/>
  <c r="S722" i="1"/>
  <c r="T722" i="1" s="1" a="1"/>
  <c r="T722" i="1" s="1"/>
  <c r="S723" i="1"/>
  <c r="T723" i="1" s="1" a="1"/>
  <c r="T723" i="1" s="1"/>
  <c r="S724" i="1"/>
  <c r="T724" i="1" s="1" a="1"/>
  <c r="T724" i="1" s="1"/>
  <c r="S725" i="1"/>
  <c r="T725" i="1" s="1" a="1"/>
  <c r="T725" i="1" s="1"/>
  <c r="S726" i="1"/>
  <c r="T726" i="1" s="1" a="1"/>
  <c r="T726" i="1" s="1"/>
  <c r="S727" i="1"/>
  <c r="T727" i="1" s="1" a="1"/>
  <c r="T727" i="1" s="1"/>
  <c r="S728" i="1"/>
  <c r="T728" i="1" s="1" a="1"/>
  <c r="T728" i="1" s="1"/>
  <c r="S729" i="1"/>
  <c r="T729" i="1" s="1" a="1"/>
  <c r="T729" i="1" s="1"/>
  <c r="S730" i="1"/>
  <c r="T730" i="1" s="1" a="1"/>
  <c r="T730" i="1" s="1"/>
  <c r="S731" i="1"/>
  <c r="T731" i="1" s="1" a="1"/>
  <c r="T731" i="1" s="1"/>
  <c r="S732" i="1"/>
  <c r="T732" i="1" s="1" a="1"/>
  <c r="T732" i="1" s="1"/>
  <c r="S733" i="1"/>
  <c r="T733" i="1" s="1" a="1"/>
  <c r="T733" i="1" s="1"/>
  <c r="S734" i="1"/>
  <c r="T734" i="1" s="1" a="1"/>
  <c r="T734" i="1" s="1"/>
  <c r="S735" i="1"/>
  <c r="T735" i="1" s="1" a="1"/>
  <c r="T735" i="1" s="1"/>
  <c r="S736" i="1"/>
  <c r="T736" i="1" s="1" a="1"/>
  <c r="T736" i="1" s="1"/>
  <c r="S737" i="1"/>
  <c r="T737" i="1" s="1" a="1"/>
  <c r="T737" i="1" s="1"/>
  <c r="S738" i="1"/>
  <c r="T738" i="1" s="1" a="1"/>
  <c r="T738" i="1" s="1"/>
  <c r="S739" i="1"/>
  <c r="T739" i="1" s="1" a="1"/>
  <c r="T739" i="1" s="1"/>
  <c r="S740" i="1"/>
  <c r="T740" i="1" s="1" a="1"/>
  <c r="T740" i="1" s="1"/>
  <c r="S741" i="1"/>
  <c r="T741" i="1" s="1" a="1"/>
  <c r="T741" i="1" s="1"/>
  <c r="S742" i="1"/>
  <c r="T742" i="1" s="1" a="1"/>
  <c r="T742" i="1" s="1"/>
  <c r="S743" i="1"/>
  <c r="T743" i="1" s="1" a="1"/>
  <c r="T743" i="1" s="1"/>
  <c r="S744" i="1"/>
  <c r="T744" i="1" s="1" a="1"/>
  <c r="T744" i="1" s="1"/>
  <c r="S745" i="1"/>
  <c r="T745" i="1" s="1" a="1"/>
  <c r="T745" i="1" s="1"/>
  <c r="S746" i="1"/>
  <c r="T746" i="1" s="1" a="1"/>
  <c r="T746" i="1" s="1"/>
  <c r="S747" i="1"/>
  <c r="T747" i="1" s="1" a="1"/>
  <c r="T747" i="1" s="1"/>
  <c r="S748" i="1"/>
  <c r="T748" i="1" s="1" a="1"/>
  <c r="T748" i="1" s="1"/>
  <c r="S749" i="1"/>
  <c r="T749" i="1" s="1" a="1"/>
  <c r="T749" i="1" s="1"/>
  <c r="S750" i="1"/>
  <c r="T750" i="1" s="1" a="1"/>
  <c r="T750" i="1" s="1"/>
  <c r="S751" i="1"/>
  <c r="T751" i="1" s="1" a="1"/>
  <c r="T751" i="1" s="1"/>
  <c r="S752" i="1"/>
  <c r="T752" i="1" s="1" a="1"/>
  <c r="T752" i="1" s="1"/>
  <c r="S753" i="1"/>
  <c r="T753" i="1" s="1" a="1"/>
  <c r="T753" i="1" s="1"/>
  <c r="S754" i="1"/>
  <c r="T754" i="1" s="1" a="1"/>
  <c r="T754" i="1" s="1"/>
  <c r="S755" i="1"/>
  <c r="T755" i="1" s="1" a="1"/>
  <c r="T755" i="1" s="1"/>
  <c r="S756" i="1"/>
  <c r="T756" i="1" s="1" a="1"/>
  <c r="T756" i="1" s="1"/>
  <c r="S757" i="1"/>
  <c r="T757" i="1" s="1" a="1"/>
  <c r="T757" i="1" s="1"/>
  <c r="S758" i="1"/>
  <c r="T758" i="1" s="1" a="1"/>
  <c r="T758" i="1" s="1"/>
  <c r="S759" i="1"/>
  <c r="T759" i="1" s="1" a="1"/>
  <c r="T759" i="1" s="1"/>
  <c r="S760" i="1"/>
  <c r="T760" i="1" s="1" a="1"/>
  <c r="T760" i="1" s="1"/>
  <c r="S761" i="1"/>
  <c r="T761" i="1" s="1" a="1"/>
  <c r="T761" i="1" s="1"/>
  <c r="S762" i="1"/>
  <c r="T762" i="1" s="1" a="1"/>
  <c r="T762" i="1" s="1"/>
  <c r="S763" i="1"/>
  <c r="T763" i="1" s="1" a="1"/>
  <c r="T763" i="1" s="1"/>
  <c r="S764" i="1"/>
  <c r="T764" i="1" s="1" a="1"/>
  <c r="T764" i="1" s="1"/>
  <c r="S765" i="1"/>
  <c r="T765" i="1" s="1" a="1"/>
  <c r="T765" i="1" s="1"/>
  <c r="S766" i="1"/>
  <c r="T766" i="1" s="1" a="1"/>
  <c r="T766" i="1" s="1"/>
  <c r="S767" i="1"/>
  <c r="T767" i="1" s="1" a="1"/>
  <c r="T767" i="1" s="1"/>
  <c r="S768" i="1"/>
  <c r="T768" i="1" s="1" a="1"/>
  <c r="T768" i="1" s="1"/>
  <c r="S769" i="1"/>
  <c r="T769" i="1" s="1" a="1"/>
  <c r="T769" i="1" s="1"/>
  <c r="S770" i="1"/>
  <c r="T770" i="1" s="1" a="1"/>
  <c r="T770" i="1" s="1"/>
  <c r="S771" i="1"/>
  <c r="T771" i="1" s="1" a="1"/>
  <c r="T771" i="1" s="1"/>
  <c r="S772" i="1"/>
  <c r="T772" i="1" s="1" a="1"/>
  <c r="T772" i="1" s="1"/>
  <c r="S773" i="1"/>
  <c r="T773" i="1" s="1" a="1"/>
  <c r="T773" i="1" s="1"/>
  <c r="S774" i="1"/>
  <c r="T774" i="1" s="1" a="1"/>
  <c r="T774" i="1" s="1"/>
  <c r="S775" i="1"/>
  <c r="T775" i="1" s="1" a="1"/>
  <c r="T775" i="1" s="1"/>
  <c r="S776" i="1"/>
  <c r="T776" i="1" s="1" a="1"/>
  <c r="T776" i="1" s="1"/>
  <c r="S777" i="1"/>
  <c r="T777" i="1" s="1" a="1"/>
  <c r="T777" i="1" s="1"/>
  <c r="S778" i="1"/>
  <c r="T778" i="1" s="1" a="1"/>
  <c r="T778" i="1" s="1"/>
  <c r="S779" i="1"/>
  <c r="T779" i="1" s="1" a="1"/>
  <c r="T779" i="1" s="1"/>
  <c r="S780" i="1"/>
  <c r="T780" i="1" s="1" a="1"/>
  <c r="T780" i="1" s="1"/>
  <c r="S781" i="1"/>
  <c r="T781" i="1" s="1" a="1"/>
  <c r="T781" i="1" s="1"/>
  <c r="S782" i="1"/>
  <c r="T782" i="1" s="1" a="1"/>
  <c r="T782" i="1" s="1"/>
  <c r="S783" i="1"/>
  <c r="T783" i="1" s="1" a="1"/>
  <c r="T783" i="1" s="1"/>
  <c r="S784" i="1"/>
  <c r="T784" i="1" s="1" a="1"/>
  <c r="T784" i="1" s="1"/>
  <c r="S785" i="1"/>
  <c r="T785" i="1" s="1" a="1"/>
  <c r="T785" i="1" s="1"/>
  <c r="S786" i="1"/>
  <c r="T786" i="1" s="1" a="1"/>
  <c r="T786" i="1" s="1"/>
  <c r="S787" i="1"/>
  <c r="T787" i="1" s="1" a="1"/>
  <c r="T787" i="1" s="1"/>
  <c r="S788" i="1"/>
  <c r="T788" i="1" s="1" a="1"/>
  <c r="T788" i="1" s="1"/>
  <c r="S789" i="1"/>
  <c r="T789" i="1" s="1" a="1"/>
  <c r="T789" i="1" s="1"/>
  <c r="S790" i="1"/>
  <c r="T790" i="1" s="1" a="1"/>
  <c r="T790" i="1" s="1"/>
  <c r="S791" i="1"/>
  <c r="T791" i="1" s="1" a="1"/>
  <c r="T791" i="1" s="1"/>
  <c r="S792" i="1"/>
  <c r="T792" i="1" s="1" a="1"/>
  <c r="T792" i="1" s="1"/>
  <c r="S793" i="1"/>
  <c r="T793" i="1" s="1" a="1"/>
  <c r="T793" i="1" s="1"/>
  <c r="S794" i="1"/>
  <c r="T794" i="1" s="1" a="1"/>
  <c r="T794" i="1" s="1"/>
  <c r="S795" i="1"/>
  <c r="T795" i="1" s="1" a="1"/>
  <c r="T795" i="1" s="1"/>
  <c r="S796" i="1"/>
  <c r="T796" i="1" s="1" a="1"/>
  <c r="T796" i="1" s="1"/>
  <c r="S797" i="1"/>
  <c r="T797" i="1" s="1" a="1"/>
  <c r="T797" i="1" s="1"/>
  <c r="S798" i="1"/>
  <c r="T798" i="1" s="1" a="1"/>
  <c r="T798" i="1" s="1"/>
  <c r="S799" i="1"/>
  <c r="T799" i="1" s="1" a="1"/>
  <c r="T799" i="1" s="1"/>
  <c r="S800" i="1"/>
  <c r="T800" i="1" s="1" a="1"/>
  <c r="T800" i="1" s="1"/>
  <c r="S801" i="1"/>
  <c r="T801" i="1" s="1" a="1"/>
  <c r="T801" i="1" s="1"/>
  <c r="S802" i="1"/>
  <c r="T802" i="1" s="1" a="1"/>
  <c r="T802" i="1" s="1"/>
  <c r="S803" i="1"/>
  <c r="T803" i="1" s="1" a="1"/>
  <c r="T803" i="1" s="1"/>
  <c r="S804" i="1"/>
  <c r="T804" i="1" s="1" a="1"/>
  <c r="T804" i="1" s="1"/>
  <c r="S805" i="1"/>
  <c r="T805" i="1" s="1" a="1"/>
  <c r="T805" i="1" s="1"/>
  <c r="S806" i="1"/>
  <c r="T806" i="1" s="1" a="1"/>
  <c r="T806" i="1" s="1"/>
  <c r="S807" i="1"/>
  <c r="T807" i="1" s="1" a="1"/>
  <c r="T807" i="1" s="1"/>
  <c r="S808" i="1"/>
  <c r="T808" i="1" s="1" a="1"/>
  <c r="T808" i="1" s="1"/>
  <c r="S809" i="1"/>
  <c r="T809" i="1" s="1" a="1"/>
  <c r="T809" i="1" s="1"/>
  <c r="S810" i="1"/>
  <c r="T810" i="1" s="1" a="1"/>
  <c r="T810" i="1" s="1"/>
  <c r="S811" i="1"/>
  <c r="T811" i="1" s="1" a="1"/>
  <c r="T811" i="1" s="1"/>
  <c r="S812" i="1"/>
  <c r="T812" i="1" s="1" a="1"/>
  <c r="T812" i="1" s="1"/>
  <c r="S813" i="1"/>
  <c r="T813" i="1" s="1" a="1"/>
  <c r="T813" i="1" s="1"/>
  <c r="S814" i="1"/>
  <c r="T814" i="1" s="1" a="1"/>
  <c r="T814" i="1" s="1"/>
  <c r="S815" i="1"/>
  <c r="T815" i="1" s="1" a="1"/>
  <c r="T815" i="1" s="1"/>
  <c r="S816" i="1"/>
  <c r="T816" i="1" s="1" a="1"/>
  <c r="T816" i="1" s="1"/>
  <c r="S817" i="1"/>
  <c r="T817" i="1" s="1" a="1"/>
  <c r="T817" i="1" s="1"/>
  <c r="S818" i="1"/>
  <c r="T818" i="1" s="1" a="1"/>
  <c r="T818" i="1" s="1"/>
  <c r="S819" i="1"/>
  <c r="T819" i="1" s="1" a="1"/>
  <c r="T819" i="1" s="1"/>
  <c r="S820" i="1"/>
  <c r="T820" i="1" s="1" a="1"/>
  <c r="T820" i="1" s="1"/>
  <c r="S821" i="1"/>
  <c r="T821" i="1" s="1" a="1"/>
  <c r="T821" i="1" s="1"/>
  <c r="S822" i="1"/>
  <c r="T822" i="1" s="1" a="1"/>
  <c r="T822" i="1" s="1"/>
  <c r="S823" i="1"/>
  <c r="T823" i="1" s="1" a="1"/>
  <c r="T823" i="1" s="1"/>
  <c r="S824" i="1"/>
  <c r="T824" i="1" s="1" a="1"/>
  <c r="T824" i="1" s="1"/>
  <c r="S825" i="1"/>
  <c r="T825" i="1" s="1" a="1"/>
  <c r="T825" i="1" s="1"/>
  <c r="S826" i="1"/>
  <c r="T826" i="1" s="1" a="1"/>
  <c r="T826" i="1" s="1"/>
  <c r="S827" i="1"/>
  <c r="T827" i="1" s="1" a="1"/>
  <c r="T827" i="1" s="1"/>
  <c r="S828" i="1"/>
  <c r="T828" i="1" s="1" a="1"/>
  <c r="T828" i="1" s="1"/>
  <c r="S829" i="1"/>
  <c r="T829" i="1" s="1" a="1"/>
  <c r="T829" i="1" s="1"/>
  <c r="S830" i="1"/>
  <c r="T830" i="1" s="1" a="1"/>
  <c r="T830" i="1" s="1"/>
  <c r="S831" i="1"/>
  <c r="T831" i="1" s="1" a="1"/>
  <c r="T831" i="1" s="1"/>
  <c r="S832" i="1"/>
  <c r="T832" i="1" s="1" a="1"/>
  <c r="T832" i="1" s="1"/>
  <c r="S833" i="1"/>
  <c r="T833" i="1" s="1" a="1"/>
  <c r="T833" i="1" s="1"/>
  <c r="S834" i="1"/>
  <c r="T834" i="1" s="1" a="1"/>
  <c r="T834" i="1" s="1"/>
  <c r="S835" i="1"/>
  <c r="T835" i="1" s="1" a="1"/>
  <c r="T835" i="1" s="1"/>
  <c r="S836" i="1"/>
  <c r="T836" i="1" s="1" a="1"/>
  <c r="T836" i="1" s="1"/>
  <c r="S837" i="1"/>
  <c r="T837" i="1" s="1" a="1"/>
  <c r="T837" i="1" s="1"/>
  <c r="S838" i="1"/>
  <c r="T838" i="1" s="1" a="1"/>
  <c r="T838" i="1" s="1"/>
  <c r="S839" i="1"/>
  <c r="T839" i="1" s="1" a="1"/>
  <c r="T839" i="1" s="1"/>
  <c r="S840" i="1"/>
  <c r="T840" i="1" s="1" a="1"/>
  <c r="T840" i="1" s="1"/>
  <c r="S841" i="1"/>
  <c r="T841" i="1" s="1" a="1"/>
  <c r="T841" i="1" s="1"/>
  <c r="S842" i="1"/>
  <c r="T842" i="1" s="1" a="1"/>
  <c r="T842" i="1" s="1"/>
  <c r="S843" i="1"/>
  <c r="T843" i="1" s="1" a="1"/>
  <c r="T843" i="1" s="1"/>
  <c r="S844" i="1"/>
  <c r="T844" i="1" s="1" a="1"/>
  <c r="T844" i="1" s="1"/>
  <c r="S845" i="1"/>
  <c r="T845" i="1" s="1" a="1"/>
  <c r="T845" i="1" s="1"/>
  <c r="S846" i="1"/>
  <c r="T846" i="1" s="1" a="1"/>
  <c r="T846" i="1" s="1"/>
  <c r="S847" i="1"/>
  <c r="T847" i="1" s="1" a="1"/>
  <c r="T847" i="1" s="1"/>
  <c r="S848" i="1"/>
  <c r="T848" i="1" s="1" a="1"/>
  <c r="T848" i="1" s="1"/>
  <c r="S849" i="1"/>
  <c r="T849" i="1" s="1" a="1"/>
  <c r="T849" i="1" s="1"/>
  <c r="S850" i="1"/>
  <c r="T850" i="1" s="1" a="1"/>
  <c r="T850" i="1" s="1"/>
  <c r="S851" i="1"/>
  <c r="T851" i="1" s="1" a="1"/>
  <c r="T851" i="1" s="1"/>
  <c r="S852" i="1"/>
  <c r="T852" i="1" s="1" a="1"/>
  <c r="T852" i="1" s="1"/>
  <c r="S853" i="1"/>
  <c r="T853" i="1" s="1" a="1"/>
  <c r="T853" i="1" s="1"/>
  <c r="S854" i="1"/>
  <c r="T854" i="1" s="1" a="1"/>
  <c r="T854" i="1" s="1"/>
  <c r="S855" i="1"/>
  <c r="T855" i="1" s="1" a="1"/>
  <c r="T855" i="1" s="1"/>
  <c r="S856" i="1"/>
  <c r="T856" i="1" s="1" a="1"/>
  <c r="T856" i="1" s="1"/>
  <c r="S857" i="1"/>
  <c r="T857" i="1" s="1" a="1"/>
  <c r="T857" i="1" s="1"/>
  <c r="S858" i="1"/>
  <c r="T858" i="1" s="1" a="1"/>
  <c r="T858" i="1" s="1"/>
  <c r="S859" i="1"/>
  <c r="T859" i="1" s="1" a="1"/>
  <c r="T859" i="1" s="1"/>
  <c r="S860" i="1"/>
  <c r="T860" i="1" s="1" a="1"/>
  <c r="T860" i="1" s="1"/>
  <c r="S861" i="1"/>
  <c r="T861" i="1" s="1" a="1"/>
  <c r="T861" i="1" s="1"/>
  <c r="S862" i="1"/>
  <c r="T862" i="1" s="1" a="1"/>
  <c r="T862" i="1" s="1"/>
  <c r="S863" i="1"/>
  <c r="T863" i="1" s="1" a="1"/>
  <c r="T863" i="1" s="1"/>
  <c r="S864" i="1"/>
  <c r="T864" i="1" s="1" a="1"/>
  <c r="T864" i="1" s="1"/>
  <c r="S865" i="1"/>
  <c r="T865" i="1" s="1" a="1"/>
  <c r="T865" i="1" s="1"/>
  <c r="S866" i="1"/>
  <c r="T866" i="1" s="1" a="1"/>
  <c r="T866" i="1" s="1"/>
  <c r="S867" i="1"/>
  <c r="T867" i="1" s="1" a="1"/>
  <c r="T867" i="1" s="1"/>
  <c r="S868" i="1"/>
  <c r="T868" i="1" s="1" a="1"/>
  <c r="T868" i="1" s="1"/>
  <c r="S869" i="1"/>
  <c r="T869" i="1" s="1" a="1"/>
  <c r="T869" i="1" s="1"/>
  <c r="S870" i="1"/>
  <c r="T870" i="1" s="1" a="1"/>
  <c r="T870" i="1" s="1"/>
  <c r="S871" i="1"/>
  <c r="T871" i="1" s="1" a="1"/>
  <c r="T871" i="1" s="1"/>
  <c r="S872" i="1"/>
  <c r="T872" i="1" s="1" a="1"/>
  <c r="T872" i="1" s="1"/>
  <c r="S873" i="1"/>
  <c r="T873" i="1" s="1" a="1"/>
  <c r="T873" i="1" s="1"/>
  <c r="S874" i="1"/>
  <c r="T874" i="1" s="1" a="1"/>
  <c r="T874" i="1" s="1"/>
  <c r="S875" i="1"/>
  <c r="T875" i="1" s="1" a="1"/>
  <c r="T875" i="1" s="1"/>
  <c r="S876" i="1"/>
  <c r="T876" i="1" s="1" a="1"/>
  <c r="T876" i="1" s="1"/>
  <c r="S877" i="1"/>
  <c r="T877" i="1" s="1" a="1"/>
  <c r="T877" i="1" s="1"/>
  <c r="S878" i="1"/>
  <c r="T878" i="1" s="1" a="1"/>
  <c r="T878" i="1" s="1"/>
  <c r="S879" i="1"/>
  <c r="T879" i="1" s="1" a="1"/>
  <c r="T879" i="1" s="1"/>
  <c r="S880" i="1"/>
  <c r="T880" i="1" s="1" a="1"/>
  <c r="T880" i="1" s="1"/>
  <c r="S881" i="1"/>
  <c r="T881" i="1" s="1" a="1"/>
  <c r="T881" i="1" s="1"/>
  <c r="S882" i="1"/>
  <c r="T882" i="1" s="1" a="1"/>
  <c r="T882" i="1" s="1"/>
  <c r="S883" i="1"/>
  <c r="T883" i="1" s="1" a="1"/>
  <c r="T883" i="1" s="1"/>
  <c r="S884" i="1"/>
  <c r="T884" i="1" s="1" a="1"/>
  <c r="T884" i="1" s="1"/>
  <c r="S885" i="1"/>
  <c r="T885" i="1" s="1" a="1"/>
  <c r="T885" i="1" s="1"/>
  <c r="S886" i="1"/>
  <c r="T886" i="1" s="1" a="1"/>
  <c r="T886" i="1" s="1"/>
  <c r="S887" i="1"/>
  <c r="T887" i="1" s="1" a="1"/>
  <c r="T887" i="1" s="1"/>
  <c r="S888" i="1"/>
  <c r="T888" i="1" s="1" a="1"/>
  <c r="T888" i="1" s="1"/>
  <c r="S889" i="1"/>
  <c r="T889" i="1" s="1" a="1"/>
  <c r="T889" i="1" s="1"/>
  <c r="S890" i="1"/>
  <c r="T890" i="1" s="1" a="1"/>
  <c r="T890" i="1" s="1"/>
  <c r="S891" i="1"/>
  <c r="T891" i="1" s="1" a="1"/>
  <c r="T891" i="1" s="1"/>
  <c r="S892" i="1"/>
  <c r="T892" i="1" s="1" a="1"/>
  <c r="T892" i="1" s="1"/>
  <c r="S893" i="1"/>
  <c r="T893" i="1" s="1" a="1"/>
  <c r="T893" i="1" s="1"/>
  <c r="S894" i="1"/>
  <c r="T894" i="1" s="1" a="1"/>
  <c r="T894" i="1" s="1"/>
  <c r="S895" i="1"/>
  <c r="T895" i="1" s="1" a="1"/>
  <c r="T895" i="1" s="1"/>
  <c r="S896" i="1"/>
  <c r="T896" i="1" s="1" a="1"/>
  <c r="T896" i="1" s="1"/>
  <c r="S897" i="1"/>
  <c r="T897" i="1" s="1" a="1"/>
  <c r="T897" i="1" s="1"/>
  <c r="S898" i="1"/>
  <c r="T898" i="1" s="1" a="1"/>
  <c r="T898" i="1" s="1"/>
  <c r="S899" i="1"/>
  <c r="T899" i="1" s="1" a="1"/>
  <c r="T899" i="1" s="1"/>
  <c r="S900" i="1"/>
  <c r="T900" i="1" s="1" a="1"/>
  <c r="T900" i="1" s="1"/>
  <c r="S901" i="1"/>
  <c r="T901" i="1" s="1" a="1"/>
  <c r="T901" i="1" s="1"/>
  <c r="S902" i="1"/>
  <c r="T902" i="1" s="1" a="1"/>
  <c r="T902" i="1" s="1"/>
  <c r="S903" i="1"/>
  <c r="T903" i="1" s="1" a="1"/>
  <c r="T903" i="1" s="1"/>
  <c r="S904" i="1"/>
  <c r="T904" i="1" s="1" a="1"/>
  <c r="T904" i="1" s="1"/>
  <c r="S905" i="1"/>
  <c r="T905" i="1" s="1" a="1"/>
  <c r="T905" i="1" s="1"/>
  <c r="S906" i="1"/>
  <c r="T906" i="1" s="1" a="1"/>
  <c r="T906" i="1" s="1"/>
  <c r="S907" i="1"/>
  <c r="T907" i="1" s="1" a="1"/>
  <c r="T907" i="1" s="1"/>
  <c r="S908" i="1"/>
  <c r="T908" i="1" s="1" a="1"/>
  <c r="T908" i="1" s="1"/>
  <c r="S909" i="1"/>
  <c r="T909" i="1" s="1" a="1"/>
  <c r="T909" i="1" s="1"/>
  <c r="S910" i="1"/>
  <c r="T910" i="1" s="1" a="1"/>
  <c r="T910" i="1" s="1"/>
  <c r="S911" i="1"/>
  <c r="T911" i="1" s="1" a="1"/>
  <c r="T911" i="1" s="1"/>
  <c r="S912" i="1"/>
  <c r="T912" i="1" s="1" a="1"/>
  <c r="T912" i="1" s="1"/>
  <c r="S913" i="1"/>
  <c r="T913" i="1" s="1" a="1"/>
  <c r="T913" i="1" s="1"/>
  <c r="S914" i="1"/>
  <c r="T914" i="1" s="1" a="1"/>
  <c r="T914" i="1" s="1"/>
  <c r="S915" i="1"/>
  <c r="T915" i="1" s="1" a="1"/>
  <c r="T915" i="1" s="1"/>
  <c r="S916" i="1"/>
  <c r="T916" i="1" s="1" a="1"/>
  <c r="T916" i="1" s="1"/>
  <c r="S917" i="1"/>
  <c r="T917" i="1" s="1" a="1"/>
  <c r="T917" i="1" s="1"/>
  <c r="S918" i="1"/>
  <c r="T918" i="1" s="1" a="1"/>
  <c r="T918" i="1" s="1"/>
  <c r="S919" i="1"/>
  <c r="T919" i="1" s="1" a="1"/>
  <c r="T919" i="1" s="1"/>
  <c r="S920" i="1"/>
  <c r="T920" i="1" s="1" a="1"/>
  <c r="T920" i="1" s="1"/>
  <c r="S921" i="1"/>
  <c r="T921" i="1" s="1" a="1"/>
  <c r="T921" i="1" s="1"/>
  <c r="S922" i="1"/>
  <c r="T922" i="1" s="1" a="1"/>
  <c r="T922" i="1" s="1"/>
  <c r="S923" i="1"/>
  <c r="T923" i="1" s="1" a="1"/>
  <c r="T923" i="1" s="1"/>
  <c r="S924" i="1"/>
  <c r="T924" i="1" s="1" a="1"/>
  <c r="T924" i="1" s="1"/>
  <c r="S925" i="1"/>
  <c r="T925" i="1" s="1" a="1"/>
  <c r="T925" i="1" s="1"/>
  <c r="S926" i="1"/>
  <c r="T926" i="1" s="1" a="1"/>
  <c r="T926" i="1" s="1"/>
  <c r="S927" i="1"/>
  <c r="T927" i="1" s="1" a="1"/>
  <c r="T927" i="1" s="1"/>
  <c r="S928" i="1"/>
  <c r="T928" i="1" s="1" a="1"/>
  <c r="T928" i="1" s="1"/>
  <c r="S929" i="1"/>
  <c r="T929" i="1" s="1" a="1"/>
  <c r="T929" i="1" s="1"/>
  <c r="S930" i="1"/>
  <c r="T930" i="1" s="1" a="1"/>
  <c r="T930" i="1" s="1"/>
  <c r="S931" i="1"/>
  <c r="T931" i="1" s="1" a="1"/>
  <c r="T931" i="1" s="1"/>
  <c r="S932" i="1"/>
  <c r="T932" i="1" s="1" a="1"/>
  <c r="T932" i="1" s="1"/>
  <c r="S933" i="1"/>
  <c r="T933" i="1" s="1" a="1"/>
  <c r="T933" i="1" s="1"/>
  <c r="S934" i="1"/>
  <c r="T934" i="1" s="1" a="1"/>
  <c r="T934" i="1" s="1"/>
  <c r="S935" i="1"/>
  <c r="T935" i="1" s="1" a="1"/>
  <c r="T935" i="1" s="1"/>
  <c r="S936" i="1"/>
  <c r="T936" i="1" s="1" a="1"/>
  <c r="T936" i="1" s="1"/>
  <c r="S937" i="1"/>
  <c r="T937" i="1" s="1" a="1"/>
  <c r="T937" i="1" s="1"/>
  <c r="S938" i="1"/>
  <c r="T938" i="1" s="1" a="1"/>
  <c r="T938" i="1" s="1"/>
  <c r="S939" i="1"/>
  <c r="T939" i="1" s="1" a="1"/>
  <c r="T939" i="1" s="1"/>
  <c r="S940" i="1"/>
  <c r="T940" i="1" s="1" a="1"/>
  <c r="T940" i="1" s="1"/>
  <c r="S941" i="1"/>
  <c r="T941" i="1" s="1" a="1"/>
  <c r="T941" i="1" s="1"/>
  <c r="S942" i="1"/>
  <c r="T942" i="1" s="1" a="1"/>
  <c r="T942" i="1" s="1"/>
  <c r="S943" i="1"/>
  <c r="T943" i="1" s="1" a="1"/>
  <c r="T943" i="1" s="1"/>
  <c r="S944" i="1"/>
  <c r="T944" i="1" s="1" a="1"/>
  <c r="T944" i="1" s="1"/>
  <c r="S945" i="1"/>
  <c r="T945" i="1" s="1" a="1"/>
  <c r="T945" i="1" s="1"/>
  <c r="S946" i="1"/>
  <c r="T946" i="1" s="1" a="1"/>
  <c r="T946" i="1" s="1"/>
  <c r="S947" i="1"/>
  <c r="T947" i="1" s="1" a="1"/>
  <c r="T947" i="1" s="1"/>
  <c r="S948" i="1"/>
  <c r="T948" i="1" s="1" a="1"/>
  <c r="T948" i="1" s="1"/>
  <c r="S949" i="1"/>
  <c r="T949" i="1" s="1" a="1"/>
  <c r="T949" i="1" s="1"/>
  <c r="S950" i="1"/>
  <c r="T950" i="1" s="1" a="1"/>
  <c r="T950" i="1" s="1"/>
  <c r="S951" i="1"/>
  <c r="T951" i="1" s="1" a="1"/>
  <c r="T951" i="1" s="1"/>
  <c r="S952" i="1"/>
  <c r="T952" i="1" s="1" a="1"/>
  <c r="T952" i="1" s="1"/>
  <c r="S953" i="1"/>
  <c r="T953" i="1" s="1" a="1"/>
  <c r="T953" i="1" s="1"/>
  <c r="S954" i="1"/>
  <c r="T954" i="1" s="1" a="1"/>
  <c r="T954" i="1" s="1"/>
  <c r="S955" i="1"/>
  <c r="T955" i="1" s="1" a="1"/>
  <c r="T955" i="1" s="1"/>
  <c r="S956" i="1"/>
  <c r="T956" i="1" s="1" a="1"/>
  <c r="T956" i="1" s="1"/>
  <c r="S957" i="1"/>
  <c r="T957" i="1" s="1" a="1"/>
  <c r="T957" i="1" s="1"/>
  <c r="S958" i="1"/>
  <c r="T958" i="1" s="1" a="1"/>
  <c r="T958" i="1" s="1"/>
  <c r="S959" i="1"/>
  <c r="T959" i="1" s="1" a="1"/>
  <c r="T959" i="1" s="1"/>
  <c r="S960" i="1"/>
  <c r="T960" i="1" s="1" a="1"/>
  <c r="T960" i="1" s="1"/>
  <c r="S961" i="1"/>
  <c r="T961" i="1" s="1" a="1"/>
  <c r="T961" i="1" s="1"/>
  <c r="S962" i="1"/>
  <c r="T962" i="1" s="1" a="1"/>
  <c r="T962" i="1" s="1"/>
  <c r="S963" i="1"/>
  <c r="T963" i="1" s="1" a="1"/>
  <c r="T963" i="1" s="1"/>
  <c r="S964" i="1"/>
  <c r="T964" i="1" s="1" a="1"/>
  <c r="T964" i="1" s="1"/>
  <c r="S965" i="1"/>
  <c r="T965" i="1" s="1" a="1"/>
  <c r="T965" i="1" s="1"/>
  <c r="S966" i="1"/>
  <c r="T966" i="1" s="1" a="1"/>
  <c r="T966" i="1" s="1"/>
  <c r="S967" i="1"/>
  <c r="T967" i="1" s="1" a="1"/>
  <c r="T967" i="1" s="1"/>
  <c r="S968" i="1"/>
  <c r="T968" i="1" s="1" a="1"/>
  <c r="T968" i="1" s="1"/>
  <c r="S969" i="1"/>
  <c r="T969" i="1" s="1" a="1"/>
  <c r="T969" i="1" s="1"/>
  <c r="S970" i="1"/>
  <c r="T970" i="1" s="1" a="1"/>
  <c r="T970" i="1" s="1"/>
  <c r="S971" i="1"/>
  <c r="T971" i="1" s="1" a="1"/>
  <c r="T971" i="1" s="1"/>
  <c r="S972" i="1"/>
  <c r="T972" i="1" s="1" a="1"/>
  <c r="T972" i="1" s="1"/>
  <c r="S973" i="1"/>
  <c r="T973" i="1" s="1" a="1"/>
  <c r="T973" i="1" s="1"/>
  <c r="S974" i="1"/>
  <c r="T974" i="1" s="1" a="1"/>
  <c r="T974" i="1" s="1"/>
  <c r="S975" i="1"/>
  <c r="T975" i="1" s="1" a="1"/>
  <c r="T975" i="1" s="1"/>
  <c r="S976" i="1"/>
  <c r="T976" i="1" s="1" a="1"/>
  <c r="T976" i="1" s="1"/>
  <c r="S977" i="1"/>
  <c r="T977" i="1" s="1" a="1"/>
  <c r="T977" i="1" s="1"/>
  <c r="S978" i="1"/>
  <c r="T978" i="1" s="1" a="1"/>
  <c r="T978" i="1" s="1"/>
  <c r="S979" i="1"/>
  <c r="T979" i="1" s="1" a="1"/>
  <c r="T979" i="1" s="1"/>
  <c r="S980" i="1"/>
  <c r="T980" i="1" s="1" a="1"/>
  <c r="T980" i="1" s="1"/>
  <c r="S981" i="1"/>
  <c r="T981" i="1" s="1" a="1"/>
  <c r="T981" i="1" s="1"/>
  <c r="S982" i="1"/>
  <c r="T982" i="1" s="1" a="1"/>
  <c r="T982" i="1" s="1"/>
  <c r="S983" i="1"/>
  <c r="T983" i="1" s="1" a="1"/>
  <c r="T983" i="1" s="1"/>
  <c r="S984" i="1"/>
  <c r="T984" i="1" s="1" a="1"/>
  <c r="T984" i="1" s="1"/>
  <c r="S985" i="1"/>
  <c r="T985" i="1" s="1" a="1"/>
  <c r="T985" i="1" s="1"/>
  <c r="S986" i="1"/>
  <c r="T986" i="1" s="1" a="1"/>
  <c r="T986" i="1" s="1"/>
  <c r="S987" i="1"/>
  <c r="T987" i="1" s="1" a="1"/>
  <c r="T987" i="1" s="1"/>
  <c r="S988" i="1"/>
  <c r="T988" i="1" s="1" a="1"/>
  <c r="T988" i="1" s="1"/>
  <c r="S989" i="1"/>
  <c r="T989" i="1" s="1" a="1"/>
  <c r="T989" i="1" s="1"/>
  <c r="S990" i="1"/>
  <c r="T990" i="1" s="1" a="1"/>
  <c r="T990" i="1" s="1"/>
  <c r="S991" i="1"/>
  <c r="T991" i="1" s="1" a="1"/>
  <c r="T991" i="1" s="1"/>
  <c r="S992" i="1"/>
  <c r="T992" i="1" s="1" a="1"/>
  <c r="T992" i="1" s="1"/>
  <c r="S993" i="1"/>
  <c r="T993" i="1" s="1" a="1"/>
  <c r="T993" i="1" s="1"/>
  <c r="S994" i="1"/>
  <c r="T994" i="1" s="1" a="1"/>
  <c r="T994" i="1" s="1"/>
  <c r="S995" i="1"/>
  <c r="T995" i="1" s="1" a="1"/>
  <c r="T995" i="1" s="1"/>
  <c r="S996" i="1"/>
  <c r="T996" i="1" s="1" a="1"/>
  <c r="T996" i="1" s="1"/>
  <c r="S997" i="1"/>
  <c r="T997" i="1" s="1" a="1"/>
  <c r="T997" i="1" s="1"/>
  <c r="S998" i="1"/>
  <c r="T998" i="1" s="1" a="1"/>
  <c r="T998" i="1" s="1"/>
  <c r="S999" i="1"/>
  <c r="T999" i="1" s="1" a="1"/>
  <c r="T999" i="1" s="1"/>
  <c r="S1000" i="1"/>
  <c r="T1000" i="1" s="1" a="1"/>
  <c r="T1000" i="1" s="1"/>
  <c r="S1001" i="1"/>
  <c r="T1001" i="1" s="1" a="1"/>
  <c r="T1001" i="1" s="1"/>
  <c r="S1002" i="1"/>
  <c r="T1002" i="1" s="1" a="1"/>
  <c r="T1002" i="1" s="1"/>
  <c r="S1003" i="1"/>
  <c r="T1003" i="1" s="1" a="1"/>
  <c r="T1003" i="1" s="1"/>
  <c r="S1004" i="1"/>
  <c r="T1004" i="1" s="1" a="1"/>
  <c r="T1004" i="1" s="1"/>
  <c r="S1005" i="1"/>
  <c r="T1005" i="1" s="1" a="1"/>
  <c r="T1005" i="1" s="1"/>
  <c r="S1006" i="1"/>
  <c r="T1006" i="1" s="1" a="1"/>
  <c r="T1006" i="1" s="1"/>
  <c r="S1007" i="1"/>
  <c r="T1007" i="1" s="1" a="1"/>
  <c r="T1007" i="1" s="1"/>
  <c r="S1008" i="1"/>
  <c r="T1008" i="1" s="1" a="1"/>
  <c r="T1008" i="1" s="1"/>
  <c r="S1009" i="1"/>
  <c r="T1009" i="1" s="1" a="1"/>
  <c r="T1009" i="1" s="1"/>
  <c r="S1010" i="1"/>
  <c r="T1010" i="1" s="1" a="1"/>
  <c r="T1010" i="1" s="1"/>
  <c r="S1011" i="1"/>
  <c r="T1011" i="1" s="1" a="1"/>
  <c r="T1011" i="1" s="1"/>
  <c r="S1012" i="1"/>
  <c r="T1012" i="1" s="1" a="1"/>
  <c r="T1012" i="1" s="1"/>
  <c r="S1013" i="1"/>
  <c r="T1013" i="1" s="1" a="1"/>
  <c r="T1013" i="1" s="1"/>
  <c r="S1014" i="1"/>
  <c r="T1014" i="1" s="1" a="1"/>
  <c r="T1014" i="1" s="1"/>
  <c r="S1015" i="1"/>
  <c r="T1015" i="1" s="1" a="1"/>
  <c r="T1015" i="1" s="1"/>
  <c r="S1016" i="1"/>
  <c r="T1016" i="1" s="1" a="1"/>
  <c r="T1016" i="1" s="1"/>
  <c r="S1017" i="1"/>
  <c r="T1017" i="1" s="1" a="1"/>
  <c r="T1017" i="1" s="1"/>
  <c r="S1018" i="1"/>
  <c r="T1018" i="1" s="1" a="1"/>
  <c r="T1018" i="1" s="1"/>
  <c r="S1019" i="1"/>
  <c r="T1019" i="1" s="1" a="1"/>
  <c r="T1019" i="1" s="1"/>
  <c r="S1020" i="1"/>
  <c r="T1020" i="1" s="1" a="1"/>
  <c r="T1020" i="1" s="1"/>
  <c r="S1021" i="1"/>
  <c r="T1021" i="1" s="1" a="1"/>
  <c r="T1021" i="1" s="1"/>
  <c r="S1022" i="1"/>
  <c r="T1022" i="1" s="1" a="1"/>
  <c r="T1022" i="1" s="1"/>
  <c r="S1023" i="1"/>
  <c r="T1023" i="1" s="1" a="1"/>
  <c r="T1023" i="1" s="1"/>
  <c r="S1024" i="1"/>
  <c r="T1024" i="1" s="1" a="1"/>
  <c r="T1024" i="1" s="1"/>
  <c r="S1025" i="1"/>
  <c r="T1025" i="1" s="1" a="1"/>
  <c r="T1025" i="1" s="1"/>
  <c r="S1026" i="1"/>
  <c r="T1026" i="1" s="1" a="1"/>
  <c r="T1026" i="1" s="1"/>
  <c r="S1027" i="1"/>
  <c r="T1027" i="1" s="1" a="1"/>
  <c r="T1027" i="1" s="1"/>
  <c r="S1028" i="1"/>
  <c r="T1028" i="1" s="1" a="1"/>
  <c r="T1028" i="1" s="1"/>
  <c r="S1029" i="1"/>
  <c r="T1029" i="1" s="1" a="1"/>
  <c r="T1029" i="1" s="1"/>
  <c r="S1030" i="1"/>
  <c r="T1030" i="1" s="1" a="1"/>
  <c r="T1030" i="1" s="1"/>
  <c r="S1031" i="1"/>
  <c r="T1031" i="1" s="1" a="1"/>
  <c r="T1031" i="1" s="1"/>
  <c r="S1032" i="1"/>
  <c r="T1032" i="1" s="1" a="1"/>
  <c r="T1032" i="1" s="1"/>
  <c r="S1033" i="1"/>
  <c r="T1033" i="1" s="1" a="1"/>
  <c r="T1033" i="1" s="1"/>
  <c r="S1034" i="1"/>
  <c r="T1034" i="1" s="1" a="1"/>
  <c r="T1034" i="1" s="1"/>
  <c r="S1035" i="1"/>
  <c r="T1035" i="1" s="1" a="1"/>
  <c r="T1035" i="1" s="1"/>
  <c r="S1036" i="1"/>
  <c r="T1036" i="1" s="1" a="1"/>
  <c r="T1036" i="1" s="1"/>
  <c r="S1037" i="1"/>
  <c r="T1037" i="1" s="1" a="1"/>
  <c r="T1037" i="1" s="1"/>
  <c r="S1038" i="1"/>
  <c r="T1038" i="1" s="1" a="1"/>
  <c r="T1038" i="1" s="1"/>
  <c r="S1039" i="1"/>
  <c r="T1039" i="1" s="1" a="1"/>
  <c r="T1039" i="1" s="1"/>
  <c r="S1040" i="1"/>
  <c r="T1040" i="1" s="1" a="1"/>
  <c r="T1040" i="1" s="1"/>
  <c r="S1041" i="1"/>
  <c r="T1041" i="1" s="1" a="1"/>
  <c r="T1041" i="1" s="1"/>
  <c r="S1042" i="1"/>
  <c r="T1042" i="1" s="1" a="1"/>
  <c r="T1042" i="1" s="1"/>
  <c r="S1043" i="1"/>
  <c r="T1043" i="1" s="1" a="1"/>
  <c r="T1043" i="1" s="1"/>
  <c r="S1044" i="1"/>
  <c r="T1044" i="1" s="1" a="1"/>
  <c r="T1044" i="1" s="1"/>
  <c r="S1045" i="1"/>
  <c r="T1045" i="1" s="1" a="1"/>
  <c r="T1045" i="1" s="1"/>
  <c r="S1046" i="1"/>
  <c r="T1046" i="1" s="1" a="1"/>
  <c r="T1046" i="1" s="1"/>
  <c r="S1047" i="1"/>
  <c r="T1047" i="1" s="1" a="1"/>
  <c r="T1047" i="1" s="1"/>
  <c r="S1048" i="1"/>
  <c r="T1048" i="1" s="1" a="1"/>
  <c r="T1048" i="1" s="1"/>
  <c r="S1049" i="1"/>
  <c r="T1049" i="1" s="1" a="1"/>
  <c r="T1049" i="1" s="1"/>
  <c r="S1050" i="1"/>
  <c r="T1050" i="1" s="1" a="1"/>
  <c r="T1050" i="1" s="1"/>
  <c r="S1051" i="1"/>
  <c r="T1051" i="1" s="1" a="1"/>
  <c r="T1051" i="1" s="1"/>
  <c r="S1052" i="1"/>
  <c r="T1052" i="1" s="1" a="1"/>
  <c r="T1052" i="1" s="1"/>
  <c r="S1053" i="1"/>
  <c r="T1053" i="1" s="1" a="1"/>
  <c r="T1053" i="1" s="1"/>
  <c r="S1054" i="1"/>
  <c r="T1054" i="1" s="1" a="1"/>
  <c r="T1054" i="1" s="1"/>
  <c r="S1055" i="1"/>
  <c r="T1055" i="1" s="1" a="1"/>
  <c r="T1055" i="1" s="1"/>
  <c r="S1056" i="1"/>
  <c r="T1056" i="1" s="1" a="1"/>
  <c r="T1056" i="1" s="1"/>
  <c r="S1057" i="1"/>
  <c r="T1057" i="1" s="1" a="1"/>
  <c r="T1057" i="1" s="1"/>
  <c r="S1058" i="1"/>
  <c r="T1058" i="1" s="1" a="1"/>
  <c r="T1058" i="1" s="1"/>
  <c r="S1059" i="1"/>
  <c r="T1059" i="1" s="1" a="1"/>
  <c r="T1059" i="1" s="1"/>
  <c r="S1060" i="1"/>
  <c r="T1060" i="1" s="1" a="1"/>
  <c r="T1060" i="1" s="1"/>
  <c r="S1061" i="1"/>
  <c r="T1061" i="1" s="1" a="1"/>
  <c r="T1061" i="1" s="1"/>
  <c r="S1062" i="1"/>
  <c r="T1062" i="1" s="1" a="1"/>
  <c r="T1062" i="1" s="1"/>
  <c r="S1063" i="1"/>
  <c r="T1063" i="1" s="1" a="1"/>
  <c r="T1063" i="1" s="1"/>
  <c r="S1064" i="1"/>
  <c r="T1064" i="1" s="1" a="1"/>
  <c r="T1064" i="1" s="1"/>
  <c r="S1065" i="1"/>
  <c r="T1065" i="1" s="1" a="1"/>
  <c r="T1065" i="1" s="1"/>
  <c r="S1066" i="1"/>
  <c r="T1066" i="1" s="1" a="1"/>
  <c r="T1066" i="1" s="1"/>
  <c r="S1067" i="1"/>
  <c r="T1067" i="1" s="1" a="1"/>
  <c r="T1067" i="1" s="1"/>
  <c r="S1068" i="1"/>
  <c r="T1068" i="1" s="1" a="1"/>
  <c r="T1068" i="1" s="1"/>
  <c r="S1069" i="1"/>
  <c r="T1069" i="1" s="1" a="1"/>
  <c r="T1069" i="1" s="1"/>
  <c r="S1070" i="1"/>
  <c r="T1070" i="1" s="1" a="1"/>
  <c r="T1070" i="1" s="1"/>
  <c r="S1071" i="1"/>
  <c r="T1071" i="1" s="1" a="1"/>
  <c r="T1071" i="1" s="1"/>
  <c r="S1072" i="1"/>
  <c r="T1072" i="1" s="1" a="1"/>
  <c r="T1072" i="1" s="1"/>
  <c r="S1073" i="1"/>
  <c r="T1073" i="1" s="1" a="1"/>
  <c r="T1073" i="1" s="1"/>
  <c r="S1074" i="1"/>
  <c r="T1074" i="1" s="1" a="1"/>
  <c r="T1074" i="1" s="1"/>
  <c r="S1075" i="1"/>
  <c r="T1075" i="1" s="1" a="1"/>
  <c r="T1075" i="1" s="1"/>
  <c r="S1076" i="1"/>
  <c r="T1076" i="1" s="1" a="1"/>
  <c r="T1076" i="1" s="1"/>
  <c r="S1077" i="1"/>
  <c r="T1077" i="1" s="1" a="1"/>
  <c r="T1077" i="1" s="1"/>
  <c r="S1078" i="1"/>
  <c r="T1078" i="1" s="1" a="1"/>
  <c r="T1078" i="1" s="1"/>
  <c r="S1079" i="1"/>
  <c r="T1079" i="1" s="1" a="1"/>
  <c r="T1079" i="1" s="1"/>
  <c r="S1080" i="1"/>
  <c r="T1080" i="1" s="1" a="1"/>
  <c r="T1080" i="1" s="1"/>
  <c r="S1081" i="1"/>
  <c r="T1081" i="1" s="1" a="1"/>
  <c r="T1081" i="1" s="1"/>
  <c r="S1082" i="1"/>
  <c r="T1082" i="1" s="1" a="1"/>
  <c r="T1082" i="1" s="1"/>
  <c r="S1083" i="1"/>
  <c r="T1083" i="1" s="1" a="1"/>
  <c r="T1083" i="1" s="1"/>
  <c r="S1084" i="1"/>
  <c r="T1084" i="1" s="1" a="1"/>
  <c r="T1084" i="1" s="1"/>
  <c r="S1085" i="1"/>
  <c r="T1085" i="1" s="1" a="1"/>
  <c r="T1085" i="1" s="1"/>
  <c r="S1086" i="1"/>
  <c r="T1086" i="1" s="1" a="1"/>
  <c r="T1086" i="1" s="1"/>
  <c r="S1087" i="1"/>
  <c r="T1087" i="1" s="1" a="1"/>
  <c r="T1087" i="1" s="1"/>
  <c r="S1088" i="1"/>
  <c r="T1088" i="1" s="1" a="1"/>
  <c r="T1088" i="1" s="1"/>
  <c r="S1089" i="1"/>
  <c r="T1089" i="1" s="1" a="1"/>
  <c r="T1089" i="1" s="1"/>
  <c r="S1090" i="1"/>
  <c r="T1090" i="1" s="1" a="1"/>
  <c r="T1090" i="1" s="1"/>
  <c r="S1091" i="1"/>
  <c r="T1091" i="1" s="1" a="1"/>
  <c r="T1091" i="1" s="1"/>
  <c r="S1092" i="1"/>
  <c r="T1092" i="1" s="1" a="1"/>
  <c r="T1092" i="1" s="1"/>
  <c r="S1093" i="1"/>
  <c r="T1093" i="1" s="1" a="1"/>
  <c r="T1093" i="1" s="1"/>
  <c r="S1094" i="1"/>
  <c r="T1094" i="1" s="1" a="1"/>
  <c r="T1094" i="1" s="1"/>
  <c r="S1095" i="1"/>
  <c r="T1095" i="1" s="1" a="1"/>
  <c r="T1095" i="1" s="1"/>
  <c r="S1096" i="1"/>
  <c r="T1096" i="1" s="1" a="1"/>
  <c r="T1096" i="1" s="1"/>
  <c r="S1097" i="1"/>
  <c r="T1097" i="1" s="1" a="1"/>
  <c r="T1097" i="1" s="1"/>
  <c r="S1098" i="1"/>
  <c r="T1098" i="1" s="1" a="1"/>
  <c r="T1098" i="1" s="1"/>
  <c r="S1099" i="1"/>
  <c r="T1099" i="1" s="1" a="1"/>
  <c r="T1099" i="1" s="1"/>
  <c r="S1100" i="1"/>
  <c r="T1100" i="1" s="1" a="1"/>
  <c r="T1100" i="1" s="1"/>
  <c r="S1101" i="1"/>
  <c r="T1101" i="1" s="1" a="1"/>
  <c r="T1101" i="1" s="1"/>
  <c r="S1102" i="1"/>
  <c r="T1102" i="1" s="1" a="1"/>
  <c r="T1102" i="1" s="1"/>
  <c r="S1103" i="1"/>
  <c r="T1103" i="1" s="1" a="1"/>
  <c r="T1103" i="1" s="1"/>
  <c r="S1104" i="1"/>
  <c r="T1104" i="1" s="1" a="1"/>
  <c r="T1104" i="1" s="1"/>
  <c r="S1105" i="1"/>
  <c r="T1105" i="1" s="1" a="1"/>
  <c r="T1105" i="1" s="1"/>
  <c r="S1106" i="1"/>
  <c r="T1106" i="1" s="1" a="1"/>
  <c r="T1106" i="1" s="1"/>
  <c r="S1107" i="1"/>
  <c r="T1107" i="1" s="1" a="1"/>
  <c r="T1107" i="1" s="1"/>
  <c r="S1108" i="1"/>
  <c r="T1108" i="1" s="1" a="1"/>
  <c r="T1108" i="1" s="1"/>
  <c r="S1109" i="1"/>
  <c r="T1109" i="1" s="1" a="1"/>
  <c r="T1109" i="1" s="1"/>
  <c r="S1110" i="1"/>
  <c r="T1110" i="1" s="1" a="1"/>
  <c r="T1110" i="1" s="1"/>
  <c r="S1111" i="1"/>
  <c r="T1111" i="1" s="1" a="1"/>
  <c r="T1111" i="1" s="1"/>
  <c r="S1112" i="1"/>
  <c r="T1112" i="1" s="1" a="1"/>
  <c r="T1112" i="1" s="1"/>
  <c r="S1113" i="1"/>
  <c r="T1113" i="1" s="1" a="1"/>
  <c r="T1113" i="1" s="1"/>
  <c r="S1114" i="1"/>
  <c r="T1114" i="1" s="1" a="1"/>
  <c r="T1114" i="1" s="1"/>
  <c r="S1115" i="1"/>
  <c r="T1115" i="1" s="1" a="1"/>
  <c r="T1115" i="1" s="1"/>
  <c r="S1116" i="1"/>
  <c r="T1116" i="1" s="1" a="1"/>
  <c r="T1116" i="1" s="1"/>
  <c r="S1117" i="1"/>
  <c r="T1117" i="1" s="1" a="1"/>
  <c r="T1117" i="1" s="1"/>
  <c r="S1118" i="1"/>
  <c r="T1118" i="1" s="1" a="1"/>
  <c r="T1118" i="1" s="1"/>
  <c r="S1119" i="1"/>
  <c r="T1119" i="1" s="1" a="1"/>
  <c r="T1119" i="1" s="1"/>
  <c r="S1120" i="1"/>
  <c r="T1120" i="1" s="1" a="1"/>
  <c r="T1120" i="1" s="1"/>
  <c r="S1121" i="1"/>
  <c r="T1121" i="1" s="1" a="1"/>
  <c r="T1121" i="1" s="1"/>
  <c r="S1122" i="1"/>
  <c r="T1122" i="1" s="1" a="1"/>
  <c r="T1122" i="1" s="1"/>
  <c r="S1123" i="1"/>
  <c r="T1123" i="1" s="1" a="1"/>
  <c r="T1123" i="1" s="1"/>
  <c r="S1124" i="1"/>
  <c r="T1124" i="1" s="1" a="1"/>
  <c r="T1124" i="1" s="1"/>
  <c r="S1125" i="1"/>
  <c r="T1125" i="1" s="1" a="1"/>
  <c r="T1125" i="1" s="1"/>
  <c r="S1126" i="1"/>
  <c r="T1126" i="1" s="1" a="1"/>
  <c r="T1126" i="1" s="1"/>
  <c r="S1127" i="1"/>
  <c r="T1127" i="1" s="1" a="1"/>
  <c r="T1127" i="1" s="1"/>
  <c r="S1128" i="1"/>
  <c r="T1128" i="1" s="1" a="1"/>
  <c r="T1128" i="1" s="1"/>
  <c r="S1129" i="1"/>
  <c r="T1129" i="1" s="1" a="1"/>
  <c r="T1129" i="1" s="1"/>
  <c r="S1130" i="1"/>
  <c r="T1130" i="1" s="1" a="1"/>
  <c r="T1130" i="1" s="1"/>
  <c r="S1131" i="1"/>
  <c r="T1131" i="1" s="1" a="1"/>
  <c r="T1131" i="1" s="1"/>
  <c r="S1132" i="1"/>
  <c r="T1132" i="1" s="1" a="1"/>
  <c r="T1132" i="1" s="1"/>
  <c r="S1133" i="1"/>
  <c r="T1133" i="1" s="1" a="1"/>
  <c r="T1133" i="1" s="1"/>
  <c r="S1134" i="1"/>
  <c r="T1134" i="1" s="1" a="1"/>
  <c r="T1134" i="1" s="1"/>
  <c r="S1135" i="1"/>
  <c r="T1135" i="1" s="1" a="1"/>
  <c r="T1135" i="1" s="1"/>
  <c r="S1136" i="1"/>
  <c r="T1136" i="1" s="1" a="1"/>
  <c r="T1136" i="1" s="1"/>
  <c r="S1137" i="1"/>
  <c r="T1137" i="1" s="1" a="1"/>
  <c r="T1137" i="1" s="1"/>
  <c r="S1138" i="1"/>
  <c r="T1138" i="1" s="1" a="1"/>
  <c r="T1138" i="1" s="1"/>
  <c r="S1139" i="1"/>
  <c r="T1139" i="1" s="1" a="1"/>
  <c r="T1139" i="1" s="1"/>
  <c r="S1140" i="1"/>
  <c r="T1140" i="1" s="1" a="1"/>
  <c r="T1140" i="1" s="1"/>
  <c r="S1141" i="1"/>
  <c r="T1141" i="1" s="1" a="1"/>
  <c r="T1141" i="1" s="1"/>
  <c r="S1142" i="1"/>
  <c r="T1142" i="1" s="1" a="1"/>
  <c r="T1142" i="1" s="1"/>
  <c r="S1143" i="1"/>
  <c r="T1143" i="1" s="1" a="1"/>
  <c r="T1143" i="1" s="1"/>
  <c r="S1144" i="1"/>
  <c r="T1144" i="1" s="1" a="1"/>
  <c r="T1144" i="1" s="1"/>
  <c r="S1145" i="1"/>
  <c r="T1145" i="1" s="1" a="1"/>
  <c r="T1145" i="1" s="1"/>
  <c r="S1146" i="1"/>
  <c r="T1146" i="1" s="1" a="1"/>
  <c r="T1146" i="1" s="1"/>
  <c r="S1147" i="1"/>
  <c r="T1147" i="1" s="1" a="1"/>
  <c r="T1147" i="1" s="1"/>
  <c r="S1148" i="1"/>
  <c r="T1148" i="1" s="1" a="1"/>
  <c r="T1148" i="1" s="1"/>
  <c r="S1149" i="1"/>
  <c r="T1149" i="1" s="1" a="1"/>
  <c r="T1149" i="1" s="1"/>
  <c r="S1150" i="1"/>
  <c r="T1150" i="1" s="1" a="1"/>
  <c r="T1150" i="1" s="1"/>
  <c r="S1151" i="1"/>
  <c r="T1151" i="1" s="1" a="1"/>
  <c r="T1151" i="1" s="1"/>
  <c r="S1152" i="1"/>
  <c r="T1152" i="1" s="1" a="1"/>
  <c r="T1152" i="1" s="1"/>
  <c r="S1153" i="1"/>
  <c r="T1153" i="1" s="1" a="1"/>
  <c r="T1153" i="1" s="1"/>
  <c r="S1154" i="1"/>
  <c r="T1154" i="1" s="1" a="1"/>
  <c r="T1154" i="1" s="1"/>
  <c r="S1155" i="1"/>
  <c r="T1155" i="1" s="1" a="1"/>
  <c r="T1155" i="1" s="1"/>
  <c r="S1156" i="1"/>
  <c r="T1156" i="1" s="1" a="1"/>
  <c r="T1156" i="1" s="1"/>
  <c r="S1157" i="1"/>
  <c r="T1157" i="1" s="1" a="1"/>
  <c r="T1157" i="1" s="1"/>
  <c r="S1158" i="1"/>
  <c r="T1158" i="1" s="1" a="1"/>
  <c r="T1158" i="1" s="1"/>
  <c r="S1159" i="1"/>
  <c r="T1159" i="1" s="1" a="1"/>
  <c r="T1159" i="1" s="1"/>
  <c r="S1160" i="1"/>
  <c r="T1160" i="1" s="1" a="1"/>
  <c r="T1160" i="1" s="1"/>
  <c r="S1161" i="1"/>
  <c r="T1161" i="1" s="1" a="1"/>
  <c r="T1161" i="1" s="1"/>
  <c r="S1162" i="1"/>
  <c r="T1162" i="1" s="1" a="1"/>
  <c r="T1162" i="1" s="1"/>
  <c r="S1163" i="1"/>
  <c r="T1163" i="1" s="1" a="1"/>
  <c r="T1163" i="1" s="1"/>
  <c r="S1164" i="1"/>
  <c r="T1164" i="1" s="1" a="1"/>
  <c r="T1164" i="1" s="1"/>
  <c r="S1165" i="1"/>
  <c r="T1165" i="1" s="1" a="1"/>
  <c r="T1165" i="1" s="1"/>
  <c r="S1166" i="1"/>
  <c r="T1166" i="1" s="1" a="1"/>
  <c r="T1166" i="1" s="1"/>
  <c r="S1167" i="1"/>
  <c r="T1167" i="1" s="1" a="1"/>
  <c r="T1167" i="1" s="1"/>
  <c r="S1168" i="1"/>
  <c r="T1168" i="1" s="1" a="1"/>
  <c r="T1168" i="1" s="1"/>
  <c r="S1169" i="1"/>
  <c r="T1169" i="1" s="1" a="1"/>
  <c r="T1169" i="1" s="1"/>
  <c r="S1170" i="1"/>
  <c r="T1170" i="1" s="1" a="1"/>
  <c r="T1170" i="1" s="1"/>
  <c r="S1171" i="1"/>
  <c r="T1171" i="1" s="1" a="1"/>
  <c r="T1171" i="1" s="1"/>
  <c r="S1172" i="1"/>
  <c r="T1172" i="1" s="1" a="1"/>
  <c r="T1172" i="1" s="1"/>
  <c r="S1173" i="1"/>
  <c r="T1173" i="1" s="1" a="1"/>
  <c r="T1173" i="1" s="1"/>
  <c r="S1174" i="1"/>
  <c r="T1174" i="1" s="1" a="1"/>
  <c r="T1174" i="1" s="1"/>
  <c r="S1175" i="1"/>
  <c r="T1175" i="1" s="1" a="1"/>
  <c r="T1175" i="1" s="1"/>
  <c r="S1176" i="1"/>
  <c r="T1176" i="1" s="1" a="1"/>
  <c r="T1176" i="1" s="1"/>
  <c r="S1177" i="1"/>
  <c r="T1177" i="1" s="1" a="1"/>
  <c r="T1177" i="1" s="1"/>
  <c r="S1178" i="1"/>
  <c r="T1178" i="1" s="1" a="1"/>
  <c r="T1178" i="1" s="1"/>
  <c r="S1179" i="1"/>
  <c r="T1179" i="1" s="1" a="1"/>
  <c r="T1179" i="1" s="1"/>
  <c r="S1180" i="1"/>
  <c r="T1180" i="1" s="1" a="1"/>
  <c r="T1180" i="1" s="1"/>
  <c r="S1181" i="1"/>
  <c r="T1181" i="1" s="1" a="1"/>
  <c r="T1181" i="1" s="1"/>
  <c r="S1182" i="1"/>
  <c r="T1182" i="1" s="1" a="1"/>
  <c r="T1182" i="1" s="1"/>
  <c r="S1183" i="1"/>
  <c r="T1183" i="1" s="1" a="1"/>
  <c r="T1183" i="1" s="1"/>
  <c r="S1184" i="1"/>
  <c r="T1184" i="1" s="1" a="1"/>
  <c r="T1184" i="1" s="1"/>
  <c r="S1185" i="1"/>
  <c r="T1185" i="1" s="1" a="1"/>
  <c r="T1185" i="1" s="1"/>
  <c r="S1186" i="1"/>
  <c r="T1186" i="1" s="1" a="1"/>
  <c r="T1186" i="1" s="1"/>
  <c r="S1187" i="1"/>
  <c r="T1187" i="1" s="1" a="1"/>
  <c r="T1187" i="1" s="1"/>
  <c r="S1188" i="1"/>
  <c r="T1188" i="1" s="1" a="1"/>
  <c r="T1188" i="1" s="1"/>
  <c r="S1189" i="1"/>
  <c r="T1189" i="1" s="1" a="1"/>
  <c r="T1189" i="1" s="1"/>
  <c r="S1190" i="1"/>
  <c r="T1190" i="1" s="1" a="1"/>
  <c r="T1190" i="1" s="1"/>
  <c r="S1191" i="1"/>
  <c r="T1191" i="1" s="1" a="1"/>
  <c r="T1191" i="1" s="1"/>
  <c r="S1192" i="1"/>
  <c r="T1192" i="1" s="1" a="1"/>
  <c r="T1192" i="1" s="1"/>
  <c r="S1193" i="1"/>
  <c r="T1193" i="1" s="1" a="1"/>
  <c r="T1193" i="1" s="1"/>
  <c r="S1194" i="1"/>
  <c r="T1194" i="1" s="1" a="1"/>
  <c r="T1194" i="1" s="1"/>
  <c r="S1195" i="1"/>
  <c r="T1195" i="1" s="1" a="1"/>
  <c r="T1195" i="1" s="1"/>
  <c r="S1196" i="1"/>
  <c r="T1196" i="1" s="1" a="1"/>
  <c r="T1196" i="1" s="1"/>
  <c r="S1197" i="1"/>
  <c r="T1197" i="1" s="1" a="1"/>
  <c r="T1197" i="1" s="1"/>
  <c r="S1198" i="1"/>
  <c r="T1198" i="1" s="1" a="1"/>
  <c r="T1198" i="1" s="1"/>
  <c r="S1199" i="1"/>
  <c r="T1199" i="1" s="1" a="1"/>
  <c r="T1199" i="1" s="1"/>
  <c r="S1200" i="1"/>
  <c r="T1200" i="1" s="1" a="1"/>
  <c r="T1200" i="1" s="1"/>
  <c r="S1201" i="1"/>
  <c r="T1201" i="1" s="1" a="1"/>
  <c r="T1201" i="1" s="1"/>
  <c r="S1202" i="1"/>
  <c r="T1202" i="1" s="1" a="1"/>
  <c r="T1202" i="1" s="1"/>
  <c r="S1203" i="1"/>
  <c r="T1203" i="1" s="1" a="1"/>
  <c r="T1203" i="1" s="1"/>
  <c r="S1204" i="1"/>
  <c r="T1204" i="1" s="1" a="1"/>
  <c r="T1204" i="1" s="1"/>
  <c r="S1205" i="1"/>
  <c r="T1205" i="1" s="1" a="1"/>
  <c r="T1205" i="1" s="1"/>
  <c r="S1206" i="1"/>
  <c r="T1206" i="1" s="1" a="1"/>
  <c r="T1206" i="1" s="1"/>
  <c r="S1207" i="1"/>
  <c r="T1207" i="1" s="1" a="1"/>
  <c r="T1207" i="1" s="1"/>
  <c r="S1208" i="1"/>
  <c r="T1208" i="1" s="1" a="1"/>
  <c r="T1208" i="1" s="1"/>
  <c r="S1209" i="1"/>
  <c r="T1209" i="1" s="1" a="1"/>
  <c r="T1209" i="1" s="1"/>
  <c r="S1210" i="1"/>
  <c r="T1210" i="1" s="1" a="1"/>
  <c r="T1210" i="1" s="1"/>
  <c r="S1211" i="1"/>
  <c r="T1211" i="1" s="1" a="1"/>
  <c r="T1211" i="1" s="1"/>
  <c r="S1212" i="1"/>
  <c r="T1212" i="1" s="1" a="1"/>
  <c r="T1212" i="1" s="1"/>
  <c r="S1213" i="1"/>
  <c r="T1213" i="1" s="1" a="1"/>
  <c r="T1213" i="1" s="1"/>
  <c r="S1214" i="1"/>
  <c r="T1214" i="1" s="1" a="1"/>
  <c r="T1214" i="1" s="1"/>
  <c r="S1215" i="1"/>
  <c r="T1215" i="1" s="1" a="1"/>
  <c r="T1215" i="1" s="1"/>
  <c r="S1216" i="1"/>
  <c r="T1216" i="1" s="1" a="1"/>
  <c r="T1216" i="1" s="1"/>
  <c r="S1217" i="1"/>
  <c r="T1217" i="1" s="1" a="1"/>
  <c r="T1217" i="1" s="1"/>
  <c r="S1218" i="1"/>
  <c r="T1218" i="1" s="1" a="1"/>
  <c r="T1218" i="1" s="1"/>
  <c r="S1219" i="1"/>
  <c r="T1219" i="1" s="1" a="1"/>
  <c r="T1219" i="1" s="1"/>
  <c r="S1220" i="1"/>
  <c r="T1220" i="1" s="1" a="1"/>
  <c r="T1220" i="1" s="1"/>
  <c r="S1221" i="1"/>
  <c r="T1221" i="1" s="1" a="1"/>
  <c r="T1221" i="1" s="1"/>
  <c r="S1222" i="1"/>
  <c r="T1222" i="1" s="1" a="1"/>
  <c r="T1222" i="1" s="1"/>
  <c r="S1223" i="1"/>
  <c r="T1223" i="1" s="1" a="1"/>
  <c r="T1223" i="1" s="1"/>
  <c r="S1224" i="1"/>
  <c r="T1224" i="1" s="1" a="1"/>
  <c r="T1224" i="1" s="1"/>
  <c r="S1225" i="1"/>
  <c r="T1225" i="1" s="1" a="1"/>
  <c r="T1225" i="1" s="1"/>
  <c r="S1226" i="1"/>
  <c r="T1226" i="1" s="1" a="1"/>
  <c r="T1226" i="1" s="1"/>
  <c r="S1227" i="1"/>
  <c r="T1227" i="1" s="1" a="1"/>
  <c r="T1227" i="1" s="1"/>
  <c r="S1228" i="1"/>
  <c r="T1228" i="1" s="1" a="1"/>
  <c r="T1228" i="1" s="1"/>
  <c r="S1229" i="1"/>
  <c r="T1229" i="1" s="1" a="1"/>
  <c r="T1229" i="1" s="1"/>
  <c r="S1230" i="1"/>
  <c r="T1230" i="1" s="1" a="1"/>
  <c r="T1230" i="1" s="1"/>
  <c r="S1231" i="1"/>
  <c r="T1231" i="1" s="1" a="1"/>
  <c r="T1231" i="1" s="1"/>
  <c r="S1232" i="1"/>
  <c r="T1232" i="1" s="1" a="1"/>
  <c r="T1232" i="1" s="1"/>
  <c r="S1233" i="1"/>
  <c r="T1233" i="1" s="1" a="1"/>
  <c r="T1233" i="1" s="1"/>
  <c r="S1234" i="1"/>
  <c r="T1234" i="1" s="1" a="1"/>
  <c r="T1234" i="1" s="1"/>
  <c r="S1235" i="1"/>
  <c r="T1235" i="1" s="1" a="1"/>
  <c r="T1235" i="1" s="1"/>
  <c r="S1236" i="1"/>
  <c r="T1236" i="1" s="1" a="1"/>
  <c r="T1236" i="1" s="1"/>
  <c r="S1237" i="1"/>
  <c r="T1237" i="1" s="1" a="1"/>
  <c r="T1237" i="1" s="1"/>
  <c r="S1238" i="1"/>
  <c r="T1238" i="1" s="1" a="1"/>
  <c r="T1238" i="1" s="1"/>
  <c r="S1239" i="1"/>
  <c r="T1239" i="1" s="1" a="1"/>
  <c r="T1239" i="1" s="1"/>
  <c r="S1240" i="1"/>
  <c r="T1240" i="1" s="1" a="1"/>
  <c r="T1240" i="1" s="1"/>
  <c r="S1241" i="1"/>
  <c r="T1241" i="1" s="1" a="1"/>
  <c r="T1241" i="1" s="1"/>
  <c r="S1242" i="1"/>
  <c r="T1242" i="1" s="1" a="1"/>
  <c r="T1242" i="1" s="1"/>
  <c r="S1243" i="1"/>
  <c r="T1243" i="1" s="1" a="1"/>
  <c r="T1243" i="1" s="1"/>
  <c r="S1244" i="1"/>
  <c r="T1244" i="1" s="1" a="1"/>
  <c r="T1244" i="1" s="1"/>
  <c r="S1245" i="1"/>
  <c r="T1245" i="1" s="1" a="1"/>
  <c r="T1245" i="1" s="1"/>
  <c r="S1246" i="1"/>
  <c r="T1246" i="1" s="1" a="1"/>
  <c r="T1246" i="1" s="1"/>
  <c r="S1247" i="1"/>
  <c r="T1247" i="1" s="1" a="1"/>
  <c r="T1247" i="1" s="1"/>
  <c r="S1248" i="1"/>
  <c r="T1248" i="1" s="1" a="1"/>
  <c r="T1248" i="1" s="1"/>
  <c r="S1249" i="1"/>
  <c r="T1249" i="1" s="1" a="1"/>
  <c r="T1249" i="1" s="1"/>
  <c r="S1250" i="1"/>
  <c r="T1250" i="1" s="1" a="1"/>
  <c r="T1250" i="1" s="1"/>
  <c r="S1251" i="1"/>
  <c r="T1251" i="1" s="1" a="1"/>
  <c r="T1251" i="1" s="1"/>
  <c r="S1252" i="1"/>
  <c r="T1252" i="1" s="1" a="1"/>
  <c r="T1252" i="1" s="1"/>
  <c r="S1253" i="1"/>
  <c r="T1253" i="1" s="1" a="1"/>
  <c r="T1253" i="1" s="1"/>
  <c r="S1254" i="1"/>
  <c r="T1254" i="1" s="1" a="1"/>
  <c r="T1254" i="1" s="1"/>
  <c r="S1255" i="1"/>
  <c r="T1255" i="1" s="1" a="1"/>
  <c r="T1255" i="1" s="1"/>
  <c r="S1256" i="1"/>
  <c r="T1256" i="1" s="1" a="1"/>
  <c r="T1256" i="1" s="1"/>
  <c r="S1257" i="1"/>
  <c r="T1257" i="1" s="1" a="1"/>
  <c r="T1257" i="1" s="1"/>
  <c r="S1258" i="1"/>
  <c r="T1258" i="1" s="1" a="1"/>
  <c r="T1258" i="1" s="1"/>
  <c r="S1259" i="1"/>
  <c r="T1259" i="1" s="1" a="1"/>
  <c r="T1259" i="1" s="1"/>
  <c r="S1260" i="1"/>
  <c r="T1260" i="1" s="1" a="1"/>
  <c r="T1260" i="1" s="1"/>
  <c r="S1261" i="1"/>
  <c r="T1261" i="1" s="1" a="1"/>
  <c r="T1261" i="1" s="1"/>
  <c r="S1262" i="1"/>
  <c r="T1262" i="1" s="1" a="1"/>
  <c r="T1262" i="1" s="1"/>
  <c r="S1263" i="1"/>
  <c r="T1263" i="1" s="1" a="1"/>
  <c r="T1263" i="1" s="1"/>
  <c r="S1264" i="1"/>
  <c r="T1264" i="1" s="1" a="1"/>
  <c r="T1264" i="1" s="1"/>
  <c r="S1265" i="1"/>
  <c r="T1265" i="1" s="1" a="1"/>
  <c r="T1265" i="1" s="1"/>
  <c r="S1266" i="1"/>
  <c r="T1266" i="1" s="1" a="1"/>
  <c r="T1266" i="1" s="1"/>
  <c r="S1267" i="1"/>
  <c r="T1267" i="1" s="1" a="1"/>
  <c r="T1267" i="1" s="1"/>
  <c r="S1268" i="1"/>
  <c r="T1268" i="1" s="1" a="1"/>
  <c r="T1268" i="1" s="1"/>
  <c r="S1269" i="1"/>
  <c r="T1269" i="1" s="1" a="1"/>
  <c r="T1269" i="1" s="1"/>
  <c r="S1270" i="1"/>
  <c r="T1270" i="1" s="1" a="1"/>
  <c r="T1270" i="1" s="1"/>
  <c r="S1271" i="1"/>
  <c r="T1271" i="1" s="1" a="1"/>
  <c r="T1271" i="1" s="1"/>
  <c r="S1272" i="1"/>
  <c r="T1272" i="1" s="1" a="1"/>
  <c r="T1272" i="1" s="1"/>
  <c r="S1273" i="1"/>
  <c r="T1273" i="1" s="1" a="1"/>
  <c r="T1273" i="1" s="1"/>
  <c r="S1274" i="1"/>
  <c r="T1274" i="1" s="1" a="1"/>
  <c r="T1274" i="1" s="1"/>
  <c r="S1275" i="1"/>
  <c r="T1275" i="1" s="1" a="1"/>
  <c r="T1275" i="1" s="1"/>
  <c r="S1276" i="1"/>
  <c r="T1276" i="1" s="1" a="1"/>
  <c r="T1276" i="1" s="1"/>
  <c r="S1277" i="1"/>
  <c r="T1277" i="1" s="1" a="1"/>
  <c r="T1277" i="1" s="1"/>
  <c r="S1278" i="1"/>
  <c r="T1278" i="1" s="1" a="1"/>
  <c r="T1278" i="1" s="1"/>
  <c r="S1279" i="1"/>
  <c r="T1279" i="1" s="1" a="1"/>
  <c r="T1279" i="1" s="1"/>
  <c r="S1280" i="1"/>
  <c r="T1280" i="1" s="1" a="1"/>
  <c r="T1280" i="1" s="1"/>
  <c r="S1281" i="1"/>
  <c r="T1281" i="1" s="1" a="1"/>
  <c r="T1281" i="1" s="1"/>
  <c r="S1282" i="1"/>
  <c r="T1282" i="1" s="1" a="1"/>
  <c r="T1282" i="1" s="1"/>
  <c r="S1283" i="1"/>
  <c r="T1283" i="1" s="1" a="1"/>
  <c r="T1283" i="1" s="1"/>
  <c r="S1284" i="1"/>
  <c r="T1284" i="1" s="1" a="1"/>
  <c r="T1284" i="1" s="1"/>
  <c r="S1285" i="1"/>
  <c r="T1285" i="1" s="1" a="1"/>
  <c r="T1285" i="1" s="1"/>
  <c r="S1286" i="1"/>
  <c r="T1286" i="1" s="1" a="1"/>
  <c r="T1286" i="1" s="1"/>
  <c r="S1287" i="1"/>
  <c r="T1287" i="1" s="1" a="1"/>
  <c r="T1287" i="1" s="1"/>
  <c r="S1288" i="1"/>
  <c r="T1288" i="1" s="1" a="1"/>
  <c r="T1288" i="1" s="1"/>
  <c r="S1289" i="1"/>
  <c r="T1289" i="1" s="1" a="1"/>
  <c r="T1289" i="1" s="1"/>
  <c r="S1290" i="1"/>
  <c r="T1290" i="1" s="1" a="1"/>
  <c r="T1290" i="1" s="1"/>
  <c r="S1291" i="1"/>
  <c r="T1291" i="1" s="1" a="1"/>
  <c r="T1291" i="1" s="1"/>
  <c r="S1292" i="1"/>
  <c r="T1292" i="1" s="1" a="1"/>
  <c r="T1292" i="1" s="1"/>
  <c r="S1293" i="1"/>
  <c r="T1293" i="1" s="1" a="1"/>
  <c r="T1293" i="1" s="1"/>
  <c r="S1294" i="1"/>
  <c r="T1294" i="1" s="1" a="1"/>
  <c r="T1294" i="1" s="1"/>
  <c r="S1295" i="1"/>
  <c r="T1295" i="1" s="1" a="1"/>
  <c r="T1295" i="1" s="1"/>
  <c r="S1296" i="1"/>
  <c r="T1296" i="1" s="1" a="1"/>
  <c r="T1296" i="1" s="1"/>
  <c r="S1297" i="1"/>
  <c r="T1297" i="1" s="1" a="1"/>
  <c r="T1297" i="1" s="1"/>
  <c r="S1298" i="1"/>
  <c r="T1298" i="1" s="1" a="1"/>
  <c r="T1298" i="1" s="1"/>
  <c r="S1299" i="1"/>
  <c r="T1299" i="1" s="1" a="1"/>
  <c r="T1299" i="1" s="1"/>
  <c r="S1300" i="1"/>
  <c r="T1300" i="1" s="1" a="1"/>
  <c r="T1300" i="1" s="1"/>
  <c r="S1301" i="1"/>
  <c r="T1301" i="1" s="1" a="1"/>
  <c r="T1301" i="1" s="1"/>
  <c r="S1302" i="1"/>
  <c r="T1302" i="1" s="1" a="1"/>
  <c r="T1302" i="1" s="1"/>
  <c r="S1303" i="1"/>
  <c r="T1303" i="1" s="1" a="1"/>
  <c r="T1303" i="1" s="1"/>
  <c r="S1304" i="1"/>
  <c r="T1304" i="1" s="1" a="1"/>
  <c r="T1304" i="1" s="1"/>
  <c r="S1305" i="1"/>
  <c r="T1305" i="1" s="1" a="1"/>
  <c r="T1305" i="1" s="1"/>
  <c r="S1306" i="1"/>
  <c r="T1306" i="1" s="1" a="1"/>
  <c r="T1306" i="1" s="1"/>
  <c r="S1307" i="1"/>
  <c r="T1307" i="1" s="1" a="1"/>
  <c r="T1307" i="1" s="1"/>
  <c r="S1308" i="1"/>
  <c r="T1308" i="1" s="1" a="1"/>
  <c r="T1308" i="1" s="1"/>
  <c r="S1309" i="1"/>
  <c r="T1309" i="1" s="1" a="1"/>
  <c r="T1309" i="1" s="1"/>
  <c r="S1310" i="1"/>
  <c r="T1310" i="1" s="1" a="1"/>
  <c r="T1310" i="1" s="1"/>
  <c r="S1311" i="1"/>
  <c r="T1311" i="1" s="1" a="1"/>
  <c r="T1311" i="1" s="1"/>
  <c r="S1312" i="1"/>
  <c r="T1312" i="1" s="1" a="1"/>
  <c r="T1312" i="1" s="1"/>
  <c r="S1313" i="1"/>
  <c r="T1313" i="1" s="1" a="1"/>
  <c r="T1313" i="1" s="1"/>
  <c r="S1314" i="1"/>
  <c r="T1314" i="1" s="1" a="1"/>
  <c r="T1314" i="1" s="1"/>
  <c r="S1315" i="1"/>
  <c r="T1315" i="1" s="1" a="1"/>
  <c r="T1315" i="1" s="1"/>
  <c r="S1316" i="1"/>
  <c r="T1316" i="1" s="1" a="1"/>
  <c r="T1316" i="1" s="1"/>
  <c r="S1317" i="1"/>
  <c r="T1317" i="1" s="1" a="1"/>
  <c r="T1317" i="1" s="1"/>
  <c r="S1318" i="1"/>
  <c r="T1318" i="1" s="1" a="1"/>
  <c r="T1318" i="1" s="1"/>
  <c r="S1319" i="1"/>
  <c r="T1319" i="1" s="1" a="1"/>
  <c r="T1319" i="1" s="1"/>
  <c r="S1320" i="1"/>
  <c r="T1320" i="1" s="1" a="1"/>
  <c r="T1320" i="1" s="1"/>
  <c r="S1321" i="1"/>
  <c r="T1321" i="1" s="1" a="1"/>
  <c r="T1321" i="1" s="1"/>
  <c r="S1322" i="1"/>
  <c r="T1322" i="1" s="1" a="1"/>
  <c r="T1322" i="1" s="1"/>
  <c r="S1323" i="1"/>
  <c r="T1323" i="1" s="1" a="1"/>
  <c r="T1323" i="1" s="1"/>
  <c r="S1324" i="1"/>
  <c r="T1324" i="1" s="1" a="1"/>
  <c r="T1324" i="1" s="1"/>
  <c r="S1325" i="1"/>
  <c r="T1325" i="1" s="1" a="1"/>
  <c r="T1325" i="1" s="1"/>
  <c r="S1326" i="1"/>
  <c r="T1326" i="1" s="1" a="1"/>
  <c r="T1326" i="1" s="1"/>
  <c r="S1327" i="1"/>
  <c r="T1327" i="1" s="1" a="1"/>
  <c r="T1327" i="1" s="1"/>
  <c r="S1328" i="1"/>
  <c r="T1328" i="1" s="1" a="1"/>
  <c r="T1328" i="1" s="1"/>
  <c r="S1329" i="1"/>
  <c r="T1329" i="1" s="1" a="1"/>
  <c r="T1329" i="1" s="1"/>
  <c r="S1330" i="1"/>
  <c r="T1330" i="1" s="1" a="1"/>
  <c r="T1330" i="1" s="1"/>
  <c r="S1331" i="1"/>
  <c r="T1331" i="1" s="1" a="1"/>
  <c r="T1331" i="1" s="1"/>
  <c r="S1332" i="1"/>
  <c r="T1332" i="1" s="1" a="1"/>
  <c r="T1332" i="1" s="1"/>
  <c r="S1333" i="1"/>
  <c r="T1333" i="1" s="1" a="1"/>
  <c r="T1333" i="1" s="1"/>
  <c r="S1334" i="1"/>
  <c r="T1334" i="1" s="1" a="1"/>
  <c r="T1334" i="1" s="1"/>
  <c r="S1335" i="1"/>
  <c r="T1335" i="1" s="1" a="1"/>
  <c r="T1335" i="1" s="1"/>
  <c r="S1336" i="1"/>
  <c r="T1336" i="1" s="1" a="1"/>
  <c r="T1336" i="1" s="1"/>
  <c r="S1337" i="1"/>
  <c r="T1337" i="1" s="1" a="1"/>
  <c r="T1337" i="1" s="1"/>
  <c r="S1338" i="1"/>
  <c r="T1338" i="1" s="1" a="1"/>
  <c r="T1338" i="1" s="1"/>
  <c r="S1339" i="1"/>
  <c r="T1339" i="1" s="1" a="1"/>
  <c r="T1339" i="1" s="1"/>
  <c r="S1340" i="1"/>
  <c r="T1340" i="1" s="1" a="1"/>
  <c r="T1340" i="1" s="1"/>
  <c r="S1341" i="1"/>
  <c r="T1341" i="1" s="1" a="1"/>
  <c r="T1341" i="1" s="1"/>
  <c r="S1342" i="1"/>
  <c r="T1342" i="1" s="1" a="1"/>
  <c r="T1342" i="1" s="1"/>
  <c r="S1343" i="1"/>
  <c r="T1343" i="1" s="1" a="1"/>
  <c r="T1343" i="1" s="1"/>
  <c r="S1344" i="1"/>
  <c r="T1344" i="1" s="1" a="1"/>
  <c r="T1344" i="1" s="1"/>
  <c r="S1345" i="1"/>
  <c r="T1345" i="1" s="1" a="1"/>
  <c r="T1345" i="1" s="1"/>
  <c r="S1346" i="1"/>
  <c r="T1346" i="1" s="1" a="1"/>
  <c r="T1346" i="1" s="1"/>
  <c r="S1347" i="1"/>
  <c r="T1347" i="1" s="1" a="1"/>
  <c r="T1347" i="1" s="1"/>
  <c r="S1348" i="1"/>
  <c r="T1348" i="1" s="1" a="1"/>
  <c r="T1348" i="1" s="1"/>
  <c r="S1349" i="1"/>
  <c r="T1349" i="1" s="1" a="1"/>
  <c r="T1349" i="1" s="1"/>
  <c r="S1350" i="1"/>
  <c r="T1350" i="1" s="1" a="1"/>
  <c r="T1350" i="1" s="1"/>
  <c r="S1351" i="1"/>
  <c r="T1351" i="1" s="1" a="1"/>
  <c r="T1351" i="1" s="1"/>
  <c r="S1352" i="1"/>
  <c r="T1352" i="1" s="1" a="1"/>
  <c r="T1352" i="1" s="1"/>
  <c r="S1353" i="1"/>
  <c r="T1353" i="1" s="1" a="1"/>
  <c r="T1353" i="1" s="1"/>
  <c r="S1354" i="1"/>
  <c r="T1354" i="1" s="1" a="1"/>
  <c r="T1354" i="1" s="1"/>
  <c r="S1355" i="1"/>
  <c r="T1355" i="1" s="1" a="1"/>
  <c r="T1355" i="1" s="1"/>
  <c r="S1356" i="1"/>
  <c r="T1356" i="1" s="1" a="1"/>
  <c r="T1356" i="1" s="1"/>
  <c r="S1357" i="1"/>
  <c r="T1357" i="1" s="1" a="1"/>
  <c r="T1357" i="1" s="1"/>
  <c r="S1358" i="1"/>
  <c r="T1358" i="1" s="1" a="1"/>
  <c r="T1358" i="1" s="1"/>
  <c r="S1359" i="1"/>
  <c r="T1359" i="1" s="1" a="1"/>
  <c r="T1359" i="1" s="1"/>
  <c r="S1360" i="1"/>
  <c r="T1360" i="1" s="1" a="1"/>
  <c r="T1360" i="1" s="1"/>
  <c r="S1361" i="1"/>
  <c r="T1361" i="1" s="1" a="1"/>
  <c r="T1361" i="1" s="1"/>
  <c r="S1362" i="1"/>
  <c r="T1362" i="1" s="1" a="1"/>
  <c r="T1362" i="1" s="1"/>
  <c r="S1363" i="1"/>
  <c r="T1363" i="1" s="1" a="1"/>
  <c r="T1363" i="1" s="1"/>
  <c r="S1364" i="1"/>
  <c r="T1364" i="1" s="1" a="1"/>
  <c r="T1364" i="1" s="1"/>
  <c r="S1365" i="1"/>
  <c r="T1365" i="1" s="1" a="1"/>
  <c r="T1365" i="1" s="1"/>
  <c r="S1366" i="1"/>
  <c r="T1366" i="1" s="1" a="1"/>
  <c r="T1366" i="1" s="1"/>
  <c r="S1367" i="1"/>
  <c r="T1367" i="1" s="1" a="1"/>
  <c r="T1367" i="1" s="1"/>
  <c r="S1368" i="1"/>
  <c r="T1368" i="1" s="1" a="1"/>
  <c r="T1368" i="1" s="1"/>
  <c r="S1369" i="1"/>
  <c r="T1369" i="1" s="1" a="1"/>
  <c r="T1369" i="1" s="1"/>
  <c r="S1370" i="1"/>
  <c r="T1370" i="1" s="1" a="1"/>
  <c r="T1370" i="1" s="1"/>
  <c r="S1371" i="1"/>
  <c r="T1371" i="1" s="1" a="1"/>
  <c r="T1371" i="1" s="1"/>
  <c r="S1372" i="1"/>
  <c r="T1372" i="1" s="1" a="1"/>
  <c r="T1372" i="1" s="1"/>
  <c r="S1373" i="1"/>
  <c r="T1373" i="1" s="1" a="1"/>
  <c r="T1373" i="1" s="1"/>
  <c r="S1374" i="1"/>
  <c r="T1374" i="1" s="1" a="1"/>
  <c r="T1374" i="1" s="1"/>
  <c r="S1375" i="1"/>
  <c r="T1375" i="1" s="1" a="1"/>
  <c r="T1375" i="1" s="1"/>
  <c r="S1376" i="1"/>
  <c r="T1376" i="1" s="1" a="1"/>
  <c r="T1376" i="1" s="1"/>
  <c r="S1377" i="1"/>
  <c r="T1377" i="1" s="1" a="1"/>
  <c r="T1377" i="1" s="1"/>
  <c r="S1378" i="1"/>
  <c r="T1378" i="1" s="1" a="1"/>
  <c r="T1378" i="1" s="1"/>
  <c r="S1379" i="1"/>
  <c r="T1379" i="1" s="1" a="1"/>
  <c r="T1379" i="1" s="1"/>
  <c r="S1380" i="1"/>
  <c r="T1380" i="1" s="1" a="1"/>
  <c r="T1380" i="1" s="1"/>
  <c r="S1381" i="1"/>
  <c r="T1381" i="1" s="1" a="1"/>
  <c r="T1381" i="1" s="1"/>
  <c r="S1382" i="1"/>
  <c r="T1382" i="1" s="1" a="1"/>
  <c r="T1382" i="1" s="1"/>
  <c r="S1383" i="1"/>
  <c r="T1383" i="1" s="1" a="1"/>
  <c r="T1383" i="1" s="1"/>
  <c r="S1384" i="1"/>
  <c r="T1384" i="1" s="1" a="1"/>
  <c r="T1384" i="1" s="1"/>
  <c r="S1385" i="1"/>
  <c r="T1385" i="1" s="1" a="1"/>
  <c r="T1385" i="1" s="1"/>
  <c r="S1386" i="1"/>
  <c r="T1386" i="1" s="1" a="1"/>
  <c r="T1386" i="1" s="1"/>
  <c r="S1387" i="1"/>
  <c r="T1387" i="1" s="1" a="1"/>
  <c r="T1387" i="1" s="1"/>
  <c r="S1388" i="1"/>
  <c r="T1388" i="1" s="1" a="1"/>
  <c r="T1388" i="1" s="1"/>
  <c r="S1389" i="1"/>
  <c r="T1389" i="1" s="1" a="1"/>
  <c r="T1389" i="1" s="1"/>
  <c r="S1390" i="1"/>
  <c r="T1390" i="1" s="1" a="1"/>
  <c r="T1390" i="1" s="1"/>
  <c r="S1391" i="1"/>
  <c r="T1391" i="1" s="1" a="1"/>
  <c r="T1391" i="1" s="1"/>
  <c r="S1392" i="1"/>
  <c r="T1392" i="1" s="1" a="1"/>
  <c r="T1392" i="1" s="1"/>
  <c r="S1393" i="1"/>
  <c r="T1393" i="1" s="1" a="1"/>
  <c r="T1393" i="1" s="1"/>
  <c r="S1394" i="1"/>
  <c r="T1394" i="1" s="1" a="1"/>
  <c r="T1394" i="1" s="1"/>
  <c r="S1395" i="1"/>
  <c r="T1395" i="1" s="1" a="1"/>
  <c r="T1395" i="1" s="1"/>
  <c r="S1396" i="1"/>
  <c r="T1396" i="1" s="1" a="1"/>
  <c r="T1396" i="1" s="1"/>
  <c r="S1397" i="1"/>
  <c r="T1397" i="1" s="1" a="1"/>
  <c r="T1397" i="1" s="1"/>
  <c r="S1398" i="1"/>
  <c r="T1398" i="1" s="1" a="1"/>
  <c r="T1398" i="1" s="1"/>
  <c r="S1399" i="1"/>
  <c r="T1399" i="1" s="1" a="1"/>
  <c r="T1399" i="1" s="1"/>
  <c r="S1400" i="1"/>
  <c r="T1400" i="1" s="1" a="1"/>
  <c r="T1400" i="1" s="1"/>
  <c r="S1401" i="1"/>
  <c r="T1401" i="1" s="1" a="1"/>
  <c r="T1401" i="1" s="1"/>
  <c r="S1402" i="1"/>
  <c r="T1402" i="1" s="1" a="1"/>
  <c r="T1402" i="1" s="1"/>
  <c r="S1403" i="1"/>
  <c r="T1403" i="1" s="1" a="1"/>
  <c r="T1403" i="1" s="1"/>
  <c r="S1404" i="1"/>
  <c r="T1404" i="1" s="1" a="1"/>
  <c r="T1404" i="1" s="1"/>
  <c r="S1405" i="1"/>
  <c r="T1405" i="1" s="1" a="1"/>
  <c r="T1405" i="1" s="1"/>
  <c r="S1406" i="1"/>
  <c r="T1406" i="1" s="1" a="1"/>
  <c r="T1406" i="1" s="1"/>
  <c r="S1407" i="1"/>
  <c r="T1407" i="1" s="1" a="1"/>
  <c r="T1407" i="1" s="1"/>
  <c r="S1408" i="1"/>
  <c r="T1408" i="1" s="1" a="1"/>
  <c r="T1408" i="1" s="1"/>
  <c r="S1409" i="1"/>
  <c r="T1409" i="1" s="1" a="1"/>
  <c r="T1409" i="1" s="1"/>
  <c r="S1410" i="1"/>
  <c r="T1410" i="1" s="1" a="1"/>
  <c r="T1410" i="1" s="1"/>
  <c r="S1411" i="1"/>
  <c r="T1411" i="1" s="1" a="1"/>
  <c r="T1411" i="1" s="1"/>
  <c r="S1412" i="1"/>
  <c r="T1412" i="1" s="1" a="1"/>
  <c r="T1412" i="1" s="1"/>
  <c r="S1413" i="1"/>
  <c r="T1413" i="1" s="1" a="1"/>
  <c r="T1413" i="1" s="1"/>
  <c r="S1414" i="1"/>
  <c r="T1414" i="1" s="1" a="1"/>
  <c r="T1414" i="1" s="1"/>
  <c r="S1415" i="1"/>
  <c r="T1415" i="1" s="1" a="1"/>
  <c r="T1415" i="1" s="1"/>
  <c r="S1416" i="1"/>
  <c r="T1416" i="1" s="1" a="1"/>
  <c r="T1416" i="1" s="1"/>
  <c r="S1417" i="1"/>
  <c r="T1417" i="1" s="1" a="1"/>
  <c r="T1417" i="1" s="1"/>
  <c r="S1418" i="1"/>
  <c r="T1418" i="1" s="1" a="1"/>
  <c r="T1418" i="1" s="1"/>
  <c r="S1419" i="1"/>
  <c r="T1419" i="1" s="1" a="1"/>
  <c r="T1419" i="1" s="1"/>
  <c r="S1420" i="1"/>
  <c r="T1420" i="1" s="1" a="1"/>
  <c r="T1420" i="1" s="1"/>
  <c r="S1421" i="1"/>
  <c r="T1421" i="1" s="1" a="1"/>
  <c r="T1421" i="1" s="1"/>
  <c r="S1422" i="1"/>
  <c r="T1422" i="1" s="1" a="1"/>
  <c r="T1422" i="1" s="1"/>
  <c r="S1423" i="1"/>
  <c r="T1423" i="1" s="1" a="1"/>
  <c r="T1423" i="1" s="1"/>
  <c r="S1424" i="1"/>
  <c r="T1424" i="1" s="1" a="1"/>
  <c r="T1424" i="1" s="1"/>
  <c r="S1425" i="1"/>
  <c r="T1425" i="1" s="1" a="1"/>
  <c r="T1425" i="1" s="1"/>
  <c r="S1426" i="1"/>
  <c r="T1426" i="1" s="1" a="1"/>
  <c r="T1426" i="1" s="1"/>
  <c r="S1427" i="1"/>
  <c r="T1427" i="1" s="1" a="1"/>
  <c r="T1427" i="1" s="1"/>
  <c r="S1428" i="1"/>
  <c r="T1428" i="1" s="1" a="1"/>
  <c r="T1428" i="1" s="1"/>
  <c r="S1429" i="1"/>
  <c r="T1429" i="1" s="1" a="1"/>
  <c r="T1429" i="1" s="1"/>
  <c r="S1430" i="1"/>
  <c r="T1430" i="1" s="1" a="1"/>
  <c r="T1430" i="1" s="1"/>
  <c r="S1431" i="1"/>
  <c r="T1431" i="1" s="1" a="1"/>
  <c r="T1431" i="1" s="1"/>
  <c r="S1432" i="1"/>
  <c r="T1432" i="1" s="1" a="1"/>
  <c r="T1432" i="1" s="1"/>
  <c r="S1433" i="1"/>
  <c r="T1433" i="1" s="1" a="1"/>
  <c r="T1433" i="1" s="1"/>
  <c r="S1434" i="1"/>
  <c r="T1434" i="1" s="1" a="1"/>
  <c r="T1434" i="1" s="1"/>
  <c r="S1435" i="1"/>
  <c r="T1435" i="1" s="1" a="1"/>
  <c r="T1435" i="1" s="1"/>
  <c r="S1436" i="1"/>
  <c r="T1436" i="1" s="1" a="1"/>
  <c r="T1436" i="1" s="1"/>
  <c r="S1437" i="1"/>
  <c r="T1437" i="1" s="1" a="1"/>
  <c r="T1437" i="1" s="1"/>
  <c r="S1438" i="1"/>
  <c r="T1438" i="1" s="1" a="1"/>
  <c r="T1438" i="1" s="1"/>
  <c r="S1439" i="1"/>
  <c r="T1439" i="1" s="1" a="1"/>
  <c r="T1439" i="1" s="1"/>
  <c r="S1440" i="1"/>
  <c r="T1440" i="1" s="1" a="1"/>
  <c r="T1440" i="1" s="1"/>
  <c r="S1441" i="1"/>
  <c r="T1441" i="1" s="1" a="1"/>
  <c r="T1441" i="1" s="1"/>
  <c r="S1442" i="1"/>
  <c r="T1442" i="1" s="1" a="1"/>
  <c r="T1442" i="1" s="1"/>
  <c r="S1443" i="1"/>
  <c r="T1443" i="1" s="1" a="1"/>
  <c r="T1443" i="1" s="1"/>
  <c r="S1444" i="1"/>
  <c r="T1444" i="1" s="1" a="1"/>
  <c r="T1444" i="1" s="1"/>
  <c r="S1445" i="1"/>
  <c r="T1445" i="1" s="1" a="1"/>
  <c r="T1445" i="1" s="1"/>
  <c r="S1446" i="1"/>
  <c r="T1446" i="1" s="1" a="1"/>
  <c r="T1446" i="1" s="1"/>
  <c r="S1447" i="1"/>
  <c r="T1447" i="1" s="1" a="1"/>
  <c r="T1447" i="1" s="1"/>
  <c r="S1448" i="1"/>
  <c r="T1448" i="1" s="1" a="1"/>
  <c r="T1448" i="1" s="1"/>
  <c r="S1449" i="1"/>
  <c r="T1449" i="1" s="1" a="1"/>
  <c r="T1449" i="1" s="1"/>
  <c r="S1450" i="1"/>
  <c r="T1450" i="1" s="1" a="1"/>
  <c r="T1450" i="1" s="1"/>
  <c r="S1451" i="1"/>
  <c r="T1451" i="1" s="1" a="1"/>
  <c r="T1451" i="1" s="1"/>
  <c r="S1452" i="1"/>
  <c r="T1452" i="1" s="1" a="1"/>
  <c r="T1452" i="1" s="1"/>
  <c r="S1453" i="1"/>
  <c r="T1453" i="1" s="1" a="1"/>
  <c r="T1453" i="1" s="1"/>
  <c r="S1454" i="1"/>
  <c r="T1454" i="1" s="1" a="1"/>
  <c r="T1454" i="1" s="1"/>
  <c r="S1455" i="1"/>
  <c r="T1455" i="1" s="1" a="1"/>
  <c r="T1455" i="1" s="1"/>
  <c r="S1456" i="1"/>
  <c r="T1456" i="1" s="1" a="1"/>
  <c r="T1456" i="1" s="1"/>
  <c r="S1457" i="1"/>
  <c r="T1457" i="1" s="1" a="1"/>
  <c r="T1457" i="1" s="1"/>
  <c r="S1458" i="1"/>
  <c r="T1458" i="1" s="1" a="1"/>
  <c r="T1458" i="1" s="1"/>
  <c r="S1459" i="1"/>
  <c r="T1459" i="1" s="1" a="1"/>
  <c r="T1459" i="1" s="1"/>
  <c r="S1460" i="1"/>
  <c r="T1460" i="1" s="1" a="1"/>
  <c r="T1460" i="1" s="1"/>
  <c r="S1461" i="1"/>
  <c r="T1461" i="1" s="1" a="1"/>
  <c r="T1461" i="1" s="1"/>
  <c r="S1462" i="1"/>
  <c r="T1462" i="1" s="1" a="1"/>
  <c r="T1462" i="1" s="1"/>
  <c r="S1463" i="1"/>
  <c r="T1463" i="1" s="1" a="1"/>
  <c r="T1463" i="1" s="1"/>
  <c r="S1464" i="1"/>
  <c r="T1464" i="1" s="1" a="1"/>
  <c r="T1464" i="1" s="1"/>
  <c r="S1465" i="1"/>
  <c r="T1465" i="1" s="1" a="1"/>
  <c r="T1465" i="1" s="1"/>
  <c r="S1466" i="1"/>
  <c r="T1466" i="1" s="1" a="1"/>
  <c r="T1466" i="1" s="1"/>
  <c r="S1467" i="1"/>
  <c r="T1467" i="1" s="1" a="1"/>
  <c r="T1467" i="1" s="1"/>
  <c r="S1468" i="1"/>
  <c r="T1468" i="1" s="1" a="1"/>
  <c r="T1468" i="1" s="1"/>
  <c r="S1469" i="1"/>
  <c r="T1469" i="1" s="1" a="1"/>
  <c r="T1469" i="1" s="1"/>
  <c r="S1470" i="1"/>
  <c r="T1470" i="1" s="1" a="1"/>
  <c r="T1470" i="1" s="1"/>
  <c r="S1471" i="1"/>
  <c r="T1471" i="1" s="1" a="1"/>
  <c r="T1471" i="1" s="1"/>
  <c r="S1472" i="1"/>
  <c r="T1472" i="1" s="1" a="1"/>
  <c r="T1472" i="1" s="1"/>
  <c r="S1473" i="1"/>
  <c r="T1473" i="1" s="1" a="1"/>
  <c r="T1473" i="1" s="1"/>
  <c r="S1474" i="1"/>
  <c r="T1474" i="1" s="1" a="1"/>
  <c r="T1474" i="1" s="1"/>
  <c r="S1475" i="1"/>
  <c r="T1475" i="1" s="1" a="1"/>
  <c r="T1475" i="1" s="1"/>
  <c r="S1476" i="1"/>
  <c r="T1476" i="1" s="1" a="1"/>
  <c r="T1476" i="1" s="1"/>
  <c r="S1477" i="1"/>
  <c r="T1477" i="1" s="1" a="1"/>
  <c r="T1477" i="1" s="1"/>
  <c r="S1478" i="1"/>
  <c r="T1478" i="1" s="1" a="1"/>
  <c r="T1478" i="1" s="1"/>
  <c r="S1479" i="1"/>
  <c r="T1479" i="1" s="1" a="1"/>
  <c r="T1479" i="1" s="1"/>
  <c r="S1480" i="1"/>
  <c r="T1480" i="1" s="1" a="1"/>
  <c r="T1480" i="1" s="1"/>
  <c r="S1481" i="1"/>
  <c r="T1481" i="1" s="1" a="1"/>
  <c r="T1481" i="1" s="1"/>
  <c r="S1482" i="1"/>
  <c r="T1482" i="1" s="1" a="1"/>
  <c r="T1482" i="1" s="1"/>
  <c r="S1483" i="1"/>
  <c r="T1483" i="1" s="1" a="1"/>
  <c r="T1483" i="1" s="1"/>
  <c r="S1484" i="1"/>
  <c r="T1484" i="1" s="1" a="1"/>
  <c r="T1484" i="1" s="1"/>
  <c r="S1485" i="1"/>
  <c r="T1485" i="1" s="1" a="1"/>
  <c r="T1485" i="1" s="1"/>
  <c r="S1486" i="1"/>
  <c r="T1486" i="1" s="1" a="1"/>
  <c r="T1486" i="1" s="1"/>
  <c r="S1487" i="1"/>
  <c r="T1487" i="1" s="1" a="1"/>
  <c r="T1487" i="1" s="1"/>
  <c r="S1488" i="1"/>
  <c r="T1488" i="1" s="1" a="1"/>
  <c r="T1488" i="1" s="1"/>
  <c r="S1489" i="1"/>
  <c r="T1489" i="1" s="1" a="1"/>
  <c r="T1489" i="1" s="1"/>
  <c r="S1490" i="1"/>
  <c r="T1490" i="1" s="1" a="1"/>
  <c r="T1490" i="1" s="1"/>
  <c r="S1491" i="1"/>
  <c r="T1491" i="1" s="1" a="1"/>
  <c r="T1491" i="1" s="1"/>
  <c r="S1492" i="1"/>
  <c r="T1492" i="1" s="1" a="1"/>
  <c r="T1492" i="1" s="1"/>
  <c r="S1493" i="1"/>
  <c r="T1493" i="1" s="1" a="1"/>
  <c r="T1493" i="1" s="1"/>
  <c r="S1494" i="1"/>
  <c r="T1494" i="1" s="1" a="1"/>
  <c r="T1494" i="1" s="1"/>
  <c r="S1495" i="1"/>
  <c r="T1495" i="1" s="1" a="1"/>
  <c r="T1495" i="1" s="1"/>
  <c r="S1496" i="1"/>
  <c r="T1496" i="1" s="1" a="1"/>
  <c r="T1496" i="1" s="1"/>
  <c r="S1497" i="1"/>
  <c r="T1497" i="1" s="1" a="1"/>
  <c r="T1497" i="1" s="1"/>
  <c r="S1498" i="1"/>
  <c r="T1498" i="1" s="1" a="1"/>
  <c r="T1498" i="1" s="1"/>
  <c r="S1499" i="1"/>
  <c r="T1499" i="1" s="1" a="1"/>
  <c r="T1499" i="1" s="1"/>
  <c r="S1500" i="1"/>
  <c r="T1500" i="1" s="1" a="1"/>
  <c r="T1500" i="1" s="1"/>
  <c r="S1501" i="1"/>
  <c r="T1501" i="1" s="1" a="1"/>
  <c r="T1501" i="1" s="1"/>
  <c r="S1502" i="1"/>
  <c r="T1502" i="1" s="1" a="1"/>
  <c r="T1502" i="1" s="1"/>
  <c r="S1503" i="1"/>
  <c r="T1503" i="1" s="1" a="1"/>
  <c r="T1503" i="1" s="1"/>
  <c r="S1504" i="1"/>
  <c r="T1504" i="1" s="1" a="1"/>
  <c r="T1504" i="1" s="1"/>
  <c r="S1505" i="1"/>
  <c r="T1505" i="1" s="1" a="1"/>
  <c r="T1505" i="1" s="1"/>
  <c r="S1506" i="1"/>
  <c r="T1506" i="1" s="1" a="1"/>
  <c r="T1506" i="1" s="1"/>
  <c r="S1507" i="1"/>
  <c r="T1507" i="1" s="1" a="1"/>
  <c r="T1507" i="1" s="1"/>
  <c r="S1508" i="1"/>
  <c r="T1508" i="1" s="1" a="1"/>
  <c r="T1508" i="1" s="1"/>
  <c r="S1509" i="1"/>
  <c r="T1509" i="1" s="1" a="1"/>
  <c r="T1509" i="1" s="1"/>
  <c r="S1510" i="1"/>
  <c r="T1510" i="1" s="1" a="1"/>
  <c r="T1510" i="1" s="1"/>
  <c r="S1511" i="1"/>
  <c r="T1511" i="1" s="1" a="1"/>
  <c r="T1511" i="1" s="1"/>
  <c r="S1512" i="1"/>
  <c r="T1512" i="1" s="1" a="1"/>
  <c r="T1512" i="1" s="1"/>
  <c r="S1513" i="1"/>
  <c r="T1513" i="1" s="1" a="1"/>
  <c r="T1513" i="1" s="1"/>
  <c r="S1514" i="1"/>
  <c r="T1514" i="1" s="1" a="1"/>
  <c r="T1514" i="1" s="1"/>
  <c r="S1515" i="1"/>
  <c r="T1515" i="1" s="1" a="1"/>
  <c r="T1515" i="1" s="1"/>
  <c r="S1516" i="1"/>
  <c r="T1516" i="1" s="1" a="1"/>
  <c r="T1516" i="1" s="1"/>
  <c r="S1517" i="1"/>
  <c r="T1517" i="1" s="1" a="1"/>
  <c r="T1517" i="1" s="1"/>
  <c r="S1518" i="1"/>
  <c r="T1518" i="1" s="1" a="1"/>
  <c r="T1518" i="1" s="1"/>
  <c r="S1519" i="1"/>
  <c r="T1519" i="1" s="1" a="1"/>
  <c r="T1519" i="1" s="1"/>
  <c r="S1520" i="1"/>
  <c r="T1520" i="1" s="1" a="1"/>
  <c r="T1520" i="1" s="1"/>
  <c r="S1521" i="1"/>
  <c r="T1521" i="1" s="1" a="1"/>
  <c r="T1521" i="1" s="1"/>
  <c r="S1522" i="1"/>
  <c r="T1522" i="1" s="1" a="1"/>
  <c r="T1522" i="1" s="1"/>
  <c r="S1523" i="1"/>
  <c r="T1523" i="1" s="1" a="1"/>
  <c r="T1523" i="1" s="1"/>
  <c r="S1524" i="1"/>
  <c r="T1524" i="1" s="1" a="1"/>
  <c r="T1524" i="1" s="1"/>
  <c r="S1525" i="1"/>
  <c r="T1525" i="1" s="1" a="1"/>
  <c r="T1525" i="1" s="1"/>
  <c r="S1526" i="1"/>
  <c r="T1526" i="1" s="1" a="1"/>
  <c r="T1526" i="1" s="1"/>
  <c r="S1527" i="1"/>
  <c r="T1527" i="1" s="1" a="1"/>
  <c r="T1527" i="1" s="1"/>
  <c r="S1528" i="1"/>
  <c r="T1528" i="1" s="1" a="1"/>
  <c r="T1528" i="1" s="1"/>
  <c r="S1529" i="1"/>
  <c r="T1529" i="1" s="1" a="1"/>
  <c r="T1529" i="1" s="1"/>
  <c r="S1530" i="1"/>
  <c r="T1530" i="1" s="1" a="1"/>
  <c r="T1530" i="1" s="1"/>
  <c r="S1531" i="1"/>
  <c r="T1531" i="1" s="1" a="1"/>
  <c r="T1531" i="1" s="1"/>
  <c r="S1532" i="1"/>
  <c r="T1532" i="1" s="1" a="1"/>
  <c r="T1532" i="1" s="1"/>
  <c r="S1533" i="1"/>
  <c r="T1533" i="1" s="1" a="1"/>
  <c r="T1533" i="1" s="1"/>
  <c r="S1534" i="1"/>
  <c r="T1534" i="1" s="1" a="1"/>
  <c r="T1534" i="1" s="1"/>
  <c r="S1535" i="1"/>
  <c r="T1535" i="1" s="1" a="1"/>
  <c r="T1535" i="1" s="1"/>
  <c r="S1536" i="1"/>
  <c r="T1536" i="1" s="1" a="1"/>
  <c r="T1536" i="1" s="1"/>
  <c r="S1537" i="1"/>
  <c r="T1537" i="1" s="1" a="1"/>
  <c r="T1537" i="1" s="1"/>
  <c r="S1538" i="1"/>
  <c r="T1538" i="1" s="1" a="1"/>
  <c r="T1538" i="1" s="1"/>
  <c r="S1539" i="1"/>
  <c r="T1539" i="1" s="1" a="1"/>
  <c r="T1539" i="1" s="1"/>
  <c r="S1540" i="1"/>
  <c r="T1540" i="1" s="1" a="1"/>
  <c r="T1540" i="1" s="1"/>
  <c r="S1541" i="1"/>
  <c r="T1541" i="1" s="1" a="1"/>
  <c r="T1541" i="1" s="1"/>
  <c r="S1542" i="1"/>
  <c r="T1542" i="1" s="1" a="1"/>
  <c r="T1542" i="1" s="1"/>
  <c r="S1543" i="1"/>
  <c r="T1543" i="1" s="1" a="1"/>
  <c r="T1543" i="1" s="1"/>
  <c r="S1544" i="1"/>
  <c r="T1544" i="1" s="1" a="1"/>
  <c r="T1544" i="1" s="1"/>
  <c r="S1545" i="1"/>
  <c r="T1545" i="1" s="1" a="1"/>
  <c r="T1545" i="1" s="1"/>
  <c r="S1546" i="1"/>
  <c r="T1546" i="1" s="1" a="1"/>
  <c r="T1546" i="1" s="1"/>
  <c r="S1547" i="1"/>
  <c r="T1547" i="1" s="1" a="1"/>
  <c r="T1547" i="1" s="1"/>
  <c r="S1548" i="1"/>
  <c r="T1548" i="1" s="1" a="1"/>
  <c r="T1548" i="1" s="1"/>
  <c r="S1549" i="1"/>
  <c r="T1549" i="1" s="1" a="1"/>
  <c r="T1549" i="1" s="1"/>
  <c r="S1550" i="1"/>
  <c r="T1550" i="1" s="1" a="1"/>
  <c r="T1550" i="1" s="1"/>
  <c r="S1551" i="1"/>
  <c r="T1551" i="1" s="1" a="1"/>
  <c r="T1551" i="1" s="1"/>
  <c r="S1552" i="1"/>
  <c r="T1552" i="1" s="1" a="1"/>
  <c r="T1552" i="1" s="1"/>
  <c r="S1553" i="1"/>
  <c r="T1553" i="1" s="1" a="1"/>
  <c r="T1553" i="1" s="1"/>
  <c r="S1554" i="1"/>
  <c r="T1554" i="1" s="1" a="1"/>
  <c r="T1554" i="1" s="1"/>
  <c r="S1555" i="1"/>
  <c r="T1555" i="1" s="1" a="1"/>
  <c r="T1555" i="1" s="1"/>
  <c r="S1556" i="1"/>
  <c r="T1556" i="1" s="1" a="1"/>
  <c r="T1556" i="1" s="1"/>
  <c r="S1557" i="1"/>
  <c r="T1557" i="1" s="1" a="1"/>
  <c r="T1557" i="1" s="1"/>
  <c r="S1558" i="1"/>
  <c r="T1558" i="1" s="1" a="1"/>
  <c r="T1558" i="1" s="1"/>
  <c r="S1559" i="1"/>
  <c r="T1559" i="1" s="1" a="1"/>
  <c r="T1559" i="1" s="1"/>
  <c r="S1560" i="1"/>
  <c r="T1560" i="1" s="1" a="1"/>
  <c r="T1560" i="1" s="1"/>
  <c r="S1561" i="1"/>
  <c r="T1561" i="1" s="1" a="1"/>
  <c r="T1561" i="1" s="1"/>
  <c r="S1562" i="1"/>
  <c r="T1562" i="1" s="1" a="1"/>
  <c r="T1562" i="1" s="1"/>
  <c r="S1563" i="1"/>
  <c r="T1563" i="1" s="1" a="1"/>
  <c r="T1563" i="1" s="1"/>
  <c r="S1564" i="1"/>
  <c r="T1564" i="1" s="1" a="1"/>
  <c r="T1564" i="1" s="1"/>
  <c r="S1565" i="1"/>
  <c r="T1565" i="1" s="1" a="1"/>
  <c r="T1565" i="1" s="1"/>
  <c r="S1566" i="1"/>
  <c r="T1566" i="1" s="1" a="1"/>
  <c r="T1566" i="1" s="1"/>
  <c r="S1567" i="1"/>
  <c r="T1567" i="1" s="1" a="1"/>
  <c r="T1567" i="1" s="1"/>
  <c r="S1568" i="1"/>
  <c r="T1568" i="1" s="1" a="1"/>
  <c r="T1568" i="1" s="1"/>
  <c r="S1569" i="1"/>
  <c r="T1569" i="1" s="1" a="1"/>
  <c r="T1569" i="1" s="1"/>
  <c r="S1570" i="1"/>
  <c r="T1570" i="1" s="1" a="1"/>
  <c r="T1570" i="1" s="1"/>
  <c r="S1571" i="1"/>
  <c r="T1571" i="1" s="1" a="1"/>
  <c r="T1571" i="1" s="1"/>
  <c r="S1572" i="1"/>
  <c r="T1572" i="1" s="1" a="1"/>
  <c r="T1572" i="1" s="1"/>
  <c r="S1573" i="1"/>
  <c r="T1573" i="1" s="1" a="1"/>
  <c r="T1573" i="1" s="1"/>
  <c r="S1574" i="1"/>
  <c r="T1574" i="1" s="1" a="1"/>
  <c r="T1574" i="1" s="1"/>
  <c r="S1575" i="1"/>
  <c r="T1575" i="1" s="1" a="1"/>
  <c r="T1575" i="1" s="1"/>
  <c r="S1576" i="1"/>
  <c r="T1576" i="1" s="1" a="1"/>
  <c r="T1576" i="1" s="1"/>
  <c r="S1577" i="1"/>
  <c r="T1577" i="1" s="1" a="1"/>
  <c r="T1577" i="1" s="1"/>
  <c r="S1578" i="1"/>
  <c r="T1578" i="1" s="1" a="1"/>
  <c r="T1578" i="1" s="1"/>
  <c r="S1579" i="1"/>
  <c r="T1579" i="1" s="1" a="1"/>
  <c r="T1579" i="1" s="1"/>
  <c r="S1580" i="1"/>
  <c r="T1580" i="1" s="1" a="1"/>
  <c r="T1580" i="1" s="1"/>
  <c r="S1581" i="1"/>
  <c r="T1581" i="1" s="1" a="1"/>
  <c r="T1581" i="1" s="1"/>
  <c r="S1582" i="1"/>
  <c r="T1582" i="1" s="1" a="1"/>
  <c r="T1582" i="1" s="1"/>
  <c r="S1583" i="1"/>
  <c r="T1583" i="1" s="1" a="1"/>
  <c r="T1583" i="1" s="1"/>
  <c r="S1584" i="1"/>
  <c r="T1584" i="1" s="1" a="1"/>
  <c r="T1584" i="1" s="1"/>
  <c r="S1585" i="1"/>
  <c r="T1585" i="1" s="1" a="1"/>
  <c r="T1585" i="1" s="1"/>
  <c r="S1586" i="1"/>
  <c r="T1586" i="1" s="1" a="1"/>
  <c r="T1586" i="1" s="1"/>
  <c r="S1587" i="1"/>
  <c r="T1587" i="1" s="1" a="1"/>
  <c r="T1587" i="1" s="1"/>
  <c r="S1588" i="1"/>
  <c r="T1588" i="1" s="1" a="1"/>
  <c r="T1588" i="1" s="1"/>
  <c r="S1589" i="1"/>
  <c r="T1589" i="1" s="1" a="1"/>
  <c r="T1589" i="1" s="1"/>
  <c r="S1590" i="1"/>
  <c r="T1590" i="1" s="1" a="1"/>
  <c r="T1590" i="1" s="1"/>
  <c r="S1591" i="1"/>
  <c r="T1591" i="1" s="1" a="1"/>
  <c r="T1591" i="1" s="1"/>
  <c r="S1592" i="1"/>
  <c r="T1592" i="1" s="1" a="1"/>
  <c r="T1592" i="1" s="1"/>
  <c r="S1593" i="1"/>
  <c r="T1593" i="1" s="1" a="1"/>
  <c r="T1593" i="1" s="1"/>
  <c r="S1594" i="1"/>
  <c r="T1594" i="1" s="1" a="1"/>
  <c r="T1594" i="1" s="1"/>
  <c r="S1595" i="1"/>
  <c r="T1595" i="1" s="1" a="1"/>
  <c r="T1595" i="1" s="1"/>
  <c r="S1596" i="1"/>
  <c r="T1596" i="1" s="1" a="1"/>
  <c r="T1596" i="1" s="1"/>
  <c r="S1597" i="1"/>
  <c r="T1597" i="1" s="1" a="1"/>
  <c r="T1597" i="1" s="1"/>
  <c r="S1598" i="1"/>
  <c r="T1598" i="1" s="1" a="1"/>
  <c r="T1598" i="1" s="1"/>
  <c r="S1599" i="1"/>
  <c r="T1599" i="1" s="1" a="1"/>
  <c r="T1599" i="1" s="1"/>
  <c r="S1600" i="1"/>
  <c r="T1600" i="1" s="1" a="1"/>
  <c r="T1600" i="1" s="1"/>
  <c r="S1601" i="1"/>
  <c r="T1601" i="1" s="1" a="1"/>
  <c r="T1601" i="1" s="1"/>
  <c r="S1602" i="1"/>
  <c r="T1602" i="1" s="1" a="1"/>
  <c r="T1602" i="1" s="1"/>
  <c r="S1603" i="1"/>
  <c r="T1603" i="1" s="1" a="1"/>
  <c r="T1603" i="1" s="1"/>
  <c r="S1604" i="1"/>
  <c r="T1604" i="1" s="1" a="1"/>
  <c r="T1604" i="1" s="1"/>
  <c r="S1605" i="1"/>
  <c r="T1605" i="1" s="1" a="1"/>
  <c r="T1605" i="1" s="1"/>
  <c r="S1606" i="1"/>
  <c r="T1606" i="1" s="1" a="1"/>
  <c r="T1606" i="1" s="1"/>
  <c r="S1607" i="1"/>
  <c r="T1607" i="1" s="1" a="1"/>
  <c r="T1607" i="1" s="1"/>
  <c r="S1608" i="1"/>
  <c r="T1608" i="1" s="1" a="1"/>
  <c r="T1608" i="1" s="1"/>
  <c r="S1609" i="1"/>
  <c r="T1609" i="1" s="1" a="1"/>
  <c r="T1609" i="1" s="1"/>
  <c r="S1610" i="1"/>
  <c r="T1610" i="1" s="1" a="1"/>
  <c r="T1610" i="1" s="1"/>
  <c r="S1611" i="1"/>
  <c r="T1611" i="1" s="1" a="1"/>
  <c r="T1611" i="1" s="1"/>
  <c r="S1612" i="1"/>
  <c r="T1612" i="1" s="1" a="1"/>
  <c r="T1612" i="1" s="1"/>
  <c r="S1613" i="1"/>
  <c r="T1613" i="1" s="1" a="1"/>
  <c r="T1613" i="1" s="1"/>
  <c r="S1614" i="1"/>
  <c r="T1614" i="1" s="1" a="1"/>
  <c r="T1614" i="1" s="1"/>
  <c r="S1615" i="1"/>
  <c r="T1615" i="1" s="1" a="1"/>
  <c r="T1615" i="1" s="1"/>
  <c r="S1616" i="1"/>
  <c r="T1616" i="1" s="1" a="1"/>
  <c r="T1616" i="1" s="1"/>
  <c r="S1617" i="1"/>
  <c r="T1617" i="1" s="1" a="1"/>
  <c r="T1617" i="1" s="1"/>
  <c r="S1618" i="1"/>
  <c r="T1618" i="1" s="1" a="1"/>
  <c r="T1618" i="1" s="1"/>
  <c r="S1619" i="1"/>
  <c r="T1619" i="1" s="1" a="1"/>
  <c r="T1619" i="1" s="1"/>
  <c r="S1620" i="1"/>
  <c r="T1620" i="1" s="1" a="1"/>
  <c r="T1620" i="1" s="1"/>
  <c r="S1621" i="1"/>
  <c r="T1621" i="1" s="1" a="1"/>
  <c r="T1621" i="1" s="1"/>
  <c r="S1622" i="1"/>
  <c r="T1622" i="1" s="1" a="1"/>
  <c r="T1622" i="1" s="1"/>
  <c r="S1623" i="1"/>
  <c r="T1623" i="1" s="1" a="1"/>
  <c r="T1623" i="1" s="1"/>
  <c r="S1624" i="1"/>
  <c r="T1624" i="1" s="1" a="1"/>
  <c r="T1624" i="1" s="1"/>
  <c r="S1625" i="1"/>
  <c r="T1625" i="1" s="1" a="1"/>
  <c r="T1625" i="1" s="1"/>
  <c r="S1626" i="1"/>
  <c r="T1626" i="1" s="1" a="1"/>
  <c r="T1626" i="1" s="1"/>
  <c r="S1627" i="1"/>
  <c r="T1627" i="1" s="1" a="1"/>
  <c r="T1627" i="1" s="1"/>
  <c r="S1628" i="1"/>
  <c r="T1628" i="1" s="1" a="1"/>
  <c r="T1628" i="1" s="1"/>
  <c r="S1629" i="1"/>
  <c r="T1629" i="1" s="1" a="1"/>
  <c r="T1629" i="1" s="1"/>
  <c r="S1630" i="1"/>
  <c r="T1630" i="1" s="1" a="1"/>
  <c r="T1630" i="1" s="1"/>
  <c r="S1631" i="1"/>
  <c r="T1631" i="1" s="1" a="1"/>
  <c r="T1631" i="1" s="1"/>
  <c r="S1632" i="1"/>
  <c r="T1632" i="1" s="1" a="1"/>
  <c r="T1632" i="1" s="1"/>
  <c r="S1633" i="1"/>
  <c r="T1633" i="1" s="1" a="1"/>
  <c r="T1633" i="1" s="1"/>
  <c r="S1634" i="1"/>
  <c r="T1634" i="1" s="1" a="1"/>
  <c r="T1634" i="1" s="1"/>
  <c r="S1635" i="1"/>
  <c r="T1635" i="1" s="1" a="1"/>
  <c r="T1635" i="1" s="1"/>
  <c r="S1636" i="1"/>
  <c r="T1636" i="1" s="1" a="1"/>
  <c r="T1636" i="1" s="1"/>
  <c r="S1637" i="1"/>
  <c r="T1637" i="1" s="1" a="1"/>
  <c r="T1637" i="1" s="1"/>
  <c r="S1638" i="1"/>
  <c r="T1638" i="1" s="1" a="1"/>
  <c r="T1638" i="1" s="1"/>
  <c r="S1639" i="1"/>
  <c r="T1639" i="1" s="1" a="1"/>
  <c r="T1639" i="1" s="1"/>
  <c r="S1640" i="1"/>
  <c r="T1640" i="1" s="1" a="1"/>
  <c r="T1640" i="1" s="1"/>
  <c r="S1641" i="1"/>
  <c r="T1641" i="1" s="1" a="1"/>
  <c r="T1641" i="1" s="1"/>
  <c r="S1642" i="1"/>
  <c r="T1642" i="1" s="1" a="1"/>
  <c r="T1642" i="1" s="1"/>
  <c r="S1643" i="1"/>
  <c r="T1643" i="1" s="1" a="1"/>
  <c r="T1643" i="1" s="1"/>
  <c r="S1644" i="1"/>
  <c r="T1644" i="1" s="1" a="1"/>
  <c r="T1644" i="1" s="1"/>
  <c r="S1645" i="1"/>
  <c r="T1645" i="1" s="1" a="1"/>
  <c r="T1645" i="1" s="1"/>
  <c r="S1646" i="1"/>
  <c r="T1646" i="1" s="1" a="1"/>
  <c r="T1646" i="1" s="1"/>
  <c r="S1647" i="1"/>
  <c r="T1647" i="1" s="1" a="1"/>
  <c r="T1647" i="1" s="1"/>
  <c r="S1648" i="1"/>
  <c r="T1648" i="1" s="1" a="1"/>
  <c r="T1648" i="1" s="1"/>
  <c r="S1649" i="1"/>
  <c r="T1649" i="1" s="1" a="1"/>
  <c r="T1649" i="1" s="1"/>
  <c r="S1650" i="1"/>
  <c r="T1650" i="1" s="1" a="1"/>
  <c r="T1650" i="1" s="1"/>
  <c r="S1651" i="1"/>
  <c r="T1651" i="1" s="1" a="1"/>
  <c r="T1651" i="1" s="1"/>
  <c r="S1652" i="1"/>
  <c r="T1652" i="1" s="1" a="1"/>
  <c r="T1652" i="1" s="1"/>
  <c r="S1653" i="1"/>
  <c r="T1653" i="1" s="1" a="1"/>
  <c r="T1653" i="1" s="1"/>
  <c r="S1654" i="1"/>
  <c r="T1654" i="1" s="1" a="1"/>
  <c r="T1654" i="1" s="1"/>
  <c r="S1655" i="1"/>
  <c r="T1655" i="1" s="1" a="1"/>
  <c r="T1655" i="1" s="1"/>
  <c r="S1656" i="1"/>
  <c r="T1656" i="1" s="1" a="1"/>
  <c r="T1656" i="1" s="1"/>
  <c r="S1657" i="1"/>
  <c r="T1657" i="1" s="1" a="1"/>
  <c r="T1657" i="1" s="1"/>
  <c r="S1658" i="1"/>
  <c r="T1658" i="1" s="1" a="1"/>
  <c r="T1658" i="1" s="1"/>
  <c r="S1659" i="1"/>
  <c r="T1659" i="1" s="1" a="1"/>
  <c r="T1659" i="1" s="1"/>
  <c r="S1660" i="1"/>
  <c r="T1660" i="1" s="1" a="1"/>
  <c r="T1660" i="1" s="1"/>
  <c r="S1661" i="1"/>
  <c r="T1661" i="1" s="1" a="1"/>
  <c r="T1661" i="1" s="1"/>
  <c r="S1662" i="1"/>
  <c r="T1662" i="1" s="1" a="1"/>
  <c r="T1662" i="1" s="1"/>
  <c r="S1663" i="1"/>
  <c r="T1663" i="1" s="1" a="1"/>
  <c r="T1663" i="1" s="1"/>
  <c r="S1664" i="1"/>
  <c r="T1664" i="1" s="1" a="1"/>
  <c r="T1664" i="1" s="1"/>
  <c r="S1665" i="1"/>
  <c r="T1665" i="1" s="1" a="1"/>
  <c r="T1665" i="1" s="1"/>
  <c r="S1666" i="1"/>
  <c r="T1666" i="1" s="1" a="1"/>
  <c r="T1666" i="1" s="1"/>
  <c r="S1667" i="1"/>
  <c r="T1667" i="1" s="1" a="1"/>
  <c r="T1667" i="1" s="1"/>
  <c r="S1668" i="1"/>
  <c r="T1668" i="1" s="1" a="1"/>
  <c r="T1668" i="1" s="1"/>
  <c r="S1669" i="1"/>
  <c r="T1669" i="1" s="1" a="1"/>
  <c r="T1669" i="1" s="1"/>
  <c r="S1670" i="1"/>
  <c r="T1670" i="1" s="1" a="1"/>
  <c r="T1670" i="1" s="1"/>
  <c r="S1671" i="1"/>
  <c r="T1671" i="1" s="1" a="1"/>
  <c r="T1671" i="1" s="1"/>
  <c r="S1672" i="1"/>
  <c r="T1672" i="1" s="1" a="1"/>
  <c r="T1672" i="1" s="1"/>
  <c r="S1673" i="1"/>
  <c r="T1673" i="1" s="1" a="1"/>
  <c r="T1673" i="1" s="1"/>
  <c r="S1674" i="1"/>
  <c r="T1674" i="1" s="1" a="1"/>
  <c r="T1674" i="1" s="1"/>
  <c r="S1675" i="1"/>
  <c r="T1675" i="1" s="1" a="1"/>
  <c r="T1675" i="1" s="1"/>
  <c r="S1676" i="1"/>
  <c r="T1676" i="1" s="1" a="1"/>
  <c r="T1676" i="1" s="1"/>
  <c r="S1677" i="1"/>
  <c r="T1677" i="1" s="1" a="1"/>
  <c r="T1677" i="1" s="1"/>
  <c r="S1678" i="1"/>
  <c r="T1678" i="1" s="1" a="1"/>
  <c r="T1678" i="1" s="1"/>
  <c r="S1679" i="1"/>
  <c r="T1679" i="1" s="1" a="1"/>
  <c r="T1679" i="1" s="1"/>
  <c r="S1680" i="1"/>
  <c r="T1680" i="1" s="1" a="1"/>
  <c r="T1680" i="1" s="1"/>
  <c r="S1681" i="1"/>
  <c r="T1681" i="1" s="1" a="1"/>
  <c r="T1681" i="1" s="1"/>
  <c r="S1682" i="1"/>
  <c r="T1682" i="1" s="1" a="1"/>
  <c r="T1682" i="1" s="1"/>
  <c r="S1683" i="1"/>
  <c r="T1683" i="1" s="1" a="1"/>
  <c r="T1683" i="1" s="1"/>
  <c r="S1684" i="1"/>
  <c r="T1684" i="1" s="1" a="1"/>
  <c r="T1684" i="1" s="1"/>
  <c r="S1685" i="1"/>
  <c r="T1685" i="1" s="1" a="1"/>
  <c r="T1685" i="1" s="1"/>
  <c r="S1686" i="1"/>
  <c r="T1686" i="1" s="1" a="1"/>
  <c r="T1686" i="1" s="1"/>
  <c r="S1687" i="1"/>
  <c r="T1687" i="1" s="1" a="1"/>
  <c r="T1687" i="1" s="1"/>
  <c r="S1688" i="1"/>
  <c r="T1688" i="1" s="1" a="1"/>
  <c r="T1688" i="1" s="1"/>
  <c r="S1689" i="1"/>
  <c r="T1689" i="1" s="1" a="1"/>
  <c r="T1689" i="1" s="1"/>
  <c r="S1690" i="1"/>
  <c r="T1690" i="1" s="1" a="1"/>
  <c r="T1690" i="1" s="1"/>
  <c r="S1691" i="1"/>
  <c r="T1691" i="1" s="1" a="1"/>
  <c r="T1691" i="1" s="1"/>
  <c r="S1692" i="1"/>
  <c r="T1692" i="1" s="1" a="1"/>
  <c r="T1692" i="1" s="1"/>
  <c r="S1693" i="1"/>
  <c r="T1693" i="1" s="1" a="1"/>
  <c r="T1693" i="1" s="1"/>
  <c r="S1694" i="1"/>
  <c r="T1694" i="1" s="1" a="1"/>
  <c r="T1694" i="1" s="1"/>
  <c r="S1695" i="1"/>
  <c r="T1695" i="1" s="1" a="1"/>
  <c r="T1695" i="1" s="1"/>
  <c r="S1696" i="1"/>
  <c r="T1696" i="1" s="1" a="1"/>
  <c r="T1696" i="1" s="1"/>
  <c r="S1697" i="1"/>
  <c r="T1697" i="1" s="1" a="1"/>
  <c r="T1697" i="1" s="1"/>
  <c r="S1698" i="1"/>
  <c r="T1698" i="1" s="1" a="1"/>
  <c r="T1698" i="1" s="1"/>
  <c r="S1699" i="1"/>
  <c r="T1699" i="1" s="1" a="1"/>
  <c r="T1699" i="1" s="1"/>
  <c r="S1700" i="1"/>
  <c r="T1700" i="1" s="1" a="1"/>
  <c r="T1700" i="1" s="1"/>
  <c r="S1701" i="1"/>
  <c r="T1701" i="1" s="1" a="1"/>
  <c r="T1701" i="1" s="1"/>
  <c r="S1702" i="1"/>
  <c r="T1702" i="1" s="1" a="1"/>
  <c r="T1702" i="1" s="1"/>
  <c r="S1703" i="1"/>
  <c r="T1703" i="1" s="1" a="1"/>
  <c r="T1703" i="1" s="1"/>
  <c r="S1704" i="1"/>
  <c r="T1704" i="1" s="1" a="1"/>
  <c r="T1704" i="1" s="1"/>
  <c r="S1705" i="1"/>
  <c r="T1705" i="1" s="1" a="1"/>
  <c r="T1705" i="1" s="1"/>
  <c r="S1706" i="1"/>
  <c r="T1706" i="1" s="1" a="1"/>
  <c r="T1706" i="1" s="1"/>
  <c r="S1707" i="1"/>
  <c r="T1707" i="1" s="1" a="1"/>
  <c r="T1707" i="1" s="1"/>
  <c r="S1708" i="1"/>
  <c r="T1708" i="1" s="1" a="1"/>
  <c r="T1708" i="1" s="1"/>
  <c r="S1709" i="1"/>
  <c r="T1709" i="1" s="1" a="1"/>
  <c r="T1709" i="1" s="1"/>
  <c r="S1710" i="1"/>
  <c r="T1710" i="1" s="1" a="1"/>
  <c r="T1710" i="1" s="1"/>
  <c r="S1711" i="1"/>
  <c r="T1711" i="1" s="1" a="1"/>
  <c r="T1711" i="1" s="1"/>
  <c r="S1712" i="1"/>
  <c r="T1712" i="1" s="1" a="1"/>
  <c r="T1712" i="1" s="1"/>
  <c r="S1713" i="1"/>
  <c r="T1713" i="1" s="1" a="1"/>
  <c r="T1713" i="1" s="1"/>
  <c r="S1714" i="1"/>
  <c r="T1714" i="1" s="1" a="1"/>
  <c r="T1714" i="1" s="1"/>
  <c r="S1715" i="1"/>
  <c r="T1715" i="1" s="1" a="1"/>
  <c r="T1715" i="1" s="1"/>
  <c r="S1716" i="1"/>
  <c r="T1716" i="1" s="1" a="1"/>
  <c r="T1716" i="1" s="1"/>
  <c r="S1717" i="1"/>
  <c r="T1717" i="1" s="1" a="1"/>
  <c r="T1717" i="1" s="1"/>
  <c r="S1718" i="1"/>
  <c r="T1718" i="1" s="1" a="1"/>
  <c r="T1718" i="1" s="1"/>
  <c r="S1719" i="1"/>
  <c r="T1719" i="1" s="1" a="1"/>
  <c r="T1719" i="1" s="1"/>
  <c r="S1720" i="1"/>
  <c r="T1720" i="1" s="1" a="1"/>
  <c r="T1720" i="1" s="1"/>
  <c r="S1721" i="1"/>
  <c r="T1721" i="1" s="1" a="1"/>
  <c r="T1721" i="1" s="1"/>
  <c r="S1722" i="1"/>
  <c r="T1722" i="1" s="1" a="1"/>
  <c r="T1722" i="1" s="1"/>
  <c r="S1723" i="1"/>
  <c r="T1723" i="1" s="1" a="1"/>
  <c r="T1723" i="1" s="1"/>
  <c r="S1724" i="1"/>
  <c r="T1724" i="1" s="1" a="1"/>
  <c r="T1724" i="1" s="1"/>
  <c r="S1725" i="1"/>
  <c r="T1725" i="1" s="1" a="1"/>
  <c r="T1725" i="1" s="1"/>
  <c r="S1726" i="1"/>
  <c r="T1726" i="1" s="1" a="1"/>
  <c r="T1726" i="1" s="1"/>
  <c r="S1727" i="1"/>
  <c r="T1727" i="1" s="1" a="1"/>
  <c r="T1727" i="1" s="1"/>
  <c r="S1728" i="1"/>
  <c r="T1728" i="1" s="1" a="1"/>
  <c r="T1728" i="1" s="1"/>
  <c r="S1729" i="1"/>
  <c r="T1729" i="1" s="1" a="1"/>
  <c r="T1729" i="1" s="1"/>
  <c r="S1730" i="1"/>
  <c r="T1730" i="1" s="1" a="1"/>
  <c r="T1730" i="1" s="1"/>
  <c r="S1731" i="1"/>
  <c r="T1731" i="1" s="1" a="1"/>
  <c r="T1731" i="1" s="1"/>
  <c r="S1732" i="1"/>
  <c r="T1732" i="1" s="1" a="1"/>
  <c r="T1732" i="1" s="1"/>
  <c r="S1733" i="1"/>
  <c r="T1733" i="1" s="1" a="1"/>
  <c r="T1733" i="1" s="1"/>
  <c r="S1734" i="1"/>
  <c r="T1734" i="1" s="1" a="1"/>
  <c r="T1734" i="1" s="1"/>
  <c r="S1735" i="1"/>
  <c r="T1735" i="1" s="1" a="1"/>
  <c r="T1735" i="1" s="1"/>
  <c r="S1736" i="1"/>
  <c r="T1736" i="1" s="1" a="1"/>
  <c r="T1736" i="1" s="1"/>
  <c r="S1737" i="1"/>
  <c r="T1737" i="1" s="1" a="1"/>
  <c r="T1737" i="1" s="1"/>
  <c r="S1738" i="1"/>
  <c r="T1738" i="1" s="1" a="1"/>
  <c r="T1738" i="1" s="1"/>
  <c r="S1739" i="1"/>
  <c r="T1739" i="1" s="1" a="1"/>
  <c r="T1739" i="1" s="1"/>
  <c r="S1740" i="1"/>
  <c r="T1740" i="1" s="1" a="1"/>
  <c r="T1740" i="1" s="1"/>
  <c r="S1741" i="1"/>
  <c r="T1741" i="1" s="1" a="1"/>
  <c r="T1741" i="1" s="1"/>
  <c r="S1742" i="1"/>
  <c r="T1742" i="1" s="1" a="1"/>
  <c r="T1742" i="1" s="1"/>
  <c r="S1743" i="1"/>
  <c r="T1743" i="1" s="1" a="1"/>
  <c r="T1743" i="1" s="1"/>
  <c r="S1744" i="1"/>
  <c r="T1744" i="1" s="1" a="1"/>
  <c r="T1744" i="1" s="1"/>
  <c r="S1745" i="1"/>
  <c r="T1745" i="1" s="1" a="1"/>
  <c r="T1745" i="1" s="1"/>
  <c r="S1746" i="1"/>
  <c r="T1746" i="1" s="1" a="1"/>
  <c r="T1746" i="1" s="1"/>
  <c r="S1747" i="1"/>
  <c r="T1747" i="1" s="1" a="1"/>
  <c r="T1747" i="1" s="1"/>
  <c r="S1748" i="1"/>
  <c r="T1748" i="1" s="1" a="1"/>
  <c r="T1748" i="1" s="1"/>
  <c r="S1749" i="1"/>
  <c r="T1749" i="1" s="1" a="1"/>
  <c r="T1749" i="1" s="1"/>
  <c r="S1750" i="1"/>
  <c r="T1750" i="1" s="1" a="1"/>
  <c r="T1750" i="1" s="1"/>
  <c r="S1751" i="1"/>
  <c r="T1751" i="1" s="1" a="1"/>
  <c r="T1751" i="1" s="1"/>
  <c r="S1752" i="1"/>
  <c r="T1752" i="1" s="1" a="1"/>
  <c r="T1752" i="1" s="1"/>
  <c r="S1753" i="1"/>
  <c r="T1753" i="1" s="1" a="1"/>
  <c r="T1753" i="1" s="1"/>
  <c r="S1754" i="1"/>
  <c r="T1754" i="1" s="1" a="1"/>
  <c r="T1754" i="1" s="1"/>
  <c r="S1755" i="1"/>
  <c r="T1755" i="1" s="1" a="1"/>
  <c r="T1755" i="1" s="1"/>
  <c r="S1756" i="1"/>
  <c r="T1756" i="1" s="1" a="1"/>
  <c r="T1756" i="1" s="1"/>
  <c r="S1757" i="1"/>
  <c r="T1757" i="1" s="1" a="1"/>
  <c r="T1757" i="1" s="1"/>
  <c r="S1758" i="1"/>
  <c r="T1758" i="1" s="1" a="1"/>
  <c r="T1758" i="1" s="1"/>
  <c r="S1759" i="1"/>
  <c r="T1759" i="1" s="1" a="1"/>
  <c r="T1759" i="1" s="1"/>
  <c r="S1760" i="1"/>
  <c r="T1760" i="1" s="1" a="1"/>
  <c r="T1760" i="1" s="1"/>
  <c r="S1761" i="1"/>
  <c r="T1761" i="1" s="1" a="1"/>
  <c r="T1761" i="1" s="1"/>
  <c r="S1762" i="1"/>
  <c r="T1762" i="1" s="1" a="1"/>
  <c r="T1762" i="1" s="1"/>
  <c r="S1763" i="1"/>
  <c r="T1763" i="1" s="1" a="1"/>
  <c r="T1763" i="1" s="1"/>
  <c r="S1764" i="1"/>
  <c r="T1764" i="1" s="1" a="1"/>
  <c r="T1764" i="1" s="1"/>
  <c r="S1765" i="1"/>
  <c r="T1765" i="1" s="1" a="1"/>
  <c r="T1765" i="1" s="1"/>
  <c r="S1766" i="1"/>
  <c r="T1766" i="1" s="1" a="1"/>
  <c r="T1766" i="1" s="1"/>
  <c r="S1767" i="1"/>
  <c r="T1767" i="1" s="1" a="1"/>
  <c r="T1767" i="1" s="1"/>
  <c r="S1768" i="1"/>
  <c r="T1768" i="1" s="1" a="1"/>
  <c r="T1768" i="1" s="1"/>
  <c r="S1769" i="1"/>
  <c r="T1769" i="1" s="1" a="1"/>
  <c r="T1769" i="1" s="1"/>
  <c r="S1770" i="1"/>
  <c r="T1770" i="1" s="1" a="1"/>
  <c r="T1770" i="1" s="1"/>
  <c r="S1771" i="1"/>
  <c r="T1771" i="1" s="1" a="1"/>
  <c r="T1771" i="1" s="1"/>
  <c r="S1772" i="1"/>
  <c r="T1772" i="1" s="1" a="1"/>
  <c r="T1772" i="1" s="1"/>
  <c r="S1773" i="1"/>
  <c r="T1773" i="1" s="1" a="1"/>
  <c r="T1773" i="1" s="1"/>
  <c r="S1774" i="1"/>
  <c r="T1774" i="1" s="1" a="1"/>
  <c r="T1774" i="1" s="1"/>
  <c r="S1775" i="1"/>
  <c r="T1775" i="1" s="1" a="1"/>
  <c r="T1775" i="1" s="1"/>
  <c r="S1776" i="1"/>
  <c r="T1776" i="1" s="1" a="1"/>
  <c r="T1776" i="1" s="1"/>
  <c r="S1777" i="1"/>
  <c r="T1777" i="1" s="1" a="1"/>
  <c r="T1777" i="1" s="1"/>
  <c r="S1778" i="1"/>
  <c r="T1778" i="1" s="1" a="1"/>
  <c r="T1778" i="1" s="1"/>
  <c r="S1779" i="1"/>
  <c r="T1779" i="1" s="1" a="1"/>
  <c r="T1779" i="1" s="1"/>
  <c r="S1780" i="1"/>
  <c r="T1780" i="1" s="1" a="1"/>
  <c r="T1780" i="1" s="1"/>
  <c r="S1781" i="1"/>
  <c r="T1781" i="1" s="1" a="1"/>
  <c r="T1781" i="1" s="1"/>
  <c r="S1782" i="1"/>
  <c r="T1782" i="1" s="1" a="1"/>
  <c r="T1782" i="1" s="1"/>
  <c r="S1783" i="1"/>
  <c r="T1783" i="1" s="1" a="1"/>
  <c r="T1783" i="1" s="1"/>
  <c r="S1784" i="1"/>
  <c r="T1784" i="1" s="1" a="1"/>
  <c r="T1784" i="1" s="1"/>
  <c r="S1785" i="1"/>
  <c r="T1785" i="1" s="1" a="1"/>
  <c r="T1785" i="1" s="1"/>
  <c r="S1786" i="1"/>
  <c r="T1786" i="1" s="1" a="1"/>
  <c r="T1786" i="1" s="1"/>
  <c r="S1787" i="1"/>
  <c r="T1787" i="1" s="1" a="1"/>
  <c r="T1787" i="1" s="1"/>
  <c r="S1788" i="1"/>
  <c r="T1788" i="1" s="1" a="1"/>
  <c r="T1788" i="1" s="1"/>
  <c r="S1789" i="1"/>
  <c r="T1789" i="1" s="1" a="1"/>
  <c r="T1789" i="1" s="1"/>
  <c r="S1790" i="1"/>
  <c r="T1790" i="1" s="1" a="1"/>
  <c r="T1790" i="1" s="1"/>
  <c r="S1791" i="1"/>
  <c r="T1791" i="1" s="1" a="1"/>
  <c r="T1791" i="1" s="1"/>
  <c r="S1792" i="1"/>
  <c r="T1792" i="1" s="1" a="1"/>
  <c r="T1792" i="1" s="1"/>
  <c r="S1793" i="1"/>
  <c r="T1793" i="1" s="1" a="1"/>
  <c r="T1793" i="1" s="1"/>
  <c r="S1794" i="1"/>
  <c r="T1794" i="1" s="1" a="1"/>
  <c r="T1794" i="1" s="1"/>
  <c r="S1795" i="1"/>
  <c r="T1795" i="1" s="1" a="1"/>
  <c r="T1795" i="1" s="1"/>
  <c r="S1796" i="1"/>
  <c r="T1796" i="1" s="1" a="1"/>
  <c r="T1796" i="1" s="1"/>
  <c r="S1797" i="1"/>
  <c r="T1797" i="1" s="1" a="1"/>
  <c r="T1797" i="1" s="1"/>
  <c r="S1798" i="1"/>
  <c r="T1798" i="1" s="1" a="1"/>
  <c r="T1798" i="1" s="1"/>
  <c r="S1799" i="1"/>
  <c r="T1799" i="1" s="1" a="1"/>
  <c r="T1799" i="1" s="1"/>
  <c r="S1800" i="1"/>
  <c r="T1800" i="1" s="1" a="1"/>
  <c r="T1800" i="1" s="1"/>
  <c r="S1801" i="1"/>
  <c r="T1801" i="1" s="1" a="1"/>
  <c r="T1801" i="1" s="1"/>
  <c r="S1802" i="1"/>
  <c r="T1802" i="1" s="1" a="1"/>
  <c r="T1802" i="1" s="1"/>
  <c r="S1803" i="1"/>
  <c r="T1803" i="1" s="1" a="1"/>
  <c r="T1803" i="1" s="1"/>
  <c r="S1804" i="1"/>
  <c r="T1804" i="1" s="1" a="1"/>
  <c r="T1804" i="1" s="1"/>
  <c r="S1805" i="1"/>
  <c r="T1805" i="1" s="1" a="1"/>
  <c r="T1805" i="1" s="1"/>
  <c r="S1806" i="1"/>
  <c r="T1806" i="1" s="1" a="1"/>
  <c r="T1806" i="1" s="1"/>
  <c r="S1807" i="1"/>
  <c r="T1807" i="1" s="1" a="1"/>
  <c r="T1807" i="1" s="1"/>
  <c r="S1808" i="1"/>
  <c r="T1808" i="1" s="1" a="1"/>
  <c r="T1808" i="1" s="1"/>
  <c r="S1809" i="1"/>
  <c r="T1809" i="1" s="1" a="1"/>
  <c r="T1809" i="1" s="1"/>
  <c r="S1810" i="1"/>
  <c r="T1810" i="1" s="1" a="1"/>
  <c r="T1810" i="1" s="1"/>
  <c r="S1811" i="1"/>
  <c r="T1811" i="1" s="1" a="1"/>
  <c r="T1811" i="1" s="1"/>
  <c r="S1812" i="1"/>
  <c r="T1812" i="1" s="1" a="1"/>
  <c r="T1812" i="1" s="1"/>
  <c r="S1813" i="1"/>
  <c r="T1813" i="1" s="1" a="1"/>
  <c r="T1813" i="1" s="1"/>
  <c r="S1814" i="1"/>
  <c r="T1814" i="1" s="1" a="1"/>
  <c r="T1814" i="1" s="1"/>
  <c r="S1815" i="1"/>
  <c r="T1815" i="1" s="1" a="1"/>
  <c r="T1815" i="1" s="1"/>
  <c r="S1816" i="1"/>
  <c r="T1816" i="1" s="1" a="1"/>
  <c r="T1816" i="1" s="1"/>
  <c r="S1817" i="1"/>
  <c r="T1817" i="1" s="1" a="1"/>
  <c r="T1817" i="1" s="1"/>
  <c r="S1818" i="1"/>
  <c r="T1818" i="1" s="1" a="1"/>
  <c r="T1818" i="1" s="1"/>
  <c r="S1819" i="1"/>
  <c r="T1819" i="1" s="1" a="1"/>
  <c r="T1819" i="1" s="1"/>
  <c r="S1820" i="1"/>
  <c r="T1820" i="1" s="1" a="1"/>
  <c r="T1820" i="1" s="1"/>
  <c r="S1821" i="1"/>
  <c r="T1821" i="1" s="1" a="1"/>
  <c r="T1821" i="1" s="1"/>
  <c r="S1822" i="1"/>
  <c r="T1822" i="1" s="1" a="1"/>
  <c r="T1822" i="1" s="1"/>
  <c r="S1823" i="1"/>
  <c r="T1823" i="1" s="1" a="1"/>
  <c r="T1823" i="1" s="1"/>
  <c r="S1824" i="1"/>
  <c r="T1824" i="1" s="1" a="1"/>
  <c r="T1824" i="1" s="1"/>
  <c r="S1825" i="1"/>
  <c r="T1825" i="1" s="1" a="1"/>
  <c r="T1825" i="1" s="1"/>
  <c r="S1826" i="1"/>
  <c r="T1826" i="1" s="1" a="1"/>
  <c r="T1826" i="1" s="1"/>
  <c r="S1827" i="1"/>
  <c r="T1827" i="1" s="1" a="1"/>
  <c r="T1827" i="1" s="1"/>
  <c r="S1828" i="1"/>
  <c r="T1828" i="1" s="1" a="1"/>
  <c r="T1828" i="1" s="1"/>
  <c r="S1829" i="1"/>
  <c r="T1829" i="1" s="1" a="1"/>
  <c r="T1829" i="1" s="1"/>
  <c r="S1830" i="1"/>
  <c r="T1830" i="1" s="1" a="1"/>
  <c r="T1830" i="1" s="1"/>
  <c r="S1831" i="1"/>
  <c r="T1831" i="1" s="1" a="1"/>
  <c r="T1831" i="1" s="1"/>
  <c r="S1832" i="1"/>
  <c r="T1832" i="1" s="1" a="1"/>
  <c r="T1832" i="1" s="1"/>
  <c r="S1833" i="1"/>
  <c r="T1833" i="1" s="1" a="1"/>
  <c r="T1833" i="1" s="1"/>
  <c r="S1834" i="1"/>
  <c r="T1834" i="1" s="1" a="1"/>
  <c r="T1834" i="1" s="1"/>
  <c r="S1835" i="1"/>
  <c r="T1835" i="1" s="1" a="1"/>
  <c r="T1835" i="1" s="1"/>
  <c r="S1836" i="1"/>
  <c r="T1836" i="1" s="1" a="1"/>
  <c r="T1836" i="1" s="1"/>
  <c r="S1837" i="1"/>
  <c r="T1837" i="1" s="1" a="1"/>
  <c r="T1837" i="1" s="1"/>
  <c r="S1838" i="1"/>
  <c r="T1838" i="1" s="1" a="1"/>
  <c r="T1838" i="1" s="1"/>
  <c r="S1839" i="1"/>
  <c r="T1839" i="1" s="1" a="1"/>
  <c r="T1839" i="1" s="1"/>
  <c r="S1840" i="1"/>
  <c r="T1840" i="1" s="1" a="1"/>
  <c r="T1840" i="1" s="1"/>
  <c r="S1841" i="1"/>
  <c r="T1841" i="1" s="1" a="1"/>
  <c r="T1841" i="1" s="1"/>
  <c r="S1842" i="1"/>
  <c r="T1842" i="1" s="1" a="1"/>
  <c r="T1842" i="1" s="1"/>
  <c r="S1843" i="1"/>
  <c r="T1843" i="1" s="1" a="1"/>
  <c r="T1843" i="1" s="1"/>
  <c r="S1844" i="1"/>
  <c r="T1844" i="1" s="1" a="1"/>
  <c r="T1844" i="1" s="1"/>
  <c r="S1845" i="1"/>
  <c r="T1845" i="1" s="1" a="1"/>
  <c r="T1845" i="1" s="1"/>
  <c r="S1846" i="1"/>
  <c r="T1846" i="1" s="1" a="1"/>
  <c r="T1846" i="1" s="1"/>
  <c r="S1847" i="1"/>
  <c r="T1847" i="1" s="1" a="1"/>
  <c r="T1847" i="1" s="1"/>
  <c r="S1848" i="1"/>
  <c r="T1848" i="1" s="1" a="1"/>
  <c r="T1848" i="1" s="1"/>
  <c r="S1849" i="1"/>
  <c r="T1849" i="1" s="1" a="1"/>
  <c r="T1849" i="1" s="1"/>
  <c r="S1850" i="1"/>
  <c r="T1850" i="1" s="1" a="1"/>
  <c r="T1850" i="1" s="1"/>
  <c r="S1851" i="1"/>
  <c r="T1851" i="1" s="1" a="1"/>
  <c r="T1851" i="1" s="1"/>
  <c r="S1852" i="1"/>
  <c r="T1852" i="1" s="1" a="1"/>
  <c r="T1852" i="1" s="1"/>
  <c r="S1853" i="1"/>
  <c r="T1853" i="1" s="1" a="1"/>
  <c r="T1853" i="1" s="1"/>
  <c r="S1854" i="1"/>
  <c r="T1854" i="1" s="1" a="1"/>
  <c r="T1854" i="1" s="1"/>
  <c r="S1855" i="1"/>
  <c r="T1855" i="1" s="1" a="1"/>
  <c r="T1855" i="1" s="1"/>
  <c r="S1856" i="1"/>
  <c r="T1856" i="1" s="1" a="1"/>
  <c r="T1856" i="1" s="1"/>
  <c r="S1857" i="1"/>
  <c r="T1857" i="1" s="1" a="1"/>
  <c r="T1857" i="1" s="1"/>
  <c r="S1858" i="1"/>
  <c r="T1858" i="1" s="1" a="1"/>
  <c r="T1858" i="1" s="1"/>
  <c r="S1859" i="1"/>
  <c r="T1859" i="1" s="1" a="1"/>
  <c r="T1859" i="1" s="1"/>
  <c r="S1860" i="1"/>
  <c r="T1860" i="1" s="1" a="1"/>
  <c r="T1860" i="1" s="1"/>
  <c r="S1861" i="1"/>
  <c r="T1861" i="1" s="1" a="1"/>
  <c r="T1861" i="1" s="1"/>
  <c r="S1862" i="1"/>
  <c r="T1862" i="1" s="1" a="1"/>
  <c r="T1862" i="1" s="1"/>
  <c r="S1863" i="1"/>
  <c r="T1863" i="1" s="1" a="1"/>
  <c r="T1863" i="1" s="1"/>
  <c r="S1864" i="1"/>
  <c r="T1864" i="1" s="1" a="1"/>
  <c r="T1864" i="1" s="1"/>
  <c r="S1865" i="1"/>
  <c r="T1865" i="1" s="1" a="1"/>
  <c r="T1865" i="1" s="1"/>
  <c r="S1866" i="1"/>
  <c r="T1866" i="1" s="1" a="1"/>
  <c r="T1866" i="1" s="1"/>
  <c r="S1867" i="1"/>
  <c r="T1867" i="1" s="1" a="1"/>
  <c r="T1867" i="1" s="1"/>
  <c r="S1868" i="1"/>
  <c r="T1868" i="1" s="1" a="1"/>
  <c r="T1868" i="1" s="1"/>
  <c r="S1869" i="1"/>
  <c r="T1869" i="1" s="1" a="1"/>
  <c r="T1869" i="1" s="1"/>
  <c r="S1870" i="1"/>
  <c r="T1870" i="1" s="1" a="1"/>
  <c r="T1870" i="1" s="1"/>
  <c r="S1871" i="1"/>
  <c r="T1871" i="1" s="1" a="1"/>
  <c r="T1871" i="1" s="1"/>
  <c r="S1872" i="1"/>
  <c r="T1872" i="1" s="1" a="1"/>
  <c r="T1872" i="1" s="1"/>
  <c r="S1873" i="1"/>
  <c r="T1873" i="1" s="1" a="1"/>
  <c r="T1873" i="1" s="1"/>
  <c r="S1874" i="1"/>
  <c r="T1874" i="1" s="1" a="1"/>
  <c r="T1874" i="1" s="1"/>
  <c r="S1875" i="1"/>
  <c r="T1875" i="1" s="1" a="1"/>
  <c r="T1875" i="1" s="1"/>
  <c r="S1876" i="1"/>
  <c r="T1876" i="1" s="1" a="1"/>
  <c r="T1876" i="1" s="1"/>
  <c r="S1877" i="1"/>
  <c r="T1877" i="1" s="1" a="1"/>
  <c r="T1877" i="1" s="1"/>
  <c r="S1878" i="1"/>
  <c r="T1878" i="1" s="1" a="1"/>
  <c r="T1878" i="1" s="1"/>
  <c r="S1879" i="1"/>
  <c r="T1879" i="1" s="1" a="1"/>
  <c r="T1879" i="1" s="1"/>
  <c r="S1880" i="1"/>
  <c r="T1880" i="1" s="1" a="1"/>
  <c r="T1880" i="1" s="1"/>
  <c r="S1881" i="1"/>
  <c r="T1881" i="1" s="1" a="1"/>
  <c r="T1881" i="1" s="1"/>
  <c r="S1882" i="1"/>
  <c r="T1882" i="1" s="1" a="1"/>
  <c r="T1882" i="1" s="1"/>
  <c r="S1883" i="1"/>
  <c r="T1883" i="1" s="1" a="1"/>
  <c r="T1883" i="1" s="1"/>
  <c r="S1884" i="1"/>
  <c r="T1884" i="1" s="1" a="1"/>
  <c r="T1884" i="1" s="1"/>
  <c r="S1885" i="1"/>
  <c r="T1885" i="1" s="1" a="1"/>
  <c r="T1885" i="1" s="1"/>
  <c r="S1886" i="1"/>
  <c r="T1886" i="1" s="1" a="1"/>
  <c r="T1886" i="1" s="1"/>
  <c r="S1887" i="1"/>
  <c r="T1887" i="1" s="1" a="1"/>
  <c r="T1887" i="1" s="1"/>
  <c r="S1888" i="1"/>
  <c r="T1888" i="1" s="1" a="1"/>
  <c r="T1888" i="1" s="1"/>
  <c r="S1889" i="1"/>
  <c r="T1889" i="1" s="1" a="1"/>
  <c r="T1889" i="1" s="1"/>
  <c r="S1890" i="1"/>
  <c r="T1890" i="1" s="1" a="1"/>
  <c r="T1890" i="1" s="1"/>
  <c r="S1891" i="1"/>
  <c r="T1891" i="1" s="1" a="1"/>
  <c r="T1891" i="1" s="1"/>
  <c r="S1892" i="1"/>
  <c r="T1892" i="1" s="1" a="1"/>
  <c r="T1892" i="1" s="1"/>
  <c r="S1893" i="1"/>
  <c r="T1893" i="1" s="1" a="1"/>
  <c r="T1893" i="1" s="1"/>
  <c r="S1894" i="1"/>
  <c r="T1894" i="1" s="1" a="1"/>
  <c r="T1894" i="1" s="1"/>
  <c r="S1895" i="1"/>
  <c r="T1895" i="1" s="1" a="1"/>
  <c r="T1895" i="1" s="1"/>
  <c r="S1896" i="1"/>
  <c r="T1896" i="1" s="1" a="1"/>
  <c r="T1896" i="1" s="1"/>
  <c r="S1897" i="1"/>
  <c r="T1897" i="1" s="1" a="1"/>
  <c r="T1897" i="1" s="1"/>
  <c r="S1898" i="1"/>
  <c r="T1898" i="1" s="1" a="1"/>
  <c r="T1898" i="1" s="1"/>
  <c r="S1899" i="1"/>
  <c r="T1899" i="1" s="1" a="1"/>
  <c r="T1899" i="1" s="1"/>
  <c r="S1900" i="1"/>
  <c r="T1900" i="1" s="1" a="1"/>
  <c r="T1900" i="1" s="1"/>
  <c r="S1901" i="1"/>
  <c r="T1901" i="1" s="1" a="1"/>
  <c r="T1901" i="1" s="1"/>
  <c r="S1902" i="1"/>
  <c r="T1902" i="1" s="1" a="1"/>
  <c r="T1902" i="1" s="1"/>
  <c r="S1903" i="1"/>
  <c r="T1903" i="1" s="1" a="1"/>
  <c r="T1903" i="1" s="1"/>
  <c r="S1904" i="1"/>
  <c r="T1904" i="1" s="1" a="1"/>
  <c r="T1904" i="1" s="1"/>
  <c r="S1905" i="1"/>
  <c r="T1905" i="1" s="1" a="1"/>
  <c r="T1905" i="1" s="1"/>
  <c r="S1906" i="1"/>
  <c r="T1906" i="1" s="1" a="1"/>
  <c r="T1906" i="1" s="1"/>
  <c r="S1907" i="1"/>
  <c r="T1907" i="1" s="1" a="1"/>
  <c r="T1907" i="1" s="1"/>
  <c r="S1908" i="1"/>
  <c r="T1908" i="1" s="1" a="1"/>
  <c r="T1908" i="1" s="1"/>
  <c r="S1909" i="1"/>
  <c r="T1909" i="1" s="1" a="1"/>
  <c r="T1909" i="1" s="1"/>
  <c r="S1910" i="1"/>
  <c r="T1910" i="1" s="1" a="1"/>
  <c r="T1910" i="1" s="1"/>
  <c r="S1911" i="1"/>
  <c r="T1911" i="1" s="1" a="1"/>
  <c r="T1911" i="1" s="1"/>
  <c r="S1912" i="1"/>
  <c r="T1912" i="1" s="1" a="1"/>
  <c r="T1912" i="1" s="1"/>
  <c r="S1913" i="1"/>
  <c r="T1913" i="1" s="1" a="1"/>
  <c r="T1913" i="1" s="1"/>
  <c r="S1914" i="1"/>
  <c r="T1914" i="1" s="1" a="1"/>
  <c r="T1914" i="1" s="1"/>
  <c r="S1915" i="1"/>
  <c r="T1915" i="1" s="1" a="1"/>
  <c r="T1915" i="1" s="1"/>
  <c r="S1916" i="1"/>
  <c r="T1916" i="1" s="1" a="1"/>
  <c r="T1916" i="1" s="1"/>
  <c r="S1917" i="1"/>
  <c r="T1917" i="1" s="1" a="1"/>
  <c r="T1917" i="1" s="1"/>
  <c r="S1918" i="1"/>
  <c r="T1918" i="1" s="1" a="1"/>
  <c r="T1918" i="1" s="1"/>
  <c r="S1919" i="1"/>
  <c r="T1919" i="1" s="1" a="1"/>
  <c r="T1919" i="1" s="1"/>
  <c r="S1920" i="1"/>
  <c r="T1920" i="1" s="1" a="1"/>
  <c r="T1920" i="1" s="1"/>
  <c r="S1921" i="1"/>
  <c r="T1921" i="1" s="1" a="1"/>
  <c r="T1921" i="1" s="1"/>
  <c r="S1922" i="1"/>
  <c r="T1922" i="1" s="1" a="1"/>
  <c r="T1922" i="1" s="1"/>
  <c r="S1923" i="1"/>
  <c r="T1923" i="1" s="1" a="1"/>
  <c r="T1923" i="1" s="1"/>
  <c r="S1924" i="1"/>
  <c r="T1924" i="1" s="1" a="1"/>
  <c r="T1924" i="1" s="1"/>
  <c r="S1925" i="1"/>
  <c r="T1925" i="1" s="1" a="1"/>
  <c r="T1925" i="1" s="1"/>
  <c r="S1926" i="1"/>
  <c r="T1926" i="1" s="1" a="1"/>
  <c r="T1926" i="1" s="1"/>
  <c r="S1927" i="1"/>
  <c r="T1927" i="1" s="1" a="1"/>
  <c r="T1927" i="1" s="1"/>
  <c r="S1928" i="1"/>
  <c r="T1928" i="1" s="1" a="1"/>
  <c r="T1928" i="1" s="1"/>
  <c r="S1929" i="1"/>
  <c r="T1929" i="1" s="1" a="1"/>
  <c r="T1929" i="1" s="1"/>
  <c r="S1930" i="1"/>
  <c r="T1930" i="1" s="1" a="1"/>
  <c r="T1930" i="1" s="1"/>
  <c r="S1931" i="1"/>
  <c r="T1931" i="1" s="1" a="1"/>
  <c r="T1931" i="1" s="1"/>
  <c r="S1932" i="1"/>
  <c r="T1932" i="1" s="1" a="1"/>
  <c r="T1932" i="1" s="1"/>
  <c r="S1933" i="1"/>
  <c r="T1933" i="1" s="1" a="1"/>
  <c r="T1933" i="1" s="1"/>
  <c r="S1934" i="1"/>
  <c r="T1934" i="1" s="1" a="1"/>
  <c r="T1934" i="1" s="1"/>
  <c r="S1935" i="1"/>
  <c r="T1935" i="1" s="1" a="1"/>
  <c r="T1935" i="1" s="1"/>
  <c r="S1936" i="1"/>
  <c r="T1936" i="1" s="1" a="1"/>
  <c r="T1936" i="1" s="1"/>
  <c r="S1937" i="1"/>
  <c r="T1937" i="1" s="1" a="1"/>
  <c r="T1937" i="1" s="1"/>
  <c r="S1938" i="1"/>
  <c r="T1938" i="1" s="1" a="1"/>
  <c r="T1938" i="1" s="1"/>
  <c r="S1939" i="1"/>
  <c r="T1939" i="1" s="1" a="1"/>
  <c r="T1939" i="1" s="1"/>
  <c r="S1940" i="1"/>
  <c r="T1940" i="1" s="1" a="1"/>
  <c r="T1940" i="1" s="1"/>
  <c r="S1941" i="1"/>
  <c r="T1941" i="1" s="1" a="1"/>
  <c r="T1941" i="1" s="1"/>
  <c r="S1942" i="1"/>
  <c r="T1942" i="1" s="1" a="1"/>
  <c r="T1942" i="1" s="1"/>
  <c r="S1943" i="1"/>
  <c r="T1943" i="1" s="1" a="1"/>
  <c r="T1943" i="1" s="1"/>
  <c r="S1944" i="1"/>
  <c r="T1944" i="1" s="1" a="1"/>
  <c r="T1944" i="1" s="1"/>
  <c r="S1945" i="1"/>
  <c r="T1945" i="1" s="1" a="1"/>
  <c r="T1945" i="1" s="1"/>
  <c r="S1946" i="1"/>
  <c r="T1946" i="1" s="1" a="1"/>
  <c r="T1946" i="1" s="1"/>
  <c r="S1947" i="1"/>
  <c r="T1947" i="1" s="1" a="1"/>
  <c r="T1947" i="1" s="1"/>
  <c r="S1948" i="1"/>
  <c r="T1948" i="1" s="1" a="1"/>
  <c r="T1948" i="1" s="1"/>
  <c r="S1949" i="1"/>
  <c r="T1949" i="1" s="1" a="1"/>
  <c r="T1949" i="1" s="1"/>
  <c r="S1950" i="1"/>
  <c r="T1950" i="1" s="1" a="1"/>
  <c r="T1950" i="1" s="1"/>
  <c r="S1951" i="1"/>
  <c r="T1951" i="1" s="1" a="1"/>
  <c r="T1951" i="1" s="1"/>
  <c r="S1952" i="1"/>
  <c r="T1952" i="1" s="1" a="1"/>
  <c r="T1952" i="1" s="1"/>
  <c r="S1953" i="1"/>
  <c r="T1953" i="1" s="1" a="1"/>
  <c r="T1953" i="1" s="1"/>
  <c r="S1954" i="1"/>
  <c r="T1954" i="1" s="1" a="1"/>
  <c r="T1954" i="1" s="1"/>
  <c r="S1955" i="1"/>
  <c r="T1955" i="1" s="1" a="1"/>
  <c r="T1955" i="1" s="1"/>
  <c r="S1956" i="1"/>
  <c r="T1956" i="1" s="1" a="1"/>
  <c r="T1956" i="1" s="1"/>
  <c r="S1957" i="1"/>
  <c r="T1957" i="1" s="1" a="1"/>
  <c r="T1957" i="1" s="1"/>
  <c r="S1958" i="1"/>
  <c r="T1958" i="1" s="1" a="1"/>
  <c r="T1958" i="1" s="1"/>
  <c r="S1959" i="1"/>
  <c r="T1959" i="1" s="1" a="1"/>
  <c r="T1959" i="1" s="1"/>
  <c r="S1960" i="1"/>
  <c r="T1960" i="1" s="1" a="1"/>
  <c r="T1960" i="1" s="1"/>
  <c r="S1961" i="1"/>
  <c r="T1961" i="1" s="1" a="1"/>
  <c r="T1961" i="1" s="1"/>
  <c r="S1962" i="1"/>
  <c r="T1962" i="1" s="1" a="1"/>
  <c r="T1962" i="1" s="1"/>
  <c r="S1963" i="1"/>
  <c r="T1963" i="1" s="1" a="1"/>
  <c r="T1963" i="1" s="1"/>
  <c r="S1964" i="1"/>
  <c r="T1964" i="1" s="1" a="1"/>
  <c r="T1964" i="1" s="1"/>
  <c r="S1965" i="1"/>
  <c r="T1965" i="1" s="1" a="1"/>
  <c r="T1965" i="1" s="1"/>
  <c r="S1966" i="1"/>
  <c r="T1966" i="1" s="1" a="1"/>
  <c r="T1966" i="1" s="1"/>
  <c r="S1967" i="1"/>
  <c r="T1967" i="1" s="1" a="1"/>
  <c r="T1967" i="1" s="1"/>
  <c r="S1968" i="1"/>
  <c r="T1968" i="1" s="1" a="1"/>
  <c r="T1968" i="1" s="1"/>
  <c r="S1969" i="1"/>
  <c r="T1969" i="1" s="1" a="1"/>
  <c r="T1969" i="1" s="1"/>
  <c r="S1970" i="1"/>
  <c r="T1970" i="1" s="1" a="1"/>
  <c r="T1970" i="1" s="1"/>
  <c r="S1971" i="1"/>
  <c r="T1971" i="1" s="1" a="1"/>
  <c r="T1971" i="1" s="1"/>
  <c r="S1972" i="1"/>
  <c r="T1972" i="1" s="1" a="1"/>
  <c r="T1972" i="1" s="1"/>
  <c r="S1973" i="1"/>
  <c r="T1973" i="1" s="1" a="1"/>
  <c r="T1973" i="1" s="1"/>
  <c r="S1974" i="1"/>
  <c r="T1974" i="1" s="1" a="1"/>
  <c r="T1974" i="1" s="1"/>
  <c r="S1975" i="1"/>
  <c r="T1975" i="1" s="1" a="1"/>
  <c r="T1975" i="1" s="1"/>
  <c r="S1976" i="1"/>
  <c r="T1976" i="1" s="1" a="1"/>
  <c r="T1976" i="1" s="1"/>
  <c r="S1977" i="1"/>
  <c r="T1977" i="1" s="1" a="1"/>
  <c r="T1977" i="1" s="1"/>
  <c r="S1978" i="1"/>
  <c r="T1978" i="1" s="1" a="1"/>
  <c r="T1978" i="1" s="1"/>
  <c r="S1979" i="1"/>
  <c r="T1979" i="1" s="1" a="1"/>
  <c r="T1979" i="1" s="1"/>
  <c r="S1980" i="1"/>
  <c r="T1980" i="1" s="1" a="1"/>
  <c r="T1980" i="1" s="1"/>
  <c r="S1981" i="1"/>
  <c r="T1981" i="1" s="1" a="1"/>
  <c r="T1981" i="1" s="1"/>
  <c r="S1982" i="1"/>
  <c r="T1982" i="1" s="1" a="1"/>
  <c r="T1982" i="1" s="1"/>
  <c r="S1983" i="1"/>
  <c r="T1983" i="1" s="1" a="1"/>
  <c r="T1983" i="1" s="1"/>
  <c r="S1984" i="1"/>
  <c r="T1984" i="1" s="1" a="1"/>
  <c r="T1984" i="1" s="1"/>
  <c r="S1985" i="1"/>
  <c r="T1985" i="1" s="1" a="1"/>
  <c r="T1985" i="1" s="1"/>
  <c r="S1986" i="1"/>
  <c r="T1986" i="1" s="1" a="1"/>
  <c r="T1986" i="1" s="1"/>
  <c r="S1987" i="1"/>
  <c r="T1987" i="1" s="1" a="1"/>
  <c r="T1987" i="1" s="1"/>
  <c r="S1988" i="1"/>
  <c r="T1988" i="1" s="1" a="1"/>
  <c r="T1988" i="1" s="1"/>
  <c r="S1989" i="1"/>
  <c r="T1989" i="1" s="1" a="1"/>
  <c r="T1989" i="1" s="1"/>
  <c r="S1990" i="1"/>
  <c r="T1990" i="1" s="1" a="1"/>
  <c r="T1990" i="1" s="1"/>
  <c r="S1991" i="1"/>
  <c r="T1991" i="1" s="1" a="1"/>
  <c r="T1991" i="1" s="1"/>
  <c r="S1992" i="1"/>
  <c r="T1992" i="1" s="1" a="1"/>
  <c r="T1992" i="1" s="1"/>
  <c r="S1993" i="1"/>
  <c r="T1993" i="1" s="1" a="1"/>
  <c r="T1993" i="1" s="1"/>
  <c r="S1994" i="1"/>
  <c r="T1994" i="1" s="1" a="1"/>
  <c r="T1994" i="1" s="1"/>
  <c r="S1995" i="1"/>
  <c r="T1995" i="1" s="1" a="1"/>
  <c r="T1995" i="1" s="1"/>
  <c r="S1996" i="1"/>
  <c r="T1996" i="1" s="1" a="1"/>
  <c r="T1996" i="1" s="1"/>
  <c r="S1997" i="1"/>
  <c r="T1997" i="1" s="1" a="1"/>
  <c r="T1997" i="1" s="1"/>
  <c r="S1998" i="1"/>
  <c r="T1998" i="1" s="1" a="1"/>
  <c r="T1998" i="1" s="1"/>
  <c r="S1999" i="1"/>
  <c r="T1999" i="1" s="1" a="1"/>
  <c r="T1999" i="1" s="1"/>
  <c r="S2000" i="1"/>
  <c r="T2000" i="1" s="1" a="1"/>
  <c r="T2000" i="1" s="1"/>
  <c r="S2001" i="1"/>
  <c r="T2001" i="1" s="1" a="1"/>
  <c r="T2001" i="1" s="1"/>
  <c r="S2002" i="1"/>
  <c r="T2002" i="1" s="1" a="1"/>
  <c r="T2002" i="1" s="1"/>
  <c r="S2003" i="1"/>
  <c r="T2003" i="1" s="1" a="1"/>
  <c r="T2003" i="1" s="1"/>
  <c r="S2004" i="1"/>
  <c r="T2004" i="1" s="1" a="1"/>
  <c r="T2004" i="1" s="1"/>
  <c r="S2005" i="1"/>
  <c r="T2005" i="1" s="1" a="1"/>
  <c r="T2005" i="1" s="1"/>
  <c r="S2006" i="1"/>
  <c r="T2006" i="1" s="1" a="1"/>
  <c r="T2006" i="1" s="1"/>
  <c r="S2007" i="1"/>
  <c r="T2007" i="1" s="1" a="1"/>
  <c r="T2007" i="1" s="1"/>
  <c r="S2008" i="1"/>
  <c r="T2008" i="1" s="1" a="1"/>
  <c r="T2008" i="1" s="1"/>
  <c r="S2009" i="1"/>
  <c r="T2009" i="1" s="1" a="1"/>
  <c r="T2009" i="1" s="1"/>
  <c r="S2010" i="1"/>
  <c r="T2010" i="1" s="1" a="1"/>
  <c r="T2010" i="1" s="1"/>
  <c r="S2011" i="1"/>
  <c r="T2011" i="1" s="1" a="1"/>
  <c r="T2011" i="1" s="1"/>
  <c r="S2012" i="1"/>
  <c r="T2012" i="1" s="1" a="1"/>
  <c r="T2012" i="1" s="1"/>
  <c r="S2013" i="1"/>
  <c r="T2013" i="1" s="1" a="1"/>
  <c r="T2013" i="1" s="1"/>
  <c r="S2014" i="1"/>
  <c r="T2014" i="1" s="1" a="1"/>
  <c r="T2014" i="1" s="1"/>
  <c r="S2015" i="1"/>
  <c r="T2015" i="1" s="1" a="1"/>
  <c r="T2015" i="1" s="1"/>
  <c r="S2016" i="1"/>
  <c r="T2016" i="1" s="1" a="1"/>
  <c r="T2016" i="1" s="1"/>
  <c r="S2017" i="1"/>
  <c r="T2017" i="1" s="1" a="1"/>
  <c r="T2017" i="1" s="1"/>
  <c r="S2018" i="1"/>
  <c r="T2018" i="1" s="1" a="1"/>
  <c r="T2018" i="1" s="1"/>
  <c r="S2019" i="1"/>
  <c r="T2019" i="1" s="1" a="1"/>
  <c r="T2019" i="1" s="1"/>
  <c r="S2020" i="1"/>
  <c r="T2020" i="1" s="1" a="1"/>
  <c r="T2020" i="1" s="1"/>
  <c r="S2021" i="1"/>
  <c r="T2021" i="1" s="1" a="1"/>
  <c r="T2021" i="1" s="1"/>
  <c r="S2022" i="1"/>
  <c r="T2022" i="1" s="1" a="1"/>
  <c r="T2022" i="1" s="1"/>
  <c r="S2023" i="1"/>
  <c r="T2023" i="1" s="1" a="1"/>
  <c r="T2023" i="1" s="1"/>
  <c r="S2024" i="1"/>
  <c r="T2024" i="1" s="1" a="1"/>
  <c r="T2024" i="1" s="1"/>
  <c r="S2025" i="1"/>
  <c r="T2025" i="1" s="1" a="1"/>
  <c r="T2025" i="1" s="1"/>
  <c r="S2026" i="1"/>
  <c r="T2026" i="1" s="1" a="1"/>
  <c r="T2026" i="1" s="1"/>
  <c r="S2027" i="1"/>
  <c r="T2027" i="1" s="1" a="1"/>
  <c r="T2027" i="1" s="1"/>
  <c r="S2028" i="1"/>
  <c r="T2028" i="1" s="1" a="1"/>
  <c r="T2028" i="1" s="1"/>
  <c r="S2029" i="1"/>
  <c r="T2029" i="1" s="1" a="1"/>
  <c r="T2029" i="1" s="1"/>
  <c r="S2030" i="1"/>
  <c r="T2030" i="1" s="1" a="1"/>
  <c r="T2030" i="1" s="1"/>
  <c r="S2031" i="1"/>
  <c r="T2031" i="1" s="1" a="1"/>
  <c r="T2031" i="1" s="1"/>
  <c r="S2032" i="1"/>
  <c r="T2032" i="1" s="1" a="1"/>
  <c r="T2032" i="1" s="1"/>
  <c r="S2033" i="1"/>
  <c r="T2033" i="1" s="1" a="1"/>
  <c r="T2033" i="1" s="1"/>
  <c r="S2034" i="1"/>
  <c r="T2034" i="1" s="1" a="1"/>
  <c r="T2034" i="1" s="1"/>
  <c r="S2035" i="1"/>
  <c r="T2035" i="1" s="1" a="1"/>
  <c r="T2035" i="1" s="1"/>
  <c r="S2036" i="1"/>
  <c r="T2036" i="1" s="1" a="1"/>
  <c r="T2036" i="1" s="1"/>
  <c r="S2037" i="1"/>
  <c r="T2037" i="1" s="1" a="1"/>
  <c r="T2037" i="1" s="1"/>
  <c r="S2038" i="1"/>
  <c r="T2038" i="1" s="1" a="1"/>
  <c r="T2038" i="1" s="1"/>
  <c r="S2039" i="1"/>
  <c r="T2039" i="1" s="1" a="1"/>
  <c r="T2039" i="1" s="1"/>
  <c r="S2040" i="1"/>
  <c r="T2040" i="1" s="1" a="1"/>
  <c r="T2040" i="1" s="1"/>
  <c r="S2041" i="1"/>
  <c r="T2041" i="1" s="1" a="1"/>
  <c r="T2041" i="1" s="1"/>
  <c r="S2042" i="1"/>
  <c r="T2042" i="1" s="1" a="1"/>
  <c r="T2042" i="1" s="1"/>
  <c r="S2043" i="1"/>
  <c r="T2043" i="1" s="1" a="1"/>
  <c r="T2043" i="1" s="1"/>
  <c r="S2044" i="1"/>
  <c r="T2044" i="1" s="1" a="1"/>
  <c r="T2044" i="1" s="1"/>
  <c r="S2045" i="1"/>
  <c r="T2045" i="1" s="1" a="1"/>
  <c r="T2045" i="1" s="1"/>
  <c r="S2046" i="1"/>
  <c r="T2046" i="1" s="1" a="1"/>
  <c r="T2046" i="1" s="1"/>
  <c r="S2047" i="1"/>
  <c r="T2047" i="1" s="1" a="1"/>
  <c r="T2047" i="1" s="1"/>
  <c r="S2048" i="1"/>
  <c r="T2048" i="1" s="1" a="1"/>
  <c r="T2048" i="1" s="1"/>
  <c r="S2049" i="1"/>
  <c r="T2049" i="1" s="1" a="1"/>
  <c r="T2049" i="1" s="1"/>
  <c r="S2050" i="1"/>
  <c r="T2050" i="1" s="1" a="1"/>
  <c r="T2050" i="1" s="1"/>
  <c r="S2051" i="1"/>
  <c r="T2051" i="1" s="1" a="1"/>
  <c r="T2051" i="1" s="1"/>
  <c r="S2052" i="1"/>
  <c r="T2052" i="1" s="1" a="1"/>
  <c r="T2052" i="1" s="1"/>
  <c r="S2053" i="1"/>
  <c r="T2053" i="1" s="1" a="1"/>
  <c r="T2053" i="1" s="1"/>
  <c r="S2054" i="1"/>
  <c r="T2054" i="1" s="1" a="1"/>
  <c r="T2054" i="1" s="1"/>
  <c r="S2055" i="1"/>
  <c r="T2055" i="1" s="1" a="1"/>
  <c r="T2055" i="1" s="1"/>
  <c r="S2056" i="1"/>
  <c r="T2056" i="1" s="1" a="1"/>
  <c r="T2056" i="1" s="1"/>
  <c r="S2057" i="1"/>
  <c r="T2057" i="1" s="1" a="1"/>
  <c r="T2057" i="1" s="1"/>
  <c r="S2058" i="1"/>
  <c r="T2058" i="1" s="1" a="1"/>
  <c r="T2058" i="1" s="1"/>
  <c r="S2059" i="1"/>
  <c r="T2059" i="1" s="1" a="1"/>
  <c r="T2059" i="1" s="1"/>
  <c r="S2060" i="1"/>
  <c r="T2060" i="1" s="1" a="1"/>
  <c r="T2060" i="1" s="1"/>
  <c r="S2061" i="1"/>
  <c r="T2061" i="1" s="1" a="1"/>
  <c r="T2061" i="1" s="1"/>
  <c r="S2062" i="1"/>
  <c r="T2062" i="1" s="1" a="1"/>
  <c r="T2062" i="1" s="1"/>
  <c r="S2063" i="1"/>
  <c r="T2063" i="1" s="1" a="1"/>
  <c r="T2063" i="1" s="1"/>
  <c r="S2064" i="1"/>
  <c r="T2064" i="1" s="1" a="1"/>
  <c r="T2064" i="1" s="1"/>
  <c r="S2065" i="1"/>
  <c r="T2065" i="1" s="1" a="1"/>
  <c r="T2065" i="1" s="1"/>
  <c r="S2066" i="1"/>
  <c r="T2066" i="1" s="1" a="1"/>
  <c r="T2066" i="1" s="1"/>
  <c r="S2067" i="1"/>
  <c r="T2067" i="1" s="1" a="1"/>
  <c r="T2067" i="1" s="1"/>
  <c r="S2068" i="1"/>
  <c r="T2068" i="1" s="1" a="1"/>
  <c r="T2068" i="1" s="1"/>
  <c r="S2069" i="1"/>
  <c r="T2069" i="1" s="1" a="1"/>
  <c r="T2069" i="1" s="1"/>
  <c r="S2070" i="1"/>
  <c r="T2070" i="1" s="1" a="1"/>
  <c r="T2070" i="1" s="1"/>
  <c r="S2071" i="1"/>
  <c r="T2071" i="1" s="1" a="1"/>
  <c r="T2071" i="1" s="1"/>
  <c r="S2072" i="1"/>
  <c r="T2072" i="1" s="1" a="1"/>
  <c r="T2072" i="1" s="1"/>
  <c r="S2073" i="1"/>
  <c r="T2073" i="1" s="1" a="1"/>
  <c r="T2073" i="1" s="1"/>
  <c r="S2074" i="1"/>
  <c r="T2074" i="1" s="1" a="1"/>
  <c r="T2074" i="1" s="1"/>
  <c r="S2075" i="1"/>
  <c r="T2075" i="1" s="1" a="1"/>
  <c r="T2075" i="1" s="1"/>
  <c r="S2076" i="1"/>
  <c r="T2076" i="1" s="1" a="1"/>
  <c r="T2076" i="1" s="1"/>
  <c r="S2077" i="1"/>
  <c r="T2077" i="1" s="1" a="1"/>
  <c r="T2077" i="1" s="1"/>
  <c r="S2078" i="1"/>
  <c r="T2078" i="1" s="1" a="1"/>
  <c r="T2078" i="1" s="1"/>
  <c r="S2079" i="1"/>
  <c r="T2079" i="1" s="1" a="1"/>
  <c r="T2079" i="1" s="1"/>
  <c r="S2080" i="1"/>
  <c r="T2080" i="1" s="1" a="1"/>
  <c r="T2080" i="1" s="1"/>
  <c r="S2081" i="1"/>
  <c r="T2081" i="1" s="1" a="1"/>
  <c r="T2081" i="1" s="1"/>
  <c r="S2082" i="1"/>
  <c r="T2082" i="1" s="1" a="1"/>
  <c r="T2082" i="1" s="1"/>
  <c r="S2083" i="1"/>
  <c r="T2083" i="1" s="1" a="1"/>
  <c r="T2083" i="1" s="1"/>
  <c r="S2084" i="1"/>
  <c r="T2084" i="1" s="1" a="1"/>
  <c r="T2084" i="1" s="1"/>
  <c r="S2085" i="1"/>
  <c r="T2085" i="1" s="1" a="1"/>
  <c r="T2085" i="1" s="1"/>
  <c r="S2086" i="1"/>
  <c r="T2086" i="1" s="1" a="1"/>
  <c r="T2086" i="1" s="1"/>
  <c r="S2087" i="1"/>
  <c r="T2087" i="1" s="1" a="1"/>
  <c r="T2087" i="1" s="1"/>
  <c r="S2088" i="1"/>
  <c r="T2088" i="1" s="1" a="1"/>
  <c r="T2088" i="1" s="1"/>
  <c r="S2089" i="1"/>
  <c r="T2089" i="1" s="1" a="1"/>
  <c r="T2089" i="1" s="1"/>
  <c r="S2090" i="1"/>
  <c r="T2090" i="1" s="1" a="1"/>
  <c r="T2090" i="1" s="1"/>
  <c r="S2091" i="1"/>
  <c r="T2091" i="1" s="1" a="1"/>
  <c r="T2091" i="1" s="1"/>
  <c r="S2092" i="1"/>
  <c r="T2092" i="1" s="1" a="1"/>
  <c r="T2092" i="1" s="1"/>
  <c r="S2093" i="1"/>
  <c r="T2093" i="1" s="1" a="1"/>
  <c r="T2093" i="1" s="1"/>
  <c r="S2094" i="1"/>
  <c r="T2094" i="1" s="1" a="1"/>
  <c r="T2094" i="1" s="1"/>
  <c r="S2095" i="1"/>
  <c r="T2095" i="1" s="1" a="1"/>
  <c r="T2095" i="1" s="1"/>
  <c r="S2096" i="1"/>
  <c r="T2096" i="1" s="1" a="1"/>
  <c r="T2096" i="1" s="1"/>
  <c r="S2097" i="1"/>
  <c r="T2097" i="1" s="1" a="1"/>
  <c r="T2097" i="1" s="1"/>
  <c r="S2098" i="1"/>
  <c r="T2098" i="1" s="1" a="1"/>
  <c r="T2098" i="1" s="1"/>
  <c r="S2099" i="1"/>
  <c r="T2099" i="1" s="1" a="1"/>
  <c r="T2099" i="1" s="1"/>
  <c r="S2100" i="1"/>
  <c r="T2100" i="1" s="1" a="1"/>
  <c r="T2100" i="1" s="1"/>
  <c r="S2101" i="1"/>
  <c r="T2101" i="1" s="1" a="1"/>
  <c r="T2101" i="1" s="1"/>
  <c r="S2102" i="1"/>
  <c r="T2102" i="1" s="1" a="1"/>
  <c r="T2102" i="1" s="1"/>
  <c r="S2103" i="1"/>
  <c r="T2103" i="1" s="1" a="1"/>
  <c r="T2103" i="1" s="1"/>
  <c r="S2104" i="1"/>
  <c r="T2104" i="1" s="1" a="1"/>
  <c r="T2104" i="1" s="1"/>
  <c r="S2105" i="1"/>
  <c r="T2105" i="1" s="1" a="1"/>
  <c r="T2105" i="1" s="1"/>
  <c r="S2106" i="1"/>
  <c r="T2106" i="1" s="1" a="1"/>
  <c r="T2106" i="1" s="1"/>
  <c r="S2107" i="1"/>
  <c r="T2107" i="1" s="1" a="1"/>
  <c r="T2107" i="1" s="1"/>
  <c r="S2108" i="1"/>
  <c r="T2108" i="1" s="1" a="1"/>
  <c r="T2108" i="1" s="1"/>
  <c r="S2109" i="1"/>
  <c r="T2109" i="1" s="1" a="1"/>
  <c r="T2109" i="1" s="1"/>
  <c r="S2110" i="1"/>
  <c r="T2110" i="1" s="1" a="1"/>
  <c r="T2110" i="1" s="1"/>
  <c r="S2111" i="1"/>
  <c r="T2111" i="1" s="1" a="1"/>
  <c r="T2111" i="1" s="1"/>
  <c r="S2112" i="1"/>
  <c r="T2112" i="1" s="1" a="1"/>
  <c r="T2112" i="1" s="1"/>
  <c r="S2113" i="1"/>
  <c r="T2113" i="1" s="1" a="1"/>
  <c r="T2113" i="1" s="1"/>
  <c r="S2114" i="1"/>
  <c r="T2114" i="1" s="1" a="1"/>
  <c r="T2114" i="1" s="1"/>
  <c r="S2115" i="1"/>
  <c r="T2115" i="1" s="1" a="1"/>
  <c r="T2115" i="1" s="1"/>
  <c r="S2116" i="1"/>
  <c r="T2116" i="1" s="1" a="1"/>
  <c r="T2116" i="1" s="1"/>
  <c r="S2117" i="1"/>
  <c r="T2117" i="1" s="1" a="1"/>
  <c r="T2117" i="1" s="1"/>
  <c r="S2118" i="1"/>
  <c r="T2118" i="1" s="1" a="1"/>
  <c r="T2118" i="1" s="1"/>
  <c r="S2119" i="1"/>
  <c r="T2119" i="1" s="1" a="1"/>
  <c r="T2119" i="1" s="1"/>
  <c r="S2120" i="1"/>
  <c r="T2120" i="1" s="1" a="1"/>
  <c r="T2120" i="1" s="1"/>
  <c r="S2121" i="1"/>
  <c r="T2121" i="1" s="1" a="1"/>
  <c r="T2121" i="1" s="1"/>
  <c r="S2122" i="1"/>
  <c r="T2122" i="1" s="1" a="1"/>
  <c r="T2122" i="1" s="1"/>
  <c r="S2123" i="1"/>
  <c r="T2123" i="1" s="1" a="1"/>
  <c r="T2123" i="1" s="1"/>
  <c r="S2124" i="1"/>
  <c r="T2124" i="1" s="1" a="1"/>
  <c r="T2124" i="1" s="1"/>
  <c r="S2125" i="1"/>
  <c r="T2125" i="1" s="1" a="1"/>
  <c r="T2125" i="1" s="1"/>
  <c r="S2126" i="1"/>
  <c r="T2126" i="1" s="1" a="1"/>
  <c r="T2126" i="1" s="1"/>
  <c r="S2127" i="1"/>
  <c r="T2127" i="1" s="1" a="1"/>
  <c r="T2127" i="1" s="1"/>
  <c r="S2128" i="1"/>
  <c r="T2128" i="1" s="1" a="1"/>
  <c r="T2128" i="1" s="1"/>
  <c r="S2129" i="1"/>
  <c r="T2129" i="1" s="1" a="1"/>
  <c r="T2129" i="1" s="1"/>
  <c r="S2130" i="1"/>
  <c r="T2130" i="1" s="1" a="1"/>
  <c r="T2130" i="1" s="1"/>
  <c r="S2131" i="1"/>
  <c r="T2131" i="1" s="1" a="1"/>
  <c r="T2131" i="1" s="1"/>
  <c r="S2132" i="1"/>
  <c r="T2132" i="1" s="1" a="1"/>
  <c r="T2132" i="1" s="1"/>
  <c r="S2133" i="1"/>
  <c r="T2133" i="1" s="1" a="1"/>
  <c r="T2133" i="1" s="1"/>
  <c r="S2134" i="1"/>
  <c r="T2134" i="1" s="1" a="1"/>
  <c r="T2134" i="1" s="1"/>
  <c r="S2135" i="1"/>
  <c r="T2135" i="1" s="1" a="1"/>
  <c r="T2135" i="1" s="1"/>
  <c r="S2136" i="1"/>
  <c r="T2136" i="1" s="1" a="1"/>
  <c r="T2136" i="1" s="1"/>
  <c r="S2137" i="1"/>
  <c r="T2137" i="1" s="1" a="1"/>
  <c r="T2137" i="1" s="1"/>
  <c r="S2138" i="1"/>
  <c r="T2138" i="1" s="1" a="1"/>
  <c r="T2138" i="1" s="1"/>
  <c r="S2139" i="1"/>
  <c r="T2139" i="1" s="1" a="1"/>
  <c r="T2139" i="1" s="1"/>
  <c r="S2140" i="1"/>
  <c r="T2140" i="1" s="1" a="1"/>
  <c r="T2140" i="1" s="1"/>
  <c r="S2141" i="1"/>
  <c r="T2141" i="1" s="1" a="1"/>
  <c r="T2141" i="1" s="1"/>
  <c r="S2142" i="1"/>
  <c r="T2142" i="1" s="1" a="1"/>
  <c r="T2142" i="1" s="1"/>
  <c r="S2143" i="1"/>
  <c r="T2143" i="1" s="1" a="1"/>
  <c r="T2143" i="1" s="1"/>
  <c r="S2144" i="1"/>
  <c r="T2144" i="1" s="1" a="1"/>
  <c r="T2144" i="1" s="1"/>
  <c r="S2145" i="1"/>
  <c r="T2145" i="1" s="1" a="1"/>
  <c r="T2145" i="1" s="1"/>
  <c r="S2146" i="1"/>
  <c r="T2146" i="1" s="1" a="1"/>
  <c r="T2146" i="1" s="1"/>
  <c r="S2147" i="1"/>
  <c r="T2147" i="1" s="1" a="1"/>
  <c r="T2147" i="1" s="1"/>
  <c r="S2148" i="1"/>
  <c r="T2148" i="1" s="1" a="1"/>
  <c r="T2148" i="1" s="1"/>
  <c r="S2149" i="1"/>
  <c r="T2149" i="1" s="1" a="1"/>
  <c r="T2149" i="1" s="1"/>
  <c r="S2150" i="1"/>
  <c r="T2150" i="1" s="1" a="1"/>
  <c r="T2150" i="1" s="1"/>
  <c r="S2151" i="1"/>
  <c r="T2151" i="1" s="1" a="1"/>
  <c r="T2151" i="1" s="1"/>
  <c r="S2152" i="1"/>
  <c r="T2152" i="1" s="1" a="1"/>
  <c r="T2152" i="1" s="1"/>
  <c r="S2153" i="1"/>
  <c r="T2153" i="1" s="1" a="1"/>
  <c r="T2153" i="1" s="1"/>
  <c r="S2154" i="1"/>
  <c r="T2154" i="1" s="1" a="1"/>
  <c r="T2154" i="1" s="1"/>
  <c r="S2155" i="1"/>
  <c r="T2155" i="1" s="1" a="1"/>
  <c r="T2155" i="1" s="1"/>
  <c r="S2156" i="1"/>
  <c r="T2156" i="1" s="1" a="1"/>
  <c r="T2156" i="1" s="1"/>
  <c r="S2157" i="1"/>
  <c r="T2157" i="1" s="1" a="1"/>
  <c r="T2157" i="1" s="1"/>
  <c r="S2158" i="1"/>
  <c r="T2158" i="1" s="1" a="1"/>
  <c r="T2158" i="1" s="1"/>
  <c r="S2159" i="1"/>
  <c r="T2159" i="1" s="1" a="1"/>
  <c r="T2159" i="1" s="1"/>
  <c r="S2160" i="1"/>
  <c r="T2160" i="1" s="1" a="1"/>
  <c r="T2160" i="1" s="1"/>
  <c r="S2161" i="1"/>
  <c r="T2161" i="1" s="1" a="1"/>
  <c r="T2161" i="1" s="1"/>
  <c r="S2162" i="1"/>
  <c r="T2162" i="1" s="1" a="1"/>
  <c r="T2162" i="1" s="1"/>
  <c r="S2163" i="1"/>
  <c r="T2163" i="1" s="1" a="1"/>
  <c r="T2163" i="1" s="1"/>
  <c r="S2164" i="1"/>
  <c r="T2164" i="1" s="1" a="1"/>
  <c r="T2164" i="1" s="1"/>
  <c r="S2165" i="1"/>
  <c r="T2165" i="1" s="1" a="1"/>
  <c r="T2165" i="1" s="1"/>
  <c r="S2166" i="1"/>
  <c r="T2166" i="1" s="1" a="1"/>
  <c r="T2166" i="1" s="1"/>
  <c r="S2167" i="1"/>
  <c r="T2167" i="1" s="1" a="1"/>
  <c r="T2167" i="1" s="1"/>
  <c r="S2168" i="1"/>
  <c r="T2168" i="1" s="1" a="1"/>
  <c r="T2168" i="1" s="1"/>
  <c r="S2169" i="1"/>
  <c r="T2169" i="1" s="1" a="1"/>
  <c r="T2169" i="1" s="1"/>
  <c r="S2170" i="1"/>
  <c r="T2170" i="1" s="1" a="1"/>
  <c r="T2170" i="1" s="1"/>
  <c r="S2171" i="1"/>
  <c r="T2171" i="1" s="1" a="1"/>
  <c r="T2171" i="1" s="1"/>
  <c r="S2172" i="1"/>
  <c r="T2172" i="1" s="1" a="1"/>
  <c r="T2172" i="1" s="1"/>
  <c r="S2173" i="1"/>
  <c r="T2173" i="1" s="1" a="1"/>
  <c r="T2173" i="1" s="1"/>
  <c r="S2174" i="1"/>
  <c r="T2174" i="1" s="1" a="1"/>
  <c r="T2174" i="1" s="1"/>
  <c r="S2175" i="1"/>
  <c r="T2175" i="1" s="1" a="1"/>
  <c r="T2175" i="1" s="1"/>
  <c r="S2176" i="1"/>
  <c r="T2176" i="1" s="1" a="1"/>
  <c r="T2176" i="1" s="1"/>
  <c r="S2177" i="1"/>
  <c r="T2177" i="1" s="1" a="1"/>
  <c r="T2177" i="1" s="1"/>
  <c r="S2178" i="1"/>
  <c r="T2178" i="1" s="1" a="1"/>
  <c r="T2178" i="1" s="1"/>
  <c r="S2179" i="1"/>
  <c r="T2179" i="1" s="1" a="1"/>
  <c r="T2179" i="1" s="1"/>
  <c r="S2180" i="1"/>
  <c r="T2180" i="1" s="1" a="1"/>
  <c r="T2180" i="1" s="1"/>
  <c r="S2181" i="1"/>
  <c r="T2181" i="1" s="1" a="1"/>
  <c r="T2181" i="1" s="1"/>
  <c r="S2182" i="1"/>
  <c r="T2182" i="1" s="1" a="1"/>
  <c r="T2182" i="1" s="1"/>
  <c r="S2183" i="1"/>
  <c r="T2183" i="1" s="1" a="1"/>
  <c r="T2183" i="1" s="1"/>
  <c r="S2184" i="1"/>
  <c r="T2184" i="1" s="1" a="1"/>
  <c r="T2184" i="1" s="1"/>
  <c r="S2185" i="1"/>
  <c r="T2185" i="1" s="1" a="1"/>
  <c r="T2185" i="1" s="1"/>
  <c r="S2186" i="1"/>
  <c r="T2186" i="1" s="1" a="1"/>
  <c r="T2186" i="1" s="1"/>
  <c r="S2187" i="1"/>
  <c r="T2187" i="1" s="1" a="1"/>
  <c r="T2187" i="1" s="1"/>
  <c r="S2188" i="1"/>
  <c r="T2188" i="1" s="1" a="1"/>
  <c r="T2188" i="1" s="1"/>
  <c r="S2189" i="1"/>
  <c r="T2189" i="1" s="1" a="1"/>
  <c r="T2189" i="1" s="1"/>
  <c r="S2190" i="1"/>
  <c r="T2190" i="1" s="1" a="1"/>
  <c r="T2190" i="1" s="1"/>
  <c r="S2191" i="1"/>
  <c r="T2191" i="1" s="1" a="1"/>
  <c r="T2191" i="1" s="1"/>
  <c r="S2192" i="1"/>
  <c r="T2192" i="1" s="1" a="1"/>
  <c r="T2192" i="1" s="1"/>
  <c r="S2193" i="1"/>
  <c r="T2193" i="1" s="1" a="1"/>
  <c r="T2193" i="1" s="1"/>
  <c r="S2194" i="1"/>
  <c r="T2194" i="1" s="1" a="1"/>
  <c r="T2194" i="1" s="1"/>
  <c r="S2195" i="1"/>
  <c r="T2195" i="1" s="1" a="1"/>
  <c r="T2195" i="1" s="1"/>
  <c r="S2196" i="1"/>
  <c r="T2196" i="1" s="1" a="1"/>
  <c r="T2196" i="1" s="1"/>
  <c r="S2197" i="1"/>
  <c r="T2197" i="1" s="1" a="1"/>
  <c r="T2197" i="1" s="1"/>
  <c r="S2198" i="1"/>
  <c r="T2198" i="1" s="1" a="1"/>
  <c r="T2198" i="1" s="1"/>
  <c r="S2199" i="1"/>
  <c r="T2199" i="1" s="1" a="1"/>
  <c r="T2199" i="1" s="1"/>
  <c r="S2200" i="1"/>
  <c r="T2200" i="1" s="1" a="1"/>
  <c r="T2200" i="1" s="1"/>
  <c r="S2201" i="1"/>
  <c r="T2201" i="1" s="1" a="1"/>
  <c r="T2201" i="1" s="1"/>
  <c r="S2202" i="1"/>
  <c r="T2202" i="1" s="1" a="1"/>
  <c r="T2202" i="1" s="1"/>
  <c r="S2203" i="1"/>
  <c r="T2203" i="1" s="1" a="1"/>
  <c r="T2203" i="1" s="1"/>
  <c r="S2204" i="1"/>
  <c r="T2204" i="1" s="1" a="1"/>
  <c r="T2204" i="1" s="1"/>
  <c r="S2205" i="1"/>
  <c r="T2205" i="1" s="1" a="1"/>
  <c r="T2205" i="1" s="1"/>
  <c r="S2206" i="1"/>
  <c r="T2206" i="1" s="1" a="1"/>
  <c r="T2206" i="1" s="1"/>
  <c r="S2207" i="1"/>
  <c r="T2207" i="1" s="1" a="1"/>
  <c r="T2207" i="1" s="1"/>
  <c r="S2208" i="1"/>
  <c r="T2208" i="1" s="1" a="1"/>
  <c r="T2208" i="1" s="1"/>
  <c r="S2209" i="1"/>
  <c r="T2209" i="1" s="1" a="1"/>
  <c r="T2209" i="1" s="1"/>
  <c r="S2210" i="1"/>
  <c r="T2210" i="1" s="1" a="1"/>
  <c r="T2210" i="1" s="1"/>
  <c r="S2211" i="1"/>
  <c r="T2211" i="1" s="1" a="1"/>
  <c r="T2211" i="1" s="1"/>
  <c r="S2212" i="1"/>
  <c r="T2212" i="1" s="1" a="1"/>
  <c r="T2212" i="1" s="1"/>
  <c r="S2213" i="1"/>
  <c r="T2213" i="1" s="1" a="1"/>
  <c r="T2213" i="1" s="1"/>
  <c r="S2214" i="1"/>
  <c r="T2214" i="1" s="1" a="1"/>
  <c r="T2214" i="1" s="1"/>
  <c r="S2215" i="1"/>
  <c r="T2215" i="1" s="1" a="1"/>
  <c r="T2215" i="1" s="1"/>
  <c r="S2216" i="1"/>
  <c r="T2216" i="1" s="1" a="1"/>
  <c r="T2216" i="1" s="1"/>
  <c r="S2217" i="1"/>
  <c r="T2217" i="1" s="1" a="1"/>
  <c r="T2217" i="1" s="1"/>
  <c r="S2218" i="1"/>
  <c r="T2218" i="1" s="1" a="1"/>
  <c r="T2218" i="1" s="1"/>
  <c r="S2219" i="1"/>
  <c r="T2219" i="1" s="1" a="1"/>
  <c r="T2219" i="1" s="1"/>
  <c r="S2220" i="1"/>
  <c r="T2220" i="1" s="1" a="1"/>
  <c r="T2220" i="1" s="1"/>
  <c r="S2221" i="1"/>
  <c r="T2221" i="1" s="1" a="1"/>
  <c r="T2221" i="1" s="1"/>
  <c r="S2222" i="1"/>
  <c r="T2222" i="1" s="1" a="1"/>
  <c r="T2222" i="1" s="1"/>
  <c r="S2223" i="1"/>
  <c r="T2223" i="1" s="1" a="1"/>
  <c r="T2223" i="1" s="1"/>
  <c r="S2224" i="1"/>
  <c r="T2224" i="1" s="1" a="1"/>
  <c r="T2224" i="1" s="1"/>
  <c r="S2225" i="1"/>
  <c r="T2225" i="1" s="1" a="1"/>
  <c r="T2225" i="1" s="1"/>
  <c r="S2226" i="1"/>
  <c r="T2226" i="1" s="1" a="1"/>
  <c r="T2226" i="1" s="1"/>
  <c r="S2227" i="1"/>
  <c r="T2227" i="1" s="1" a="1"/>
  <c r="T2227" i="1" s="1"/>
  <c r="S2228" i="1"/>
  <c r="T2228" i="1" s="1" a="1"/>
  <c r="T2228" i="1" s="1"/>
  <c r="S2229" i="1"/>
  <c r="T2229" i="1" s="1" a="1"/>
  <c r="T2229" i="1" s="1"/>
  <c r="S2230" i="1"/>
  <c r="T2230" i="1" s="1" a="1"/>
  <c r="T2230" i="1" s="1"/>
  <c r="S2231" i="1"/>
  <c r="T2231" i="1" s="1" a="1"/>
  <c r="T2231" i="1" s="1"/>
  <c r="S2232" i="1"/>
  <c r="T2232" i="1" s="1" a="1"/>
  <c r="T2232" i="1" s="1"/>
  <c r="S2233" i="1"/>
  <c r="T2233" i="1" s="1" a="1"/>
  <c r="T2233" i="1" s="1"/>
  <c r="S2234" i="1"/>
  <c r="T2234" i="1" s="1" a="1"/>
  <c r="T2234" i="1" s="1"/>
  <c r="S2235" i="1"/>
  <c r="T2235" i="1" s="1" a="1"/>
  <c r="T2235" i="1" s="1"/>
  <c r="S2236" i="1"/>
  <c r="T2236" i="1" s="1" a="1"/>
  <c r="T2236" i="1" s="1"/>
  <c r="S2237" i="1"/>
  <c r="T2237" i="1" s="1" a="1"/>
  <c r="T2237" i="1" s="1"/>
  <c r="S2238" i="1"/>
  <c r="T2238" i="1" s="1" a="1"/>
  <c r="T2238" i="1" s="1"/>
  <c r="S2239" i="1"/>
  <c r="T2239" i="1" s="1" a="1"/>
  <c r="T2239" i="1" s="1"/>
  <c r="S2240" i="1"/>
  <c r="T2240" i="1" s="1" a="1"/>
  <c r="T2240" i="1" s="1"/>
  <c r="S2241" i="1"/>
  <c r="T2241" i="1" s="1" a="1"/>
  <c r="T2241" i="1" s="1"/>
  <c r="S2242" i="1"/>
  <c r="T2242" i="1" s="1" a="1"/>
  <c r="T2242" i="1" s="1"/>
  <c r="S2243" i="1"/>
  <c r="T2243" i="1" s="1" a="1"/>
  <c r="T2243" i="1" s="1"/>
  <c r="S2244" i="1"/>
  <c r="T2244" i="1" s="1" a="1"/>
  <c r="T2244" i="1" s="1"/>
  <c r="S2245" i="1"/>
  <c r="T2245" i="1" s="1" a="1"/>
  <c r="T2245" i="1" s="1"/>
  <c r="S2246" i="1"/>
  <c r="T2246" i="1" s="1" a="1"/>
  <c r="T2246" i="1" s="1"/>
  <c r="S2247" i="1"/>
  <c r="T2247" i="1" s="1" a="1"/>
  <c r="T2247" i="1" s="1"/>
  <c r="S2248" i="1"/>
  <c r="T2248" i="1" s="1" a="1"/>
  <c r="T2248" i="1" s="1"/>
  <c r="S2249" i="1"/>
  <c r="T2249" i="1" s="1" a="1"/>
  <c r="T2249" i="1" s="1"/>
  <c r="S2250" i="1"/>
  <c r="T2250" i="1" s="1" a="1"/>
  <c r="T2250" i="1" s="1"/>
  <c r="S2251" i="1"/>
  <c r="T2251" i="1" s="1" a="1"/>
  <c r="T2251" i="1" s="1"/>
  <c r="S2252" i="1"/>
  <c r="T2252" i="1" s="1" a="1"/>
  <c r="T2252" i="1" s="1"/>
  <c r="S2253" i="1"/>
  <c r="T2253" i="1" s="1" a="1"/>
  <c r="T2253" i="1" s="1"/>
  <c r="S2254" i="1"/>
  <c r="T2254" i="1" s="1" a="1"/>
  <c r="T2254" i="1" s="1"/>
  <c r="S2255" i="1"/>
  <c r="T2255" i="1" s="1" a="1"/>
  <c r="T2255" i="1" s="1"/>
  <c r="S2256" i="1"/>
  <c r="T2256" i="1" s="1" a="1"/>
  <c r="T2256" i="1" s="1"/>
  <c r="S2257" i="1"/>
  <c r="T2257" i="1" s="1" a="1"/>
  <c r="T2257" i="1" s="1"/>
  <c r="S2258" i="1"/>
  <c r="T2258" i="1" s="1" a="1"/>
  <c r="T2258" i="1" s="1"/>
  <c r="S2259" i="1"/>
  <c r="T2259" i="1" s="1" a="1"/>
  <c r="T2259" i="1" s="1"/>
  <c r="S2260" i="1"/>
  <c r="T2260" i="1" s="1" a="1"/>
  <c r="T2260" i="1" s="1"/>
  <c r="S2261" i="1"/>
  <c r="T2261" i="1" s="1" a="1"/>
  <c r="T2261" i="1" s="1"/>
  <c r="S2262" i="1"/>
  <c r="T2262" i="1" s="1" a="1"/>
  <c r="T2262" i="1" s="1"/>
  <c r="S2263" i="1"/>
  <c r="T2263" i="1" s="1" a="1"/>
  <c r="T2263" i="1" s="1"/>
  <c r="S2264" i="1"/>
  <c r="T2264" i="1" s="1" a="1"/>
  <c r="T2264" i="1" s="1"/>
  <c r="S2265" i="1"/>
  <c r="T2265" i="1" s="1" a="1"/>
  <c r="T2265" i="1" s="1"/>
  <c r="S2266" i="1"/>
  <c r="T2266" i="1" s="1" a="1"/>
  <c r="T2266" i="1" s="1"/>
  <c r="S2267" i="1"/>
  <c r="T2267" i="1" s="1" a="1"/>
  <c r="T2267" i="1" s="1"/>
  <c r="S2268" i="1"/>
  <c r="T2268" i="1" s="1" a="1"/>
  <c r="T2268" i="1" s="1"/>
  <c r="S2269" i="1"/>
  <c r="T2269" i="1" s="1" a="1"/>
  <c r="T2269" i="1" s="1"/>
  <c r="S2270" i="1"/>
  <c r="T2270" i="1" s="1" a="1"/>
  <c r="T2270" i="1" s="1"/>
  <c r="S2271" i="1"/>
  <c r="T2271" i="1" s="1" a="1"/>
  <c r="T2271" i="1" s="1"/>
  <c r="S2272" i="1"/>
  <c r="T2272" i="1" s="1" a="1"/>
  <c r="T2272" i="1" s="1"/>
  <c r="S2273" i="1"/>
  <c r="T2273" i="1" s="1" a="1"/>
  <c r="T2273" i="1" s="1"/>
  <c r="S2274" i="1"/>
  <c r="T2274" i="1" s="1" a="1"/>
  <c r="T2274" i="1" s="1"/>
  <c r="S2275" i="1"/>
  <c r="T2275" i="1" s="1" a="1"/>
  <c r="T2275" i="1" s="1"/>
  <c r="S2276" i="1"/>
  <c r="T2276" i="1" s="1" a="1"/>
  <c r="T2276" i="1" s="1"/>
  <c r="S2277" i="1"/>
  <c r="T2277" i="1" s="1" a="1"/>
  <c r="T2277" i="1" s="1"/>
  <c r="S2278" i="1"/>
  <c r="T2278" i="1" s="1" a="1"/>
  <c r="T2278" i="1" s="1"/>
  <c r="S2279" i="1"/>
  <c r="T2279" i="1" s="1" a="1"/>
  <c r="T2279" i="1" s="1"/>
  <c r="S2280" i="1"/>
  <c r="T2280" i="1" s="1" a="1"/>
  <c r="T2280" i="1" s="1"/>
  <c r="S2281" i="1"/>
  <c r="T2281" i="1" s="1" a="1"/>
  <c r="T2281" i="1" s="1"/>
  <c r="S2282" i="1"/>
  <c r="T2282" i="1" s="1" a="1"/>
  <c r="T2282" i="1" s="1"/>
  <c r="S2283" i="1"/>
  <c r="T2283" i="1" s="1" a="1"/>
  <c r="T2283" i="1" s="1"/>
  <c r="S2284" i="1"/>
  <c r="T2284" i="1" s="1" a="1"/>
  <c r="T2284" i="1" s="1"/>
  <c r="S2285" i="1"/>
  <c r="T2285" i="1" s="1" a="1"/>
  <c r="T2285" i="1" s="1"/>
  <c r="S2286" i="1"/>
  <c r="T2286" i="1" s="1" a="1"/>
  <c r="T2286" i="1" s="1"/>
  <c r="S2287" i="1"/>
  <c r="T2287" i="1" s="1" a="1"/>
  <c r="T2287" i="1" s="1"/>
  <c r="S2288" i="1"/>
  <c r="T2288" i="1" s="1" a="1"/>
  <c r="T2288" i="1" s="1"/>
  <c r="S2289" i="1"/>
  <c r="T2289" i="1" s="1" a="1"/>
  <c r="T2289" i="1" s="1"/>
  <c r="S2290" i="1"/>
  <c r="T2290" i="1" s="1" a="1"/>
  <c r="T2290" i="1" s="1"/>
  <c r="S2291" i="1"/>
  <c r="T2291" i="1" s="1" a="1"/>
  <c r="T2291" i="1" s="1"/>
  <c r="S2292" i="1"/>
  <c r="T2292" i="1" s="1" a="1"/>
  <c r="T2292" i="1" s="1"/>
  <c r="S2293" i="1"/>
  <c r="T2293" i="1" s="1" a="1"/>
  <c r="T2293" i="1" s="1"/>
  <c r="S2294" i="1"/>
  <c r="T2294" i="1" s="1" a="1"/>
  <c r="T2294" i="1" s="1"/>
  <c r="S2295" i="1"/>
  <c r="T2295" i="1" s="1" a="1"/>
  <c r="T2295" i="1" s="1"/>
  <c r="S2296" i="1"/>
  <c r="T2296" i="1" s="1" a="1"/>
  <c r="T2296" i="1" s="1"/>
  <c r="S2297" i="1"/>
  <c r="T2297" i="1" s="1" a="1"/>
  <c r="T2297" i="1" s="1"/>
  <c r="S2298" i="1"/>
  <c r="T2298" i="1" s="1" a="1"/>
  <c r="T2298" i="1" s="1"/>
  <c r="S2299" i="1"/>
  <c r="T2299" i="1" s="1" a="1"/>
  <c r="T2299" i="1" s="1"/>
  <c r="S2300" i="1"/>
  <c r="T2300" i="1" s="1" a="1"/>
  <c r="T2300" i="1" s="1"/>
  <c r="S2301" i="1"/>
  <c r="T2301" i="1" s="1" a="1"/>
  <c r="T2301" i="1" s="1"/>
  <c r="S2302" i="1"/>
  <c r="T2302" i="1" s="1" a="1"/>
  <c r="T2302" i="1" s="1"/>
  <c r="S2303" i="1"/>
  <c r="T2303" i="1" s="1" a="1"/>
  <c r="T2303" i="1" s="1"/>
  <c r="S2304" i="1"/>
  <c r="T2304" i="1" s="1" a="1"/>
  <c r="T2304" i="1" s="1"/>
  <c r="S2305" i="1"/>
  <c r="T2305" i="1" s="1" a="1"/>
  <c r="T2305" i="1" s="1"/>
  <c r="S2306" i="1"/>
  <c r="T2306" i="1" s="1" a="1"/>
  <c r="T2306" i="1" s="1"/>
  <c r="S2307" i="1"/>
  <c r="T2307" i="1" s="1" a="1"/>
  <c r="T2307" i="1" s="1"/>
  <c r="S2308" i="1"/>
  <c r="T2308" i="1" s="1" a="1"/>
  <c r="T2308" i="1" s="1"/>
  <c r="S2309" i="1"/>
  <c r="T2309" i="1" s="1" a="1"/>
  <c r="T2309" i="1" s="1"/>
  <c r="S2310" i="1"/>
  <c r="T2310" i="1" s="1" a="1"/>
  <c r="T2310" i="1" s="1"/>
  <c r="S2311" i="1"/>
  <c r="T2311" i="1" s="1" a="1"/>
  <c r="T2311" i="1" s="1"/>
  <c r="S2312" i="1"/>
  <c r="T2312" i="1" s="1" a="1"/>
  <c r="T2312" i="1" s="1"/>
  <c r="S2313" i="1"/>
  <c r="T2313" i="1" s="1" a="1"/>
  <c r="T2313" i="1" s="1"/>
  <c r="S2314" i="1"/>
  <c r="T2314" i="1" s="1" a="1"/>
  <c r="T2314" i="1" s="1"/>
  <c r="S2315" i="1"/>
  <c r="T2315" i="1" s="1" a="1"/>
  <c r="T2315" i="1" s="1"/>
  <c r="S2316" i="1"/>
  <c r="T2316" i="1" s="1" a="1"/>
  <c r="T2316" i="1" s="1"/>
  <c r="S2317" i="1"/>
  <c r="T2317" i="1" s="1" a="1"/>
  <c r="T2317" i="1" s="1"/>
  <c r="S2318" i="1"/>
  <c r="T2318" i="1" s="1" a="1"/>
  <c r="T2318" i="1" s="1"/>
  <c r="S2319" i="1"/>
  <c r="T2319" i="1" s="1" a="1"/>
  <c r="T2319" i="1" s="1"/>
  <c r="S2320" i="1"/>
  <c r="T2320" i="1" s="1" a="1"/>
  <c r="T2320" i="1" s="1"/>
  <c r="S2321" i="1"/>
  <c r="T2321" i="1" s="1" a="1"/>
  <c r="T2321" i="1" s="1"/>
  <c r="S2322" i="1"/>
  <c r="T2322" i="1" s="1" a="1"/>
  <c r="T2322" i="1" s="1"/>
  <c r="S2323" i="1"/>
  <c r="T2323" i="1" s="1" a="1"/>
  <c r="T2323" i="1" s="1"/>
  <c r="S2324" i="1"/>
  <c r="T2324" i="1" s="1" a="1"/>
  <c r="T2324" i="1" s="1"/>
  <c r="S2325" i="1"/>
  <c r="T2325" i="1" s="1" a="1"/>
  <c r="T2325" i="1" s="1"/>
  <c r="S2326" i="1"/>
  <c r="T2326" i="1" s="1" a="1"/>
  <c r="T2326" i="1" s="1"/>
  <c r="S2327" i="1"/>
  <c r="T2327" i="1" s="1" a="1"/>
  <c r="T2327" i="1" s="1"/>
  <c r="S2328" i="1"/>
  <c r="T2328" i="1" s="1" a="1"/>
  <c r="T2328" i="1" s="1"/>
  <c r="S2329" i="1"/>
  <c r="T2329" i="1" s="1" a="1"/>
  <c r="T2329" i="1" s="1"/>
  <c r="S2330" i="1"/>
  <c r="T2330" i="1" s="1" a="1"/>
  <c r="T2330" i="1" s="1"/>
  <c r="S2331" i="1"/>
  <c r="T2331" i="1" s="1" a="1"/>
  <c r="T2331" i="1" s="1"/>
  <c r="S2332" i="1"/>
  <c r="T2332" i="1" s="1" a="1"/>
  <c r="T2332" i="1" s="1"/>
  <c r="S2333" i="1"/>
  <c r="T2333" i="1" s="1" a="1"/>
  <c r="T2333" i="1" s="1"/>
  <c r="S2334" i="1"/>
  <c r="T2334" i="1" s="1" a="1"/>
  <c r="T2334" i="1" s="1"/>
  <c r="S2335" i="1"/>
  <c r="T2335" i="1" s="1" a="1"/>
  <c r="T2335" i="1" s="1"/>
  <c r="S2336" i="1"/>
  <c r="T2336" i="1" s="1" a="1"/>
  <c r="T2336" i="1" s="1"/>
  <c r="S2337" i="1"/>
  <c r="T2337" i="1" s="1" a="1"/>
  <c r="T2337" i="1" s="1"/>
  <c r="S2338" i="1"/>
  <c r="T2338" i="1" s="1" a="1"/>
  <c r="T2338" i="1" s="1"/>
  <c r="S2339" i="1"/>
  <c r="T2339" i="1" s="1" a="1"/>
  <c r="T2339" i="1" s="1"/>
  <c r="S2340" i="1"/>
  <c r="T2340" i="1" s="1" a="1"/>
  <c r="T2340" i="1" s="1"/>
  <c r="S2341" i="1"/>
  <c r="T2341" i="1" s="1" a="1"/>
  <c r="T2341" i="1" s="1"/>
  <c r="S2342" i="1"/>
  <c r="T2342" i="1" s="1" a="1"/>
  <c r="T2342" i="1" s="1"/>
  <c r="S2343" i="1"/>
  <c r="T2343" i="1" s="1" a="1"/>
  <c r="T2343" i="1" s="1"/>
  <c r="S2344" i="1"/>
  <c r="T2344" i="1" s="1" a="1"/>
  <c r="T2344" i="1" s="1"/>
  <c r="S2345" i="1"/>
  <c r="T2345" i="1" s="1" a="1"/>
  <c r="T2345" i="1" s="1"/>
  <c r="S2346" i="1"/>
  <c r="T2346" i="1" s="1" a="1"/>
  <c r="T2346" i="1" s="1"/>
  <c r="S2347" i="1"/>
  <c r="T2347" i="1" s="1" a="1"/>
  <c r="T2347" i="1" s="1"/>
  <c r="S2348" i="1"/>
  <c r="T2348" i="1" s="1" a="1"/>
  <c r="T2348" i="1" s="1"/>
  <c r="S2349" i="1"/>
  <c r="T2349" i="1" s="1" a="1"/>
  <c r="T2349" i="1" s="1"/>
  <c r="S2350" i="1"/>
  <c r="T2350" i="1" s="1" a="1"/>
  <c r="T2350" i="1" s="1"/>
  <c r="S2351" i="1"/>
  <c r="T2351" i="1" s="1" a="1"/>
  <c r="T2351" i="1" s="1"/>
  <c r="S2352" i="1"/>
  <c r="T2352" i="1" s="1" a="1"/>
  <c r="T2352" i="1" s="1"/>
  <c r="S2353" i="1"/>
  <c r="T2353" i="1" s="1" a="1"/>
  <c r="T2353" i="1" s="1"/>
  <c r="S2354" i="1"/>
  <c r="T2354" i="1" s="1" a="1"/>
  <c r="T2354" i="1" s="1"/>
  <c r="S2355" i="1"/>
  <c r="T2355" i="1" s="1" a="1"/>
  <c r="T2355" i="1" s="1"/>
  <c r="S2356" i="1"/>
  <c r="T2356" i="1" s="1" a="1"/>
  <c r="T2356" i="1" s="1"/>
  <c r="S2357" i="1"/>
  <c r="T2357" i="1" s="1" a="1"/>
  <c r="T2357" i="1" s="1"/>
  <c r="S2358" i="1"/>
  <c r="T2358" i="1" s="1" a="1"/>
  <c r="T2358" i="1" s="1"/>
  <c r="S2359" i="1"/>
  <c r="T2359" i="1" s="1" a="1"/>
  <c r="T2359" i="1" s="1"/>
  <c r="S2360" i="1"/>
  <c r="T2360" i="1" s="1" a="1"/>
  <c r="T2360" i="1" s="1"/>
  <c r="S2361" i="1"/>
  <c r="T2361" i="1" s="1" a="1"/>
  <c r="T2361" i="1" s="1"/>
  <c r="S2362" i="1"/>
  <c r="T2362" i="1" s="1" a="1"/>
  <c r="T2362" i="1" s="1"/>
  <c r="S2363" i="1"/>
  <c r="T2363" i="1" s="1" a="1"/>
  <c r="T2363" i="1" s="1"/>
  <c r="S2364" i="1"/>
  <c r="T2364" i="1" s="1" a="1"/>
  <c r="T2364" i="1" s="1"/>
  <c r="S2365" i="1"/>
  <c r="T2365" i="1" s="1" a="1"/>
  <c r="T2365" i="1" s="1"/>
  <c r="S2366" i="1"/>
  <c r="T2366" i="1" s="1" a="1"/>
  <c r="T2366" i="1" s="1"/>
  <c r="S2367" i="1"/>
  <c r="T2367" i="1" s="1" a="1"/>
  <c r="T2367" i="1" s="1"/>
  <c r="S2368" i="1"/>
  <c r="T2368" i="1" s="1" a="1"/>
  <c r="T2368" i="1" s="1"/>
  <c r="S2369" i="1"/>
  <c r="T2369" i="1" s="1" a="1"/>
  <c r="T2369" i="1" s="1"/>
  <c r="S2370" i="1"/>
  <c r="T2370" i="1" s="1" a="1"/>
  <c r="T2370" i="1" s="1"/>
  <c r="S2371" i="1"/>
  <c r="T2371" i="1" s="1" a="1"/>
  <c r="T2371" i="1" s="1"/>
  <c r="S2372" i="1"/>
  <c r="T2372" i="1" s="1" a="1"/>
  <c r="T2372" i="1" s="1"/>
  <c r="S2373" i="1"/>
  <c r="T2373" i="1" s="1" a="1"/>
  <c r="T2373" i="1" s="1"/>
  <c r="S2374" i="1"/>
  <c r="T2374" i="1" s="1" a="1"/>
  <c r="T2374" i="1" s="1"/>
  <c r="S2375" i="1"/>
  <c r="T2375" i="1" s="1" a="1"/>
  <c r="T2375" i="1" s="1"/>
  <c r="S2376" i="1"/>
  <c r="T2376" i="1" s="1" a="1"/>
  <c r="T2376" i="1" s="1"/>
  <c r="S2377" i="1"/>
  <c r="T2377" i="1" s="1" a="1"/>
  <c r="T2377" i="1" s="1"/>
  <c r="S2378" i="1"/>
  <c r="T2378" i="1" s="1" a="1"/>
  <c r="T2378" i="1" s="1"/>
  <c r="S2379" i="1"/>
  <c r="T2379" i="1" s="1" a="1"/>
  <c r="T2379" i="1" s="1"/>
  <c r="S2380" i="1"/>
  <c r="T2380" i="1" s="1" a="1"/>
  <c r="T2380" i="1" s="1"/>
  <c r="S2381" i="1"/>
  <c r="T2381" i="1" s="1" a="1"/>
  <c r="T2381" i="1" s="1"/>
  <c r="S2382" i="1"/>
  <c r="T2382" i="1" s="1" a="1"/>
  <c r="T2382" i="1" s="1"/>
  <c r="S2383" i="1"/>
  <c r="T2383" i="1" s="1" a="1"/>
  <c r="T2383" i="1" s="1"/>
  <c r="S2384" i="1"/>
  <c r="T2384" i="1" s="1" a="1"/>
  <c r="T2384" i="1" s="1"/>
  <c r="S2385" i="1"/>
  <c r="T2385" i="1" s="1" a="1"/>
  <c r="T2385" i="1" s="1"/>
  <c r="S2386" i="1"/>
  <c r="T2386" i="1" s="1" a="1"/>
  <c r="T2386" i="1" s="1"/>
  <c r="S2387" i="1"/>
  <c r="T2387" i="1" s="1" a="1"/>
  <c r="T2387" i="1" s="1"/>
  <c r="S2388" i="1"/>
  <c r="T2388" i="1" s="1" a="1"/>
  <c r="T2388" i="1" s="1"/>
  <c r="S2389" i="1"/>
  <c r="T2389" i="1" s="1" a="1"/>
  <c r="T2389" i="1" s="1"/>
  <c r="S2390" i="1"/>
  <c r="T2390" i="1" s="1" a="1"/>
  <c r="T2390" i="1" s="1"/>
  <c r="S2391" i="1"/>
  <c r="T2391" i="1" s="1" a="1"/>
  <c r="T2391" i="1" s="1"/>
  <c r="S2392" i="1"/>
  <c r="T2392" i="1" s="1" a="1"/>
  <c r="T2392" i="1" s="1"/>
  <c r="S2393" i="1"/>
  <c r="T2393" i="1" s="1" a="1"/>
  <c r="T2393" i="1" s="1"/>
  <c r="S2394" i="1"/>
  <c r="T2394" i="1" s="1" a="1"/>
  <c r="T2394" i="1" s="1"/>
  <c r="S2395" i="1"/>
  <c r="T2395" i="1" s="1" a="1"/>
  <c r="T2395" i="1" s="1"/>
  <c r="S2396" i="1"/>
  <c r="T2396" i="1" s="1" a="1"/>
  <c r="T2396" i="1" s="1"/>
  <c r="S2397" i="1"/>
  <c r="T2397" i="1" s="1" a="1"/>
  <c r="T2397" i="1" s="1"/>
  <c r="S2398" i="1"/>
  <c r="T2398" i="1" s="1" a="1"/>
  <c r="T2398" i="1" s="1"/>
  <c r="S2399" i="1"/>
  <c r="T2399" i="1" s="1" a="1"/>
  <c r="T2399" i="1" s="1"/>
  <c r="S2400" i="1"/>
  <c r="T2400" i="1" s="1" a="1"/>
  <c r="T2400" i="1" s="1"/>
  <c r="S2401" i="1"/>
  <c r="T2401" i="1" s="1" a="1"/>
  <c r="T2401" i="1" s="1"/>
  <c r="S2402" i="1"/>
  <c r="T2402" i="1" s="1" a="1"/>
  <c r="T2402" i="1" s="1"/>
  <c r="S2403" i="1"/>
  <c r="T2403" i="1" s="1" a="1"/>
  <c r="T2403" i="1" s="1"/>
  <c r="S2404" i="1"/>
  <c r="T2404" i="1" s="1" a="1"/>
  <c r="T2404" i="1" s="1"/>
  <c r="S2405" i="1"/>
  <c r="T2405" i="1" s="1" a="1"/>
  <c r="T2405" i="1" s="1"/>
  <c r="S2406" i="1"/>
  <c r="T2406" i="1" s="1" a="1"/>
  <c r="T2406" i="1" s="1"/>
  <c r="S2407" i="1"/>
  <c r="T2407" i="1" s="1" a="1"/>
  <c r="T2407" i="1" s="1"/>
  <c r="S2408" i="1"/>
  <c r="T2408" i="1" s="1" a="1"/>
  <c r="T2408" i="1" s="1"/>
  <c r="S2409" i="1"/>
  <c r="T2409" i="1" s="1" a="1"/>
  <c r="T2409" i="1" s="1"/>
  <c r="S2410" i="1"/>
  <c r="T2410" i="1" s="1" a="1"/>
  <c r="T2410" i="1" s="1"/>
  <c r="S2411" i="1"/>
  <c r="T2411" i="1" s="1" a="1"/>
  <c r="T2411" i="1" s="1"/>
  <c r="S2412" i="1"/>
  <c r="T2412" i="1" s="1" a="1"/>
  <c r="T2412" i="1" s="1"/>
  <c r="S2413" i="1"/>
  <c r="T2413" i="1" s="1" a="1"/>
  <c r="T2413" i="1" s="1"/>
  <c r="S2414" i="1"/>
  <c r="T2414" i="1" s="1" a="1"/>
  <c r="T2414" i="1" s="1"/>
  <c r="S2415" i="1"/>
  <c r="T2415" i="1" s="1" a="1"/>
  <c r="T2415" i="1" s="1"/>
  <c r="S2416" i="1"/>
  <c r="T2416" i="1" s="1" a="1"/>
  <c r="T2416" i="1" s="1"/>
  <c r="S2417" i="1"/>
  <c r="T2417" i="1" s="1" a="1"/>
  <c r="T2417" i="1" s="1"/>
  <c r="S2418" i="1"/>
  <c r="T2418" i="1" s="1" a="1"/>
  <c r="T2418" i="1" s="1"/>
  <c r="S2419" i="1"/>
  <c r="T2419" i="1" s="1" a="1"/>
  <c r="T2419" i="1" s="1"/>
  <c r="S2420" i="1"/>
  <c r="T2420" i="1" s="1" a="1"/>
  <c r="T2420" i="1" s="1"/>
  <c r="S2421" i="1"/>
  <c r="T2421" i="1" s="1" a="1"/>
  <c r="T2421" i="1" s="1"/>
  <c r="S2422" i="1"/>
  <c r="T2422" i="1" s="1" a="1"/>
  <c r="T2422" i="1" s="1"/>
  <c r="S2423" i="1"/>
  <c r="T2423" i="1" s="1" a="1"/>
  <c r="T2423" i="1" s="1"/>
  <c r="S2424" i="1"/>
  <c r="T2424" i="1" s="1" a="1"/>
  <c r="T2424" i="1" s="1"/>
  <c r="S2425" i="1"/>
  <c r="T2425" i="1" s="1" a="1"/>
  <c r="T2425" i="1" s="1"/>
  <c r="S2426" i="1"/>
  <c r="T2426" i="1" s="1" a="1"/>
  <c r="T2426" i="1" s="1"/>
  <c r="S2427" i="1"/>
  <c r="T2427" i="1" s="1" a="1"/>
  <c r="T2427" i="1" s="1"/>
  <c r="S2428" i="1"/>
  <c r="T2428" i="1" s="1" a="1"/>
  <c r="T2428" i="1" s="1"/>
  <c r="S2429" i="1"/>
  <c r="T2429" i="1" s="1" a="1"/>
  <c r="T2429" i="1" s="1"/>
  <c r="S2430" i="1"/>
  <c r="T2430" i="1" s="1" a="1"/>
  <c r="T2430" i="1" s="1"/>
  <c r="S2431" i="1"/>
  <c r="T2431" i="1" s="1" a="1"/>
  <c r="T2431" i="1" s="1"/>
  <c r="S2432" i="1"/>
  <c r="T2432" i="1" s="1" a="1"/>
  <c r="T2432" i="1" s="1"/>
  <c r="S2433" i="1"/>
  <c r="T2433" i="1" s="1" a="1"/>
  <c r="T2433" i="1" s="1"/>
  <c r="S2434" i="1"/>
  <c r="T2434" i="1" s="1" a="1"/>
  <c r="T2434" i="1" s="1"/>
  <c r="S2435" i="1"/>
  <c r="T2435" i="1" s="1" a="1"/>
  <c r="T2435" i="1" s="1"/>
  <c r="S2436" i="1"/>
  <c r="T2436" i="1" s="1" a="1"/>
  <c r="T2436" i="1" s="1"/>
  <c r="S2437" i="1"/>
  <c r="T2437" i="1" s="1" a="1"/>
  <c r="T2437" i="1" s="1"/>
  <c r="S2438" i="1"/>
  <c r="T2438" i="1" s="1" a="1"/>
  <c r="T2438" i="1" s="1"/>
  <c r="S2439" i="1"/>
  <c r="T2439" i="1" s="1" a="1"/>
  <c r="T2439" i="1" s="1"/>
  <c r="S2440" i="1"/>
  <c r="T2440" i="1" s="1" a="1"/>
  <c r="T2440" i="1" s="1"/>
  <c r="S2441" i="1"/>
  <c r="T2441" i="1" s="1" a="1"/>
  <c r="T2441" i="1" s="1"/>
  <c r="S2442" i="1"/>
  <c r="T2442" i="1" s="1" a="1"/>
  <c r="T2442" i="1" s="1"/>
  <c r="S2443" i="1"/>
  <c r="T2443" i="1" s="1" a="1"/>
  <c r="T2443" i="1" s="1"/>
  <c r="S2444" i="1"/>
  <c r="T2444" i="1" s="1" a="1"/>
  <c r="T2444" i="1" s="1"/>
  <c r="S2445" i="1"/>
  <c r="T2445" i="1" s="1" a="1"/>
  <c r="T2445" i="1" s="1"/>
  <c r="S2446" i="1"/>
  <c r="T2446" i="1" s="1" a="1"/>
  <c r="T2446" i="1" s="1"/>
  <c r="S2447" i="1"/>
  <c r="T2447" i="1" s="1" a="1"/>
  <c r="T2447" i="1" s="1"/>
  <c r="S2448" i="1"/>
  <c r="T2448" i="1" s="1" a="1"/>
  <c r="T2448" i="1" s="1"/>
  <c r="S2449" i="1"/>
  <c r="T2449" i="1" s="1" a="1"/>
  <c r="T2449" i="1" s="1"/>
  <c r="S2450" i="1"/>
  <c r="T2450" i="1" s="1" a="1"/>
  <c r="T2450" i="1" s="1"/>
  <c r="S2451" i="1"/>
  <c r="T2451" i="1" s="1" a="1"/>
  <c r="T2451" i="1" s="1"/>
  <c r="S2452" i="1"/>
  <c r="T2452" i="1" s="1" a="1"/>
  <c r="T2452" i="1" s="1"/>
  <c r="S2453" i="1"/>
  <c r="T2453" i="1" s="1" a="1"/>
  <c r="T2453" i="1" s="1"/>
  <c r="S2454" i="1"/>
  <c r="T2454" i="1" s="1" a="1"/>
  <c r="T2454" i="1" s="1"/>
  <c r="S2455" i="1"/>
  <c r="T2455" i="1" s="1" a="1"/>
  <c r="T2455" i="1" s="1"/>
  <c r="S2456" i="1"/>
  <c r="T2456" i="1" s="1" a="1"/>
  <c r="T2456" i="1" s="1"/>
  <c r="S2457" i="1"/>
  <c r="T2457" i="1" s="1" a="1"/>
  <c r="T2457" i="1" s="1"/>
  <c r="S2458" i="1"/>
  <c r="T2458" i="1" s="1" a="1"/>
  <c r="T2458" i="1" s="1"/>
  <c r="S2459" i="1"/>
  <c r="T2459" i="1" s="1" a="1"/>
  <c r="T2459" i="1" s="1"/>
  <c r="S2460" i="1"/>
  <c r="T2460" i="1" s="1" a="1"/>
  <c r="T2460" i="1" s="1"/>
  <c r="S2461" i="1"/>
  <c r="T2461" i="1" s="1" a="1"/>
  <c r="T2461" i="1" s="1"/>
  <c r="S2462" i="1"/>
  <c r="T2462" i="1" s="1" a="1"/>
  <c r="T2462" i="1" s="1"/>
  <c r="S2463" i="1"/>
  <c r="T2463" i="1" s="1" a="1"/>
  <c r="T2463" i="1" s="1"/>
  <c r="S2464" i="1"/>
  <c r="T2464" i="1" s="1" a="1"/>
  <c r="T2464" i="1" s="1"/>
  <c r="S2465" i="1"/>
  <c r="T2465" i="1" s="1" a="1"/>
  <c r="T2465" i="1" s="1"/>
  <c r="S2466" i="1"/>
  <c r="T2466" i="1" s="1" a="1"/>
  <c r="T2466" i="1" s="1"/>
  <c r="S2467" i="1"/>
  <c r="T2467" i="1" s="1" a="1"/>
  <c r="T2467" i="1" s="1"/>
  <c r="S2468" i="1"/>
  <c r="T2468" i="1" s="1" a="1"/>
  <c r="T2468" i="1" s="1"/>
  <c r="S2469" i="1"/>
  <c r="T2469" i="1" s="1" a="1"/>
  <c r="T2469" i="1" s="1"/>
  <c r="S2470" i="1"/>
  <c r="T2470" i="1" s="1" a="1"/>
  <c r="T2470" i="1" s="1"/>
  <c r="S2471" i="1"/>
  <c r="T2471" i="1" s="1" a="1"/>
  <c r="T2471" i="1" s="1"/>
  <c r="S2472" i="1"/>
  <c r="T2472" i="1" s="1" a="1"/>
  <c r="T2472" i="1" s="1"/>
  <c r="S2473" i="1"/>
  <c r="T2473" i="1" s="1" a="1"/>
  <c r="T2473" i="1" s="1"/>
  <c r="S2474" i="1"/>
  <c r="T2474" i="1" s="1" a="1"/>
  <c r="T2474" i="1" s="1"/>
  <c r="S2475" i="1"/>
  <c r="T2475" i="1" s="1" a="1"/>
  <c r="T2475" i="1" s="1"/>
  <c r="S2476" i="1"/>
  <c r="T2476" i="1" s="1" a="1"/>
  <c r="T2476" i="1" s="1"/>
  <c r="S2477" i="1"/>
  <c r="T2477" i="1" s="1" a="1"/>
  <c r="T2477" i="1" s="1"/>
  <c r="S2478" i="1"/>
  <c r="T2478" i="1" s="1" a="1"/>
  <c r="T2478" i="1" s="1"/>
  <c r="S2479" i="1"/>
  <c r="T2479" i="1" s="1" a="1"/>
  <c r="T2479" i="1" s="1"/>
  <c r="S2480" i="1"/>
  <c r="T2480" i="1" s="1" a="1"/>
  <c r="T2480" i="1" s="1"/>
  <c r="S2481" i="1"/>
  <c r="T2481" i="1" s="1" a="1"/>
  <c r="T2481" i="1" s="1"/>
  <c r="S2482" i="1"/>
  <c r="T2482" i="1" s="1" a="1"/>
  <c r="T2482" i="1" s="1"/>
  <c r="S2483" i="1"/>
  <c r="T2483" i="1" s="1" a="1"/>
  <c r="T2483" i="1" s="1"/>
  <c r="S2484" i="1"/>
  <c r="T2484" i="1" s="1" a="1"/>
  <c r="T2484" i="1" s="1"/>
  <c r="S2485" i="1"/>
  <c r="T2485" i="1" s="1" a="1"/>
  <c r="T2485" i="1" s="1"/>
  <c r="S2486" i="1"/>
  <c r="T2486" i="1" s="1" a="1"/>
  <c r="T2486" i="1" s="1"/>
  <c r="S2487" i="1"/>
  <c r="T2487" i="1" s="1" a="1"/>
  <c r="T2487" i="1" s="1"/>
  <c r="S2488" i="1"/>
  <c r="T2488" i="1" s="1" a="1"/>
  <c r="T2488" i="1" s="1"/>
  <c r="S2489" i="1"/>
  <c r="T2489" i="1" s="1" a="1"/>
  <c r="T2489" i="1" s="1"/>
  <c r="S2490" i="1"/>
  <c r="T2490" i="1" s="1" a="1"/>
  <c r="T2490" i="1" s="1"/>
  <c r="S2491" i="1"/>
  <c r="T2491" i="1" s="1" a="1"/>
  <c r="T2491" i="1" s="1"/>
  <c r="S2492" i="1"/>
  <c r="T2492" i="1" s="1" a="1"/>
  <c r="T2492" i="1" s="1"/>
  <c r="S2493" i="1"/>
  <c r="T2493" i="1" s="1" a="1"/>
  <c r="T2493" i="1" s="1"/>
  <c r="S2494" i="1"/>
  <c r="T2494" i="1" s="1" a="1"/>
  <c r="T2494" i="1" s="1"/>
  <c r="S2495" i="1"/>
  <c r="T2495" i="1" s="1" a="1"/>
  <c r="T2495" i="1" s="1"/>
  <c r="S2496" i="1"/>
  <c r="T2496" i="1" s="1" a="1"/>
  <c r="T2496" i="1" s="1"/>
  <c r="S2497" i="1"/>
  <c r="T2497" i="1" s="1" a="1"/>
  <c r="T2497" i="1" s="1"/>
  <c r="S2498" i="1"/>
  <c r="T2498" i="1" s="1" a="1"/>
  <c r="T2498" i="1" s="1"/>
  <c r="S2499" i="1"/>
  <c r="T2499" i="1" s="1" a="1"/>
  <c r="T2499" i="1" s="1"/>
  <c r="S2500" i="1"/>
  <c r="T2500" i="1" s="1" a="1"/>
  <c r="T2500" i="1" s="1"/>
  <c r="S2501" i="1"/>
  <c r="T2501" i="1" s="1" a="1"/>
  <c r="T2501" i="1" s="1"/>
  <c r="S2502" i="1"/>
  <c r="T2502" i="1" s="1" a="1"/>
  <c r="T2502" i="1" s="1"/>
  <c r="S2503" i="1"/>
  <c r="T2503" i="1" s="1" a="1"/>
  <c r="T2503" i="1" s="1"/>
  <c r="S2504" i="1"/>
  <c r="T2504" i="1" s="1" a="1"/>
  <c r="T2504" i="1" s="1"/>
  <c r="S2505" i="1"/>
  <c r="T2505" i="1" s="1" a="1"/>
  <c r="T2505" i="1" s="1"/>
  <c r="S2506" i="1"/>
  <c r="T2506" i="1" s="1" a="1"/>
  <c r="T2506" i="1" s="1"/>
  <c r="S2507" i="1"/>
  <c r="T2507" i="1" s="1" a="1"/>
  <c r="T2507" i="1" s="1"/>
  <c r="S2508" i="1"/>
  <c r="T2508" i="1" s="1" a="1"/>
  <c r="T2508" i="1" s="1"/>
  <c r="S2509" i="1"/>
  <c r="T2509" i="1" s="1" a="1"/>
  <c r="T2509" i="1" s="1"/>
  <c r="S2510" i="1"/>
  <c r="T2510" i="1" s="1" a="1"/>
  <c r="T2510" i="1" s="1"/>
  <c r="S2511" i="1"/>
  <c r="T2511" i="1" s="1" a="1"/>
  <c r="T2511" i="1" s="1"/>
  <c r="S2512" i="1"/>
  <c r="T2512" i="1" s="1" a="1"/>
  <c r="T2512" i="1" s="1"/>
  <c r="S2513" i="1"/>
  <c r="T2513" i="1" s="1" a="1"/>
  <c r="T2513" i="1" s="1"/>
  <c r="S2514" i="1"/>
  <c r="T2514" i="1" s="1" a="1"/>
  <c r="T2514" i="1" s="1"/>
  <c r="S2515" i="1"/>
  <c r="T2515" i="1" s="1" a="1"/>
  <c r="T2515" i="1" s="1"/>
  <c r="S2516" i="1"/>
  <c r="T2516" i="1" s="1" a="1"/>
  <c r="T2516" i="1" s="1"/>
  <c r="S2517" i="1"/>
  <c r="T2517" i="1" s="1" a="1"/>
  <c r="T2517" i="1" s="1"/>
  <c r="S2518" i="1"/>
  <c r="T2518" i="1" s="1" a="1"/>
  <c r="T2518" i="1" s="1"/>
  <c r="S2519" i="1"/>
  <c r="T2519" i="1" s="1" a="1"/>
  <c r="T2519" i="1" s="1"/>
  <c r="S2520" i="1"/>
  <c r="T2520" i="1" s="1" a="1"/>
  <c r="T2520" i="1" s="1"/>
  <c r="S2521" i="1"/>
  <c r="T2521" i="1" s="1" a="1"/>
  <c r="T2521" i="1" s="1"/>
  <c r="S2522" i="1"/>
  <c r="T2522" i="1" s="1" a="1"/>
  <c r="T2522" i="1" s="1"/>
  <c r="S2523" i="1"/>
  <c r="T2523" i="1" s="1" a="1"/>
  <c r="T2523" i="1" s="1"/>
  <c r="S2524" i="1"/>
  <c r="T2524" i="1" s="1" a="1"/>
  <c r="T2524" i="1" s="1"/>
  <c r="S2525" i="1"/>
  <c r="T2525" i="1" s="1" a="1"/>
  <c r="T2525" i="1" s="1"/>
  <c r="S2526" i="1"/>
  <c r="T2526" i="1" s="1" a="1"/>
  <c r="T2526" i="1" s="1"/>
  <c r="S2527" i="1"/>
  <c r="T2527" i="1" s="1" a="1"/>
  <c r="T2527" i="1" s="1"/>
  <c r="S2528" i="1"/>
  <c r="T2528" i="1" s="1" a="1"/>
  <c r="T2528" i="1" s="1"/>
  <c r="S2529" i="1"/>
  <c r="T2529" i="1" s="1" a="1"/>
  <c r="T2529" i="1" s="1"/>
  <c r="S2530" i="1"/>
  <c r="T2530" i="1" s="1" a="1"/>
  <c r="T2530" i="1" s="1"/>
  <c r="S2531" i="1"/>
  <c r="T2531" i="1" s="1" a="1"/>
  <c r="T2531" i="1" s="1"/>
  <c r="S2532" i="1"/>
  <c r="T2532" i="1" s="1" a="1"/>
  <c r="T2532" i="1" s="1"/>
  <c r="S2533" i="1"/>
  <c r="T2533" i="1" s="1" a="1"/>
  <c r="T2533" i="1" s="1"/>
  <c r="S2534" i="1"/>
  <c r="T2534" i="1" s="1" a="1"/>
  <c r="T2534" i="1" s="1"/>
  <c r="S2535" i="1"/>
  <c r="T2535" i="1" s="1" a="1"/>
  <c r="T2535" i="1" s="1"/>
  <c r="S2536" i="1"/>
  <c r="T2536" i="1" s="1" a="1"/>
  <c r="T2536" i="1" s="1"/>
  <c r="S2537" i="1"/>
  <c r="T2537" i="1" s="1" a="1"/>
  <c r="T2537" i="1" s="1"/>
  <c r="S2538" i="1"/>
  <c r="T2538" i="1" s="1" a="1"/>
  <c r="T2538" i="1" s="1"/>
  <c r="S2539" i="1"/>
  <c r="T2539" i="1" s="1" a="1"/>
  <c r="T2539" i="1" s="1"/>
  <c r="S2540" i="1"/>
  <c r="T2540" i="1" s="1" a="1"/>
  <c r="T2540" i="1" s="1"/>
  <c r="S2541" i="1"/>
  <c r="T2541" i="1" s="1" a="1"/>
  <c r="T2541" i="1" s="1"/>
  <c r="S2542" i="1"/>
  <c r="T2542" i="1" s="1" a="1"/>
  <c r="T2542" i="1" s="1"/>
  <c r="S2543" i="1"/>
  <c r="T2543" i="1" s="1" a="1"/>
  <c r="T2543" i="1" s="1"/>
  <c r="S2544" i="1"/>
  <c r="T2544" i="1" s="1" a="1"/>
  <c r="T2544" i="1" s="1"/>
  <c r="S2545" i="1"/>
  <c r="T2545" i="1" s="1" a="1"/>
  <c r="T2545" i="1" s="1"/>
  <c r="S2546" i="1"/>
  <c r="T2546" i="1" s="1" a="1"/>
  <c r="T2546" i="1" s="1"/>
  <c r="S2547" i="1"/>
  <c r="T2547" i="1" s="1" a="1"/>
  <c r="T2547" i="1" s="1"/>
  <c r="S2548" i="1"/>
  <c r="T2548" i="1" s="1" a="1"/>
  <c r="T2548" i="1" s="1"/>
  <c r="S2549" i="1"/>
  <c r="T2549" i="1" s="1" a="1"/>
  <c r="T2549" i="1" s="1"/>
  <c r="S2550" i="1"/>
  <c r="T2550" i="1" s="1" a="1"/>
  <c r="T2550" i="1" s="1"/>
  <c r="S2551" i="1"/>
  <c r="T2551" i="1" s="1" a="1"/>
  <c r="T2551" i="1" s="1"/>
  <c r="S2552" i="1"/>
  <c r="T2552" i="1" s="1" a="1"/>
  <c r="T2552" i="1" s="1"/>
  <c r="S2553" i="1"/>
  <c r="T2553" i="1" s="1" a="1"/>
  <c r="T2553" i="1" s="1"/>
  <c r="S2554" i="1"/>
  <c r="T2554" i="1" s="1" a="1"/>
  <c r="T2554" i="1" s="1"/>
  <c r="S2555" i="1"/>
  <c r="T2555" i="1" s="1" a="1"/>
  <c r="T2555" i="1" s="1"/>
  <c r="S2556" i="1"/>
  <c r="T2556" i="1" s="1" a="1"/>
  <c r="T2556" i="1" s="1"/>
  <c r="S2557" i="1"/>
  <c r="T2557" i="1" s="1" a="1"/>
  <c r="T2557" i="1" s="1"/>
  <c r="S2558" i="1"/>
  <c r="T2558" i="1" s="1" a="1"/>
  <c r="T2558" i="1" s="1"/>
  <c r="S2559" i="1"/>
  <c r="T2559" i="1" s="1" a="1"/>
  <c r="T2559" i="1" s="1"/>
  <c r="S2560" i="1"/>
  <c r="T2560" i="1" s="1" a="1"/>
  <c r="T2560" i="1" s="1"/>
  <c r="S2561" i="1"/>
  <c r="T2561" i="1" s="1" a="1"/>
  <c r="T2561" i="1" s="1"/>
  <c r="S2562" i="1"/>
  <c r="T2562" i="1" s="1" a="1"/>
  <c r="T2562" i="1" s="1"/>
  <c r="S2563" i="1"/>
  <c r="T2563" i="1" s="1" a="1"/>
  <c r="T2563" i="1" s="1"/>
  <c r="S2564" i="1"/>
  <c r="T2564" i="1" s="1" a="1"/>
  <c r="T2564" i="1" s="1"/>
  <c r="S2565" i="1"/>
  <c r="T2565" i="1" s="1" a="1"/>
  <c r="T2565" i="1" s="1"/>
  <c r="S2566" i="1"/>
  <c r="T2566" i="1" s="1" a="1"/>
  <c r="T2566" i="1" s="1"/>
  <c r="S2567" i="1"/>
  <c r="T2567" i="1" s="1" a="1"/>
  <c r="T2567" i="1" s="1"/>
  <c r="S2568" i="1"/>
  <c r="T2568" i="1" s="1" a="1"/>
  <c r="T2568" i="1" s="1"/>
  <c r="S2569" i="1"/>
  <c r="T2569" i="1" s="1" a="1"/>
  <c r="T2569" i="1" s="1"/>
  <c r="S2570" i="1"/>
  <c r="T2570" i="1" s="1" a="1"/>
  <c r="T2570" i="1" s="1"/>
  <c r="S2571" i="1"/>
  <c r="T2571" i="1" s="1" a="1"/>
  <c r="T2571" i="1" s="1"/>
  <c r="S2572" i="1"/>
  <c r="T2572" i="1" s="1" a="1"/>
  <c r="T2572" i="1" s="1"/>
  <c r="S2573" i="1"/>
  <c r="T2573" i="1" s="1" a="1"/>
  <c r="T2573" i="1" s="1"/>
  <c r="S2574" i="1"/>
  <c r="T2574" i="1" s="1" a="1"/>
  <c r="T2574" i="1" s="1"/>
  <c r="S2575" i="1"/>
  <c r="T2575" i="1" s="1" a="1"/>
  <c r="T2575" i="1" s="1"/>
  <c r="S2576" i="1"/>
  <c r="T2576" i="1" s="1" a="1"/>
  <c r="T2576" i="1" s="1"/>
  <c r="S2577" i="1"/>
  <c r="T2577" i="1" s="1" a="1"/>
  <c r="T2577" i="1" s="1"/>
  <c r="S2578" i="1"/>
  <c r="T2578" i="1" s="1" a="1"/>
  <c r="T2578" i="1" s="1"/>
  <c r="S2579" i="1"/>
  <c r="T2579" i="1" s="1" a="1"/>
  <c r="T2579" i="1" s="1"/>
  <c r="S2580" i="1"/>
  <c r="T2580" i="1" s="1" a="1"/>
  <c r="T2580" i="1" s="1"/>
  <c r="S2581" i="1"/>
  <c r="T2581" i="1" s="1" a="1"/>
  <c r="T2581" i="1" s="1"/>
  <c r="S2582" i="1"/>
  <c r="T2582" i="1" s="1" a="1"/>
  <c r="T2582" i="1" s="1"/>
  <c r="S2583" i="1"/>
  <c r="T2583" i="1" s="1" a="1"/>
  <c r="T2583" i="1" s="1"/>
  <c r="S2584" i="1"/>
  <c r="T2584" i="1" s="1" a="1"/>
  <c r="T2584" i="1" s="1"/>
  <c r="S2585" i="1"/>
  <c r="T2585" i="1" s="1" a="1"/>
  <c r="T2585" i="1" s="1"/>
  <c r="S2586" i="1"/>
  <c r="T2586" i="1" s="1" a="1"/>
  <c r="T2586" i="1" s="1"/>
  <c r="S2587" i="1"/>
  <c r="T2587" i="1" s="1" a="1"/>
  <c r="T2587" i="1" s="1"/>
  <c r="S2588" i="1"/>
  <c r="T2588" i="1" s="1" a="1"/>
  <c r="T2588" i="1" s="1"/>
  <c r="S2589" i="1"/>
  <c r="T2589" i="1" s="1" a="1"/>
  <c r="T2589" i="1" s="1"/>
  <c r="S2590" i="1"/>
  <c r="T2590" i="1" s="1" a="1"/>
  <c r="T2590" i="1" s="1"/>
  <c r="S2591" i="1"/>
  <c r="T2591" i="1" s="1" a="1"/>
  <c r="T2591" i="1" s="1"/>
  <c r="S2592" i="1"/>
  <c r="T2592" i="1" s="1" a="1"/>
  <c r="T2592" i="1" s="1"/>
  <c r="S2593" i="1"/>
  <c r="T2593" i="1" s="1" a="1"/>
  <c r="T2593" i="1" s="1"/>
  <c r="S2594" i="1"/>
  <c r="T2594" i="1" s="1" a="1"/>
  <c r="T2594" i="1" s="1"/>
  <c r="S2595" i="1"/>
  <c r="T2595" i="1" s="1" a="1"/>
  <c r="T2595" i="1" s="1"/>
  <c r="S2596" i="1"/>
  <c r="T2596" i="1" s="1" a="1"/>
  <c r="T2596" i="1" s="1"/>
  <c r="S2597" i="1"/>
  <c r="T2597" i="1" s="1" a="1"/>
  <c r="T2597" i="1" s="1"/>
  <c r="S2598" i="1"/>
  <c r="T2598" i="1" s="1" a="1"/>
  <c r="T2598" i="1" s="1"/>
  <c r="S2599" i="1"/>
  <c r="T2599" i="1" s="1" a="1"/>
  <c r="T2599" i="1" s="1"/>
  <c r="S2600" i="1"/>
  <c r="T2600" i="1" s="1" a="1"/>
  <c r="T2600" i="1" s="1"/>
  <c r="S2601" i="1"/>
  <c r="T2601" i="1" s="1" a="1"/>
  <c r="T2601" i="1" s="1"/>
  <c r="S2602" i="1"/>
  <c r="T2602" i="1" s="1" a="1"/>
  <c r="T2602" i="1" s="1"/>
  <c r="S2603" i="1"/>
  <c r="T2603" i="1" s="1" a="1"/>
  <c r="T2603" i="1" s="1"/>
  <c r="S2604" i="1"/>
  <c r="T2604" i="1" s="1" a="1"/>
  <c r="T2604" i="1" s="1"/>
  <c r="S2605" i="1"/>
  <c r="T2605" i="1" s="1" a="1"/>
  <c r="T2605" i="1" s="1"/>
  <c r="S2606" i="1"/>
  <c r="T2606" i="1" s="1" a="1"/>
  <c r="T2606" i="1" s="1"/>
  <c r="S2607" i="1"/>
  <c r="T2607" i="1" s="1" a="1"/>
  <c r="T2607" i="1" s="1"/>
  <c r="S2608" i="1"/>
  <c r="T2608" i="1" s="1" a="1"/>
  <c r="T2608" i="1" s="1"/>
  <c r="S2609" i="1"/>
  <c r="T2609" i="1" s="1" a="1"/>
  <c r="T2609" i="1" s="1"/>
  <c r="S2610" i="1"/>
  <c r="T2610" i="1" s="1" a="1"/>
  <c r="T2610" i="1" s="1"/>
  <c r="S2611" i="1"/>
  <c r="T2611" i="1" s="1" a="1"/>
  <c r="T2611" i="1" s="1"/>
  <c r="S2612" i="1"/>
  <c r="T2612" i="1" s="1" a="1"/>
  <c r="T2612" i="1" s="1"/>
  <c r="S2613" i="1"/>
  <c r="T2613" i="1" s="1" a="1"/>
  <c r="T2613" i="1" s="1"/>
  <c r="S2614" i="1"/>
  <c r="T2614" i="1" s="1" a="1"/>
  <c r="T2614" i="1" s="1"/>
  <c r="S2615" i="1"/>
  <c r="T2615" i="1" s="1" a="1"/>
  <c r="T2615" i="1" s="1"/>
  <c r="S2616" i="1"/>
  <c r="T2616" i="1" s="1" a="1"/>
  <c r="T2616" i="1" s="1"/>
  <c r="S2617" i="1"/>
  <c r="T2617" i="1" s="1" a="1"/>
  <c r="T2617" i="1" s="1"/>
  <c r="S2618" i="1"/>
  <c r="T2618" i="1" s="1" a="1"/>
  <c r="T2618" i="1" s="1"/>
  <c r="S2619" i="1"/>
  <c r="T2619" i="1" s="1" a="1"/>
  <c r="T2619" i="1" s="1"/>
  <c r="S2620" i="1"/>
  <c r="T2620" i="1" s="1" a="1"/>
  <c r="T2620" i="1" s="1"/>
  <c r="S2621" i="1"/>
  <c r="T2621" i="1" s="1" a="1"/>
  <c r="T2621" i="1" s="1"/>
  <c r="S2622" i="1"/>
  <c r="T2622" i="1" s="1" a="1"/>
  <c r="T2622" i="1" s="1"/>
  <c r="S2623" i="1"/>
  <c r="T2623" i="1" s="1" a="1"/>
  <c r="T2623" i="1" s="1"/>
  <c r="S2624" i="1"/>
  <c r="T2624" i="1" s="1" a="1"/>
  <c r="T2624" i="1" s="1"/>
  <c r="S2625" i="1"/>
  <c r="T2625" i="1" s="1" a="1"/>
  <c r="T2625" i="1" s="1"/>
  <c r="S2626" i="1"/>
  <c r="T2626" i="1" s="1" a="1"/>
  <c r="T2626" i="1" s="1"/>
  <c r="S2627" i="1"/>
  <c r="T2627" i="1" s="1" a="1"/>
  <c r="T2627" i="1" s="1"/>
  <c r="S2628" i="1"/>
  <c r="T2628" i="1" s="1" a="1"/>
  <c r="T2628" i="1" s="1"/>
  <c r="S2629" i="1"/>
  <c r="T2629" i="1" s="1" a="1"/>
  <c r="T2629" i="1" s="1"/>
  <c r="S2630" i="1"/>
  <c r="T2630" i="1" s="1" a="1"/>
  <c r="T2630" i="1" s="1"/>
  <c r="S2631" i="1"/>
  <c r="T2631" i="1" s="1" a="1"/>
  <c r="T2631" i="1" s="1"/>
  <c r="S2632" i="1"/>
  <c r="T2632" i="1" s="1" a="1"/>
  <c r="T2632" i="1" s="1"/>
  <c r="S2633" i="1"/>
  <c r="T2633" i="1" s="1" a="1"/>
  <c r="T2633" i="1" s="1"/>
  <c r="S2634" i="1"/>
  <c r="T2634" i="1" s="1" a="1"/>
  <c r="T2634" i="1" s="1"/>
  <c r="S2635" i="1"/>
  <c r="T2635" i="1" s="1" a="1"/>
  <c r="T2635" i="1" s="1"/>
  <c r="S2636" i="1"/>
  <c r="T2636" i="1" s="1" a="1"/>
  <c r="T2636" i="1" s="1"/>
  <c r="S2637" i="1"/>
  <c r="T2637" i="1" s="1" a="1"/>
  <c r="T2637" i="1" s="1"/>
  <c r="S2638" i="1"/>
  <c r="T2638" i="1" s="1" a="1"/>
  <c r="T2638" i="1" s="1"/>
  <c r="S2639" i="1"/>
  <c r="T2639" i="1" s="1" a="1"/>
  <c r="T2639" i="1" s="1"/>
  <c r="S2640" i="1"/>
  <c r="T2640" i="1" s="1" a="1"/>
  <c r="T2640" i="1" s="1"/>
  <c r="S2641" i="1"/>
  <c r="T2641" i="1" s="1" a="1"/>
  <c r="T2641" i="1" s="1"/>
  <c r="S2642" i="1"/>
  <c r="T2642" i="1" s="1" a="1"/>
  <c r="T2642" i="1" s="1"/>
  <c r="S2643" i="1"/>
  <c r="T2643" i="1" s="1" a="1"/>
  <c r="T2643" i="1" s="1"/>
  <c r="S2644" i="1"/>
  <c r="T2644" i="1" s="1" a="1"/>
  <c r="T2644" i="1" s="1"/>
  <c r="S2645" i="1"/>
  <c r="T2645" i="1" s="1" a="1"/>
  <c r="T2645" i="1" s="1"/>
  <c r="S2646" i="1"/>
  <c r="T2646" i="1" s="1" a="1"/>
  <c r="T2646" i="1" s="1"/>
  <c r="S2647" i="1"/>
  <c r="T2647" i="1" s="1" a="1"/>
  <c r="T2647" i="1" s="1"/>
  <c r="S2648" i="1"/>
  <c r="T2648" i="1" s="1" a="1"/>
  <c r="T2648" i="1" s="1"/>
  <c r="S2649" i="1"/>
  <c r="T2649" i="1" s="1" a="1"/>
  <c r="T2649" i="1" s="1"/>
  <c r="S2650" i="1"/>
  <c r="T2650" i="1" s="1" a="1"/>
  <c r="T2650" i="1" s="1"/>
  <c r="S2651" i="1"/>
  <c r="T2651" i="1" s="1" a="1"/>
  <c r="T2651" i="1" s="1"/>
  <c r="S2652" i="1"/>
  <c r="T2652" i="1" s="1" a="1"/>
  <c r="T2652" i="1" s="1"/>
  <c r="S2653" i="1"/>
  <c r="T2653" i="1" s="1" a="1"/>
  <c r="T2653" i="1" s="1"/>
  <c r="S2654" i="1"/>
  <c r="T2654" i="1" s="1" a="1"/>
  <c r="T2654" i="1" s="1"/>
  <c r="S2655" i="1"/>
  <c r="T2655" i="1" s="1" a="1"/>
  <c r="T2655" i="1" s="1"/>
  <c r="S2656" i="1"/>
  <c r="T2656" i="1" s="1" a="1"/>
  <c r="T2656" i="1" s="1"/>
  <c r="S2657" i="1"/>
  <c r="T2657" i="1" s="1" a="1"/>
  <c r="T2657" i="1" s="1"/>
  <c r="S2658" i="1"/>
  <c r="T2658" i="1" s="1" a="1"/>
  <c r="T2658" i="1" s="1"/>
  <c r="S2659" i="1"/>
  <c r="T2659" i="1" s="1" a="1"/>
  <c r="T2659" i="1" s="1"/>
  <c r="S2660" i="1"/>
  <c r="T2660" i="1" s="1" a="1"/>
  <c r="T2660" i="1" s="1"/>
  <c r="S2661" i="1"/>
  <c r="T2661" i="1" s="1" a="1"/>
  <c r="T2661" i="1" s="1"/>
  <c r="S2662" i="1"/>
  <c r="T2662" i="1" s="1" a="1"/>
  <c r="T2662" i="1" s="1"/>
  <c r="S2663" i="1"/>
  <c r="T2663" i="1" s="1" a="1"/>
  <c r="T2663" i="1" s="1"/>
  <c r="S2664" i="1"/>
  <c r="T2664" i="1" s="1" a="1"/>
  <c r="T2664" i="1" s="1"/>
  <c r="S2665" i="1"/>
  <c r="T2665" i="1" s="1" a="1"/>
  <c r="T2665" i="1" s="1"/>
  <c r="S2666" i="1"/>
  <c r="T2666" i="1" s="1" a="1"/>
  <c r="T2666" i="1" s="1"/>
  <c r="S2667" i="1"/>
  <c r="T2667" i="1" s="1" a="1"/>
  <c r="T2667" i="1" s="1"/>
  <c r="S2668" i="1"/>
  <c r="T2668" i="1" s="1" a="1"/>
  <c r="T2668" i="1" s="1"/>
  <c r="S2669" i="1"/>
  <c r="T2669" i="1" s="1" a="1"/>
  <c r="T2669" i="1" s="1"/>
  <c r="S2670" i="1"/>
  <c r="T2670" i="1" s="1" a="1"/>
  <c r="T2670" i="1" s="1"/>
  <c r="S2671" i="1"/>
  <c r="T2671" i="1" s="1" a="1"/>
  <c r="T2671" i="1" s="1"/>
  <c r="S2672" i="1"/>
  <c r="T2672" i="1" s="1" a="1"/>
  <c r="T2672" i="1" s="1"/>
  <c r="S2673" i="1"/>
  <c r="T2673" i="1" s="1" a="1"/>
  <c r="T2673" i="1" s="1"/>
  <c r="S2674" i="1"/>
  <c r="T2674" i="1" s="1" a="1"/>
  <c r="T2674" i="1" s="1"/>
  <c r="S2675" i="1"/>
  <c r="T2675" i="1" s="1" a="1"/>
  <c r="T2675" i="1" s="1"/>
  <c r="S2676" i="1"/>
  <c r="T2676" i="1" s="1" a="1"/>
  <c r="T2676" i="1" s="1"/>
  <c r="S2677" i="1"/>
  <c r="T2677" i="1" s="1" a="1"/>
  <c r="T2677" i="1" s="1"/>
  <c r="S2678" i="1"/>
  <c r="T2678" i="1" s="1" a="1"/>
  <c r="T2678" i="1" s="1"/>
  <c r="S2679" i="1"/>
  <c r="T2679" i="1" s="1" a="1"/>
  <c r="T2679" i="1" s="1"/>
  <c r="S2680" i="1"/>
  <c r="T2680" i="1" s="1" a="1"/>
  <c r="T2680" i="1" s="1"/>
  <c r="S2681" i="1"/>
  <c r="T2681" i="1" s="1" a="1"/>
  <c r="T2681" i="1" s="1"/>
  <c r="S2682" i="1"/>
  <c r="T2682" i="1" s="1" a="1"/>
  <c r="T2682" i="1" s="1"/>
  <c r="S2683" i="1"/>
  <c r="T2683" i="1" s="1" a="1"/>
  <c r="T2683" i="1" s="1"/>
  <c r="S2684" i="1"/>
  <c r="T2684" i="1" s="1" a="1"/>
  <c r="T2684" i="1" s="1"/>
  <c r="S2685" i="1"/>
  <c r="T2685" i="1" s="1" a="1"/>
  <c r="T2685" i="1" s="1"/>
  <c r="S2686" i="1"/>
  <c r="T2686" i="1" s="1" a="1"/>
  <c r="T2686" i="1" s="1"/>
  <c r="S2687" i="1"/>
  <c r="T2687" i="1" s="1" a="1"/>
  <c r="T2687" i="1" s="1"/>
  <c r="S2688" i="1"/>
  <c r="T2688" i="1" s="1" a="1"/>
  <c r="T2688" i="1" s="1"/>
  <c r="S2689" i="1"/>
  <c r="T2689" i="1" s="1" a="1"/>
  <c r="T2689" i="1" s="1"/>
  <c r="S2690" i="1"/>
  <c r="T2690" i="1" s="1" a="1"/>
  <c r="T2690" i="1" s="1"/>
  <c r="S2691" i="1"/>
  <c r="T2691" i="1" s="1" a="1"/>
  <c r="T2691" i="1" s="1"/>
  <c r="S2692" i="1"/>
  <c r="T2692" i="1" s="1" a="1"/>
  <c r="T2692" i="1" s="1"/>
  <c r="S2693" i="1"/>
  <c r="T2693" i="1" s="1" a="1"/>
  <c r="T2693" i="1" s="1"/>
  <c r="S2694" i="1"/>
  <c r="T2694" i="1" s="1" a="1"/>
  <c r="T2694" i="1" s="1"/>
  <c r="S2695" i="1"/>
  <c r="T2695" i="1" s="1" a="1"/>
  <c r="T2695" i="1" s="1"/>
  <c r="S2696" i="1"/>
  <c r="T2696" i="1" s="1" a="1"/>
  <c r="T2696" i="1" s="1"/>
  <c r="S2697" i="1"/>
  <c r="T2697" i="1" s="1" a="1"/>
  <c r="T2697" i="1" s="1"/>
  <c r="S2698" i="1"/>
  <c r="T2698" i="1" s="1" a="1"/>
  <c r="T2698" i="1" s="1"/>
  <c r="S2699" i="1"/>
  <c r="T2699" i="1" s="1" a="1"/>
  <c r="T2699" i="1" s="1"/>
  <c r="S2700" i="1"/>
  <c r="T2700" i="1" s="1" a="1"/>
  <c r="T2700" i="1" s="1"/>
  <c r="S2701" i="1"/>
  <c r="T2701" i="1" s="1" a="1"/>
  <c r="T2701" i="1" s="1"/>
  <c r="S2702" i="1"/>
  <c r="T2702" i="1" s="1" a="1"/>
  <c r="T2702" i="1" s="1"/>
  <c r="S2703" i="1"/>
  <c r="T2703" i="1" s="1" a="1"/>
  <c r="T2703" i="1" s="1"/>
  <c r="S2704" i="1"/>
  <c r="T2704" i="1" s="1" a="1"/>
  <c r="T2704" i="1" s="1"/>
  <c r="S2705" i="1"/>
  <c r="T2705" i="1" s="1" a="1"/>
  <c r="T2705" i="1" s="1"/>
  <c r="S2706" i="1"/>
  <c r="T2706" i="1" s="1" a="1"/>
  <c r="T2706" i="1" s="1"/>
  <c r="S2707" i="1"/>
  <c r="T2707" i="1" s="1" a="1"/>
  <c r="T2707" i="1" s="1"/>
  <c r="S2708" i="1"/>
  <c r="T2708" i="1" s="1" a="1"/>
  <c r="T2708" i="1" s="1"/>
  <c r="S2709" i="1"/>
  <c r="T2709" i="1" s="1" a="1"/>
  <c r="T2709" i="1" s="1"/>
  <c r="S2710" i="1"/>
  <c r="T2710" i="1" s="1" a="1"/>
  <c r="T2710" i="1" s="1"/>
  <c r="S2711" i="1"/>
  <c r="T2711" i="1" s="1" a="1"/>
  <c r="T2711" i="1" s="1"/>
  <c r="S2712" i="1"/>
  <c r="T2712" i="1" s="1" a="1"/>
  <c r="T2712" i="1" s="1"/>
  <c r="S2713" i="1"/>
  <c r="T2713" i="1" s="1" a="1"/>
  <c r="T2713" i="1" s="1"/>
  <c r="S2714" i="1"/>
  <c r="T2714" i="1" s="1" a="1"/>
  <c r="T2714" i="1" s="1"/>
  <c r="S2715" i="1"/>
  <c r="T2715" i="1" s="1" a="1"/>
  <c r="T2715" i="1" s="1"/>
  <c r="S2716" i="1"/>
  <c r="T2716" i="1" s="1" a="1"/>
  <c r="T2716" i="1" s="1"/>
  <c r="S2717" i="1"/>
  <c r="T2717" i="1" s="1" a="1"/>
  <c r="T2717" i="1" s="1"/>
  <c r="S2718" i="1"/>
  <c r="T2718" i="1" s="1" a="1"/>
  <c r="T2718" i="1" s="1"/>
  <c r="S2719" i="1"/>
  <c r="T2719" i="1" s="1" a="1"/>
  <c r="T2719" i="1" s="1"/>
  <c r="S2720" i="1"/>
  <c r="T2720" i="1" s="1" a="1"/>
  <c r="T2720" i="1" s="1"/>
  <c r="S2721" i="1"/>
  <c r="T2721" i="1" s="1" a="1"/>
  <c r="T2721" i="1" s="1"/>
  <c r="S2722" i="1"/>
  <c r="T2722" i="1" s="1" a="1"/>
  <c r="T2722" i="1" s="1"/>
  <c r="S2723" i="1"/>
  <c r="T2723" i="1" s="1" a="1"/>
  <c r="T2723" i="1" s="1"/>
  <c r="S2724" i="1"/>
  <c r="T2724" i="1" s="1" a="1"/>
  <c r="T2724" i="1" s="1"/>
  <c r="S2725" i="1"/>
  <c r="T2725" i="1" s="1" a="1"/>
  <c r="T2725" i="1" s="1"/>
  <c r="S2726" i="1"/>
  <c r="T2726" i="1" s="1" a="1"/>
  <c r="T2726" i="1" s="1"/>
  <c r="S2727" i="1"/>
  <c r="T2727" i="1" s="1" a="1"/>
  <c r="T2727" i="1" s="1"/>
  <c r="S2728" i="1"/>
  <c r="T2728" i="1" s="1" a="1"/>
  <c r="T2728" i="1" s="1"/>
  <c r="S2729" i="1"/>
  <c r="T2729" i="1" s="1" a="1"/>
  <c r="T2729" i="1" s="1"/>
  <c r="S2730" i="1"/>
  <c r="T2730" i="1" s="1" a="1"/>
  <c r="T2730" i="1" s="1"/>
  <c r="S2731" i="1"/>
  <c r="T2731" i="1" s="1" a="1"/>
  <c r="T2731" i="1" s="1"/>
  <c r="S2732" i="1"/>
  <c r="T2732" i="1" s="1" a="1"/>
  <c r="T2732" i="1" s="1"/>
  <c r="S2733" i="1"/>
  <c r="T2733" i="1" s="1" a="1"/>
  <c r="T2733" i="1" s="1"/>
  <c r="S2734" i="1"/>
  <c r="T2734" i="1" s="1" a="1"/>
  <c r="T2734" i="1" s="1"/>
  <c r="S2735" i="1"/>
  <c r="T2735" i="1" s="1" a="1"/>
  <c r="T2735" i="1" s="1"/>
  <c r="S2736" i="1"/>
  <c r="T2736" i="1" s="1" a="1"/>
  <c r="T2736" i="1" s="1"/>
  <c r="S2737" i="1"/>
  <c r="T2737" i="1" s="1" a="1"/>
  <c r="T2737" i="1" s="1"/>
  <c r="S2738" i="1"/>
  <c r="T2738" i="1" s="1" a="1"/>
  <c r="T2738" i="1" s="1"/>
  <c r="S2739" i="1"/>
  <c r="T2739" i="1" s="1" a="1"/>
  <c r="T2739" i="1" s="1"/>
  <c r="S2740" i="1"/>
  <c r="T2740" i="1" s="1" a="1"/>
  <c r="T2740" i="1" s="1"/>
  <c r="S2741" i="1"/>
  <c r="T2741" i="1" s="1" a="1"/>
  <c r="T2741" i="1" s="1"/>
  <c r="S2742" i="1"/>
  <c r="T2742" i="1" s="1" a="1"/>
  <c r="T2742" i="1" s="1"/>
  <c r="S2743" i="1"/>
  <c r="T2743" i="1" s="1" a="1"/>
  <c r="T2743" i="1" s="1"/>
  <c r="S2744" i="1"/>
  <c r="T2744" i="1" s="1" a="1"/>
  <c r="T2744" i="1" s="1"/>
  <c r="S2745" i="1"/>
  <c r="T2745" i="1" s="1" a="1"/>
  <c r="T2745" i="1" s="1"/>
  <c r="S2746" i="1"/>
  <c r="T2746" i="1" s="1" a="1"/>
  <c r="T2746" i="1" s="1"/>
  <c r="S2747" i="1"/>
  <c r="T2747" i="1" s="1" a="1"/>
  <c r="T2747" i="1" s="1"/>
  <c r="S2748" i="1"/>
  <c r="T2748" i="1" s="1" a="1"/>
  <c r="T2748" i="1" s="1"/>
  <c r="S2749" i="1"/>
  <c r="T2749" i="1" s="1" a="1"/>
  <c r="T2749" i="1" s="1"/>
  <c r="S2750" i="1"/>
  <c r="T2750" i="1" s="1" a="1"/>
  <c r="T2750" i="1" s="1"/>
  <c r="S2751" i="1"/>
  <c r="T2751" i="1" s="1" a="1"/>
  <c r="T2751" i="1" s="1"/>
  <c r="S2752" i="1"/>
  <c r="T2752" i="1" s="1" a="1"/>
  <c r="T2752" i="1" s="1"/>
  <c r="S2753" i="1"/>
  <c r="T2753" i="1" s="1" a="1"/>
  <c r="T2753" i="1" s="1"/>
  <c r="S2754" i="1"/>
  <c r="T2754" i="1" s="1" a="1"/>
  <c r="T2754" i="1" s="1"/>
  <c r="S2755" i="1"/>
  <c r="T2755" i="1" s="1" a="1"/>
  <c r="T2755" i="1" s="1"/>
  <c r="S2756" i="1"/>
  <c r="T2756" i="1" s="1" a="1"/>
  <c r="T2756" i="1" s="1"/>
  <c r="S2757" i="1"/>
  <c r="T2757" i="1" s="1" a="1"/>
  <c r="T2757" i="1" s="1"/>
  <c r="S2758" i="1"/>
  <c r="T2758" i="1" s="1" a="1"/>
  <c r="T2758" i="1" s="1"/>
  <c r="S2759" i="1"/>
  <c r="T2759" i="1" s="1" a="1"/>
  <c r="T2759" i="1" s="1"/>
  <c r="S2760" i="1"/>
  <c r="T2760" i="1" s="1" a="1"/>
  <c r="T2760" i="1" s="1"/>
  <c r="S2761" i="1"/>
  <c r="T2761" i="1" s="1" a="1"/>
  <c r="T2761" i="1" s="1"/>
  <c r="S2762" i="1"/>
  <c r="T2762" i="1" s="1" a="1"/>
  <c r="T2762" i="1" s="1"/>
  <c r="S2763" i="1"/>
  <c r="T2763" i="1" s="1" a="1"/>
  <c r="T2763" i="1" s="1"/>
  <c r="S2764" i="1"/>
  <c r="T2764" i="1" s="1" a="1"/>
  <c r="T2764" i="1" s="1"/>
  <c r="S2765" i="1"/>
  <c r="T2765" i="1" s="1" a="1"/>
  <c r="T2765" i="1" s="1"/>
  <c r="S2766" i="1"/>
  <c r="T2766" i="1" s="1" a="1"/>
  <c r="T2766" i="1" s="1"/>
  <c r="S2767" i="1"/>
  <c r="T2767" i="1" s="1" a="1"/>
  <c r="T2767" i="1" s="1"/>
  <c r="S2768" i="1"/>
  <c r="T2768" i="1" s="1" a="1"/>
  <c r="T2768" i="1" s="1"/>
  <c r="S2769" i="1"/>
  <c r="T2769" i="1" s="1" a="1"/>
  <c r="T2769" i="1" s="1"/>
  <c r="S2770" i="1"/>
  <c r="T2770" i="1" s="1" a="1"/>
  <c r="T2770" i="1" s="1"/>
  <c r="S2771" i="1"/>
  <c r="T2771" i="1" s="1" a="1"/>
  <c r="T2771" i="1" s="1"/>
  <c r="S2772" i="1"/>
  <c r="T2772" i="1" s="1" a="1"/>
  <c r="T2772" i="1" s="1"/>
  <c r="S2773" i="1"/>
  <c r="T2773" i="1" s="1" a="1"/>
  <c r="T2773" i="1" s="1"/>
  <c r="S2774" i="1"/>
  <c r="T2774" i="1" s="1" a="1"/>
  <c r="T2774" i="1" s="1"/>
  <c r="S2775" i="1"/>
  <c r="T2775" i="1" s="1" a="1"/>
  <c r="T2775" i="1" s="1"/>
  <c r="S2776" i="1"/>
  <c r="T2776" i="1" s="1" a="1"/>
  <c r="T2776" i="1" s="1"/>
  <c r="S2777" i="1"/>
  <c r="T2777" i="1" s="1" a="1"/>
  <c r="T2777" i="1" s="1"/>
  <c r="S2778" i="1"/>
  <c r="T2778" i="1" s="1" a="1"/>
  <c r="T2778" i="1" s="1"/>
  <c r="S2779" i="1"/>
  <c r="T2779" i="1" s="1" a="1"/>
  <c r="T2779" i="1" s="1"/>
  <c r="S2780" i="1"/>
  <c r="T2780" i="1" s="1" a="1"/>
  <c r="T2780" i="1" s="1"/>
  <c r="S2781" i="1"/>
  <c r="T2781" i="1" s="1" a="1"/>
  <c r="T2781" i="1" s="1"/>
  <c r="S2782" i="1"/>
  <c r="T2782" i="1" s="1" a="1"/>
  <c r="T2782" i="1" s="1"/>
  <c r="S2783" i="1"/>
  <c r="T2783" i="1" s="1" a="1"/>
  <c r="T2783" i="1" s="1"/>
  <c r="S2784" i="1"/>
  <c r="T2784" i="1" s="1" a="1"/>
  <c r="T2784" i="1" s="1"/>
  <c r="S2785" i="1"/>
  <c r="T2785" i="1" s="1" a="1"/>
  <c r="T2785" i="1" s="1"/>
  <c r="S2786" i="1"/>
  <c r="T2786" i="1" s="1" a="1"/>
  <c r="T2786" i="1" s="1"/>
  <c r="S2787" i="1"/>
  <c r="T2787" i="1" s="1" a="1"/>
  <c r="T2787" i="1" s="1"/>
  <c r="S2788" i="1"/>
  <c r="T2788" i="1" s="1" a="1"/>
  <c r="T2788" i="1" s="1"/>
  <c r="S2789" i="1"/>
  <c r="T2789" i="1" s="1" a="1"/>
  <c r="T2789" i="1" s="1"/>
  <c r="S2790" i="1"/>
  <c r="T2790" i="1" s="1" a="1"/>
  <c r="T2790" i="1" s="1"/>
  <c r="S2791" i="1"/>
  <c r="T2791" i="1" s="1" a="1"/>
  <c r="T2791" i="1" s="1"/>
  <c r="S2792" i="1"/>
  <c r="T2792" i="1" s="1" a="1"/>
  <c r="T2792" i="1" s="1"/>
  <c r="S2793" i="1"/>
  <c r="T2793" i="1" s="1" a="1"/>
  <c r="T2793" i="1" s="1"/>
  <c r="S2794" i="1"/>
  <c r="T2794" i="1" s="1" a="1"/>
  <c r="T2794" i="1" s="1"/>
  <c r="S2795" i="1"/>
  <c r="T2795" i="1" s="1" a="1"/>
  <c r="T2795" i="1" s="1"/>
  <c r="S2796" i="1"/>
  <c r="T2796" i="1" s="1" a="1"/>
  <c r="T2796" i="1" s="1"/>
  <c r="S2797" i="1"/>
  <c r="T2797" i="1" s="1" a="1"/>
  <c r="T2797" i="1" s="1"/>
  <c r="S2798" i="1"/>
  <c r="T2798" i="1" s="1" a="1"/>
  <c r="T2798" i="1" s="1"/>
  <c r="S2799" i="1"/>
  <c r="T2799" i="1" s="1" a="1"/>
  <c r="T2799" i="1" s="1"/>
  <c r="S2800" i="1"/>
  <c r="T2800" i="1" s="1" a="1"/>
  <c r="T2800" i="1" s="1"/>
  <c r="S2801" i="1"/>
  <c r="T2801" i="1" s="1" a="1"/>
  <c r="T2801" i="1" s="1"/>
  <c r="S2802" i="1"/>
  <c r="T2802" i="1" s="1" a="1"/>
  <c r="T2802" i="1" s="1"/>
  <c r="S2803" i="1"/>
  <c r="T2803" i="1" s="1" a="1"/>
  <c r="T2803" i="1" s="1"/>
  <c r="S2804" i="1"/>
  <c r="T2804" i="1" s="1" a="1"/>
  <c r="T2804" i="1" s="1"/>
  <c r="S2805" i="1"/>
  <c r="T2805" i="1" s="1" a="1"/>
  <c r="T2805" i="1" s="1"/>
  <c r="S2806" i="1"/>
  <c r="T2806" i="1" s="1" a="1"/>
  <c r="T2806" i="1" s="1"/>
  <c r="S2807" i="1"/>
  <c r="T2807" i="1" s="1" a="1"/>
  <c r="T2807" i="1" s="1"/>
  <c r="S2808" i="1"/>
  <c r="T2808" i="1" s="1" a="1"/>
  <c r="T2808" i="1" s="1"/>
  <c r="S2809" i="1"/>
  <c r="T2809" i="1" s="1" a="1"/>
  <c r="T2809" i="1" s="1"/>
  <c r="S2810" i="1"/>
  <c r="T2810" i="1" s="1" a="1"/>
  <c r="T2810" i="1" s="1"/>
  <c r="S2811" i="1"/>
  <c r="T2811" i="1" s="1" a="1"/>
  <c r="T2811" i="1" s="1"/>
  <c r="S2812" i="1"/>
  <c r="T2812" i="1" s="1" a="1"/>
  <c r="T2812" i="1" s="1"/>
  <c r="S2813" i="1"/>
  <c r="T2813" i="1" s="1" a="1"/>
  <c r="T2813" i="1" s="1"/>
  <c r="S2814" i="1"/>
  <c r="T2814" i="1" s="1" a="1"/>
  <c r="T2814" i="1" s="1"/>
  <c r="S2815" i="1"/>
  <c r="T2815" i="1" s="1" a="1"/>
  <c r="T2815" i="1" s="1"/>
  <c r="S2816" i="1"/>
  <c r="T2816" i="1" s="1" a="1"/>
  <c r="T2816" i="1" s="1"/>
  <c r="S2817" i="1"/>
  <c r="T2817" i="1" s="1" a="1"/>
  <c r="T2817" i="1" s="1"/>
  <c r="S2818" i="1"/>
  <c r="T2818" i="1" s="1" a="1"/>
  <c r="T2818" i="1" s="1"/>
  <c r="S2819" i="1"/>
  <c r="T2819" i="1" s="1" a="1"/>
  <c r="T2819" i="1" s="1"/>
  <c r="S2820" i="1"/>
  <c r="T2820" i="1" s="1" a="1"/>
  <c r="T2820" i="1" s="1"/>
  <c r="S2821" i="1"/>
  <c r="T2821" i="1" s="1" a="1"/>
  <c r="T2821" i="1" s="1"/>
  <c r="S2822" i="1"/>
  <c r="T2822" i="1" s="1" a="1"/>
  <c r="T2822" i="1" s="1"/>
  <c r="S2823" i="1"/>
  <c r="T2823" i="1" s="1" a="1"/>
  <c r="T2823" i="1" s="1"/>
  <c r="S2824" i="1"/>
  <c r="T2824" i="1" s="1" a="1"/>
  <c r="T2824" i="1" s="1"/>
  <c r="S2825" i="1"/>
  <c r="T2825" i="1" s="1" a="1"/>
  <c r="T2825" i="1" s="1"/>
  <c r="S2826" i="1"/>
  <c r="T2826" i="1" s="1" a="1"/>
  <c r="T2826" i="1" s="1"/>
  <c r="S2827" i="1"/>
  <c r="T2827" i="1" s="1" a="1"/>
  <c r="T2827" i="1" s="1"/>
  <c r="S2828" i="1"/>
  <c r="T2828" i="1" s="1" a="1"/>
  <c r="T2828" i="1" s="1"/>
  <c r="S2829" i="1"/>
  <c r="T2829" i="1" s="1" a="1"/>
  <c r="T2829" i="1" s="1"/>
  <c r="S2830" i="1"/>
  <c r="T2830" i="1" s="1" a="1"/>
  <c r="T2830" i="1" s="1"/>
  <c r="S2831" i="1"/>
  <c r="T2831" i="1" s="1" a="1"/>
  <c r="T2831" i="1" s="1"/>
  <c r="S2832" i="1"/>
  <c r="T2832" i="1" s="1" a="1"/>
  <c r="T2832" i="1" s="1"/>
  <c r="S2833" i="1"/>
  <c r="T2833" i="1" s="1" a="1"/>
  <c r="T2833" i="1" s="1"/>
  <c r="S2834" i="1"/>
  <c r="T2834" i="1" s="1" a="1"/>
  <c r="T2834" i="1" s="1"/>
  <c r="S2835" i="1"/>
  <c r="T2835" i="1" s="1" a="1"/>
  <c r="T2835" i="1" s="1"/>
  <c r="S2836" i="1"/>
  <c r="T2836" i="1" s="1" a="1"/>
  <c r="T2836" i="1" s="1"/>
  <c r="S2837" i="1"/>
  <c r="T2837" i="1" s="1" a="1"/>
  <c r="T2837" i="1" s="1"/>
  <c r="S2838" i="1"/>
  <c r="T2838" i="1" s="1" a="1"/>
  <c r="T2838" i="1" s="1"/>
  <c r="S2839" i="1"/>
  <c r="T2839" i="1" s="1" a="1"/>
  <c r="T2839" i="1" s="1"/>
  <c r="S2840" i="1"/>
  <c r="T2840" i="1" s="1" a="1"/>
  <c r="T2840" i="1" s="1"/>
  <c r="S2841" i="1"/>
  <c r="T2841" i="1" s="1" a="1"/>
  <c r="T2841" i="1" s="1"/>
  <c r="S2842" i="1"/>
  <c r="T2842" i="1" s="1" a="1"/>
  <c r="T2842" i="1" s="1"/>
  <c r="S2843" i="1"/>
  <c r="T2843" i="1" s="1" a="1"/>
  <c r="T2843" i="1" s="1"/>
  <c r="S2844" i="1"/>
  <c r="T2844" i="1" s="1" a="1"/>
  <c r="T2844" i="1" s="1"/>
  <c r="S2845" i="1"/>
  <c r="T2845" i="1" s="1" a="1"/>
  <c r="T2845" i="1" s="1"/>
  <c r="S2846" i="1"/>
  <c r="T2846" i="1" s="1" a="1"/>
  <c r="T2846" i="1" s="1"/>
  <c r="S2847" i="1"/>
  <c r="T2847" i="1" s="1" a="1"/>
  <c r="T2847" i="1" s="1"/>
  <c r="S2848" i="1"/>
  <c r="T2848" i="1" s="1" a="1"/>
  <c r="T2848" i="1" s="1"/>
  <c r="S2849" i="1"/>
  <c r="T2849" i="1" s="1" a="1"/>
  <c r="T2849" i="1" s="1"/>
  <c r="S2850" i="1"/>
  <c r="T2850" i="1" s="1" a="1"/>
  <c r="T2850" i="1" s="1"/>
  <c r="S2851" i="1"/>
  <c r="T2851" i="1" s="1" a="1"/>
  <c r="T2851" i="1" s="1"/>
  <c r="S2852" i="1"/>
  <c r="T2852" i="1" s="1" a="1"/>
  <c r="T2852" i="1" s="1"/>
  <c r="S2853" i="1"/>
  <c r="T2853" i="1" s="1" a="1"/>
  <c r="T2853" i="1" s="1"/>
  <c r="S2854" i="1"/>
  <c r="T2854" i="1" s="1" a="1"/>
  <c r="T2854" i="1" s="1"/>
  <c r="S2855" i="1"/>
  <c r="T2855" i="1" s="1" a="1"/>
  <c r="T2855" i="1" s="1"/>
  <c r="S2856" i="1"/>
  <c r="T2856" i="1" s="1" a="1"/>
  <c r="T2856" i="1" s="1"/>
  <c r="S2857" i="1"/>
  <c r="T2857" i="1" s="1" a="1"/>
  <c r="T2857" i="1" s="1"/>
  <c r="S2858" i="1"/>
  <c r="T2858" i="1" s="1" a="1"/>
  <c r="T2858" i="1" s="1"/>
  <c r="S2859" i="1"/>
  <c r="T2859" i="1" s="1" a="1"/>
  <c r="T2859" i="1" s="1"/>
  <c r="S2860" i="1"/>
  <c r="T2860" i="1" s="1" a="1"/>
  <c r="T2860" i="1" s="1"/>
  <c r="S2861" i="1"/>
  <c r="T2861" i="1" s="1" a="1"/>
  <c r="T2861" i="1" s="1"/>
  <c r="S2862" i="1"/>
  <c r="T2862" i="1" s="1" a="1"/>
  <c r="T2862" i="1" s="1"/>
  <c r="S2863" i="1"/>
  <c r="T2863" i="1" s="1" a="1"/>
  <c r="T2863" i="1" s="1"/>
  <c r="S2864" i="1"/>
  <c r="T2864" i="1" s="1" a="1"/>
  <c r="T2864" i="1" s="1"/>
  <c r="S2865" i="1"/>
  <c r="T2865" i="1" s="1" a="1"/>
  <c r="T2865" i="1" s="1"/>
  <c r="S2866" i="1"/>
  <c r="T2866" i="1" s="1" a="1"/>
  <c r="T2866" i="1" s="1"/>
  <c r="S2867" i="1"/>
  <c r="T2867" i="1" s="1" a="1"/>
  <c r="T2867" i="1" s="1"/>
  <c r="S2868" i="1"/>
  <c r="T2868" i="1" s="1" a="1"/>
  <c r="T2868" i="1" s="1"/>
  <c r="S2869" i="1"/>
  <c r="T2869" i="1" s="1" a="1"/>
  <c r="T2869" i="1" s="1"/>
  <c r="S2870" i="1"/>
  <c r="T2870" i="1" s="1" a="1"/>
  <c r="T2870" i="1" s="1"/>
  <c r="S2871" i="1"/>
  <c r="T2871" i="1" s="1" a="1"/>
  <c r="T2871" i="1" s="1"/>
  <c r="S2872" i="1"/>
  <c r="T2872" i="1" s="1" a="1"/>
  <c r="T2872" i="1" s="1"/>
  <c r="S2873" i="1"/>
  <c r="T2873" i="1" s="1" a="1"/>
  <c r="T2873" i="1" s="1"/>
  <c r="S2874" i="1"/>
  <c r="T2874" i="1" s="1" a="1"/>
  <c r="T2874" i="1" s="1"/>
  <c r="S2875" i="1"/>
  <c r="T2875" i="1" s="1" a="1"/>
  <c r="T2875" i="1" s="1"/>
  <c r="S2876" i="1"/>
  <c r="T2876" i="1" s="1" a="1"/>
  <c r="T2876" i="1" s="1"/>
  <c r="S2877" i="1"/>
  <c r="T2877" i="1" s="1" a="1"/>
  <c r="T2877" i="1" s="1"/>
  <c r="S2878" i="1"/>
  <c r="T2878" i="1" s="1" a="1"/>
  <c r="T2878" i="1" s="1"/>
  <c r="S2879" i="1"/>
  <c r="T2879" i="1" s="1" a="1"/>
  <c r="T2879" i="1" s="1"/>
  <c r="S2880" i="1"/>
  <c r="T2880" i="1" s="1" a="1"/>
  <c r="T2880" i="1" s="1"/>
  <c r="S2881" i="1"/>
  <c r="T2881" i="1" s="1" a="1"/>
  <c r="T2881" i="1" s="1"/>
  <c r="S2882" i="1"/>
  <c r="T2882" i="1" s="1" a="1"/>
  <c r="T2882" i="1" s="1"/>
  <c r="S2883" i="1"/>
  <c r="T2883" i="1" s="1" a="1"/>
  <c r="T2883" i="1" s="1"/>
  <c r="S2884" i="1"/>
  <c r="T2884" i="1" s="1" a="1"/>
  <c r="T2884" i="1" s="1"/>
  <c r="S2885" i="1"/>
  <c r="T2885" i="1" s="1" a="1"/>
  <c r="T2885" i="1" s="1"/>
  <c r="S2886" i="1"/>
  <c r="T2886" i="1" s="1" a="1"/>
  <c r="T2886" i="1" s="1"/>
  <c r="S2887" i="1"/>
  <c r="T2887" i="1" s="1" a="1"/>
  <c r="T2887" i="1" s="1"/>
  <c r="S2888" i="1"/>
  <c r="T2888" i="1" s="1" a="1"/>
  <c r="T2888" i="1" s="1"/>
  <c r="S2889" i="1"/>
  <c r="T2889" i="1" s="1" a="1"/>
  <c r="T2889" i="1" s="1"/>
  <c r="S2890" i="1"/>
  <c r="T2890" i="1" s="1" a="1"/>
  <c r="T2890" i="1" s="1"/>
  <c r="S2891" i="1"/>
  <c r="T2891" i="1" s="1" a="1"/>
  <c r="T2891" i="1" s="1"/>
  <c r="S2892" i="1"/>
  <c r="T2892" i="1" s="1" a="1"/>
  <c r="T2892" i="1" s="1"/>
  <c r="S2893" i="1"/>
  <c r="T2893" i="1" s="1" a="1"/>
  <c r="T2893" i="1" s="1"/>
  <c r="S2894" i="1"/>
  <c r="T2894" i="1" s="1" a="1"/>
  <c r="T2894" i="1" s="1"/>
  <c r="S2895" i="1"/>
  <c r="T2895" i="1" s="1" a="1"/>
  <c r="T2895" i="1" s="1"/>
  <c r="S2896" i="1"/>
  <c r="T2896" i="1" s="1" a="1"/>
  <c r="T2896" i="1" s="1"/>
  <c r="S2897" i="1"/>
  <c r="T2897" i="1" s="1" a="1"/>
  <c r="T2897" i="1" s="1"/>
  <c r="S2898" i="1"/>
  <c r="T2898" i="1" s="1" a="1"/>
  <c r="T2898" i="1" s="1"/>
  <c r="S2899" i="1"/>
  <c r="T2899" i="1" s="1" a="1"/>
  <c r="T2899" i="1" s="1"/>
  <c r="S2900" i="1"/>
  <c r="T2900" i="1" s="1" a="1"/>
  <c r="T2900" i="1" s="1"/>
  <c r="S2901" i="1"/>
  <c r="T2901" i="1" s="1" a="1"/>
  <c r="T2901" i="1" s="1"/>
  <c r="S2902" i="1"/>
  <c r="T2902" i="1" s="1" a="1"/>
  <c r="T2902" i="1" s="1"/>
  <c r="S2903" i="1"/>
  <c r="T2903" i="1" s="1" a="1"/>
  <c r="T2903" i="1" s="1"/>
  <c r="S2904" i="1"/>
  <c r="T2904" i="1" s="1" a="1"/>
  <c r="T2904" i="1" s="1"/>
  <c r="S2905" i="1"/>
  <c r="T2905" i="1" s="1" a="1"/>
  <c r="T2905" i="1" s="1"/>
  <c r="S2906" i="1"/>
  <c r="T2906" i="1" s="1" a="1"/>
  <c r="T2906" i="1" s="1"/>
  <c r="S2907" i="1"/>
  <c r="T2907" i="1" s="1" a="1"/>
  <c r="T2907" i="1" s="1"/>
  <c r="S2908" i="1"/>
  <c r="T2908" i="1" s="1" a="1"/>
  <c r="T2908" i="1" s="1"/>
  <c r="S2909" i="1"/>
  <c r="T2909" i="1" s="1" a="1"/>
  <c r="T2909" i="1" s="1"/>
  <c r="S2910" i="1"/>
  <c r="T2910" i="1" s="1" a="1"/>
  <c r="T2910" i="1" s="1"/>
  <c r="S2911" i="1"/>
  <c r="T2911" i="1" s="1" a="1"/>
  <c r="T2911" i="1" s="1"/>
  <c r="S2912" i="1"/>
  <c r="T2912" i="1" s="1" a="1"/>
  <c r="T2912" i="1" s="1"/>
  <c r="S2913" i="1"/>
  <c r="T2913" i="1" s="1" a="1"/>
  <c r="T2913" i="1" s="1"/>
  <c r="S2914" i="1"/>
  <c r="T2914" i="1" s="1" a="1"/>
  <c r="T2914" i="1" s="1"/>
  <c r="S2915" i="1"/>
  <c r="T2915" i="1" s="1" a="1"/>
  <c r="T2915" i="1" s="1"/>
  <c r="S2916" i="1"/>
  <c r="T2916" i="1" s="1" a="1"/>
  <c r="T2916" i="1" s="1"/>
  <c r="S2917" i="1"/>
  <c r="T2917" i="1" s="1" a="1"/>
  <c r="T2917" i="1" s="1"/>
  <c r="S2918" i="1"/>
  <c r="T2918" i="1" s="1" a="1"/>
  <c r="T2918" i="1" s="1"/>
  <c r="S2919" i="1"/>
  <c r="T2919" i="1" s="1" a="1"/>
  <c r="T2919" i="1" s="1"/>
  <c r="S2920" i="1"/>
  <c r="T2920" i="1" s="1" a="1"/>
  <c r="T2920" i="1" s="1"/>
  <c r="S2921" i="1"/>
  <c r="T2921" i="1" s="1" a="1"/>
  <c r="T2921" i="1" s="1"/>
  <c r="S2922" i="1"/>
  <c r="T2922" i="1" s="1" a="1"/>
  <c r="T2922" i="1" s="1"/>
  <c r="S2923" i="1"/>
  <c r="T2923" i="1" s="1" a="1"/>
  <c r="T2923" i="1" s="1"/>
  <c r="S2924" i="1"/>
  <c r="T2924" i="1" s="1" a="1"/>
  <c r="T2924" i="1" s="1"/>
  <c r="S2925" i="1"/>
  <c r="T2925" i="1" s="1" a="1"/>
  <c r="T2925" i="1" s="1"/>
  <c r="S2926" i="1"/>
  <c r="T2926" i="1" s="1" a="1"/>
  <c r="T2926" i="1" s="1"/>
  <c r="S2927" i="1"/>
  <c r="T2927" i="1" s="1" a="1"/>
  <c r="T2927" i="1" s="1"/>
  <c r="S2928" i="1"/>
  <c r="T2928" i="1" s="1" a="1"/>
  <c r="T2928" i="1" s="1"/>
  <c r="S2929" i="1"/>
  <c r="T2929" i="1" s="1" a="1"/>
  <c r="T2929" i="1" s="1"/>
  <c r="S2930" i="1"/>
  <c r="T2930" i="1" s="1" a="1"/>
  <c r="T2930" i="1" s="1"/>
  <c r="S2931" i="1"/>
  <c r="T2931" i="1" s="1" a="1"/>
  <c r="T2931" i="1" s="1"/>
  <c r="S2932" i="1"/>
  <c r="T2932" i="1" s="1" a="1"/>
  <c r="T2932" i="1" s="1"/>
  <c r="S2933" i="1"/>
  <c r="T2933" i="1" s="1" a="1"/>
  <c r="T2933" i="1" s="1"/>
  <c r="S2934" i="1"/>
  <c r="T2934" i="1" s="1" a="1"/>
  <c r="T2934" i="1" s="1"/>
  <c r="S2935" i="1"/>
  <c r="T2935" i="1" s="1" a="1"/>
  <c r="T2935" i="1" s="1"/>
  <c r="S2936" i="1"/>
  <c r="T2936" i="1" s="1" a="1"/>
  <c r="T2936" i="1" s="1"/>
  <c r="S2937" i="1"/>
  <c r="T2937" i="1" s="1" a="1"/>
  <c r="T2937" i="1" s="1"/>
  <c r="S2938" i="1"/>
  <c r="T2938" i="1" s="1" a="1"/>
  <c r="T2938" i="1" s="1"/>
  <c r="S2939" i="1"/>
  <c r="T2939" i="1" s="1" a="1"/>
  <c r="T2939" i="1" s="1"/>
  <c r="S2940" i="1"/>
  <c r="T2940" i="1" s="1" a="1"/>
  <c r="T2940" i="1" s="1"/>
  <c r="S2941" i="1"/>
  <c r="T2941" i="1" s="1" a="1"/>
  <c r="T2941" i="1" s="1"/>
  <c r="S2942" i="1"/>
  <c r="T2942" i="1" s="1" a="1"/>
  <c r="T2942" i="1" s="1"/>
  <c r="S2943" i="1"/>
  <c r="T2943" i="1" s="1" a="1"/>
  <c r="T2943" i="1" s="1"/>
  <c r="S2944" i="1"/>
  <c r="T2944" i="1" s="1" a="1"/>
  <c r="T2944" i="1" s="1"/>
  <c r="S2945" i="1"/>
  <c r="T2945" i="1" s="1" a="1"/>
  <c r="T2945" i="1" s="1"/>
  <c r="S2946" i="1"/>
  <c r="T2946" i="1" s="1" a="1"/>
  <c r="T2946" i="1" s="1"/>
  <c r="S2947" i="1"/>
  <c r="T2947" i="1" s="1" a="1"/>
  <c r="T2947" i="1" s="1"/>
  <c r="S2948" i="1"/>
  <c r="T2948" i="1" s="1" a="1"/>
  <c r="T2948" i="1" s="1"/>
  <c r="S2949" i="1"/>
  <c r="T2949" i="1" s="1" a="1"/>
  <c r="T2949" i="1" s="1"/>
  <c r="S2950" i="1"/>
  <c r="T2950" i="1" s="1" a="1"/>
  <c r="T2950" i="1" s="1"/>
  <c r="S2951" i="1"/>
  <c r="T2951" i="1" s="1" a="1"/>
  <c r="T2951" i="1" s="1"/>
  <c r="S2952" i="1"/>
  <c r="T2952" i="1" s="1" a="1"/>
  <c r="T2952" i="1" s="1"/>
  <c r="S2953" i="1"/>
  <c r="T2953" i="1" s="1" a="1"/>
  <c r="T2953" i="1" s="1"/>
  <c r="S2954" i="1"/>
  <c r="T2954" i="1" s="1" a="1"/>
  <c r="T2954" i="1" s="1"/>
  <c r="S2955" i="1"/>
  <c r="T2955" i="1" s="1" a="1"/>
  <c r="T2955" i="1" s="1"/>
  <c r="S2956" i="1"/>
  <c r="T2956" i="1" s="1" a="1"/>
  <c r="T2956" i="1" s="1"/>
  <c r="S2957" i="1"/>
  <c r="T2957" i="1" s="1" a="1"/>
  <c r="T2957" i="1" s="1"/>
  <c r="S2958" i="1"/>
  <c r="T2958" i="1" s="1" a="1"/>
  <c r="T2958" i="1" s="1"/>
  <c r="S2959" i="1"/>
  <c r="T2959" i="1" s="1" a="1"/>
  <c r="T2959" i="1" s="1"/>
  <c r="S2960" i="1"/>
  <c r="T2960" i="1" s="1" a="1"/>
  <c r="T2960" i="1" s="1"/>
  <c r="S2961" i="1"/>
  <c r="T2961" i="1" s="1" a="1"/>
  <c r="T2961" i="1" s="1"/>
  <c r="S2962" i="1"/>
  <c r="T2962" i="1" s="1" a="1"/>
  <c r="T2962" i="1" s="1"/>
  <c r="S2963" i="1"/>
  <c r="T2963" i="1" s="1" a="1"/>
  <c r="T2963" i="1" s="1"/>
  <c r="S2964" i="1"/>
  <c r="T2964" i="1" s="1" a="1"/>
  <c r="T2964" i="1" s="1"/>
  <c r="S2965" i="1"/>
  <c r="T2965" i="1" s="1" a="1"/>
  <c r="T2965" i="1" s="1"/>
  <c r="S2966" i="1"/>
  <c r="T2966" i="1" s="1" a="1"/>
  <c r="T2966" i="1" s="1"/>
  <c r="S2967" i="1"/>
  <c r="T2967" i="1" s="1" a="1"/>
  <c r="T2967" i="1" s="1"/>
  <c r="S2968" i="1"/>
  <c r="T2968" i="1" s="1" a="1"/>
  <c r="T2968" i="1" s="1"/>
  <c r="S2969" i="1"/>
  <c r="T2969" i="1" s="1" a="1"/>
  <c r="T2969" i="1" s="1"/>
  <c r="S2970" i="1"/>
  <c r="T2970" i="1" s="1" a="1"/>
  <c r="T2970" i="1" s="1"/>
  <c r="S2971" i="1"/>
  <c r="T2971" i="1" s="1" a="1"/>
  <c r="T2971" i="1" s="1"/>
  <c r="S2972" i="1"/>
  <c r="T2972" i="1" s="1" a="1"/>
  <c r="T2972" i="1" s="1"/>
  <c r="S2973" i="1"/>
  <c r="T2973" i="1" s="1" a="1"/>
  <c r="T2973" i="1" s="1"/>
  <c r="S2974" i="1"/>
  <c r="T2974" i="1" s="1" a="1"/>
  <c r="T2974" i="1" s="1"/>
  <c r="S2975" i="1"/>
  <c r="T2975" i="1" s="1" a="1"/>
  <c r="T2975" i="1" s="1"/>
  <c r="S2976" i="1"/>
  <c r="T2976" i="1" s="1" a="1"/>
  <c r="T2976" i="1" s="1"/>
  <c r="S2977" i="1"/>
  <c r="T2977" i="1" s="1" a="1"/>
  <c r="T2977" i="1" s="1"/>
  <c r="S2978" i="1"/>
  <c r="T2978" i="1" s="1" a="1"/>
  <c r="T2978" i="1" s="1"/>
  <c r="S2979" i="1"/>
  <c r="T2979" i="1" s="1" a="1"/>
  <c r="T2979" i="1" s="1"/>
  <c r="S2980" i="1"/>
  <c r="T2980" i="1" s="1" a="1"/>
  <c r="T2980" i="1" s="1"/>
  <c r="S2981" i="1"/>
  <c r="T2981" i="1" s="1" a="1"/>
  <c r="T2981" i="1" s="1"/>
  <c r="S2982" i="1"/>
  <c r="T2982" i="1" s="1" a="1"/>
  <c r="T2982" i="1" s="1"/>
  <c r="S2983" i="1"/>
  <c r="T2983" i="1" s="1" a="1"/>
  <c r="T2983" i="1" s="1"/>
  <c r="S2984" i="1"/>
  <c r="T2984" i="1" s="1" a="1"/>
  <c r="T2984" i="1" s="1"/>
  <c r="S2985" i="1"/>
  <c r="T2985" i="1" s="1" a="1"/>
  <c r="T2985" i="1" s="1"/>
  <c r="S2986" i="1"/>
  <c r="T2986" i="1" s="1" a="1"/>
  <c r="T2986" i="1" s="1"/>
  <c r="S2987" i="1"/>
  <c r="T2987" i="1" s="1" a="1"/>
  <c r="T2987" i="1" s="1"/>
  <c r="S2988" i="1"/>
  <c r="T2988" i="1" s="1" a="1"/>
  <c r="T2988" i="1" s="1"/>
  <c r="S2989" i="1"/>
  <c r="T2989" i="1" s="1" a="1"/>
  <c r="T2989" i="1" s="1"/>
  <c r="S2990" i="1"/>
  <c r="T2990" i="1" s="1" a="1"/>
  <c r="T2990" i="1" s="1"/>
  <c r="S2991" i="1"/>
  <c r="T2991" i="1" s="1" a="1"/>
  <c r="T2991" i="1" s="1"/>
  <c r="S2992" i="1"/>
  <c r="T2992" i="1" s="1" a="1"/>
  <c r="T2992" i="1" s="1"/>
  <c r="S2993" i="1"/>
  <c r="T2993" i="1" s="1" a="1"/>
  <c r="T2993" i="1" s="1"/>
  <c r="S2994" i="1"/>
  <c r="T2994" i="1" s="1" a="1"/>
  <c r="T2994" i="1" s="1"/>
  <c r="S2995" i="1"/>
  <c r="T2995" i="1" s="1" a="1"/>
  <c r="T2995" i="1" s="1"/>
  <c r="S2996" i="1"/>
  <c r="T2996" i="1" s="1" a="1"/>
  <c r="T2996" i="1" s="1"/>
  <c r="S2997" i="1"/>
  <c r="T2997" i="1" s="1" a="1"/>
  <c r="T2997" i="1" s="1"/>
  <c r="S2998" i="1"/>
  <c r="T2998" i="1" s="1" a="1"/>
  <c r="T2998" i="1" s="1"/>
  <c r="S2999" i="1"/>
  <c r="T2999" i="1" s="1" a="1"/>
  <c r="T2999" i="1" s="1"/>
  <c r="S3000" i="1"/>
  <c r="T3000" i="1" s="1" a="1"/>
  <c r="T3000" i="1" s="1"/>
  <c r="S3001" i="1"/>
  <c r="T3001" i="1" s="1" a="1"/>
  <c r="T3001" i="1" s="1"/>
  <c r="S3002" i="1"/>
  <c r="T3002" i="1" s="1" a="1"/>
  <c r="T3002" i="1" s="1"/>
  <c r="S3003" i="1"/>
  <c r="T3003" i="1" s="1" a="1"/>
  <c r="T3003" i="1" s="1"/>
  <c r="S3004" i="1"/>
  <c r="T3004" i="1" s="1" a="1"/>
  <c r="T3004" i="1" s="1"/>
  <c r="S3005" i="1"/>
  <c r="T3005" i="1" s="1" a="1"/>
  <c r="T3005" i="1" s="1"/>
  <c r="S3006" i="1"/>
  <c r="T3006" i="1" s="1" a="1"/>
  <c r="T3006" i="1" s="1"/>
  <c r="S3007" i="1"/>
  <c r="T3007" i="1" s="1" a="1"/>
  <c r="T3007" i="1" s="1"/>
  <c r="S3008" i="1"/>
  <c r="T3008" i="1" s="1" a="1"/>
  <c r="T3008" i="1" s="1"/>
  <c r="S3009" i="1"/>
  <c r="T3009" i="1" s="1" a="1"/>
  <c r="T3009" i="1" s="1"/>
  <c r="S3010" i="1"/>
  <c r="T3010" i="1" s="1" a="1"/>
  <c r="T3010" i="1" s="1"/>
  <c r="S3011" i="1"/>
  <c r="T3011" i="1" s="1" a="1"/>
  <c r="T3011" i="1" s="1"/>
  <c r="S3012" i="1"/>
  <c r="T3012" i="1" s="1" a="1"/>
  <c r="T3012" i="1" s="1"/>
  <c r="S3013" i="1"/>
  <c r="T3013" i="1" s="1" a="1"/>
  <c r="T3013" i="1" s="1"/>
  <c r="S3014" i="1"/>
  <c r="T3014" i="1" s="1" a="1"/>
  <c r="T3014" i="1" s="1"/>
  <c r="S3015" i="1"/>
  <c r="T3015" i="1" s="1" a="1"/>
  <c r="T3015" i="1" s="1"/>
  <c r="S3016" i="1"/>
  <c r="T3016" i="1" s="1" a="1"/>
  <c r="T3016" i="1" s="1"/>
  <c r="S3017" i="1"/>
  <c r="T3017" i="1" s="1" a="1"/>
  <c r="T3017" i="1" s="1"/>
  <c r="S3018" i="1"/>
  <c r="T3018" i="1" s="1" a="1"/>
  <c r="T3018" i="1" s="1"/>
  <c r="S3019" i="1"/>
  <c r="T3019" i="1" s="1" a="1"/>
  <c r="T3019" i="1" s="1"/>
  <c r="S3020" i="1"/>
  <c r="T3020" i="1" s="1" a="1"/>
  <c r="T3020" i="1" s="1"/>
  <c r="S3021" i="1"/>
  <c r="T3021" i="1" s="1" a="1"/>
  <c r="T3021" i="1" s="1"/>
  <c r="S3022" i="1"/>
  <c r="T3022" i="1" s="1" a="1"/>
  <c r="T3022" i="1" s="1"/>
  <c r="S3023" i="1"/>
  <c r="T3023" i="1" s="1" a="1"/>
  <c r="T3023" i="1" s="1"/>
  <c r="S3024" i="1"/>
  <c r="T3024" i="1" s="1" a="1"/>
  <c r="T3024" i="1" s="1"/>
  <c r="S3025" i="1"/>
  <c r="T3025" i="1" s="1" a="1"/>
  <c r="T3025" i="1" s="1"/>
  <c r="S3026" i="1"/>
  <c r="T3026" i="1" s="1" a="1"/>
  <c r="T3026" i="1" s="1"/>
  <c r="S3027" i="1"/>
  <c r="T3027" i="1" s="1" a="1"/>
  <c r="T3027" i="1" s="1"/>
  <c r="S3028" i="1"/>
  <c r="T3028" i="1" s="1" a="1"/>
  <c r="T3028" i="1" s="1"/>
  <c r="S3029" i="1"/>
  <c r="T3029" i="1" s="1" a="1"/>
  <c r="T3029" i="1" s="1"/>
  <c r="S3030" i="1"/>
  <c r="T3030" i="1" s="1" a="1"/>
  <c r="T3030" i="1" s="1"/>
  <c r="S3031" i="1"/>
  <c r="T3031" i="1" s="1" a="1"/>
  <c r="T3031" i="1" s="1"/>
  <c r="S3032" i="1"/>
  <c r="T3032" i="1" s="1" a="1"/>
  <c r="T3032" i="1" s="1"/>
  <c r="S3033" i="1"/>
  <c r="T3033" i="1" s="1" a="1"/>
  <c r="T3033" i="1" s="1"/>
  <c r="S3034" i="1"/>
  <c r="T3034" i="1" s="1" a="1"/>
  <c r="T3034" i="1" s="1"/>
  <c r="S3035" i="1"/>
  <c r="T3035" i="1" s="1" a="1"/>
  <c r="T3035" i="1" s="1"/>
  <c r="S3036" i="1"/>
  <c r="T3036" i="1" s="1" a="1"/>
  <c r="T3036" i="1" s="1"/>
  <c r="S3037" i="1"/>
  <c r="T3037" i="1" s="1" a="1"/>
  <c r="T3037" i="1" s="1"/>
  <c r="S3038" i="1"/>
  <c r="T3038" i="1" s="1" a="1"/>
  <c r="T3038" i="1" s="1"/>
  <c r="S3039" i="1"/>
  <c r="T3039" i="1" s="1" a="1"/>
  <c r="T3039" i="1" s="1"/>
  <c r="S3040" i="1"/>
  <c r="T3040" i="1" s="1" a="1"/>
  <c r="T3040" i="1" s="1"/>
  <c r="S3041" i="1"/>
  <c r="T3041" i="1" s="1" a="1"/>
  <c r="T3041" i="1" s="1"/>
  <c r="S3042" i="1"/>
  <c r="T3042" i="1" s="1" a="1"/>
  <c r="T3042" i="1" s="1"/>
  <c r="S3043" i="1"/>
  <c r="T3043" i="1" s="1" a="1"/>
  <c r="T3043" i="1" s="1"/>
  <c r="S3044" i="1"/>
  <c r="T3044" i="1" s="1" a="1"/>
  <c r="T3044" i="1" s="1"/>
  <c r="S3045" i="1"/>
  <c r="T3045" i="1" s="1" a="1"/>
  <c r="T3045" i="1" s="1"/>
  <c r="S3046" i="1"/>
  <c r="T3046" i="1" s="1" a="1"/>
  <c r="T3046" i="1" s="1"/>
  <c r="S3047" i="1"/>
  <c r="T3047" i="1" s="1" a="1"/>
  <c r="T3047" i="1" s="1"/>
  <c r="S3048" i="1"/>
  <c r="T3048" i="1" s="1" a="1"/>
  <c r="T3048" i="1" s="1"/>
  <c r="S3049" i="1"/>
  <c r="T3049" i="1" s="1" a="1"/>
  <c r="T3049" i="1" s="1"/>
  <c r="S3050" i="1"/>
  <c r="T3050" i="1" s="1" a="1"/>
  <c r="T3050" i="1" s="1"/>
  <c r="S3051" i="1"/>
  <c r="T3051" i="1" s="1" a="1"/>
  <c r="T3051" i="1" s="1"/>
  <c r="S3052" i="1"/>
  <c r="T3052" i="1" s="1" a="1"/>
  <c r="T3052" i="1" s="1"/>
  <c r="S3053" i="1"/>
  <c r="T3053" i="1" s="1" a="1"/>
  <c r="T3053" i="1" s="1"/>
  <c r="S3054" i="1"/>
  <c r="T3054" i="1" s="1" a="1"/>
  <c r="T3054" i="1" s="1"/>
  <c r="S3055" i="1"/>
  <c r="T3055" i="1" s="1" a="1"/>
  <c r="T3055" i="1" s="1"/>
  <c r="S3056" i="1"/>
  <c r="T3056" i="1" s="1" a="1"/>
  <c r="T3056" i="1" s="1"/>
  <c r="S3057" i="1"/>
  <c r="T3057" i="1" s="1" a="1"/>
  <c r="T3057" i="1" s="1"/>
  <c r="S3058" i="1"/>
  <c r="T3058" i="1" s="1" a="1"/>
  <c r="T3058" i="1" s="1"/>
  <c r="S3059" i="1"/>
  <c r="T3059" i="1" s="1" a="1"/>
  <c r="T3059" i="1" s="1"/>
  <c r="S3060" i="1"/>
  <c r="T3060" i="1" s="1" a="1"/>
  <c r="T3060" i="1" s="1"/>
  <c r="S3061" i="1"/>
  <c r="T3061" i="1" s="1" a="1"/>
  <c r="T3061" i="1" s="1"/>
  <c r="S3062" i="1"/>
  <c r="T3062" i="1" s="1" a="1"/>
  <c r="T3062" i="1" s="1"/>
  <c r="S3063" i="1"/>
  <c r="T3063" i="1" s="1" a="1"/>
  <c r="T3063" i="1" s="1"/>
  <c r="S3064" i="1"/>
  <c r="T3064" i="1" s="1" a="1"/>
  <c r="T3064" i="1" s="1"/>
  <c r="S3065" i="1"/>
  <c r="T3065" i="1" s="1" a="1"/>
  <c r="T3065" i="1" s="1"/>
  <c r="S3066" i="1"/>
  <c r="T3066" i="1" s="1" a="1"/>
  <c r="T3066" i="1" s="1"/>
  <c r="S3067" i="1"/>
  <c r="T3067" i="1" s="1" a="1"/>
  <c r="T3067" i="1" s="1"/>
  <c r="S3068" i="1"/>
  <c r="T3068" i="1" s="1" a="1"/>
  <c r="T3068" i="1" s="1"/>
  <c r="S3069" i="1"/>
  <c r="T3069" i="1" s="1" a="1"/>
  <c r="T3069" i="1" s="1"/>
  <c r="S3070" i="1"/>
  <c r="T3070" i="1" s="1" a="1"/>
  <c r="T3070" i="1" s="1"/>
  <c r="S3071" i="1"/>
  <c r="T3071" i="1" s="1" a="1"/>
  <c r="T3071" i="1" s="1"/>
  <c r="S3072" i="1"/>
  <c r="T3072" i="1" s="1" a="1"/>
  <c r="T3072" i="1" s="1"/>
  <c r="S3073" i="1"/>
  <c r="T3073" i="1" s="1" a="1"/>
  <c r="T3073" i="1" s="1"/>
  <c r="S3074" i="1"/>
  <c r="T3074" i="1" s="1" a="1"/>
  <c r="T3074" i="1" s="1"/>
  <c r="S3075" i="1"/>
  <c r="T3075" i="1" s="1" a="1"/>
  <c r="T3075" i="1" s="1"/>
  <c r="S3076" i="1"/>
  <c r="T3076" i="1" s="1" a="1"/>
  <c r="T3076" i="1" s="1"/>
  <c r="S3077" i="1"/>
  <c r="T3077" i="1" s="1" a="1"/>
  <c r="T3077" i="1" s="1"/>
  <c r="S3078" i="1"/>
  <c r="T3078" i="1" s="1" a="1"/>
  <c r="T3078" i="1" s="1"/>
  <c r="S3079" i="1"/>
  <c r="T3079" i="1" s="1" a="1"/>
  <c r="T3079" i="1" s="1"/>
  <c r="S3080" i="1"/>
  <c r="T3080" i="1" s="1" a="1"/>
  <c r="T3080" i="1" s="1"/>
  <c r="S3081" i="1"/>
  <c r="T3081" i="1" s="1" a="1"/>
  <c r="T3081" i="1" s="1"/>
  <c r="S3082" i="1"/>
  <c r="T3082" i="1" s="1" a="1"/>
  <c r="T3082" i="1" s="1"/>
  <c r="S3083" i="1"/>
  <c r="T3083" i="1" s="1" a="1"/>
  <c r="T3083" i="1" s="1"/>
  <c r="S3084" i="1"/>
  <c r="T3084" i="1" s="1" a="1"/>
  <c r="T3084" i="1" s="1"/>
  <c r="S3085" i="1"/>
  <c r="T3085" i="1" s="1" a="1"/>
  <c r="T3085" i="1" s="1"/>
  <c r="S3086" i="1"/>
  <c r="T3086" i="1" s="1" a="1"/>
  <c r="T3086" i="1" s="1"/>
  <c r="S3087" i="1"/>
  <c r="T3087" i="1" s="1" a="1"/>
  <c r="T3087" i="1" s="1"/>
  <c r="S3088" i="1"/>
  <c r="T3088" i="1" s="1" a="1"/>
  <c r="T3088" i="1" s="1"/>
  <c r="S3089" i="1"/>
  <c r="T3089" i="1" s="1" a="1"/>
  <c r="T3089" i="1" s="1"/>
  <c r="S3090" i="1"/>
  <c r="T3090" i="1" s="1" a="1"/>
  <c r="T3090" i="1" s="1"/>
  <c r="S3091" i="1"/>
  <c r="T3091" i="1" s="1" a="1"/>
  <c r="T3091" i="1" s="1"/>
  <c r="S3092" i="1"/>
  <c r="T3092" i="1" s="1" a="1"/>
  <c r="T3092" i="1" s="1"/>
  <c r="S3093" i="1"/>
  <c r="T3093" i="1" s="1" a="1"/>
  <c r="T3093" i="1" s="1"/>
  <c r="S3094" i="1"/>
  <c r="T3094" i="1" s="1" a="1"/>
  <c r="T3094" i="1" s="1"/>
  <c r="S3095" i="1"/>
  <c r="T3095" i="1" s="1" a="1"/>
  <c r="T3095" i="1" s="1"/>
  <c r="S3096" i="1"/>
  <c r="T3096" i="1" s="1" a="1"/>
  <c r="T3096" i="1" s="1"/>
  <c r="S3097" i="1"/>
  <c r="T3097" i="1" s="1" a="1"/>
  <c r="T3097" i="1" s="1"/>
  <c r="S3098" i="1"/>
  <c r="T3098" i="1" s="1" a="1"/>
  <c r="T3098" i="1" s="1"/>
  <c r="S3099" i="1"/>
  <c r="T3099" i="1" s="1" a="1"/>
  <c r="T3099" i="1" s="1"/>
  <c r="S3100" i="1"/>
  <c r="T3100" i="1" s="1" a="1"/>
  <c r="T3100" i="1" s="1"/>
  <c r="S3101" i="1"/>
  <c r="T3101" i="1" s="1" a="1"/>
  <c r="T3101" i="1" s="1"/>
  <c r="S3102" i="1"/>
  <c r="T3102" i="1" s="1" a="1"/>
  <c r="T3102" i="1" s="1"/>
  <c r="S3103" i="1"/>
  <c r="T3103" i="1" s="1" a="1"/>
  <c r="T3103" i="1" s="1"/>
  <c r="S3104" i="1"/>
  <c r="T3104" i="1" s="1" a="1"/>
  <c r="T3104" i="1" s="1"/>
  <c r="S3105" i="1"/>
  <c r="T3105" i="1" s="1" a="1"/>
  <c r="T3105" i="1" s="1"/>
  <c r="S3106" i="1"/>
  <c r="T3106" i="1" s="1" a="1"/>
  <c r="T3106" i="1" s="1"/>
  <c r="S3107" i="1"/>
  <c r="T3107" i="1" s="1" a="1"/>
  <c r="T3107" i="1" s="1"/>
  <c r="S3108" i="1"/>
  <c r="T3108" i="1" s="1" a="1"/>
  <c r="T3108" i="1" s="1"/>
  <c r="S3109" i="1"/>
  <c r="T3109" i="1" s="1" a="1"/>
  <c r="T3109" i="1" s="1"/>
  <c r="S3110" i="1"/>
  <c r="T3110" i="1" s="1" a="1"/>
  <c r="T3110" i="1" s="1"/>
  <c r="S3111" i="1"/>
  <c r="T3111" i="1" s="1" a="1"/>
  <c r="T3111" i="1" s="1"/>
  <c r="S3112" i="1"/>
  <c r="T3112" i="1" s="1" a="1"/>
  <c r="T3112" i="1" s="1"/>
  <c r="S3113" i="1"/>
  <c r="T3113" i="1" s="1" a="1"/>
  <c r="T3113" i="1" s="1"/>
  <c r="S3114" i="1"/>
  <c r="T3114" i="1" s="1" a="1"/>
  <c r="T3114" i="1" s="1"/>
  <c r="S3115" i="1"/>
  <c r="T3115" i="1" s="1" a="1"/>
  <c r="T3115" i="1" s="1"/>
  <c r="S3116" i="1"/>
  <c r="T3116" i="1" s="1" a="1"/>
  <c r="T3116" i="1" s="1"/>
  <c r="S3117" i="1"/>
  <c r="T3117" i="1" s="1" a="1"/>
  <c r="T3117" i="1" s="1"/>
  <c r="S3118" i="1"/>
  <c r="T3118" i="1" s="1" a="1"/>
  <c r="T3118" i="1" s="1"/>
  <c r="S3119" i="1"/>
  <c r="T3119" i="1" s="1" a="1"/>
  <c r="T3119" i="1" s="1"/>
  <c r="S3120" i="1"/>
  <c r="T3120" i="1" s="1" a="1"/>
  <c r="T3120" i="1" s="1"/>
  <c r="S3121" i="1"/>
  <c r="T3121" i="1" s="1" a="1"/>
  <c r="T3121" i="1" s="1"/>
  <c r="S3122" i="1"/>
  <c r="T3122" i="1" s="1" a="1"/>
  <c r="T3122" i="1" s="1"/>
  <c r="S3123" i="1"/>
  <c r="T3123" i="1" s="1" a="1"/>
  <c r="T3123" i="1" s="1"/>
  <c r="S3124" i="1"/>
  <c r="T3124" i="1" s="1" a="1"/>
  <c r="T3124" i="1" s="1"/>
  <c r="S3125" i="1"/>
  <c r="T3125" i="1" s="1" a="1"/>
  <c r="T3125" i="1" s="1"/>
  <c r="S3126" i="1"/>
  <c r="T3126" i="1" s="1" a="1"/>
  <c r="T3126" i="1" s="1"/>
  <c r="S3127" i="1"/>
  <c r="T3127" i="1" s="1" a="1"/>
  <c r="T3127" i="1" s="1"/>
  <c r="S3128" i="1"/>
  <c r="T3128" i="1" s="1" a="1"/>
  <c r="T3128" i="1" s="1"/>
  <c r="S3129" i="1"/>
  <c r="T3129" i="1" s="1" a="1"/>
  <c r="T3129" i="1" s="1"/>
  <c r="S3130" i="1"/>
  <c r="T3130" i="1" s="1" a="1"/>
  <c r="T3130" i="1" s="1"/>
  <c r="S3131" i="1"/>
  <c r="T3131" i="1" s="1" a="1"/>
  <c r="T3131" i="1" s="1"/>
  <c r="S3132" i="1"/>
  <c r="T3132" i="1" s="1" a="1"/>
  <c r="T3132" i="1" s="1"/>
  <c r="S3133" i="1"/>
  <c r="T3133" i="1" s="1" a="1"/>
  <c r="T3133" i="1" s="1"/>
  <c r="S3134" i="1"/>
  <c r="T3134" i="1" s="1" a="1"/>
  <c r="T3134" i="1" s="1"/>
  <c r="S3135" i="1"/>
  <c r="T3135" i="1" s="1" a="1"/>
  <c r="T3135" i="1" s="1"/>
  <c r="S3136" i="1"/>
  <c r="T3136" i="1" s="1" a="1"/>
  <c r="T3136" i="1" s="1"/>
  <c r="S3137" i="1"/>
  <c r="T3137" i="1" s="1" a="1"/>
  <c r="T3137" i="1" s="1"/>
  <c r="S3138" i="1"/>
  <c r="T3138" i="1" s="1" a="1"/>
  <c r="T3138" i="1" s="1"/>
  <c r="S3139" i="1"/>
  <c r="T3139" i="1" s="1" a="1"/>
  <c r="T3139" i="1" s="1"/>
  <c r="S3140" i="1"/>
  <c r="T3140" i="1" s="1" a="1"/>
  <c r="T3140" i="1" s="1"/>
  <c r="S3141" i="1"/>
  <c r="T3141" i="1" s="1" a="1"/>
  <c r="T3141" i="1" s="1"/>
  <c r="S3142" i="1"/>
  <c r="T3142" i="1" s="1" a="1"/>
  <c r="T3142" i="1" s="1"/>
  <c r="S3143" i="1"/>
  <c r="T3143" i="1" s="1" a="1"/>
  <c r="T3143" i="1" s="1"/>
  <c r="S3144" i="1"/>
  <c r="T3144" i="1" s="1" a="1"/>
  <c r="T3144" i="1" s="1"/>
  <c r="S3145" i="1"/>
  <c r="T3145" i="1" s="1" a="1"/>
  <c r="T3145" i="1" s="1"/>
  <c r="S3146" i="1"/>
  <c r="T3146" i="1" s="1" a="1"/>
  <c r="T3146" i="1" s="1"/>
  <c r="S3147" i="1"/>
  <c r="T3147" i="1" s="1" a="1"/>
  <c r="T3147" i="1" s="1"/>
  <c r="S3148" i="1"/>
  <c r="T3148" i="1" s="1" a="1"/>
  <c r="T3148" i="1" s="1"/>
  <c r="S3149" i="1"/>
  <c r="T3149" i="1" s="1" a="1"/>
  <c r="T3149" i="1" s="1"/>
  <c r="S3150" i="1"/>
  <c r="T3150" i="1" s="1" a="1"/>
  <c r="T3150" i="1" s="1"/>
  <c r="S3151" i="1"/>
  <c r="T3151" i="1" s="1" a="1"/>
  <c r="T3151" i="1" s="1"/>
  <c r="S3152" i="1"/>
  <c r="T3152" i="1" s="1" a="1"/>
  <c r="T3152" i="1" s="1"/>
  <c r="S3153" i="1"/>
  <c r="T3153" i="1" s="1" a="1"/>
  <c r="T3153" i="1" s="1"/>
  <c r="S3154" i="1"/>
  <c r="T3154" i="1" s="1" a="1"/>
  <c r="T3154" i="1" s="1"/>
  <c r="S3155" i="1"/>
  <c r="T3155" i="1" s="1" a="1"/>
  <c r="T3155" i="1" s="1"/>
  <c r="S3156" i="1"/>
  <c r="T3156" i="1" s="1" a="1"/>
  <c r="T3156" i="1" s="1"/>
  <c r="S3157" i="1"/>
  <c r="T3157" i="1" s="1" a="1"/>
  <c r="T3157" i="1" s="1"/>
  <c r="S3158" i="1"/>
  <c r="T3158" i="1" s="1" a="1"/>
  <c r="T3158" i="1" s="1"/>
  <c r="S3159" i="1"/>
  <c r="T3159" i="1" s="1" a="1"/>
  <c r="T3159" i="1" s="1"/>
  <c r="S3160" i="1"/>
  <c r="T3160" i="1" s="1" a="1"/>
  <c r="T3160" i="1" s="1"/>
  <c r="S3161" i="1"/>
  <c r="T3161" i="1" s="1" a="1"/>
  <c r="T3161" i="1" s="1"/>
  <c r="S3162" i="1"/>
  <c r="T3162" i="1" s="1" a="1"/>
  <c r="T3162" i="1" s="1"/>
  <c r="S3163" i="1"/>
  <c r="T3163" i="1" s="1" a="1"/>
  <c r="T3163" i="1" s="1"/>
  <c r="S3164" i="1"/>
  <c r="T3164" i="1" s="1" a="1"/>
  <c r="T3164" i="1" s="1"/>
  <c r="S3165" i="1"/>
  <c r="T3165" i="1" s="1" a="1"/>
  <c r="T3165" i="1" s="1"/>
  <c r="S3166" i="1"/>
  <c r="T3166" i="1" s="1" a="1"/>
  <c r="T3166" i="1" s="1"/>
  <c r="S3167" i="1"/>
  <c r="T3167" i="1" s="1" a="1"/>
  <c r="T3167" i="1" s="1"/>
  <c r="S3168" i="1"/>
  <c r="T3168" i="1" s="1" a="1"/>
  <c r="T3168" i="1" s="1"/>
  <c r="S3169" i="1"/>
  <c r="T3169" i="1" s="1" a="1"/>
  <c r="T3169" i="1" s="1"/>
  <c r="S3170" i="1"/>
  <c r="T3170" i="1" s="1" a="1"/>
  <c r="T3170" i="1" s="1"/>
  <c r="S3171" i="1"/>
  <c r="T3171" i="1" s="1" a="1"/>
  <c r="T3171" i="1" s="1"/>
  <c r="S3172" i="1"/>
  <c r="T3172" i="1" s="1" a="1"/>
  <c r="T3172" i="1" s="1"/>
  <c r="S3173" i="1"/>
  <c r="T3173" i="1" s="1" a="1"/>
  <c r="T3173" i="1" s="1"/>
  <c r="S3174" i="1"/>
  <c r="T3174" i="1" s="1" a="1"/>
  <c r="T3174" i="1" s="1"/>
  <c r="S3175" i="1"/>
  <c r="T3175" i="1" s="1" a="1"/>
  <c r="T3175" i="1" s="1"/>
  <c r="S3176" i="1"/>
  <c r="T3176" i="1" s="1" a="1"/>
  <c r="T3176" i="1" s="1"/>
  <c r="S3177" i="1"/>
  <c r="T3177" i="1" s="1" a="1"/>
  <c r="T3177" i="1" s="1"/>
  <c r="S3178" i="1"/>
  <c r="T3178" i="1" s="1" a="1"/>
  <c r="T3178" i="1" s="1"/>
  <c r="S3179" i="1"/>
  <c r="T3179" i="1" s="1" a="1"/>
  <c r="T3179" i="1" s="1"/>
  <c r="S3180" i="1"/>
  <c r="T3180" i="1" s="1" a="1"/>
  <c r="T3180" i="1" s="1"/>
  <c r="S3181" i="1"/>
  <c r="T3181" i="1" s="1" a="1"/>
  <c r="T3181" i="1" s="1"/>
  <c r="S3182" i="1"/>
  <c r="T3182" i="1" s="1" a="1"/>
  <c r="T3182" i="1" s="1"/>
  <c r="S3183" i="1"/>
  <c r="T3183" i="1" s="1" a="1"/>
  <c r="T3183" i="1" s="1"/>
  <c r="S3184" i="1"/>
  <c r="T3184" i="1" s="1" a="1"/>
  <c r="T3184" i="1" s="1"/>
  <c r="S3185" i="1"/>
  <c r="T3185" i="1" s="1" a="1"/>
  <c r="T3185" i="1" s="1"/>
  <c r="S3186" i="1"/>
  <c r="T3186" i="1" s="1" a="1"/>
  <c r="T3186" i="1" s="1"/>
  <c r="S3187" i="1"/>
  <c r="T3187" i="1" s="1" a="1"/>
  <c r="T3187" i="1" s="1"/>
  <c r="S3188" i="1"/>
  <c r="T3188" i="1" s="1" a="1"/>
  <c r="T3188" i="1" s="1"/>
  <c r="S3189" i="1"/>
  <c r="T3189" i="1" s="1" a="1"/>
  <c r="T3189" i="1" s="1"/>
  <c r="S3190" i="1"/>
  <c r="T3190" i="1" s="1" a="1"/>
  <c r="T3190" i="1" s="1"/>
  <c r="S3191" i="1"/>
  <c r="T3191" i="1" s="1" a="1"/>
  <c r="T3191" i="1" s="1"/>
  <c r="S3192" i="1"/>
  <c r="T3192" i="1" s="1" a="1"/>
  <c r="T3192" i="1" s="1"/>
  <c r="S3193" i="1"/>
  <c r="T3193" i="1" s="1" a="1"/>
  <c r="T3193" i="1" s="1"/>
  <c r="S3194" i="1"/>
  <c r="T3194" i="1" s="1" a="1"/>
  <c r="T3194" i="1" s="1"/>
  <c r="S3195" i="1"/>
  <c r="T3195" i="1" s="1" a="1"/>
  <c r="T3195" i="1" s="1"/>
  <c r="S3196" i="1"/>
  <c r="T3196" i="1" s="1" a="1"/>
  <c r="T3196" i="1" s="1"/>
  <c r="S3197" i="1"/>
  <c r="T3197" i="1" s="1" a="1"/>
  <c r="T3197" i="1" s="1"/>
  <c r="S3198" i="1"/>
  <c r="T3198" i="1" s="1" a="1"/>
  <c r="T3198" i="1" s="1"/>
  <c r="S3199" i="1"/>
  <c r="T3199" i="1" s="1" a="1"/>
  <c r="T3199" i="1" s="1"/>
  <c r="S3200" i="1"/>
  <c r="T3200" i="1" s="1" a="1"/>
  <c r="T3200" i="1" s="1"/>
  <c r="S3201" i="1"/>
  <c r="T3201" i="1" s="1" a="1"/>
  <c r="T3201" i="1" s="1"/>
  <c r="S3202" i="1"/>
  <c r="T3202" i="1" s="1" a="1"/>
  <c r="T3202" i="1" s="1"/>
  <c r="S3203" i="1"/>
  <c r="T3203" i="1" s="1" a="1"/>
  <c r="T3203" i="1" s="1"/>
  <c r="S3204" i="1"/>
  <c r="T3204" i="1" s="1" a="1"/>
  <c r="T3204" i="1" s="1"/>
  <c r="S3205" i="1"/>
  <c r="T3205" i="1" s="1" a="1"/>
  <c r="T3205" i="1" s="1"/>
  <c r="S3206" i="1"/>
  <c r="T3206" i="1" s="1" a="1"/>
  <c r="T3206" i="1" s="1"/>
  <c r="S3207" i="1"/>
  <c r="T3207" i="1" s="1" a="1"/>
  <c r="T3207" i="1" s="1"/>
  <c r="S3208" i="1"/>
  <c r="T3208" i="1" s="1" a="1"/>
  <c r="T3208" i="1" s="1"/>
  <c r="S3209" i="1"/>
  <c r="T3209" i="1" s="1" a="1"/>
  <c r="T3209" i="1" s="1"/>
  <c r="S3210" i="1"/>
  <c r="T3210" i="1" s="1" a="1"/>
  <c r="T3210" i="1" s="1"/>
  <c r="S3211" i="1"/>
  <c r="T3211" i="1" s="1" a="1"/>
  <c r="T3211" i="1" s="1"/>
  <c r="S3212" i="1"/>
  <c r="T3212" i="1" s="1" a="1"/>
  <c r="T3212" i="1" s="1"/>
  <c r="S3213" i="1"/>
  <c r="T3213" i="1" s="1" a="1"/>
  <c r="T3213" i="1" s="1"/>
  <c r="S3214" i="1"/>
  <c r="T3214" i="1" s="1" a="1"/>
  <c r="T3214" i="1" s="1"/>
  <c r="S3215" i="1"/>
  <c r="T3215" i="1" s="1" a="1"/>
  <c r="T3215" i="1" s="1"/>
  <c r="S3216" i="1"/>
  <c r="T3216" i="1" s="1" a="1"/>
  <c r="T3216" i="1" s="1"/>
  <c r="S3217" i="1"/>
  <c r="T3217" i="1" s="1" a="1"/>
  <c r="T3217" i="1" s="1"/>
  <c r="S3218" i="1"/>
  <c r="T3218" i="1" s="1" a="1"/>
  <c r="T3218" i="1" s="1"/>
  <c r="S3219" i="1"/>
  <c r="T3219" i="1" s="1" a="1"/>
  <c r="T3219" i="1" s="1"/>
  <c r="S3220" i="1"/>
  <c r="T3220" i="1" s="1" a="1"/>
  <c r="T3220" i="1" s="1"/>
  <c r="S3221" i="1"/>
  <c r="T3221" i="1" s="1" a="1"/>
  <c r="T3221" i="1" s="1"/>
  <c r="S3222" i="1"/>
  <c r="T3222" i="1" s="1" a="1"/>
  <c r="T3222" i="1" s="1"/>
  <c r="S3223" i="1"/>
  <c r="T3223" i="1" s="1" a="1"/>
  <c r="T3223" i="1" s="1"/>
  <c r="S3224" i="1"/>
  <c r="T3224" i="1" s="1" a="1"/>
  <c r="T3224" i="1" s="1"/>
  <c r="S3225" i="1"/>
  <c r="T3225" i="1" s="1" a="1"/>
  <c r="T3225" i="1" s="1"/>
  <c r="S3226" i="1"/>
  <c r="T3226" i="1" s="1" a="1"/>
  <c r="T3226" i="1" s="1"/>
  <c r="S3227" i="1"/>
  <c r="T3227" i="1" s="1" a="1"/>
  <c r="T3227" i="1" s="1"/>
  <c r="S3228" i="1"/>
  <c r="T3228" i="1" s="1" a="1"/>
  <c r="T3228" i="1" s="1"/>
  <c r="S3229" i="1"/>
  <c r="T3229" i="1" s="1" a="1"/>
  <c r="T3229" i="1" s="1"/>
  <c r="S3230" i="1"/>
  <c r="T3230" i="1" s="1" a="1"/>
  <c r="T3230" i="1" s="1"/>
  <c r="S3231" i="1"/>
  <c r="T3231" i="1" s="1" a="1"/>
  <c r="T3231" i="1" s="1"/>
  <c r="S3232" i="1"/>
  <c r="T3232" i="1" s="1" a="1"/>
  <c r="T3232" i="1" s="1"/>
  <c r="S3233" i="1"/>
  <c r="T3233" i="1" s="1" a="1"/>
  <c r="T3233" i="1" s="1"/>
  <c r="S3234" i="1"/>
  <c r="T3234" i="1" s="1" a="1"/>
  <c r="T3234" i="1" s="1"/>
  <c r="S3235" i="1"/>
  <c r="T3235" i="1" s="1" a="1"/>
  <c r="T3235" i="1" s="1"/>
  <c r="S3236" i="1"/>
  <c r="T3236" i="1" s="1" a="1"/>
  <c r="T3236" i="1" s="1"/>
  <c r="S3237" i="1"/>
  <c r="T3237" i="1" s="1" a="1"/>
  <c r="T3237" i="1" s="1"/>
  <c r="S3238" i="1"/>
  <c r="T3238" i="1" s="1" a="1"/>
  <c r="T3238" i="1" s="1"/>
  <c r="S3239" i="1"/>
  <c r="T3239" i="1" s="1" a="1"/>
  <c r="T3239" i="1" s="1"/>
  <c r="S3240" i="1"/>
  <c r="T3240" i="1" s="1" a="1"/>
  <c r="T3240" i="1" s="1"/>
  <c r="S3241" i="1"/>
  <c r="T3241" i="1" s="1" a="1"/>
  <c r="T3241" i="1" s="1"/>
  <c r="S3242" i="1"/>
  <c r="T3242" i="1" s="1" a="1"/>
  <c r="T3242" i="1" s="1"/>
  <c r="S3243" i="1"/>
  <c r="T3243" i="1" s="1" a="1"/>
  <c r="T3243" i="1" s="1"/>
  <c r="S3244" i="1"/>
  <c r="T3244" i="1" s="1" a="1"/>
  <c r="T3244" i="1" s="1"/>
  <c r="S3245" i="1"/>
  <c r="T3245" i="1" s="1" a="1"/>
  <c r="T3245" i="1" s="1"/>
  <c r="S3246" i="1"/>
  <c r="T3246" i="1" s="1" a="1"/>
  <c r="T3246" i="1" s="1"/>
  <c r="S3247" i="1"/>
  <c r="T3247" i="1" s="1" a="1"/>
  <c r="T3247" i="1" s="1"/>
  <c r="S3248" i="1"/>
  <c r="T3248" i="1" s="1" a="1"/>
  <c r="T3248" i="1" s="1"/>
  <c r="S3249" i="1"/>
  <c r="T3249" i="1" s="1" a="1"/>
  <c r="T3249" i="1" s="1"/>
  <c r="S3250" i="1"/>
  <c r="T3250" i="1" s="1" a="1"/>
  <c r="T3250" i="1" s="1"/>
  <c r="S3251" i="1"/>
  <c r="T3251" i="1" s="1" a="1"/>
  <c r="T3251" i="1" s="1"/>
  <c r="S3252" i="1"/>
  <c r="T3252" i="1" s="1" a="1"/>
  <c r="T3252" i="1" s="1"/>
  <c r="S3253" i="1"/>
  <c r="T3253" i="1" s="1" a="1"/>
  <c r="T3253" i="1" s="1"/>
  <c r="S3254" i="1"/>
  <c r="T3254" i="1" s="1" a="1"/>
  <c r="T3254" i="1" s="1"/>
  <c r="S3255" i="1"/>
  <c r="T3255" i="1" s="1" a="1"/>
  <c r="T3255" i="1" s="1"/>
  <c r="S3256" i="1"/>
  <c r="T3256" i="1" s="1" a="1"/>
  <c r="T3256" i="1" s="1"/>
  <c r="S3257" i="1"/>
  <c r="T3257" i="1" s="1" a="1"/>
  <c r="T3257" i="1" s="1"/>
  <c r="S3258" i="1"/>
  <c r="T3258" i="1" s="1" a="1"/>
  <c r="T3258" i="1" s="1"/>
  <c r="S3259" i="1"/>
  <c r="T3259" i="1" s="1" a="1"/>
  <c r="T3259" i="1" s="1"/>
  <c r="S3260" i="1"/>
  <c r="T3260" i="1" s="1" a="1"/>
  <c r="T3260" i="1" s="1"/>
  <c r="S3261" i="1"/>
  <c r="T3261" i="1" s="1" a="1"/>
  <c r="T3261" i="1" s="1"/>
  <c r="S3262" i="1"/>
  <c r="T3262" i="1" s="1" a="1"/>
  <c r="T3262" i="1" s="1"/>
  <c r="S3263" i="1"/>
  <c r="T3263" i="1" s="1" a="1"/>
  <c r="T3263" i="1" s="1"/>
  <c r="S3264" i="1"/>
  <c r="T3264" i="1" s="1" a="1"/>
  <c r="T3264" i="1" s="1"/>
  <c r="S3265" i="1"/>
  <c r="T3265" i="1" s="1" a="1"/>
  <c r="T3265" i="1" s="1"/>
  <c r="S3266" i="1"/>
  <c r="T3266" i="1" s="1" a="1"/>
  <c r="T3266" i="1" s="1"/>
  <c r="S3267" i="1"/>
  <c r="T3267" i="1" s="1" a="1"/>
  <c r="T3267" i="1" s="1"/>
  <c r="S3268" i="1"/>
  <c r="T3268" i="1" s="1" a="1"/>
  <c r="T3268" i="1" s="1"/>
  <c r="S3269" i="1"/>
  <c r="T3269" i="1" s="1" a="1"/>
  <c r="T3269" i="1" s="1"/>
  <c r="S3270" i="1"/>
  <c r="T3270" i="1" s="1" a="1"/>
  <c r="T3270" i="1" s="1"/>
  <c r="S3271" i="1"/>
  <c r="T3271" i="1" s="1" a="1"/>
  <c r="T3271" i="1" s="1"/>
  <c r="S3272" i="1"/>
  <c r="T3272" i="1" s="1" a="1"/>
  <c r="T3272" i="1" s="1"/>
  <c r="S3273" i="1"/>
  <c r="T3273" i="1" s="1" a="1"/>
  <c r="T3273" i="1" s="1"/>
  <c r="S3274" i="1"/>
  <c r="T3274" i="1" s="1" a="1"/>
  <c r="T3274" i="1" s="1"/>
  <c r="S3275" i="1"/>
  <c r="T3275" i="1" s="1" a="1"/>
  <c r="T3275" i="1" s="1"/>
  <c r="S3276" i="1"/>
  <c r="T3276" i="1" s="1" a="1"/>
  <c r="T3276" i="1" s="1"/>
  <c r="S3277" i="1"/>
  <c r="T3277" i="1" s="1" a="1"/>
  <c r="T3277" i="1" s="1"/>
  <c r="S3278" i="1"/>
  <c r="T3278" i="1" s="1" a="1"/>
  <c r="T3278" i="1" s="1"/>
  <c r="S3279" i="1"/>
  <c r="T3279" i="1" s="1" a="1"/>
  <c r="T3279" i="1" s="1"/>
  <c r="S3280" i="1"/>
  <c r="T3280" i="1" s="1" a="1"/>
  <c r="T3280" i="1" s="1"/>
  <c r="S3281" i="1"/>
  <c r="T3281" i="1" s="1" a="1"/>
  <c r="T3281" i="1" s="1"/>
  <c r="S3282" i="1"/>
  <c r="T3282" i="1" s="1" a="1"/>
  <c r="T3282" i="1" s="1"/>
  <c r="S3283" i="1"/>
  <c r="T3283" i="1" s="1" a="1"/>
  <c r="T3283" i="1" s="1"/>
  <c r="S3284" i="1"/>
  <c r="T3284" i="1" s="1" a="1"/>
  <c r="T3284" i="1" s="1"/>
  <c r="S3285" i="1"/>
  <c r="T3285" i="1" s="1" a="1"/>
  <c r="T3285" i="1" s="1"/>
  <c r="S3286" i="1"/>
  <c r="T3286" i="1" s="1" a="1"/>
  <c r="T3286" i="1" s="1"/>
  <c r="S3287" i="1"/>
  <c r="T3287" i="1" s="1" a="1"/>
  <c r="T3287" i="1" s="1"/>
  <c r="S3288" i="1"/>
  <c r="T3288" i="1" s="1" a="1"/>
  <c r="T3288" i="1" s="1"/>
  <c r="S3289" i="1"/>
  <c r="T3289" i="1" s="1" a="1"/>
  <c r="T3289" i="1" s="1"/>
  <c r="S3290" i="1"/>
  <c r="T3290" i="1" s="1" a="1"/>
  <c r="T3290" i="1" s="1"/>
  <c r="S3291" i="1"/>
  <c r="T3291" i="1" s="1" a="1"/>
  <c r="T3291" i="1" s="1"/>
  <c r="S3292" i="1"/>
  <c r="T3292" i="1" s="1" a="1"/>
  <c r="T3292" i="1" s="1"/>
  <c r="S3293" i="1"/>
  <c r="T3293" i="1" s="1" a="1"/>
  <c r="T3293" i="1" s="1"/>
  <c r="S3294" i="1"/>
  <c r="T3294" i="1" s="1" a="1"/>
  <c r="T3294" i="1" s="1"/>
  <c r="S3295" i="1"/>
  <c r="T3295" i="1" s="1" a="1"/>
  <c r="T3295" i="1" s="1"/>
  <c r="S3296" i="1"/>
  <c r="T3296" i="1" s="1" a="1"/>
  <c r="T3296" i="1" s="1"/>
  <c r="S3297" i="1"/>
  <c r="T3297" i="1" s="1" a="1"/>
  <c r="T3297" i="1" s="1"/>
  <c r="S3298" i="1"/>
  <c r="T3298" i="1" s="1" a="1"/>
  <c r="T3298" i="1" s="1"/>
  <c r="S3299" i="1"/>
  <c r="T3299" i="1" s="1" a="1"/>
  <c r="T3299" i="1" s="1"/>
  <c r="S3300" i="1"/>
  <c r="T3300" i="1" s="1" a="1"/>
  <c r="T3300" i="1" s="1"/>
  <c r="S3301" i="1"/>
  <c r="T3301" i="1" s="1" a="1"/>
  <c r="T3301" i="1" s="1"/>
  <c r="S3302" i="1"/>
  <c r="T3302" i="1" s="1" a="1"/>
  <c r="T3302" i="1" s="1"/>
  <c r="S3303" i="1"/>
  <c r="T3303" i="1" s="1" a="1"/>
  <c r="T3303" i="1" s="1"/>
  <c r="S3304" i="1"/>
  <c r="T3304" i="1" s="1" a="1"/>
  <c r="T3304" i="1" s="1"/>
  <c r="S3305" i="1"/>
  <c r="T3305" i="1" s="1" a="1"/>
  <c r="T3305" i="1" s="1"/>
  <c r="S3306" i="1"/>
  <c r="T3306" i="1" s="1" a="1"/>
  <c r="T3306" i="1" s="1"/>
  <c r="S3307" i="1"/>
  <c r="T3307" i="1" s="1" a="1"/>
  <c r="T3307" i="1" s="1"/>
  <c r="S3308" i="1"/>
  <c r="T3308" i="1" s="1" a="1"/>
  <c r="T3308" i="1" s="1"/>
  <c r="S3309" i="1"/>
  <c r="T3309" i="1" s="1" a="1"/>
  <c r="T3309" i="1" s="1"/>
  <c r="S3310" i="1"/>
  <c r="T3310" i="1" s="1" a="1"/>
  <c r="T3310" i="1" s="1"/>
  <c r="S3311" i="1"/>
  <c r="T3311" i="1" s="1" a="1"/>
  <c r="T3311" i="1" s="1"/>
  <c r="S3312" i="1"/>
  <c r="T3312" i="1" s="1" a="1"/>
  <c r="T3312" i="1" s="1"/>
  <c r="S3313" i="1"/>
  <c r="T3313" i="1" s="1" a="1"/>
  <c r="T3313" i="1" s="1"/>
  <c r="S3314" i="1"/>
  <c r="T3314" i="1" s="1" a="1"/>
  <c r="T3314" i="1" s="1"/>
  <c r="S3315" i="1"/>
  <c r="T3315" i="1" s="1" a="1"/>
  <c r="T3315" i="1" s="1"/>
  <c r="S3316" i="1"/>
  <c r="T3316" i="1" s="1" a="1"/>
  <c r="T3316" i="1" s="1"/>
  <c r="S3317" i="1"/>
  <c r="T3317" i="1" s="1" a="1"/>
  <c r="T3317" i="1" s="1"/>
  <c r="S3318" i="1"/>
  <c r="T3318" i="1" s="1" a="1"/>
  <c r="T3318" i="1" s="1"/>
  <c r="S3319" i="1"/>
  <c r="T3319" i="1" s="1" a="1"/>
  <c r="T3319" i="1" s="1"/>
  <c r="S3320" i="1"/>
  <c r="T3320" i="1" s="1" a="1"/>
  <c r="T3320" i="1" s="1"/>
  <c r="S3321" i="1"/>
  <c r="T3321" i="1" s="1" a="1"/>
  <c r="T3321" i="1" s="1"/>
  <c r="S3322" i="1"/>
  <c r="T3322" i="1" s="1" a="1"/>
  <c r="T3322" i="1" s="1"/>
  <c r="S3323" i="1"/>
  <c r="T3323" i="1" s="1" a="1"/>
  <c r="T3323" i="1" s="1"/>
  <c r="S3324" i="1"/>
  <c r="T3324" i="1" s="1" a="1"/>
  <c r="T3324" i="1" s="1"/>
  <c r="S3325" i="1"/>
  <c r="T3325" i="1" s="1" a="1"/>
  <c r="T3325" i="1" s="1"/>
  <c r="S3326" i="1"/>
  <c r="T3326" i="1" s="1" a="1"/>
  <c r="T3326" i="1" s="1"/>
  <c r="S3327" i="1"/>
  <c r="T3327" i="1" s="1" a="1"/>
  <c r="T3327" i="1" s="1"/>
  <c r="S3328" i="1"/>
  <c r="T3328" i="1" s="1" a="1"/>
  <c r="T3328" i="1" s="1"/>
  <c r="S3329" i="1"/>
  <c r="T3329" i="1" s="1" a="1"/>
  <c r="T3329" i="1" s="1"/>
  <c r="S3330" i="1"/>
  <c r="T3330" i="1" s="1" a="1"/>
  <c r="T3330" i="1" s="1"/>
  <c r="S3331" i="1"/>
  <c r="T3331" i="1" s="1" a="1"/>
  <c r="T3331" i="1" s="1"/>
  <c r="S3332" i="1"/>
  <c r="T3332" i="1" s="1" a="1"/>
  <c r="T3332" i="1" s="1"/>
  <c r="S3333" i="1"/>
  <c r="T3333" i="1" s="1" a="1"/>
  <c r="T3333" i="1" s="1"/>
  <c r="S3334" i="1"/>
  <c r="T3334" i="1" s="1" a="1"/>
  <c r="T3334" i="1" s="1"/>
  <c r="S3335" i="1"/>
  <c r="T3335" i="1" s="1" a="1"/>
  <c r="T3335" i="1" s="1"/>
  <c r="S3336" i="1"/>
  <c r="T3336" i="1" s="1" a="1"/>
  <c r="T3336" i="1" s="1"/>
  <c r="S3337" i="1"/>
  <c r="T3337" i="1" s="1" a="1"/>
  <c r="T3337" i="1" s="1"/>
  <c r="S3338" i="1"/>
  <c r="T3338" i="1" s="1" a="1"/>
  <c r="T3338" i="1" s="1"/>
  <c r="S3339" i="1"/>
  <c r="T3339" i="1" s="1" a="1"/>
  <c r="T3339" i="1" s="1"/>
  <c r="S3340" i="1"/>
  <c r="T3340" i="1" s="1" a="1"/>
  <c r="T3340" i="1" s="1"/>
  <c r="S3341" i="1"/>
  <c r="T3341" i="1" s="1" a="1"/>
  <c r="T3341" i="1" s="1"/>
  <c r="S3342" i="1"/>
  <c r="T3342" i="1" s="1" a="1"/>
  <c r="T3342" i="1" s="1"/>
  <c r="S3343" i="1"/>
  <c r="T3343" i="1" s="1" a="1"/>
  <c r="T3343" i="1" s="1"/>
  <c r="S3344" i="1"/>
  <c r="T3344" i="1" s="1" a="1"/>
  <c r="T3344" i="1" s="1"/>
  <c r="S3345" i="1"/>
  <c r="T3345" i="1" s="1" a="1"/>
  <c r="T3345" i="1" s="1"/>
  <c r="S3346" i="1"/>
  <c r="T3346" i="1" s="1" a="1"/>
  <c r="T3346" i="1" s="1"/>
  <c r="S3347" i="1"/>
  <c r="T3347" i="1" s="1" a="1"/>
  <c r="T3347" i="1" s="1"/>
  <c r="S3348" i="1"/>
  <c r="T3348" i="1" s="1" a="1"/>
  <c r="T3348" i="1" s="1"/>
  <c r="S3349" i="1"/>
  <c r="T3349" i="1" s="1" a="1"/>
  <c r="T3349" i="1" s="1"/>
  <c r="S3350" i="1"/>
  <c r="T3350" i="1" s="1" a="1"/>
  <c r="T3350" i="1" s="1"/>
  <c r="S3351" i="1"/>
  <c r="T3351" i="1" s="1" a="1"/>
  <c r="T3351" i="1" s="1"/>
  <c r="S3352" i="1"/>
  <c r="T3352" i="1" s="1" a="1"/>
  <c r="T3352" i="1" s="1"/>
  <c r="S3353" i="1"/>
  <c r="T3353" i="1" s="1" a="1"/>
  <c r="T3353" i="1" s="1"/>
  <c r="S3354" i="1"/>
  <c r="T3354" i="1" s="1" a="1"/>
  <c r="T3354" i="1" s="1"/>
  <c r="S3355" i="1"/>
  <c r="T3355" i="1" s="1" a="1"/>
  <c r="T3355" i="1" s="1"/>
  <c r="S3356" i="1"/>
  <c r="T3356" i="1" s="1" a="1"/>
  <c r="T3356" i="1" s="1"/>
  <c r="S3357" i="1"/>
  <c r="T3357" i="1" s="1" a="1"/>
  <c r="T3357" i="1" s="1"/>
  <c r="S3358" i="1"/>
  <c r="T3358" i="1" s="1" a="1"/>
  <c r="T3358" i="1" s="1"/>
  <c r="S3359" i="1"/>
  <c r="T3359" i="1" s="1" a="1"/>
  <c r="T3359" i="1" s="1"/>
  <c r="S3360" i="1"/>
  <c r="T3360" i="1" s="1" a="1"/>
  <c r="T3360" i="1" s="1"/>
  <c r="S3361" i="1"/>
  <c r="T3361" i="1" s="1" a="1"/>
  <c r="T3361" i="1" s="1"/>
  <c r="S3362" i="1"/>
  <c r="T3362" i="1" s="1" a="1"/>
  <c r="T3362" i="1" s="1"/>
  <c r="S3363" i="1"/>
  <c r="T3363" i="1" s="1" a="1"/>
  <c r="T3363" i="1" s="1"/>
  <c r="S3364" i="1"/>
  <c r="T3364" i="1" s="1" a="1"/>
  <c r="T3364" i="1" s="1"/>
  <c r="S3365" i="1"/>
  <c r="T3365" i="1" s="1" a="1"/>
  <c r="T3365" i="1" s="1"/>
  <c r="S3366" i="1"/>
  <c r="T3366" i="1" s="1" a="1"/>
  <c r="T3366" i="1" s="1"/>
  <c r="S3367" i="1"/>
  <c r="T3367" i="1" s="1" a="1"/>
  <c r="T3367" i="1" s="1"/>
  <c r="S3368" i="1"/>
  <c r="T3368" i="1" s="1" a="1"/>
  <c r="T3368" i="1" s="1"/>
  <c r="S3369" i="1"/>
  <c r="T3369" i="1" s="1" a="1"/>
  <c r="T3369" i="1" s="1"/>
  <c r="S3370" i="1"/>
  <c r="T3370" i="1" s="1" a="1"/>
  <c r="T3370" i="1" s="1"/>
  <c r="S3371" i="1"/>
  <c r="T3371" i="1" s="1" a="1"/>
  <c r="T3371" i="1" s="1"/>
  <c r="S3372" i="1"/>
  <c r="T3372" i="1" s="1" a="1"/>
  <c r="T3372" i="1" s="1"/>
  <c r="S3373" i="1"/>
  <c r="T3373" i="1" s="1" a="1"/>
  <c r="T3373" i="1" s="1"/>
  <c r="S3374" i="1"/>
  <c r="T3374" i="1" s="1" a="1"/>
  <c r="T3374" i="1" s="1"/>
  <c r="S3375" i="1"/>
  <c r="T3375" i="1" s="1" a="1"/>
  <c r="T3375" i="1" s="1"/>
  <c r="S3376" i="1"/>
  <c r="T3376" i="1" s="1" a="1"/>
  <c r="T3376" i="1" s="1"/>
  <c r="S3377" i="1"/>
  <c r="T3377" i="1" s="1" a="1"/>
  <c r="T3377" i="1" s="1"/>
  <c r="S3378" i="1"/>
  <c r="T3378" i="1" s="1" a="1"/>
  <c r="T3378" i="1" s="1"/>
  <c r="S3379" i="1"/>
  <c r="T3379" i="1" s="1" a="1"/>
  <c r="T3379" i="1" s="1"/>
  <c r="S3380" i="1"/>
  <c r="T3380" i="1" s="1" a="1"/>
  <c r="T3380" i="1" s="1"/>
  <c r="S3381" i="1"/>
  <c r="T3381" i="1" s="1" a="1"/>
  <c r="T3381" i="1" s="1"/>
  <c r="S3382" i="1"/>
  <c r="T3382" i="1" s="1" a="1"/>
  <c r="T3382" i="1" s="1"/>
  <c r="S3383" i="1"/>
  <c r="T3383" i="1" s="1" a="1"/>
  <c r="T3383" i="1" s="1"/>
  <c r="S3384" i="1"/>
  <c r="T3384" i="1" s="1" a="1"/>
  <c r="T3384" i="1" s="1"/>
  <c r="S3385" i="1"/>
  <c r="T3385" i="1" s="1" a="1"/>
  <c r="T3385" i="1" s="1"/>
  <c r="S3386" i="1"/>
  <c r="T3386" i="1" s="1" a="1"/>
  <c r="T3386" i="1" s="1"/>
  <c r="S3387" i="1"/>
  <c r="T3387" i="1" s="1" a="1"/>
  <c r="T3387" i="1" s="1"/>
  <c r="S3388" i="1"/>
  <c r="T3388" i="1" s="1" a="1"/>
  <c r="T3388" i="1" s="1"/>
  <c r="S3389" i="1"/>
  <c r="T3389" i="1" s="1" a="1"/>
  <c r="T3389" i="1" s="1"/>
  <c r="S3390" i="1"/>
  <c r="T3390" i="1" s="1" a="1"/>
  <c r="T3390" i="1" s="1"/>
  <c r="S3391" i="1"/>
  <c r="T3391" i="1" s="1" a="1"/>
  <c r="T3391" i="1" s="1"/>
  <c r="S3392" i="1"/>
  <c r="T3392" i="1" s="1" a="1"/>
  <c r="T3392" i="1" s="1"/>
  <c r="S3393" i="1"/>
  <c r="T3393" i="1" s="1" a="1"/>
  <c r="T3393" i="1" s="1"/>
  <c r="S3394" i="1"/>
  <c r="T3394" i="1" s="1" a="1"/>
  <c r="T3394" i="1" s="1"/>
  <c r="S3395" i="1"/>
  <c r="T3395" i="1" s="1" a="1"/>
  <c r="T3395" i="1" s="1"/>
  <c r="S3396" i="1"/>
  <c r="T3396" i="1" s="1" a="1"/>
  <c r="T3396" i="1" s="1"/>
  <c r="S3397" i="1"/>
  <c r="T3397" i="1" s="1" a="1"/>
  <c r="T3397" i="1" s="1"/>
  <c r="S3398" i="1"/>
  <c r="T3398" i="1" s="1" a="1"/>
  <c r="T3398" i="1" s="1"/>
  <c r="S3399" i="1"/>
  <c r="T3399" i="1" s="1" a="1"/>
  <c r="T3399" i="1" s="1"/>
  <c r="S3400" i="1"/>
  <c r="T3400" i="1" s="1" a="1"/>
  <c r="T3400" i="1" s="1"/>
  <c r="S3401" i="1"/>
  <c r="T3401" i="1" s="1" a="1"/>
  <c r="T3401" i="1" s="1"/>
  <c r="S3402" i="1"/>
  <c r="T3402" i="1" s="1" a="1"/>
  <c r="T3402" i="1" s="1"/>
  <c r="S3403" i="1"/>
  <c r="T3403" i="1" s="1" a="1"/>
  <c r="T3403" i="1" s="1"/>
  <c r="S3404" i="1"/>
  <c r="T3404" i="1" s="1" a="1"/>
  <c r="T3404" i="1" s="1"/>
  <c r="S3405" i="1"/>
  <c r="T3405" i="1" s="1" a="1"/>
  <c r="T3405" i="1" s="1"/>
  <c r="S3406" i="1"/>
  <c r="T3406" i="1" s="1" a="1"/>
  <c r="T3406" i="1" s="1"/>
  <c r="S3407" i="1"/>
  <c r="T3407" i="1" s="1" a="1"/>
  <c r="T3407" i="1" s="1"/>
  <c r="S3408" i="1"/>
  <c r="T3408" i="1" s="1" a="1"/>
  <c r="T3408" i="1" s="1"/>
  <c r="S3409" i="1"/>
  <c r="T3409" i="1" s="1" a="1"/>
  <c r="T3409" i="1" s="1"/>
  <c r="S3410" i="1"/>
  <c r="T3410" i="1" s="1" a="1"/>
  <c r="T3410" i="1" s="1"/>
  <c r="S3411" i="1"/>
  <c r="T3411" i="1" s="1" a="1"/>
  <c r="T3411" i="1" s="1"/>
  <c r="S3412" i="1"/>
  <c r="T3412" i="1" s="1" a="1"/>
  <c r="T3412" i="1" s="1"/>
  <c r="S3413" i="1"/>
  <c r="T3413" i="1" s="1" a="1"/>
  <c r="T3413" i="1" s="1"/>
  <c r="S3414" i="1"/>
  <c r="T3414" i="1" s="1" a="1"/>
  <c r="T3414" i="1" s="1"/>
  <c r="S3415" i="1"/>
  <c r="T3415" i="1" s="1" a="1"/>
  <c r="T3415" i="1" s="1"/>
  <c r="S3416" i="1"/>
  <c r="T3416" i="1" s="1" a="1"/>
  <c r="T3416" i="1" s="1"/>
  <c r="S3417" i="1"/>
  <c r="T3417" i="1" s="1" a="1"/>
  <c r="T3417" i="1" s="1"/>
  <c r="S3418" i="1"/>
  <c r="T3418" i="1" s="1" a="1"/>
  <c r="T3418" i="1" s="1"/>
  <c r="S3419" i="1"/>
  <c r="T3419" i="1" s="1" a="1"/>
  <c r="T3419" i="1" s="1"/>
  <c r="S3420" i="1"/>
  <c r="T3420" i="1" s="1" a="1"/>
  <c r="T3420" i="1" s="1"/>
  <c r="S3421" i="1"/>
  <c r="T3421" i="1" s="1" a="1"/>
  <c r="T3421" i="1" s="1"/>
  <c r="S3422" i="1"/>
  <c r="T3422" i="1" s="1" a="1"/>
  <c r="T3422" i="1" s="1"/>
  <c r="S3423" i="1"/>
  <c r="T3423" i="1" s="1" a="1"/>
  <c r="T3423" i="1" s="1"/>
  <c r="S3424" i="1"/>
  <c r="T3424" i="1" s="1" a="1"/>
  <c r="T3424" i="1" s="1"/>
  <c r="S3425" i="1"/>
  <c r="T3425" i="1" s="1" a="1"/>
  <c r="T3425" i="1" s="1"/>
  <c r="S3426" i="1"/>
  <c r="T3426" i="1" s="1" a="1"/>
  <c r="T3426" i="1" s="1"/>
  <c r="S3427" i="1"/>
  <c r="T3427" i="1" s="1" a="1"/>
  <c r="T3427" i="1" s="1"/>
  <c r="S3428" i="1"/>
  <c r="T3428" i="1" s="1" a="1"/>
  <c r="T3428" i="1" s="1"/>
  <c r="S3429" i="1"/>
  <c r="T3429" i="1" s="1" a="1"/>
  <c r="T3429" i="1" s="1"/>
  <c r="S3430" i="1"/>
  <c r="T3430" i="1" s="1" a="1"/>
  <c r="T3430" i="1" s="1"/>
  <c r="S3431" i="1"/>
  <c r="T3431" i="1" s="1" a="1"/>
  <c r="T3431" i="1" s="1"/>
  <c r="S3432" i="1"/>
  <c r="T3432" i="1" s="1" a="1"/>
  <c r="T3432" i="1" s="1"/>
  <c r="S3433" i="1"/>
  <c r="T3433" i="1" s="1" a="1"/>
  <c r="T3433" i="1" s="1"/>
  <c r="S3434" i="1"/>
  <c r="T3434" i="1" s="1" a="1"/>
  <c r="T3434" i="1" s="1"/>
  <c r="S3435" i="1"/>
  <c r="T3435" i="1" s="1" a="1"/>
  <c r="T3435" i="1" s="1"/>
  <c r="S3436" i="1"/>
  <c r="T3436" i="1" s="1" a="1"/>
  <c r="T3436" i="1" s="1"/>
  <c r="S3437" i="1"/>
  <c r="T3437" i="1" s="1" a="1"/>
  <c r="T3437" i="1" s="1"/>
  <c r="S3438" i="1"/>
  <c r="T3438" i="1" s="1" a="1"/>
  <c r="T3438" i="1" s="1"/>
  <c r="S3439" i="1"/>
  <c r="T3439" i="1" s="1" a="1"/>
  <c r="T3439" i="1" s="1"/>
  <c r="S3440" i="1"/>
  <c r="T3440" i="1" s="1" a="1"/>
  <c r="T3440" i="1" s="1"/>
  <c r="S3441" i="1"/>
  <c r="T3441" i="1" s="1" a="1"/>
  <c r="T3441" i="1" s="1"/>
  <c r="S3442" i="1"/>
  <c r="T3442" i="1" s="1" a="1"/>
  <c r="T3442" i="1" s="1"/>
  <c r="S3443" i="1"/>
  <c r="T3443" i="1" s="1" a="1"/>
  <c r="T3443" i="1" s="1"/>
  <c r="S3444" i="1"/>
  <c r="T3444" i="1" s="1" a="1"/>
  <c r="T3444" i="1" s="1"/>
  <c r="S3445" i="1"/>
  <c r="T3445" i="1" s="1" a="1"/>
  <c r="T3445" i="1" s="1"/>
  <c r="S3446" i="1"/>
  <c r="T3446" i="1" s="1" a="1"/>
  <c r="T3446" i="1" s="1"/>
  <c r="S3447" i="1"/>
  <c r="T3447" i="1" s="1" a="1"/>
  <c r="T3447" i="1" s="1"/>
  <c r="S3448" i="1"/>
  <c r="T3448" i="1" s="1" a="1"/>
  <c r="T3448" i="1" s="1"/>
  <c r="S3449" i="1"/>
  <c r="T3449" i="1" s="1" a="1"/>
  <c r="T3449" i="1" s="1"/>
  <c r="S3450" i="1"/>
  <c r="T3450" i="1" s="1" a="1"/>
  <c r="T3450" i="1" s="1"/>
  <c r="S3451" i="1"/>
  <c r="T3451" i="1" s="1" a="1"/>
  <c r="T3451" i="1" s="1"/>
  <c r="S3452" i="1"/>
  <c r="T3452" i="1" s="1" a="1"/>
  <c r="T3452" i="1" s="1"/>
  <c r="S3453" i="1"/>
  <c r="T3453" i="1" s="1" a="1"/>
  <c r="T3453" i="1" s="1"/>
  <c r="S3454" i="1"/>
  <c r="T3454" i="1" s="1" a="1"/>
  <c r="T3454" i="1" s="1"/>
  <c r="S3455" i="1"/>
  <c r="T3455" i="1" s="1" a="1"/>
  <c r="T3455" i="1" s="1"/>
  <c r="S3456" i="1"/>
  <c r="T3456" i="1" s="1" a="1"/>
  <c r="T3456" i="1" s="1"/>
  <c r="S3457" i="1"/>
  <c r="T3457" i="1" s="1" a="1"/>
  <c r="T3457" i="1" s="1"/>
  <c r="S3458" i="1"/>
  <c r="T3458" i="1" s="1" a="1"/>
  <c r="T3458" i="1" s="1"/>
  <c r="S3459" i="1"/>
  <c r="T3459" i="1" s="1" a="1"/>
  <c r="T3459" i="1" s="1"/>
  <c r="S3460" i="1"/>
  <c r="T3460" i="1" s="1" a="1"/>
  <c r="T3460" i="1" s="1"/>
  <c r="S3461" i="1"/>
  <c r="T3461" i="1" s="1" a="1"/>
  <c r="T3461" i="1" s="1"/>
  <c r="S3462" i="1"/>
  <c r="T3462" i="1" s="1" a="1"/>
  <c r="T3462" i="1" s="1"/>
  <c r="S3463" i="1"/>
  <c r="T3463" i="1" s="1" a="1"/>
  <c r="T3463" i="1" s="1"/>
  <c r="S3464" i="1"/>
  <c r="T3464" i="1" s="1" a="1"/>
  <c r="T3464" i="1" s="1"/>
  <c r="S3465" i="1"/>
  <c r="T3465" i="1" s="1" a="1"/>
  <c r="T3465" i="1" s="1"/>
  <c r="S3466" i="1"/>
  <c r="T3466" i="1" s="1" a="1"/>
  <c r="T3466" i="1" s="1"/>
  <c r="S3467" i="1"/>
  <c r="T3467" i="1" s="1" a="1"/>
  <c r="T3467" i="1" s="1"/>
  <c r="S3468" i="1"/>
  <c r="T3468" i="1" s="1" a="1"/>
  <c r="T3468" i="1" s="1"/>
  <c r="S3469" i="1"/>
  <c r="T3469" i="1" s="1" a="1"/>
  <c r="T3469" i="1" s="1"/>
  <c r="S3470" i="1"/>
  <c r="T3470" i="1" s="1" a="1"/>
  <c r="T3470" i="1" s="1"/>
  <c r="S3471" i="1"/>
  <c r="T3471" i="1" s="1" a="1"/>
  <c r="T3471" i="1" s="1"/>
  <c r="S3472" i="1"/>
  <c r="T3472" i="1" s="1" a="1"/>
  <c r="T3472" i="1" s="1"/>
  <c r="S3473" i="1"/>
  <c r="T3473" i="1" s="1" a="1"/>
  <c r="T3473" i="1" s="1"/>
  <c r="S3474" i="1"/>
  <c r="T3474" i="1" s="1" a="1"/>
  <c r="T3474" i="1" s="1"/>
  <c r="S3475" i="1"/>
  <c r="T3475" i="1" s="1" a="1"/>
  <c r="T3475" i="1" s="1"/>
  <c r="S3476" i="1"/>
  <c r="T3476" i="1" s="1" a="1"/>
  <c r="T3476" i="1" s="1"/>
  <c r="S3477" i="1"/>
  <c r="T3477" i="1" s="1" a="1"/>
  <c r="T3477" i="1" s="1"/>
  <c r="S3478" i="1"/>
  <c r="T3478" i="1" s="1" a="1"/>
  <c r="T3478" i="1" s="1"/>
  <c r="S3479" i="1"/>
  <c r="T3479" i="1" s="1" a="1"/>
  <c r="T3479" i="1" s="1"/>
  <c r="S3480" i="1"/>
  <c r="T3480" i="1" s="1" a="1"/>
  <c r="T3480" i="1" s="1"/>
  <c r="S3481" i="1"/>
  <c r="T3481" i="1" s="1" a="1"/>
  <c r="T3481" i="1" s="1"/>
  <c r="S3482" i="1"/>
  <c r="T3482" i="1" s="1" a="1"/>
  <c r="T3482" i="1" s="1"/>
  <c r="S3483" i="1"/>
  <c r="T3483" i="1" s="1" a="1"/>
  <c r="T3483" i="1" s="1"/>
  <c r="S3484" i="1"/>
  <c r="T3484" i="1" s="1" a="1"/>
  <c r="T3484" i="1" s="1"/>
  <c r="S3485" i="1"/>
  <c r="T3485" i="1" s="1" a="1"/>
  <c r="T3485" i="1" s="1"/>
  <c r="S3486" i="1"/>
  <c r="T3486" i="1" s="1" a="1"/>
  <c r="T3486" i="1" s="1"/>
  <c r="S3487" i="1"/>
  <c r="T3487" i="1" s="1" a="1"/>
  <c r="T3487" i="1" s="1"/>
  <c r="S3488" i="1"/>
  <c r="T3488" i="1" s="1" a="1"/>
  <c r="T3488" i="1" s="1"/>
  <c r="S3489" i="1"/>
  <c r="T3489" i="1" s="1" a="1"/>
  <c r="T3489" i="1" s="1"/>
  <c r="S3490" i="1"/>
  <c r="T3490" i="1" s="1" a="1"/>
  <c r="T3490" i="1" s="1"/>
  <c r="S3491" i="1"/>
  <c r="T3491" i="1" s="1" a="1"/>
  <c r="T3491" i="1" s="1"/>
  <c r="S3492" i="1"/>
  <c r="T3492" i="1" s="1" a="1"/>
  <c r="T3492" i="1" s="1"/>
  <c r="S3493" i="1"/>
  <c r="T3493" i="1" s="1" a="1"/>
  <c r="T3493" i="1" s="1"/>
  <c r="S3494" i="1"/>
  <c r="T3494" i="1" s="1" a="1"/>
  <c r="T3494" i="1" s="1"/>
  <c r="S3495" i="1"/>
  <c r="T3495" i="1" s="1" a="1"/>
  <c r="T3495" i="1" s="1"/>
  <c r="S3496" i="1"/>
  <c r="T3496" i="1" s="1" a="1"/>
  <c r="T3496" i="1" s="1"/>
  <c r="S3497" i="1"/>
  <c r="T3497" i="1" s="1" a="1"/>
  <c r="T3497" i="1" s="1"/>
  <c r="S3498" i="1"/>
  <c r="T3498" i="1" s="1" a="1"/>
  <c r="T3498" i="1" s="1"/>
  <c r="S3499" i="1"/>
  <c r="T3499" i="1" s="1" a="1"/>
  <c r="T3499" i="1" s="1"/>
  <c r="S3500" i="1"/>
  <c r="T3500" i="1" s="1" a="1"/>
  <c r="T3500" i="1" s="1"/>
  <c r="S3501" i="1"/>
  <c r="T3501" i="1" s="1" a="1"/>
  <c r="T3501" i="1" s="1"/>
  <c r="S3502" i="1"/>
  <c r="T3502" i="1" s="1" a="1"/>
  <c r="T3502" i="1" s="1"/>
  <c r="S3503" i="1"/>
  <c r="T3503" i="1" s="1" a="1"/>
  <c r="T3503" i="1" s="1"/>
  <c r="S3504" i="1"/>
  <c r="T3504" i="1" s="1" a="1"/>
  <c r="T3504" i="1" s="1"/>
  <c r="S3505" i="1"/>
  <c r="T3505" i="1" s="1" a="1"/>
  <c r="T3505" i="1" s="1"/>
  <c r="S3506" i="1"/>
  <c r="T3506" i="1" s="1" a="1"/>
  <c r="T3506" i="1" s="1"/>
  <c r="S3507" i="1"/>
  <c r="T3507" i="1" s="1" a="1"/>
  <c r="T3507" i="1" s="1"/>
  <c r="S3508" i="1"/>
  <c r="T3508" i="1" s="1" a="1"/>
  <c r="T3508" i="1" s="1"/>
  <c r="S3509" i="1"/>
  <c r="T3509" i="1" s="1" a="1"/>
  <c r="T3509" i="1" s="1"/>
  <c r="S3510" i="1"/>
  <c r="T3510" i="1" s="1" a="1"/>
  <c r="T3510" i="1" s="1"/>
  <c r="S3511" i="1"/>
  <c r="T3511" i="1" s="1" a="1"/>
  <c r="T3511" i="1" s="1"/>
  <c r="S3512" i="1"/>
  <c r="T3512" i="1" s="1" a="1"/>
  <c r="T3512" i="1" s="1"/>
  <c r="S3513" i="1"/>
  <c r="T3513" i="1" s="1" a="1"/>
  <c r="T3513" i="1" s="1"/>
  <c r="S3514" i="1"/>
  <c r="T3514" i="1" s="1" a="1"/>
  <c r="T3514" i="1" s="1"/>
  <c r="S3515" i="1"/>
  <c r="T3515" i="1" s="1" a="1"/>
  <c r="T3515" i="1" s="1"/>
  <c r="S3516" i="1"/>
  <c r="T3516" i="1" s="1" a="1"/>
  <c r="T3516" i="1" s="1"/>
  <c r="S3517" i="1"/>
  <c r="T3517" i="1" s="1" a="1"/>
  <c r="T3517" i="1" s="1"/>
  <c r="S3518" i="1"/>
  <c r="T3518" i="1" s="1" a="1"/>
  <c r="T3518" i="1" s="1"/>
  <c r="S3519" i="1"/>
  <c r="T3519" i="1" s="1" a="1"/>
  <c r="T3519" i="1" s="1"/>
  <c r="S3520" i="1"/>
  <c r="T3520" i="1" s="1" a="1"/>
  <c r="T3520" i="1" s="1"/>
  <c r="S3521" i="1"/>
  <c r="T3521" i="1" s="1" a="1"/>
  <c r="T3521" i="1" s="1"/>
  <c r="S3522" i="1"/>
  <c r="T3522" i="1" s="1" a="1"/>
  <c r="T3522" i="1" s="1"/>
  <c r="S3523" i="1"/>
  <c r="T3523" i="1" s="1" a="1"/>
  <c r="T3523" i="1" s="1"/>
  <c r="S3524" i="1"/>
  <c r="T3524" i="1" s="1" a="1"/>
  <c r="T3524" i="1" s="1"/>
  <c r="S3525" i="1"/>
  <c r="T3525" i="1" s="1" a="1"/>
  <c r="T3525" i="1" s="1"/>
  <c r="S3526" i="1"/>
  <c r="T3526" i="1" s="1" a="1"/>
  <c r="T3526" i="1" s="1"/>
  <c r="S3527" i="1"/>
  <c r="T3527" i="1" s="1" a="1"/>
  <c r="T3527" i="1" s="1"/>
  <c r="S3528" i="1"/>
  <c r="T3528" i="1" s="1" a="1"/>
  <c r="T3528" i="1" s="1"/>
  <c r="S3529" i="1"/>
  <c r="T3529" i="1" s="1" a="1"/>
  <c r="T3529" i="1" s="1"/>
  <c r="S3530" i="1"/>
  <c r="T3530" i="1" s="1" a="1"/>
  <c r="T3530" i="1" s="1"/>
  <c r="S3531" i="1"/>
  <c r="T3531" i="1" s="1" a="1"/>
  <c r="T3531" i="1" s="1"/>
  <c r="S3532" i="1"/>
  <c r="T3532" i="1" s="1" a="1"/>
  <c r="T3532" i="1" s="1"/>
  <c r="S3533" i="1"/>
  <c r="T3533" i="1" s="1" a="1"/>
  <c r="T3533" i="1" s="1"/>
  <c r="S3534" i="1"/>
  <c r="T3534" i="1" s="1" a="1"/>
  <c r="T3534" i="1" s="1"/>
  <c r="S3535" i="1"/>
  <c r="T3535" i="1" s="1" a="1"/>
  <c r="T3535" i="1" s="1"/>
  <c r="S3536" i="1"/>
  <c r="T3536" i="1" s="1" a="1"/>
  <c r="T3536" i="1" s="1"/>
  <c r="S3537" i="1"/>
  <c r="T3537" i="1" s="1" a="1"/>
  <c r="T3537" i="1" s="1"/>
  <c r="S3538" i="1"/>
  <c r="T3538" i="1" s="1" a="1"/>
  <c r="T3538" i="1" s="1"/>
  <c r="S3539" i="1"/>
  <c r="T3539" i="1" s="1" a="1"/>
  <c r="T3539" i="1" s="1"/>
  <c r="S3540" i="1"/>
  <c r="T3540" i="1" s="1" a="1"/>
  <c r="T3540" i="1" s="1"/>
  <c r="S3541" i="1"/>
  <c r="T3541" i="1" s="1" a="1"/>
  <c r="T3541" i="1" s="1"/>
  <c r="S3542" i="1"/>
  <c r="T3542" i="1" s="1" a="1"/>
  <c r="T3542" i="1" s="1"/>
  <c r="S3543" i="1"/>
  <c r="T3543" i="1" s="1" a="1"/>
  <c r="T3543" i="1" s="1"/>
  <c r="S3544" i="1"/>
  <c r="T3544" i="1" s="1" a="1"/>
  <c r="T3544" i="1" s="1"/>
  <c r="S3545" i="1"/>
  <c r="T3545" i="1" s="1" a="1"/>
  <c r="T3545" i="1" s="1"/>
  <c r="S3546" i="1"/>
  <c r="T3546" i="1" s="1" a="1"/>
  <c r="T3546" i="1" s="1"/>
  <c r="S3547" i="1"/>
  <c r="T3547" i="1" s="1" a="1"/>
  <c r="T3547" i="1" s="1"/>
  <c r="S3548" i="1"/>
  <c r="T3548" i="1" s="1" a="1"/>
  <c r="T3548" i="1" s="1"/>
  <c r="S3549" i="1"/>
  <c r="T3549" i="1" s="1" a="1"/>
  <c r="T3549" i="1" s="1"/>
  <c r="S3550" i="1"/>
  <c r="T3550" i="1" s="1" a="1"/>
  <c r="T3550" i="1" s="1"/>
  <c r="S3551" i="1"/>
  <c r="T3551" i="1" s="1" a="1"/>
  <c r="T3551" i="1" s="1"/>
  <c r="S3552" i="1"/>
  <c r="T3552" i="1" s="1" a="1"/>
  <c r="T3552" i="1" s="1"/>
  <c r="S3553" i="1"/>
  <c r="T3553" i="1" s="1" a="1"/>
  <c r="T3553" i="1" s="1"/>
  <c r="S3554" i="1"/>
  <c r="T3554" i="1" s="1" a="1"/>
  <c r="T3554" i="1" s="1"/>
  <c r="S3555" i="1"/>
  <c r="T3555" i="1" s="1" a="1"/>
  <c r="T3555" i="1" s="1"/>
  <c r="S3556" i="1"/>
  <c r="T3556" i="1" s="1" a="1"/>
  <c r="T3556" i="1" s="1"/>
  <c r="S3557" i="1"/>
  <c r="T3557" i="1" s="1" a="1"/>
  <c r="T3557" i="1" s="1"/>
  <c r="S3558" i="1"/>
  <c r="T3558" i="1" s="1" a="1"/>
  <c r="T3558" i="1" s="1"/>
  <c r="S3559" i="1"/>
  <c r="T3559" i="1" s="1" a="1"/>
  <c r="T3559" i="1" s="1"/>
  <c r="S3560" i="1"/>
  <c r="T3560" i="1" s="1" a="1"/>
  <c r="T3560" i="1" s="1"/>
  <c r="S3561" i="1"/>
  <c r="T3561" i="1" s="1" a="1"/>
  <c r="T3561" i="1" s="1"/>
  <c r="S3562" i="1"/>
  <c r="T3562" i="1" s="1" a="1"/>
  <c r="T3562" i="1" s="1"/>
  <c r="S3563" i="1"/>
  <c r="T3563" i="1" s="1" a="1"/>
  <c r="T3563" i="1" s="1"/>
  <c r="S3564" i="1"/>
  <c r="T3564" i="1" s="1" a="1"/>
  <c r="T3564" i="1" s="1"/>
  <c r="S3565" i="1"/>
  <c r="T3565" i="1" s="1" a="1"/>
  <c r="T3565" i="1" s="1"/>
  <c r="S3566" i="1"/>
  <c r="T3566" i="1" s="1" a="1"/>
  <c r="T3566" i="1" s="1"/>
  <c r="S3567" i="1"/>
  <c r="T3567" i="1" s="1" a="1"/>
  <c r="T3567" i="1" s="1"/>
  <c r="S3568" i="1"/>
  <c r="T3568" i="1" s="1" a="1"/>
  <c r="T3568" i="1" s="1"/>
  <c r="S3569" i="1"/>
  <c r="T3569" i="1" s="1" a="1"/>
  <c r="T3569" i="1" s="1"/>
  <c r="S3570" i="1"/>
  <c r="T3570" i="1" s="1" a="1"/>
  <c r="T3570" i="1" s="1"/>
  <c r="S3571" i="1"/>
  <c r="T3571" i="1" s="1" a="1"/>
  <c r="T3571" i="1" s="1"/>
  <c r="S3572" i="1"/>
  <c r="T3572" i="1" s="1" a="1"/>
  <c r="T3572" i="1" s="1"/>
  <c r="S3573" i="1"/>
  <c r="T3573" i="1" s="1" a="1"/>
  <c r="T3573" i="1" s="1"/>
  <c r="S3574" i="1"/>
  <c r="T3574" i="1" s="1" a="1"/>
  <c r="T3574" i="1" s="1"/>
  <c r="S3575" i="1"/>
  <c r="T3575" i="1" s="1" a="1"/>
  <c r="T3575" i="1" s="1"/>
  <c r="S3576" i="1"/>
  <c r="T3576" i="1" s="1" a="1"/>
  <c r="T3576" i="1" s="1"/>
  <c r="S3577" i="1"/>
  <c r="T3577" i="1" s="1" a="1"/>
  <c r="T3577" i="1" s="1"/>
  <c r="S3578" i="1"/>
  <c r="T3578" i="1" s="1" a="1"/>
  <c r="T3578" i="1" s="1"/>
  <c r="S3579" i="1"/>
  <c r="T3579" i="1" s="1" a="1"/>
  <c r="T3579" i="1" s="1"/>
  <c r="S3580" i="1"/>
  <c r="T3580" i="1" s="1" a="1"/>
  <c r="T3580" i="1" s="1"/>
  <c r="S3581" i="1"/>
  <c r="T3581" i="1" s="1" a="1"/>
  <c r="T3581" i="1" s="1"/>
  <c r="S3582" i="1"/>
  <c r="T3582" i="1" s="1" a="1"/>
  <c r="T3582" i="1" s="1"/>
  <c r="S3583" i="1"/>
  <c r="T3583" i="1" s="1" a="1"/>
  <c r="T3583" i="1" s="1"/>
  <c r="S3584" i="1"/>
  <c r="T3584" i="1" s="1" a="1"/>
  <c r="T3584" i="1" s="1"/>
  <c r="S3585" i="1"/>
  <c r="T3585" i="1" s="1" a="1"/>
  <c r="T3585" i="1" s="1"/>
  <c r="S3586" i="1"/>
  <c r="T3586" i="1" s="1" a="1"/>
  <c r="T3586" i="1" s="1"/>
  <c r="S3587" i="1"/>
  <c r="T3587" i="1" s="1" a="1"/>
  <c r="T3587" i="1" s="1"/>
  <c r="S3588" i="1"/>
  <c r="T3588" i="1" s="1" a="1"/>
  <c r="T3588" i="1" s="1"/>
  <c r="S3589" i="1"/>
  <c r="T3589" i="1" s="1" a="1"/>
  <c r="T3589" i="1" s="1"/>
  <c r="S3590" i="1"/>
  <c r="T3590" i="1" s="1" a="1"/>
  <c r="T3590" i="1" s="1"/>
  <c r="S3591" i="1"/>
  <c r="T3591" i="1" s="1" a="1"/>
  <c r="T3591" i="1" s="1"/>
  <c r="S3592" i="1"/>
  <c r="T3592" i="1" s="1" a="1"/>
  <c r="T3592" i="1" s="1"/>
  <c r="S3593" i="1"/>
  <c r="T3593" i="1" s="1" a="1"/>
  <c r="T3593" i="1" s="1"/>
  <c r="S3594" i="1"/>
  <c r="T3594" i="1" s="1" a="1"/>
  <c r="T3594" i="1" s="1"/>
  <c r="S3595" i="1"/>
  <c r="T3595" i="1" s="1" a="1"/>
  <c r="T3595" i="1" s="1"/>
  <c r="S3596" i="1"/>
  <c r="T3596" i="1" s="1" a="1"/>
  <c r="T3596" i="1" s="1"/>
  <c r="S3597" i="1"/>
  <c r="T3597" i="1" s="1" a="1"/>
  <c r="T3597" i="1" s="1"/>
  <c r="S3598" i="1"/>
  <c r="T3598" i="1" s="1" a="1"/>
  <c r="T3598" i="1" s="1"/>
  <c r="S3599" i="1"/>
  <c r="T3599" i="1" s="1" a="1"/>
  <c r="T3599" i="1" s="1"/>
  <c r="S3600" i="1"/>
  <c r="T3600" i="1" s="1" a="1"/>
  <c r="T3600" i="1" s="1"/>
  <c r="S3601" i="1"/>
  <c r="T3601" i="1" s="1" a="1"/>
  <c r="T3601" i="1" s="1"/>
  <c r="S3602" i="1"/>
  <c r="T3602" i="1" s="1" a="1"/>
  <c r="T3602" i="1" s="1"/>
  <c r="S3603" i="1"/>
  <c r="T3603" i="1" s="1" a="1"/>
  <c r="T3603" i="1" s="1"/>
  <c r="S3604" i="1"/>
  <c r="T3604" i="1" s="1" a="1"/>
  <c r="T3604" i="1" s="1"/>
  <c r="S3605" i="1"/>
  <c r="T3605" i="1" s="1" a="1"/>
  <c r="T3605" i="1" s="1"/>
  <c r="S3606" i="1"/>
  <c r="T3606" i="1" s="1" a="1"/>
  <c r="T3606" i="1" s="1"/>
  <c r="S3607" i="1"/>
  <c r="T3607" i="1" s="1" a="1"/>
  <c r="T3607" i="1" s="1"/>
  <c r="S3608" i="1"/>
  <c r="T3608" i="1" s="1" a="1"/>
  <c r="T3608" i="1" s="1"/>
  <c r="S3609" i="1"/>
  <c r="T3609" i="1" s="1" a="1"/>
  <c r="T3609" i="1" s="1"/>
  <c r="S3610" i="1"/>
  <c r="T3610" i="1" s="1" a="1"/>
  <c r="T3610" i="1" s="1"/>
  <c r="S3611" i="1"/>
  <c r="T3611" i="1" s="1" a="1"/>
  <c r="T3611" i="1" s="1"/>
  <c r="S3612" i="1"/>
  <c r="T3612" i="1" s="1" a="1"/>
  <c r="T3612" i="1" s="1"/>
  <c r="S3613" i="1"/>
  <c r="T3613" i="1" s="1" a="1"/>
  <c r="T3613" i="1" s="1"/>
  <c r="S3614" i="1"/>
  <c r="T3614" i="1" s="1" a="1"/>
  <c r="T3614" i="1" s="1"/>
  <c r="S3615" i="1"/>
  <c r="T3615" i="1" s="1" a="1"/>
  <c r="T3615" i="1" s="1"/>
  <c r="S3616" i="1"/>
  <c r="T3616" i="1" s="1" a="1"/>
  <c r="T3616" i="1" s="1"/>
  <c r="S3617" i="1"/>
  <c r="T3617" i="1" s="1" a="1"/>
  <c r="T3617" i="1" s="1"/>
  <c r="S3618" i="1"/>
  <c r="T3618" i="1" s="1" a="1"/>
  <c r="T3618" i="1" s="1"/>
  <c r="S3619" i="1"/>
  <c r="T3619" i="1" s="1" a="1"/>
  <c r="T3619" i="1" s="1"/>
  <c r="S3620" i="1"/>
  <c r="T3620" i="1" s="1" a="1"/>
  <c r="T3620" i="1" s="1"/>
  <c r="S3621" i="1"/>
  <c r="T3621" i="1" s="1" a="1"/>
  <c r="T3621" i="1" s="1"/>
  <c r="S3622" i="1"/>
  <c r="T3622" i="1" s="1" a="1"/>
  <c r="T3622" i="1" s="1"/>
  <c r="S3623" i="1"/>
  <c r="T3623" i="1" s="1" a="1"/>
  <c r="T3623" i="1" s="1"/>
  <c r="S3624" i="1"/>
  <c r="T3624" i="1" s="1" a="1"/>
  <c r="T3624" i="1" s="1"/>
  <c r="S3625" i="1"/>
  <c r="T3625" i="1" s="1" a="1"/>
  <c r="T3625" i="1" s="1"/>
  <c r="S3626" i="1"/>
  <c r="T3626" i="1" s="1" a="1"/>
  <c r="T3626" i="1" s="1"/>
  <c r="S3627" i="1"/>
  <c r="T3627" i="1" s="1" a="1"/>
  <c r="T3627" i="1" s="1"/>
  <c r="S3628" i="1"/>
  <c r="T3628" i="1" s="1" a="1"/>
  <c r="T3628" i="1" s="1"/>
  <c r="S3629" i="1"/>
  <c r="T3629" i="1" s="1" a="1"/>
  <c r="T3629" i="1" s="1"/>
  <c r="S3630" i="1"/>
  <c r="T3630" i="1" s="1" a="1"/>
  <c r="T3630" i="1" s="1"/>
  <c r="S3631" i="1"/>
  <c r="T3631" i="1" s="1" a="1"/>
  <c r="T3631" i="1" s="1"/>
  <c r="S3632" i="1"/>
  <c r="T3632" i="1" s="1" a="1"/>
  <c r="T3632" i="1" s="1"/>
  <c r="S3633" i="1"/>
  <c r="T3633" i="1" s="1" a="1"/>
  <c r="T3633" i="1" s="1"/>
  <c r="S3634" i="1"/>
  <c r="T3634" i="1" s="1" a="1"/>
  <c r="T3634" i="1" s="1"/>
  <c r="S3635" i="1"/>
  <c r="T3635" i="1" s="1" a="1"/>
  <c r="T3635" i="1" s="1"/>
  <c r="S3636" i="1"/>
  <c r="T3636" i="1" s="1" a="1"/>
  <c r="T3636" i="1" s="1"/>
  <c r="S3637" i="1"/>
  <c r="T3637" i="1" s="1" a="1"/>
  <c r="T3637" i="1" s="1"/>
  <c r="S3638" i="1"/>
  <c r="T3638" i="1" s="1" a="1"/>
  <c r="T3638" i="1" s="1"/>
  <c r="S3639" i="1"/>
  <c r="T3639" i="1" s="1" a="1"/>
  <c r="T3639" i="1" s="1"/>
  <c r="S3640" i="1"/>
  <c r="T3640" i="1" s="1" a="1"/>
  <c r="T3640" i="1" s="1"/>
  <c r="S3641" i="1"/>
  <c r="T3641" i="1" s="1" a="1"/>
  <c r="T3641" i="1" s="1"/>
  <c r="S3642" i="1"/>
  <c r="T3642" i="1" s="1" a="1"/>
  <c r="T3642" i="1" s="1"/>
  <c r="S3643" i="1"/>
  <c r="T3643" i="1" s="1" a="1"/>
  <c r="T3643" i="1" s="1"/>
  <c r="S3644" i="1"/>
  <c r="T3644" i="1" s="1" a="1"/>
  <c r="T3644" i="1" s="1"/>
  <c r="S3645" i="1"/>
  <c r="T3645" i="1" s="1" a="1"/>
  <c r="T3645" i="1" s="1"/>
  <c r="S3646" i="1"/>
  <c r="T3646" i="1" s="1" a="1"/>
  <c r="T3646" i="1" s="1"/>
  <c r="S3647" i="1"/>
  <c r="T3647" i="1" s="1" a="1"/>
  <c r="T3647" i="1" s="1"/>
  <c r="S3648" i="1"/>
  <c r="T3648" i="1" s="1" a="1"/>
  <c r="T3648" i="1" s="1"/>
  <c r="S3649" i="1"/>
  <c r="T3649" i="1" s="1" a="1"/>
  <c r="T3649" i="1" s="1"/>
  <c r="S3650" i="1"/>
  <c r="T3650" i="1" s="1" a="1"/>
  <c r="T3650" i="1" s="1"/>
  <c r="S3651" i="1"/>
  <c r="T3651" i="1" s="1" a="1"/>
  <c r="T3651" i="1" s="1"/>
  <c r="S3652" i="1"/>
  <c r="T3652" i="1" s="1" a="1"/>
  <c r="T3652" i="1" s="1"/>
  <c r="S3653" i="1"/>
  <c r="T3653" i="1" s="1" a="1"/>
  <c r="T3653" i="1" s="1"/>
  <c r="S3654" i="1"/>
  <c r="T3654" i="1" s="1" a="1"/>
  <c r="T3654" i="1" s="1"/>
  <c r="S3655" i="1"/>
  <c r="T3655" i="1" s="1" a="1"/>
  <c r="T3655" i="1" s="1"/>
  <c r="S3656" i="1"/>
  <c r="T3656" i="1" s="1" a="1"/>
  <c r="T3656" i="1" s="1"/>
  <c r="S3657" i="1"/>
  <c r="T3657" i="1" s="1" a="1"/>
  <c r="T3657" i="1" s="1"/>
  <c r="S3658" i="1"/>
  <c r="T3658" i="1" s="1" a="1"/>
  <c r="T3658" i="1" s="1"/>
  <c r="S3659" i="1"/>
  <c r="T3659" i="1" s="1" a="1"/>
  <c r="T3659" i="1" s="1"/>
  <c r="S3660" i="1"/>
  <c r="T3660" i="1" s="1" a="1"/>
  <c r="T3660" i="1" s="1"/>
  <c r="S3661" i="1"/>
  <c r="T3661" i="1" s="1" a="1"/>
  <c r="T3661" i="1" s="1"/>
  <c r="S3662" i="1"/>
  <c r="T3662" i="1" s="1" a="1"/>
  <c r="T3662" i="1" s="1"/>
  <c r="S3663" i="1"/>
  <c r="T3663" i="1" s="1" a="1"/>
  <c r="T3663" i="1" s="1"/>
  <c r="S3664" i="1"/>
  <c r="T3664" i="1" s="1" a="1"/>
  <c r="T3664" i="1" s="1"/>
  <c r="S3665" i="1"/>
  <c r="T3665" i="1" s="1" a="1"/>
  <c r="T3665" i="1" s="1"/>
  <c r="S3666" i="1"/>
  <c r="T3666" i="1" s="1" a="1"/>
  <c r="T3666" i="1" s="1"/>
  <c r="S3667" i="1"/>
  <c r="T3667" i="1" s="1" a="1"/>
  <c r="T3667" i="1" s="1"/>
  <c r="S3668" i="1"/>
  <c r="T3668" i="1" s="1" a="1"/>
  <c r="T3668" i="1" s="1"/>
  <c r="S3669" i="1"/>
  <c r="T3669" i="1" s="1" a="1"/>
  <c r="T3669" i="1" s="1"/>
  <c r="S3670" i="1"/>
  <c r="T3670" i="1" s="1" a="1"/>
  <c r="T3670" i="1" s="1"/>
  <c r="S3671" i="1"/>
  <c r="T3671" i="1" s="1" a="1"/>
  <c r="T3671" i="1" s="1"/>
  <c r="S3672" i="1"/>
  <c r="T3672" i="1" s="1" a="1"/>
  <c r="T3672" i="1" s="1"/>
  <c r="S3673" i="1"/>
  <c r="T3673" i="1" s="1" a="1"/>
  <c r="T3673" i="1" s="1"/>
  <c r="S3674" i="1"/>
  <c r="T3674" i="1" s="1" a="1"/>
  <c r="T3674" i="1" s="1"/>
  <c r="S3675" i="1"/>
  <c r="T3675" i="1" s="1" a="1"/>
  <c r="T3675" i="1" s="1"/>
  <c r="S3676" i="1"/>
  <c r="T3676" i="1" s="1" a="1"/>
  <c r="T3676" i="1" s="1"/>
  <c r="S3677" i="1"/>
  <c r="T3677" i="1" s="1" a="1"/>
  <c r="T3677" i="1" s="1"/>
  <c r="S3678" i="1"/>
  <c r="T3678" i="1" s="1" a="1"/>
  <c r="T3678" i="1" s="1"/>
  <c r="S3679" i="1"/>
  <c r="T3679" i="1" s="1" a="1"/>
  <c r="T3679" i="1" s="1"/>
  <c r="S3680" i="1"/>
  <c r="T3680" i="1" s="1" a="1"/>
  <c r="T3680" i="1" s="1"/>
  <c r="S3681" i="1"/>
  <c r="T3681" i="1" s="1" a="1"/>
  <c r="T3681" i="1" s="1"/>
  <c r="S3682" i="1"/>
  <c r="T3682" i="1" s="1" a="1"/>
  <c r="T3682" i="1" s="1"/>
  <c r="S3683" i="1"/>
  <c r="T3683" i="1" s="1" a="1"/>
  <c r="T3683" i="1" s="1"/>
  <c r="S3684" i="1"/>
  <c r="T3684" i="1" s="1" a="1"/>
  <c r="T3684" i="1" s="1"/>
  <c r="S3685" i="1"/>
  <c r="T3685" i="1" s="1" a="1"/>
  <c r="T3685" i="1" s="1"/>
  <c r="S3686" i="1"/>
  <c r="T3686" i="1" s="1" a="1"/>
  <c r="T3686" i="1" s="1"/>
  <c r="S3687" i="1"/>
  <c r="T3687" i="1" s="1" a="1"/>
  <c r="T3687" i="1" s="1"/>
  <c r="S3688" i="1"/>
  <c r="T3688" i="1" s="1" a="1"/>
  <c r="T3688" i="1" s="1"/>
  <c r="S3689" i="1"/>
  <c r="T3689" i="1" s="1" a="1"/>
  <c r="T3689" i="1" s="1"/>
  <c r="S3690" i="1"/>
  <c r="T3690" i="1" s="1" a="1"/>
  <c r="T3690" i="1" s="1"/>
  <c r="S3691" i="1"/>
  <c r="T3691" i="1" s="1" a="1"/>
  <c r="T3691" i="1" s="1"/>
  <c r="S3692" i="1"/>
  <c r="T3692" i="1" s="1" a="1"/>
  <c r="T3692" i="1" s="1"/>
  <c r="S3693" i="1"/>
  <c r="T3693" i="1" s="1" a="1"/>
  <c r="T3693" i="1" s="1"/>
  <c r="S3694" i="1"/>
  <c r="T3694" i="1" s="1" a="1"/>
  <c r="T3694" i="1" s="1"/>
  <c r="S3695" i="1"/>
  <c r="T3695" i="1" s="1" a="1"/>
  <c r="T3695" i="1" s="1"/>
  <c r="S3696" i="1"/>
  <c r="T3696" i="1" s="1" a="1"/>
  <c r="T3696" i="1" s="1"/>
  <c r="S3697" i="1"/>
  <c r="T3697" i="1" s="1" a="1"/>
  <c r="T3697" i="1" s="1"/>
  <c r="S3698" i="1"/>
  <c r="T3698" i="1" s="1" a="1"/>
  <c r="T3698" i="1" s="1"/>
  <c r="S3699" i="1"/>
  <c r="T3699" i="1" s="1" a="1"/>
  <c r="T3699" i="1" s="1"/>
  <c r="S3700" i="1"/>
  <c r="T3700" i="1" s="1" a="1"/>
  <c r="T3700" i="1" s="1"/>
  <c r="S3701" i="1"/>
  <c r="T3701" i="1" s="1" a="1"/>
  <c r="T3701" i="1" s="1"/>
  <c r="S3702" i="1"/>
  <c r="T3702" i="1" s="1" a="1"/>
  <c r="T3702" i="1" s="1"/>
  <c r="S3703" i="1"/>
  <c r="T3703" i="1" s="1" a="1"/>
  <c r="T3703" i="1" s="1"/>
  <c r="S3704" i="1"/>
  <c r="T3704" i="1" s="1" a="1"/>
  <c r="T3704" i="1" s="1"/>
  <c r="S3705" i="1"/>
  <c r="T3705" i="1" s="1" a="1"/>
  <c r="T3705" i="1" s="1"/>
  <c r="S3706" i="1"/>
  <c r="T3706" i="1" s="1" a="1"/>
  <c r="T3706" i="1" s="1"/>
  <c r="S3707" i="1"/>
  <c r="T3707" i="1" s="1" a="1"/>
  <c r="T3707" i="1" s="1"/>
  <c r="S3708" i="1"/>
  <c r="T3708" i="1" s="1" a="1"/>
  <c r="T3708" i="1" s="1"/>
  <c r="S3709" i="1"/>
  <c r="T3709" i="1" s="1" a="1"/>
  <c r="T3709" i="1" s="1"/>
  <c r="S3710" i="1"/>
  <c r="T3710" i="1" s="1" a="1"/>
  <c r="T3710" i="1" s="1"/>
  <c r="S3711" i="1"/>
  <c r="T3711" i="1" s="1" a="1"/>
  <c r="T3711" i="1" s="1"/>
  <c r="S3712" i="1"/>
  <c r="T3712" i="1" s="1" a="1"/>
  <c r="T3712" i="1" s="1"/>
  <c r="S3713" i="1"/>
  <c r="T3713" i="1" s="1" a="1"/>
  <c r="T3713" i="1" s="1"/>
  <c r="S3714" i="1"/>
  <c r="T3714" i="1" s="1" a="1"/>
  <c r="T3714" i="1" s="1"/>
  <c r="S3715" i="1"/>
  <c r="T3715" i="1" s="1" a="1"/>
  <c r="T3715" i="1" s="1"/>
  <c r="S3716" i="1"/>
  <c r="T3716" i="1" s="1" a="1"/>
  <c r="T3716" i="1" s="1"/>
  <c r="S3717" i="1"/>
  <c r="T3717" i="1" s="1" a="1"/>
  <c r="T3717" i="1" s="1"/>
  <c r="S3718" i="1"/>
  <c r="T3718" i="1" s="1" a="1"/>
  <c r="T3718" i="1" s="1"/>
  <c r="S3719" i="1"/>
  <c r="T3719" i="1" s="1" a="1"/>
  <c r="T3719" i="1" s="1"/>
  <c r="S3720" i="1"/>
  <c r="T3720" i="1" s="1" a="1"/>
  <c r="T3720" i="1" s="1"/>
  <c r="S3721" i="1"/>
  <c r="T3721" i="1" s="1" a="1"/>
  <c r="T3721" i="1" s="1"/>
  <c r="S3722" i="1"/>
  <c r="T3722" i="1" s="1" a="1"/>
  <c r="T3722" i="1" s="1"/>
  <c r="S3723" i="1"/>
  <c r="T3723" i="1" s="1" a="1"/>
  <c r="T3723" i="1" s="1"/>
  <c r="S3724" i="1"/>
  <c r="T3724" i="1" s="1" a="1"/>
  <c r="T3724" i="1" s="1"/>
  <c r="S3725" i="1"/>
  <c r="T3725" i="1" s="1" a="1"/>
  <c r="T3725" i="1" s="1"/>
  <c r="S3726" i="1"/>
  <c r="T3726" i="1" s="1" a="1"/>
  <c r="T3726" i="1" s="1"/>
  <c r="S3727" i="1"/>
  <c r="T3727" i="1" s="1" a="1"/>
  <c r="T3727" i="1" s="1"/>
  <c r="S3728" i="1"/>
  <c r="T3728" i="1" s="1" a="1"/>
  <c r="T3728" i="1" s="1"/>
  <c r="S3729" i="1"/>
  <c r="T3729" i="1" s="1" a="1"/>
  <c r="T3729" i="1" s="1"/>
  <c r="S3730" i="1"/>
  <c r="T3730" i="1" s="1" a="1"/>
  <c r="T3730" i="1" s="1"/>
  <c r="S3731" i="1"/>
  <c r="T3731" i="1" s="1" a="1"/>
  <c r="T3731" i="1" s="1"/>
  <c r="S3732" i="1"/>
  <c r="T3732" i="1" s="1" a="1"/>
  <c r="T3732" i="1" s="1"/>
  <c r="S3733" i="1"/>
  <c r="T3733" i="1" s="1" a="1"/>
  <c r="T3733" i="1" s="1"/>
  <c r="S3734" i="1"/>
  <c r="T3734" i="1" s="1" a="1"/>
  <c r="T3734" i="1" s="1"/>
  <c r="S3735" i="1"/>
  <c r="T3735" i="1" s="1" a="1"/>
  <c r="T3735" i="1" s="1"/>
  <c r="S3736" i="1"/>
  <c r="T3736" i="1" s="1" a="1"/>
  <c r="T3736" i="1" s="1"/>
  <c r="S3737" i="1"/>
  <c r="T3737" i="1" s="1" a="1"/>
  <c r="T3737" i="1" s="1"/>
  <c r="S3738" i="1"/>
  <c r="T3738" i="1" s="1" a="1"/>
  <c r="T3738" i="1" s="1"/>
  <c r="S3739" i="1"/>
  <c r="T3739" i="1" s="1" a="1"/>
  <c r="T3739" i="1" s="1"/>
  <c r="S3740" i="1"/>
  <c r="T3740" i="1" s="1" a="1"/>
  <c r="T3740" i="1" s="1"/>
  <c r="S3741" i="1"/>
  <c r="T3741" i="1" s="1" a="1"/>
  <c r="T3741" i="1" s="1"/>
  <c r="S3742" i="1"/>
  <c r="T3742" i="1" s="1" a="1"/>
  <c r="T3742" i="1" s="1"/>
  <c r="S3743" i="1"/>
  <c r="T3743" i="1" s="1" a="1"/>
  <c r="T3743" i="1" s="1"/>
  <c r="S3744" i="1"/>
  <c r="T3744" i="1" s="1" a="1"/>
  <c r="T3744" i="1" s="1"/>
  <c r="S3745" i="1"/>
  <c r="T3745" i="1" s="1" a="1"/>
  <c r="T3745" i="1" s="1"/>
  <c r="S3746" i="1"/>
  <c r="T3746" i="1" s="1" a="1"/>
  <c r="T3746" i="1" s="1"/>
  <c r="S3747" i="1"/>
  <c r="T3747" i="1" s="1" a="1"/>
  <c r="T3747" i="1" s="1"/>
  <c r="S3748" i="1"/>
  <c r="T3748" i="1" s="1" a="1"/>
  <c r="T3748" i="1" s="1"/>
  <c r="S3749" i="1"/>
  <c r="T3749" i="1" s="1" a="1"/>
  <c r="T3749" i="1" s="1"/>
  <c r="S3750" i="1"/>
  <c r="T3750" i="1" s="1" a="1"/>
  <c r="T3750" i="1" s="1"/>
  <c r="S3751" i="1"/>
  <c r="T3751" i="1" s="1" a="1"/>
  <c r="T3751" i="1" s="1"/>
  <c r="S3752" i="1"/>
  <c r="T3752" i="1" s="1" a="1"/>
  <c r="T3752" i="1" s="1"/>
  <c r="S3753" i="1"/>
  <c r="T3753" i="1" s="1" a="1"/>
  <c r="T3753" i="1" s="1"/>
  <c r="S3754" i="1"/>
  <c r="T3754" i="1" s="1" a="1"/>
  <c r="T3754" i="1" s="1"/>
  <c r="S3755" i="1"/>
  <c r="T3755" i="1" s="1" a="1"/>
  <c r="T3755" i="1" s="1"/>
  <c r="S3756" i="1"/>
  <c r="T3756" i="1" s="1" a="1"/>
  <c r="T3756" i="1" s="1"/>
  <c r="S3757" i="1"/>
  <c r="T3757" i="1" s="1" a="1"/>
  <c r="T3757" i="1" s="1"/>
  <c r="S3758" i="1"/>
  <c r="T3758" i="1" s="1" a="1"/>
  <c r="T3758" i="1" s="1"/>
  <c r="S3759" i="1"/>
  <c r="T3759" i="1" s="1" a="1"/>
  <c r="T3759" i="1" s="1"/>
  <c r="S3760" i="1"/>
  <c r="T3760" i="1" s="1" a="1"/>
  <c r="T3760" i="1" s="1"/>
  <c r="S3761" i="1"/>
  <c r="T3761" i="1" s="1" a="1"/>
  <c r="T3761" i="1" s="1"/>
  <c r="S3762" i="1"/>
  <c r="T3762" i="1" s="1" a="1"/>
  <c r="T3762" i="1" s="1"/>
  <c r="S3763" i="1"/>
  <c r="T3763" i="1" s="1" a="1"/>
  <c r="T3763" i="1" s="1"/>
  <c r="S3764" i="1"/>
  <c r="T3764" i="1" s="1" a="1"/>
  <c r="T3764" i="1" s="1"/>
  <c r="S3765" i="1"/>
  <c r="T3765" i="1" s="1" a="1"/>
  <c r="T3765" i="1" s="1"/>
  <c r="S3766" i="1"/>
  <c r="T3766" i="1" s="1" a="1"/>
  <c r="T3766" i="1" s="1"/>
  <c r="S3767" i="1"/>
  <c r="T3767" i="1" s="1" a="1"/>
  <c r="T3767" i="1" s="1"/>
  <c r="S3768" i="1"/>
  <c r="T3768" i="1" s="1" a="1"/>
  <c r="T3768" i="1" s="1"/>
  <c r="S3769" i="1"/>
  <c r="T3769" i="1" s="1" a="1"/>
  <c r="T3769" i="1" s="1"/>
  <c r="S3770" i="1"/>
  <c r="T3770" i="1" s="1" a="1"/>
  <c r="T3770" i="1" s="1"/>
  <c r="S3771" i="1"/>
  <c r="T3771" i="1" s="1" a="1"/>
  <c r="T3771" i="1" s="1"/>
  <c r="S3772" i="1"/>
  <c r="T3772" i="1" s="1" a="1"/>
  <c r="T3772" i="1" s="1"/>
  <c r="S3773" i="1"/>
  <c r="T3773" i="1" s="1" a="1"/>
  <c r="T3773" i="1" s="1"/>
  <c r="S3774" i="1"/>
  <c r="T3774" i="1" s="1" a="1"/>
  <c r="T3774" i="1" s="1"/>
  <c r="S3775" i="1"/>
  <c r="T3775" i="1" s="1" a="1"/>
  <c r="T3775" i="1" s="1"/>
  <c r="S3776" i="1"/>
  <c r="T3776" i="1" s="1" a="1"/>
  <c r="T3776" i="1" s="1"/>
  <c r="S3777" i="1"/>
  <c r="T3777" i="1" s="1" a="1"/>
  <c r="T3777" i="1" s="1"/>
  <c r="S3778" i="1"/>
  <c r="T3778" i="1" s="1" a="1"/>
  <c r="T3778" i="1" s="1"/>
  <c r="S3779" i="1"/>
  <c r="T3779" i="1" s="1" a="1"/>
  <c r="T3779" i="1" s="1"/>
  <c r="S3780" i="1"/>
  <c r="T3780" i="1" s="1" a="1"/>
  <c r="T3780" i="1" s="1"/>
  <c r="S3781" i="1"/>
  <c r="T3781" i="1" s="1" a="1"/>
  <c r="T3781" i="1" s="1"/>
  <c r="S3782" i="1"/>
  <c r="T3782" i="1" s="1" a="1"/>
  <c r="T3782" i="1" s="1"/>
  <c r="S3783" i="1"/>
  <c r="T3783" i="1" s="1" a="1"/>
  <c r="T3783" i="1" s="1"/>
  <c r="S3784" i="1"/>
  <c r="T3784" i="1" s="1" a="1"/>
  <c r="T3784" i="1" s="1"/>
  <c r="S3785" i="1"/>
  <c r="T3785" i="1" s="1" a="1"/>
  <c r="T3785" i="1" s="1"/>
  <c r="S3786" i="1"/>
  <c r="T3786" i="1" s="1" a="1"/>
  <c r="T3786" i="1" s="1"/>
  <c r="S3787" i="1"/>
  <c r="T3787" i="1" s="1" a="1"/>
  <c r="T3787" i="1" s="1"/>
  <c r="S3788" i="1"/>
  <c r="T3788" i="1" s="1" a="1"/>
  <c r="T3788" i="1" s="1"/>
  <c r="S3789" i="1"/>
  <c r="T3789" i="1" s="1" a="1"/>
  <c r="T3789" i="1" s="1"/>
  <c r="S3790" i="1"/>
  <c r="T3790" i="1" s="1" a="1"/>
  <c r="T3790" i="1" s="1"/>
  <c r="S3791" i="1"/>
  <c r="T3791" i="1" s="1" a="1"/>
  <c r="T3791" i="1" s="1"/>
  <c r="S3792" i="1"/>
  <c r="T3792" i="1" s="1" a="1"/>
  <c r="T3792" i="1" s="1"/>
  <c r="S3793" i="1"/>
  <c r="T3793" i="1" s="1" a="1"/>
  <c r="T3793" i="1" s="1"/>
  <c r="S3794" i="1"/>
  <c r="T3794" i="1" s="1" a="1"/>
  <c r="T3794" i="1" s="1"/>
  <c r="S3795" i="1"/>
  <c r="T3795" i="1" s="1" a="1"/>
  <c r="T3795" i="1" s="1"/>
  <c r="S3796" i="1"/>
  <c r="T3796" i="1" s="1" a="1"/>
  <c r="T3796" i="1" s="1"/>
  <c r="S3797" i="1"/>
  <c r="T3797" i="1" s="1" a="1"/>
  <c r="T3797" i="1" s="1"/>
  <c r="S3798" i="1"/>
  <c r="T3798" i="1" s="1" a="1"/>
  <c r="T3798" i="1" s="1"/>
  <c r="S3799" i="1"/>
  <c r="T3799" i="1" s="1" a="1"/>
  <c r="T3799" i="1" s="1"/>
  <c r="S3800" i="1"/>
  <c r="T3800" i="1" s="1" a="1"/>
  <c r="T3800" i="1" s="1"/>
  <c r="S3801" i="1"/>
  <c r="T3801" i="1" s="1" a="1"/>
  <c r="T3801" i="1" s="1"/>
  <c r="S3802" i="1"/>
  <c r="T3802" i="1" s="1" a="1"/>
  <c r="T3802" i="1" s="1"/>
  <c r="S3803" i="1"/>
  <c r="T3803" i="1" s="1" a="1"/>
  <c r="T3803" i="1" s="1"/>
  <c r="S3804" i="1"/>
  <c r="T3804" i="1" s="1" a="1"/>
  <c r="T3804" i="1" s="1"/>
  <c r="S3805" i="1"/>
  <c r="T3805" i="1" s="1" a="1"/>
  <c r="T3805" i="1" s="1"/>
  <c r="S3806" i="1"/>
  <c r="T3806" i="1" s="1" a="1"/>
  <c r="T3806" i="1" s="1"/>
  <c r="S3807" i="1"/>
  <c r="T3807" i="1" s="1" a="1"/>
  <c r="T3807" i="1" s="1"/>
  <c r="S3808" i="1"/>
  <c r="T3808" i="1" s="1" a="1"/>
  <c r="T3808" i="1" s="1"/>
  <c r="S3809" i="1"/>
  <c r="T3809" i="1" s="1" a="1"/>
  <c r="T3809" i="1" s="1"/>
  <c r="S3810" i="1"/>
  <c r="T3810" i="1" s="1" a="1"/>
  <c r="T3810" i="1" s="1"/>
  <c r="S3811" i="1"/>
  <c r="T3811" i="1" s="1" a="1"/>
  <c r="T3811" i="1" s="1"/>
  <c r="S3812" i="1"/>
  <c r="T3812" i="1" s="1" a="1"/>
  <c r="T3812" i="1" s="1"/>
  <c r="S3813" i="1"/>
  <c r="T3813" i="1" s="1" a="1"/>
  <c r="T3813" i="1" s="1"/>
  <c r="S3814" i="1"/>
  <c r="T3814" i="1" s="1" a="1"/>
  <c r="T3814" i="1" s="1"/>
  <c r="S3815" i="1"/>
  <c r="T3815" i="1" s="1" a="1"/>
  <c r="T3815" i="1" s="1"/>
  <c r="S3816" i="1"/>
  <c r="T3816" i="1" s="1" a="1"/>
  <c r="T3816" i="1" s="1"/>
  <c r="S3817" i="1"/>
  <c r="T3817" i="1" s="1" a="1"/>
  <c r="T3817" i="1" s="1"/>
  <c r="S3818" i="1"/>
  <c r="T3818" i="1" s="1" a="1"/>
  <c r="T3818" i="1" s="1"/>
  <c r="S3819" i="1"/>
  <c r="T3819" i="1" s="1" a="1"/>
  <c r="T3819" i="1" s="1"/>
  <c r="S3820" i="1"/>
  <c r="T3820" i="1" s="1" a="1"/>
  <c r="T3820" i="1" s="1"/>
  <c r="S3821" i="1"/>
  <c r="T3821" i="1" s="1" a="1"/>
  <c r="T3821" i="1" s="1"/>
  <c r="S3822" i="1"/>
  <c r="T3822" i="1" s="1" a="1"/>
  <c r="T3822" i="1" s="1"/>
  <c r="S3823" i="1"/>
  <c r="T3823" i="1" s="1" a="1"/>
  <c r="T3823" i="1" s="1"/>
  <c r="S3824" i="1"/>
  <c r="T3824" i="1" s="1" a="1"/>
  <c r="T3824" i="1" s="1"/>
  <c r="S3825" i="1"/>
  <c r="T3825" i="1" s="1" a="1"/>
  <c r="T3825" i="1" s="1"/>
  <c r="S3826" i="1"/>
  <c r="T3826" i="1" s="1" a="1"/>
  <c r="T3826" i="1" s="1"/>
  <c r="S3827" i="1"/>
  <c r="T3827" i="1" s="1" a="1"/>
  <c r="T3827" i="1" s="1"/>
  <c r="S3828" i="1"/>
  <c r="T3828" i="1" s="1" a="1"/>
  <c r="T3828" i="1" s="1"/>
  <c r="S3829" i="1"/>
  <c r="T3829" i="1" s="1" a="1"/>
  <c r="T3829" i="1" s="1"/>
  <c r="S3830" i="1"/>
  <c r="T3830" i="1" s="1" a="1"/>
  <c r="T3830" i="1" s="1"/>
  <c r="S3831" i="1"/>
  <c r="T3831" i="1" s="1" a="1"/>
  <c r="T3831" i="1" s="1"/>
  <c r="S3832" i="1"/>
  <c r="T3832" i="1" s="1" a="1"/>
  <c r="T3832" i="1" s="1"/>
  <c r="S3833" i="1"/>
  <c r="T3833" i="1" s="1" a="1"/>
  <c r="T3833" i="1" s="1"/>
  <c r="S3834" i="1"/>
  <c r="T3834" i="1" s="1" a="1"/>
  <c r="T3834" i="1" s="1"/>
  <c r="S3835" i="1"/>
  <c r="T3835" i="1" s="1" a="1"/>
  <c r="T3835" i="1" s="1"/>
  <c r="S3836" i="1"/>
  <c r="T3836" i="1" s="1" a="1"/>
  <c r="T3836" i="1" s="1"/>
  <c r="S3837" i="1"/>
  <c r="T3837" i="1" s="1" a="1"/>
  <c r="T3837" i="1" s="1"/>
  <c r="S3838" i="1"/>
  <c r="T3838" i="1" s="1" a="1"/>
  <c r="T3838" i="1" s="1"/>
  <c r="S3839" i="1"/>
  <c r="T3839" i="1" s="1" a="1"/>
  <c r="T3839" i="1" s="1"/>
  <c r="S3840" i="1"/>
  <c r="T3840" i="1" s="1" a="1"/>
  <c r="T3840" i="1" s="1"/>
  <c r="S3841" i="1"/>
  <c r="T3841" i="1" s="1" a="1"/>
  <c r="T3841" i="1" s="1"/>
  <c r="S3842" i="1"/>
  <c r="T3842" i="1" s="1" a="1"/>
  <c r="T3842" i="1" s="1"/>
  <c r="S3843" i="1"/>
  <c r="T3843" i="1" s="1" a="1"/>
  <c r="T3843" i="1" s="1"/>
  <c r="S3844" i="1"/>
  <c r="T3844" i="1" s="1" a="1"/>
  <c r="T3844" i="1" s="1"/>
  <c r="S3845" i="1"/>
  <c r="T3845" i="1" s="1" a="1"/>
  <c r="T3845" i="1" s="1"/>
  <c r="S3846" i="1"/>
  <c r="T3846" i="1" s="1" a="1"/>
  <c r="T3846" i="1" s="1"/>
  <c r="S3847" i="1"/>
  <c r="T3847" i="1" s="1" a="1"/>
  <c r="T3847" i="1" s="1"/>
  <c r="S3848" i="1"/>
  <c r="T3848" i="1" s="1" a="1"/>
  <c r="T3848" i="1" s="1"/>
  <c r="S3849" i="1"/>
  <c r="T3849" i="1" s="1" a="1"/>
  <c r="T3849" i="1" s="1"/>
  <c r="S3850" i="1"/>
  <c r="T3850" i="1" s="1" a="1"/>
  <c r="T3850" i="1" s="1"/>
  <c r="S3851" i="1"/>
  <c r="T3851" i="1" s="1" a="1"/>
  <c r="T3851" i="1" s="1"/>
  <c r="S3852" i="1"/>
  <c r="T3852" i="1" s="1" a="1"/>
  <c r="T3852" i="1" s="1"/>
  <c r="S3853" i="1"/>
  <c r="T3853" i="1" s="1" a="1"/>
  <c r="T3853" i="1" s="1"/>
  <c r="S3854" i="1"/>
  <c r="T3854" i="1" s="1" a="1"/>
  <c r="T3854" i="1" s="1"/>
  <c r="S3855" i="1"/>
  <c r="T3855" i="1" s="1" a="1"/>
  <c r="T3855" i="1" s="1"/>
  <c r="S3856" i="1"/>
  <c r="T3856" i="1" s="1" a="1"/>
  <c r="T3856" i="1" s="1"/>
  <c r="S3857" i="1"/>
  <c r="T3857" i="1" s="1" a="1"/>
  <c r="T3857" i="1" s="1"/>
  <c r="S3858" i="1"/>
  <c r="T3858" i="1" s="1" a="1"/>
  <c r="T3858" i="1" s="1"/>
  <c r="S3859" i="1"/>
  <c r="T3859" i="1" s="1" a="1"/>
  <c r="T3859" i="1" s="1"/>
  <c r="S3860" i="1"/>
  <c r="T3860" i="1" s="1" a="1"/>
  <c r="T3860" i="1" s="1"/>
  <c r="S3861" i="1"/>
  <c r="T3861" i="1" s="1" a="1"/>
  <c r="T3861" i="1" s="1"/>
  <c r="S3862" i="1"/>
  <c r="T3862" i="1" s="1" a="1"/>
  <c r="T3862" i="1" s="1"/>
  <c r="S3863" i="1"/>
  <c r="T3863" i="1" s="1" a="1"/>
  <c r="T3863" i="1" s="1"/>
  <c r="S3864" i="1"/>
  <c r="T3864" i="1" s="1" a="1"/>
  <c r="T3864" i="1" s="1"/>
  <c r="S3865" i="1"/>
  <c r="T3865" i="1" s="1" a="1"/>
  <c r="T3865" i="1" s="1"/>
  <c r="S3866" i="1"/>
  <c r="T3866" i="1" s="1" a="1"/>
  <c r="T3866" i="1" s="1"/>
  <c r="S3867" i="1"/>
  <c r="T3867" i="1" s="1" a="1"/>
  <c r="T3867" i="1" s="1"/>
  <c r="S3868" i="1"/>
  <c r="T3868" i="1" s="1" a="1"/>
  <c r="T3868" i="1" s="1"/>
  <c r="S3869" i="1"/>
  <c r="T3869" i="1" s="1" a="1"/>
  <c r="T3869" i="1" s="1"/>
  <c r="S3870" i="1"/>
  <c r="T3870" i="1" s="1" a="1"/>
  <c r="T3870" i="1" s="1"/>
  <c r="S3871" i="1"/>
  <c r="T3871" i="1" s="1" a="1"/>
  <c r="T3871" i="1" s="1"/>
  <c r="S3872" i="1"/>
  <c r="T3872" i="1" s="1" a="1"/>
  <c r="T3872" i="1" s="1"/>
  <c r="S3873" i="1"/>
  <c r="T3873" i="1" s="1" a="1"/>
  <c r="T3873" i="1" s="1"/>
  <c r="S3874" i="1"/>
  <c r="T3874" i="1" s="1" a="1"/>
  <c r="T3874" i="1" s="1"/>
  <c r="S3875" i="1"/>
  <c r="T3875" i="1" s="1" a="1"/>
  <c r="T3875" i="1" s="1"/>
  <c r="S3876" i="1"/>
  <c r="T3876" i="1" s="1" a="1"/>
  <c r="T3876" i="1" s="1"/>
  <c r="S3877" i="1"/>
  <c r="T3877" i="1" s="1" a="1"/>
  <c r="T3877" i="1" s="1"/>
  <c r="S3878" i="1"/>
  <c r="T3878" i="1" s="1" a="1"/>
  <c r="T3878" i="1" s="1"/>
  <c r="S3879" i="1"/>
  <c r="T3879" i="1" s="1" a="1"/>
  <c r="T3879" i="1" s="1"/>
  <c r="S3880" i="1"/>
  <c r="T3880" i="1" s="1" a="1"/>
  <c r="T3880" i="1" s="1"/>
  <c r="S3881" i="1"/>
  <c r="T3881" i="1" s="1" a="1"/>
  <c r="T3881" i="1" s="1"/>
  <c r="S3882" i="1"/>
  <c r="T3882" i="1" s="1" a="1"/>
  <c r="T3882" i="1" s="1"/>
  <c r="S3883" i="1"/>
  <c r="T3883" i="1" s="1" a="1"/>
  <c r="T3883" i="1" s="1"/>
  <c r="S3884" i="1"/>
  <c r="T3884" i="1" s="1" a="1"/>
  <c r="T3884" i="1" s="1"/>
  <c r="S3885" i="1"/>
  <c r="T3885" i="1" s="1" a="1"/>
  <c r="T3885" i="1" s="1"/>
  <c r="S3886" i="1"/>
  <c r="T3886" i="1" s="1" a="1"/>
  <c r="T3886" i="1" s="1"/>
  <c r="S3887" i="1"/>
  <c r="T3887" i="1" s="1" a="1"/>
  <c r="T3887" i="1" s="1"/>
  <c r="S3888" i="1"/>
  <c r="T3888" i="1" s="1" a="1"/>
  <c r="T3888" i="1" s="1"/>
  <c r="S3889" i="1"/>
  <c r="T3889" i="1" s="1" a="1"/>
  <c r="T3889" i="1" s="1"/>
  <c r="S3890" i="1"/>
  <c r="T3890" i="1" s="1" a="1"/>
  <c r="T3890" i="1" s="1"/>
  <c r="S3891" i="1"/>
  <c r="T3891" i="1" s="1" a="1"/>
  <c r="T3891" i="1" s="1"/>
  <c r="S3892" i="1"/>
  <c r="T3892" i="1" s="1" a="1"/>
  <c r="T3892" i="1" s="1"/>
  <c r="S3893" i="1"/>
  <c r="T3893" i="1" s="1" a="1"/>
  <c r="T3893" i="1" s="1"/>
  <c r="S3894" i="1"/>
  <c r="T3894" i="1" s="1" a="1"/>
  <c r="T3894" i="1" s="1"/>
  <c r="S3895" i="1"/>
  <c r="T3895" i="1" s="1" a="1"/>
  <c r="T3895" i="1" s="1"/>
  <c r="S3896" i="1"/>
  <c r="T3896" i="1" s="1" a="1"/>
  <c r="T3896" i="1" s="1"/>
  <c r="S3897" i="1"/>
  <c r="T3897" i="1" s="1" a="1"/>
  <c r="T3897" i="1" s="1"/>
  <c r="S3898" i="1"/>
  <c r="T3898" i="1" s="1" a="1"/>
  <c r="T3898" i="1" s="1"/>
  <c r="S3899" i="1"/>
  <c r="T3899" i="1" s="1" a="1"/>
  <c r="T3899" i="1" s="1"/>
  <c r="S3900" i="1"/>
  <c r="T3900" i="1" s="1" a="1"/>
  <c r="T3900" i="1" s="1"/>
  <c r="S3901" i="1"/>
  <c r="T3901" i="1" s="1" a="1"/>
  <c r="T3901" i="1" s="1"/>
  <c r="S2" i="1"/>
  <c r="T2" i="1" s="1" a="1"/>
  <c r="T2" i="1" s="1"/>
  <c r="W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<sst xmlns="http://schemas.openxmlformats.org/spreadsheetml/2006/main" count="50952" uniqueCount="281">
  <si>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</si>
  <si>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</si>
  <si>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</si>
  <si>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</si>
  <si>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</si>
  <si>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</si>
  <si>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</si>
  <si>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</si>
  <si>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</si>
  <si>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</si>
  <si>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</si>
  <si>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</si>
  <si>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</si>
  <si>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</si>
  <si>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</si>
  <si>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</si>
  <si>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</si>
  <si>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</si>
  <si>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</si>
  <si>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</si>
  <si>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</si>
  <si>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</si>
  <si>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</si>
  <si>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</si>
  <si>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</si>
  <si>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</si>
  <si>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</si>
  <si>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</si>
  <si>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</si>
  <si>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</si>
  <si>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</si>
  <si>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</si>
  <si>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</si>
  <si>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</si>
  <si>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</si>
  <si>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</si>
  <si>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</si>
  <si>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</si>
  <si>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</si>
  <si>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</si>
  <si>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</si>
  <si>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</si>
  <si>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</si>
  <si>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</si>
  <si>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</si>
  <si>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</si>
  <si>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</si>
  <si>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</si>
  <si>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</si>
  <si>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</si>
  <si>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</si>
  <si>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</si>
  <si>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</si>
  <si>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</si>
  <si>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</si>
  <si>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</si>
  <si>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</si>
  <si>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</si>
  <si>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</si>
  <si>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</si>
  <si>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</si>
  <si>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</si>
  <si>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</si>
  <si>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</si>
  <si>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</si>
  <si>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</si>
  <si>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</si>
  <si>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</si>
  <si>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</si>
  <si>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</si>
  <si>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</si>
  <si>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</si>
  <si>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</si>
  <si>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</si>
  <si>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</si>
  <si>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</si>
  <si>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</si>
  <si>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</si>
  <si>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</si>
  <si>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</si>
  <si>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</si>
  <si>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</si>
  <si>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</si>
  <si>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</si>
  <si>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</si>
  <si>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</si>
  <si>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</si>
  <si>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</si>
  <si>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</si>
  <si>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</si>
  <si>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</si>
  <si>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</si>
  <si>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</si>
  <si>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</si>
  <si>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</si>
  <si>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</si>
  <si>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</si>
  <si>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</si>
  <si>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</si>
  <si>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</si>
  <si>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</si>
  <si>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</si>
  <si>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</si>
  <si>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</si>
  <si>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</si>
  <si>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</si>
  <si>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</si>
  <si>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</si>
  <si>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</si>
  <si>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</si>
  <si>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</si>
  <si>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</si>
  <si>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</si>
  <si>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</si>
  <si>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</si>
  <si>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</si>
  <si>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</si>
  <si>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</si>
  <si>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</si>
  <si>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</si>
  <si>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</si>
  <si>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</si>
  <si>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</si>
  <si>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</si>
  <si>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</si>
  <si>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</si>
  <si>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</si>
  <si>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</si>
  <si>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</si>
  <si>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</si>
  <si>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</si>
  <si>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</si>
  <si>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</si>
  <si>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</si>
  <si>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</si>
  <si>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</si>
  <si>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</si>
  <si>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</si>
  <si>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</si>
  <si>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</si>
  <si>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</si>
  <si>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</si>
  <si>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</si>
  <si>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</si>
  <si>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</si>
  <si>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</si>
  <si>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</si>
  <si>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</si>
  <si>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</si>
  <si>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</si>
  <si>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</si>
  <si>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</si>
  <si>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</si>
  <si>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Grand Total</t>
  </si>
  <si>
    <t xml:space="preserve">Category of Products </t>
  </si>
  <si>
    <t>Count of Customer ID</t>
  </si>
  <si>
    <t>Count of Purchase</t>
  </si>
  <si>
    <t>Sum of Purchase Amount (USD)</t>
  </si>
  <si>
    <t>Total Purchase</t>
  </si>
  <si>
    <t>Categorywize Purchase Value</t>
  </si>
  <si>
    <t>Total Purchase %</t>
  </si>
  <si>
    <t>18-27</t>
  </si>
  <si>
    <t>28-37</t>
  </si>
  <si>
    <t>38-47</t>
  </si>
  <si>
    <t>48-57</t>
  </si>
  <si>
    <t>58-67</t>
  </si>
  <si>
    <t>68-77</t>
  </si>
  <si>
    <t>The most revenue comes from clothes category have more than 44% of the total reveue</t>
  </si>
  <si>
    <t>Agewize Total Purchase</t>
  </si>
  <si>
    <t>Column Labels</t>
  </si>
  <si>
    <t>Avg Purchase</t>
  </si>
  <si>
    <t>Category with the most total revenue?</t>
  </si>
  <si>
    <t>Age segment with the most total revenue?</t>
  </si>
  <si>
    <t>The most average revenue was contributed by the age segment between 48-57  with £60.98</t>
  </si>
  <si>
    <t>Subscription</t>
  </si>
  <si>
    <t>No of Purchase</t>
  </si>
  <si>
    <t>Subscription Level?</t>
  </si>
  <si>
    <t>The subscription is meger 7.30% of the total Customer</t>
  </si>
  <si>
    <t>Subscription %</t>
  </si>
  <si>
    <t>Count of Item Purchased</t>
  </si>
  <si>
    <t>Most purchased Size</t>
  </si>
  <si>
    <t>Purchase Count</t>
  </si>
  <si>
    <t>45% of the total purchase is done with M size products</t>
  </si>
  <si>
    <t>Seasons</t>
  </si>
  <si>
    <t>Revenue</t>
  </si>
  <si>
    <t>Previous Purchase</t>
  </si>
  <si>
    <t>Increase Volume</t>
  </si>
  <si>
    <t>% Increase in purchase from pervious</t>
  </si>
  <si>
    <t>% Increase in purchase from pervious seasonwize</t>
  </si>
  <si>
    <t>There is a total increase of %135 from the pervious purchase and 146% in Fall then the pervious season</t>
  </si>
  <si>
    <t>Frequency of Purchases Consolidation</t>
  </si>
  <si>
    <t>Number of customers</t>
  </si>
  <si>
    <t>How Frequent Purchase is done by location</t>
  </si>
  <si>
    <t>Locationwize Frequency %</t>
  </si>
  <si>
    <t>Michigan has the highest frequency by 41.60% Quarterly</t>
  </si>
  <si>
    <t>Total revenue</t>
  </si>
  <si>
    <t>Payment method</t>
  </si>
  <si>
    <t>The payment mostly received by Credit card but by a slight mergin</t>
  </si>
  <si>
    <t>Mens purchase is dominating the revenue with mostly selecting Pants</t>
  </si>
  <si>
    <t>Promotion Code</t>
  </si>
  <si>
    <t>Number of Purchases</t>
  </si>
  <si>
    <t>Use of Promotion code</t>
  </si>
  <si>
    <t>Promotion code</t>
  </si>
  <si>
    <t>57% of the purchase has been by using Promotion code</t>
  </si>
  <si>
    <t>Discounts</t>
  </si>
  <si>
    <t>Count of customers</t>
  </si>
  <si>
    <t>Discounts taken</t>
  </si>
  <si>
    <t>81.50% of the customer do not get discounts which shows the reveinue is not drived by discounts</t>
  </si>
  <si>
    <t>Delivery Type</t>
  </si>
  <si>
    <t>Delivery Count</t>
  </si>
  <si>
    <t>Most of customers take free delivery but its by just a margin</t>
  </si>
  <si>
    <r>
      <t>Double down on clothes and men’s pants</t>
    </r>
    <r>
      <rPr>
        <sz val="11"/>
        <color theme="1"/>
        <rFont val="Calibri"/>
        <family val="2"/>
        <scheme val="minor"/>
      </rPr>
      <t xml:space="preserve"> in marketing and inventory.</t>
    </r>
  </si>
  <si>
    <r>
      <t>Target 48–57 age group</t>
    </r>
    <r>
      <rPr>
        <sz val="11"/>
        <color theme="1"/>
        <rFont val="Calibri"/>
        <family val="2"/>
        <scheme val="minor"/>
      </rPr>
      <t xml:space="preserve"> with premium offerings and loyalty incentives.</t>
    </r>
  </si>
  <si>
    <r>
      <t>Promote subscriptions</t>
    </r>
    <r>
      <rPr>
        <sz val="11"/>
        <color theme="1"/>
        <rFont val="Calibri"/>
        <family val="2"/>
        <scheme val="minor"/>
      </rPr>
      <t xml:space="preserve"> to boost retention and recurring revenue.</t>
    </r>
  </si>
  <si>
    <r>
      <t>Capitalize on Fall season</t>
    </r>
    <r>
      <rPr>
        <sz val="11"/>
        <color theme="1"/>
        <rFont val="Calibri"/>
        <family val="2"/>
        <scheme val="minor"/>
      </rPr>
      <t xml:space="preserve"> with timed promotions and stock planning.</t>
    </r>
  </si>
  <si>
    <r>
      <t>Focus regional efforts on Michigan</t>
    </r>
    <r>
      <rPr>
        <sz val="11"/>
        <color theme="1"/>
        <rFont val="Calibri"/>
        <family val="2"/>
        <scheme val="minor"/>
      </rPr>
      <t>, especially for quarterly campaigns.</t>
    </r>
  </si>
  <si>
    <r>
      <t>Optimize M size inventory</t>
    </r>
    <r>
      <rPr>
        <sz val="11"/>
        <color theme="1"/>
        <rFont val="Calibri"/>
        <family val="2"/>
        <scheme val="minor"/>
      </rPr>
      <t xml:space="preserve"> and consider bundling with free delivery for upsell.</t>
    </r>
  </si>
  <si>
    <t>This Could help the increase Business</t>
  </si>
  <si>
    <t>Avg Purchase per customer</t>
  </si>
  <si>
    <t>median purchase frequency across all customers</t>
  </si>
  <si>
    <t>Helper col</t>
  </si>
  <si>
    <t>Variance</t>
  </si>
  <si>
    <t>Category Highest Variance</t>
  </si>
  <si>
    <t xml:space="preserve">T-Test Male Vs Female </t>
  </si>
  <si>
    <t>Variable 1</t>
  </si>
  <si>
    <t>Variable 2</t>
  </si>
  <si>
    <t>Mean</t>
  </si>
  <si>
    <t>Observations</t>
  </si>
  <si>
    <t>Hypothesized Mean Difference</t>
  </si>
  <si>
    <t>df</t>
  </si>
  <si>
    <t>F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</si>
  <si>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</si>
  <si>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</si>
  <si>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</si>
  <si>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</si>
  <si>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</si>
  <si>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</si>
  <si>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</si>
  <si>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The test provides that no significant difference between the 2 samples means</t>
  </si>
  <si>
    <t>SUMMARY</t>
  </si>
  <si>
    <t>Groups</t>
  </si>
  <si>
    <t>Count</t>
  </si>
  <si>
    <t>Sum</t>
  </si>
  <si>
    <t>Average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</si>
  <si>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</si>
  <si>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</si>
  <si>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</si>
  <si>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</si>
  <si>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</si>
  <si>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</si>
  <si>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</si>
  <si>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</si>
  <si>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</si>
  <si>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</si>
  <si>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</si>
  <si>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</si>
  <si>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</si>
  <si>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</si>
  <si>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</si>
  <si>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</si>
  <si>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</si>
  <si>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</si>
  <si>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</si>
  <si>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</si>
  <si>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</si>
  <si>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</si>
  <si>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</si>
  <si>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</si>
  <si>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</si>
  <si>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</si>
  <si>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</si>
  <si>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</si>
  <si>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</si>
  <si>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</si>
  <si>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</si>
  <si>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</si>
  <si>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</si>
  <si>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t>Anova: Single Factor For Alabama, Alaska, Arizona and Arkansas</t>
  </si>
  <si>
    <t>As the p-value 0.103 is not less than 0.05 so the loaction does not influence the purchase behaviour</t>
  </si>
  <si>
    <t>Item Purchased by Gender</t>
  </si>
  <si>
    <t>Analysis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</si>
</sst>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pivotButton="1" applyAlignment="1">
      <alignment horizontal="center"/>
    </xf>
    <xf numFmtId="0" fontId="16" fillId="33" borderId="0" xfId="0" applyFont="1" applyFill="1"/>
    <xf numFmtId="2" fontId="0" fillId="0" borderId="0" xfId="0" applyNumberFormat="1"/>
    <xf numFmtId="0" fontId="16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Fill="1" applyBorder="1" applyAlignment="1"/>
    <xf numFmtId="0" fontId="0" fillId="0" borderId="0" xfId="0" applyFill="1" applyBorder="1" applyAlignment="1"/>
    <xf numFmtId="0" fontId="0" fillId="0" borderId="21" xfId="0" applyFill="1" applyBorder="1" applyAlignment="1"/>
    <xf numFmtId="0" fontId="19" fillId="0" borderId="22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33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Purchase Behaviour.xlsx]Pivot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Categorywize Purchase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Purchase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Table'!$A$4:$A$8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1737</c:v>
                </c:pt>
                <c:pt idx="1">
                  <c:v>1240</c:v>
                </c:pt>
                <c:pt idx="2">
                  <c:v>599</c:v>
                </c:pt>
                <c:pt idx="3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F-4D07-8C71-760F4A291053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Total Purchase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Table'!$A$4:$A$8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'Pivot Table'!$C$4:$C$8</c:f>
              <c:numCache>
                <c:formatCode>General</c:formatCode>
                <c:ptCount val="4"/>
                <c:pt idx="0">
                  <c:v>104264</c:v>
                </c:pt>
                <c:pt idx="1">
                  <c:v>74200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EF-4D07-8C71-760F4A291053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Total Purchase %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Table'!$A$4:$A$8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'Pivot Table'!$D$4:$D$8</c:f>
              <c:numCache>
                <c:formatCode>0.00%</c:formatCode>
                <c:ptCount val="4"/>
                <c:pt idx="0">
                  <c:v>0.44732946915449995</c:v>
                </c:pt>
                <c:pt idx="1">
                  <c:v>0.31834426658543596</c:v>
                </c:pt>
                <c:pt idx="2">
                  <c:v>0.15485174681762992</c:v>
                </c:pt>
                <c:pt idx="3">
                  <c:v>7.9474517442434181E-2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EF-4D07-8C71-760F4A291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52320928"/>
        <c:axId val="1552319264"/>
      </c:barChart>
      <c:catAx>
        <c:axId val="1552320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19264"/>
        <c:crosses val="autoZero"/>
        <c:auto val="1"/>
        <c:lblAlgn val="ctr"/>
        <c:lblOffset val="100"/>
        <c:noMultiLvlLbl val="0"/>
      </c:catAx>
      <c:valAx>
        <c:axId val="1552319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2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Purchase Behaviour.xlsx]Pivot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1" i="0" cap="all" baseline="0">
                <a:effectLst/>
              </a:rPr>
              <a:t>Categorywize Average Total purchase </a:t>
            </a:r>
            <a:endParaRPr lang="en-IN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Table'!$B$11:$B$12</c:f>
              <c:strCache>
                <c:ptCount val="1"/>
                <c:pt idx="0">
                  <c:v>Footwear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Table'!$A$13:$A$19</c:f>
              <c:strCache>
                <c:ptCount val="6"/>
                <c:pt idx="0">
                  <c:v>48-57</c:v>
                </c:pt>
                <c:pt idx="1">
                  <c:v>28-37</c:v>
                </c:pt>
                <c:pt idx="2">
                  <c:v>18-27</c:v>
                </c:pt>
                <c:pt idx="3">
                  <c:v>58-67</c:v>
                </c:pt>
                <c:pt idx="4">
                  <c:v>68-77</c:v>
                </c:pt>
                <c:pt idx="5">
                  <c:v>38-47</c:v>
                </c:pt>
              </c:strCache>
            </c:strRef>
          </c:cat>
          <c:val>
            <c:numRef>
              <c:f>'Pivot Table'!$B$13:$B$19</c:f>
              <c:numCache>
                <c:formatCode>0.00</c:formatCode>
                <c:ptCount val="6"/>
                <c:pt idx="0">
                  <c:v>61.348684210526315</c:v>
                </c:pt>
                <c:pt idx="1">
                  <c:v>63.273584905660378</c:v>
                </c:pt>
                <c:pt idx="2">
                  <c:v>61.790476190476191</c:v>
                </c:pt>
                <c:pt idx="3">
                  <c:v>59.173469387755105</c:v>
                </c:pt>
                <c:pt idx="4">
                  <c:v>59.696969696969695</c:v>
                </c:pt>
                <c:pt idx="5">
                  <c:v>55.276190476190479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C-4BA3-8D2D-63D594CAA3A2}"/>
            </c:ext>
          </c:extLst>
        </c:ser>
        <c:ser>
          <c:idx val="1"/>
          <c:order val="1"/>
          <c:tx>
            <c:strRef>
              <c:f>'Pivot Table'!$C$11:$C$12</c:f>
              <c:strCache>
                <c:ptCount val="1"/>
                <c:pt idx="0">
                  <c:v>Clothing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Table'!$A$13:$A$19</c:f>
              <c:strCache>
                <c:ptCount val="6"/>
                <c:pt idx="0">
                  <c:v>48-57</c:v>
                </c:pt>
                <c:pt idx="1">
                  <c:v>28-37</c:v>
                </c:pt>
                <c:pt idx="2">
                  <c:v>18-27</c:v>
                </c:pt>
                <c:pt idx="3">
                  <c:v>58-67</c:v>
                </c:pt>
                <c:pt idx="4">
                  <c:v>68-77</c:v>
                </c:pt>
                <c:pt idx="5">
                  <c:v>38-47</c:v>
                </c:pt>
              </c:strCache>
            </c:strRef>
          </c:cat>
          <c:val>
            <c:numRef>
              <c:f>'Pivot Table'!$C$13:$C$19</c:f>
              <c:numCache>
                <c:formatCode>0.00</c:formatCode>
                <c:ptCount val="6"/>
                <c:pt idx="0">
                  <c:v>61.096874999999997</c:v>
                </c:pt>
                <c:pt idx="1">
                  <c:v>60.636094674556212</c:v>
                </c:pt>
                <c:pt idx="2">
                  <c:v>59.096096096096097</c:v>
                </c:pt>
                <c:pt idx="3">
                  <c:v>60.087227414330215</c:v>
                </c:pt>
                <c:pt idx="4">
                  <c:v>60.2</c:v>
                </c:pt>
                <c:pt idx="5">
                  <c:v>59.17230769230769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C-4BA3-8D2D-63D594CAA3A2}"/>
            </c:ext>
          </c:extLst>
        </c:ser>
        <c:ser>
          <c:idx val="2"/>
          <c:order val="2"/>
          <c:tx>
            <c:strRef>
              <c:f>'Pivot Table'!$D$11:$D$12</c:f>
              <c:strCache>
                <c:ptCount val="1"/>
                <c:pt idx="0">
                  <c:v>Accessories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Table'!$A$13:$A$19</c:f>
              <c:strCache>
                <c:ptCount val="6"/>
                <c:pt idx="0">
                  <c:v>48-57</c:v>
                </c:pt>
                <c:pt idx="1">
                  <c:v>28-37</c:v>
                </c:pt>
                <c:pt idx="2">
                  <c:v>18-27</c:v>
                </c:pt>
                <c:pt idx="3">
                  <c:v>58-67</c:v>
                </c:pt>
                <c:pt idx="4">
                  <c:v>68-77</c:v>
                </c:pt>
                <c:pt idx="5">
                  <c:v>38-47</c:v>
                </c:pt>
              </c:strCache>
            </c:strRef>
          </c:cat>
          <c:val>
            <c:numRef>
              <c:f>'Pivot Table'!$D$13:$D$19</c:f>
              <c:numCache>
                <c:formatCode>0.00</c:formatCode>
                <c:ptCount val="6"/>
                <c:pt idx="0">
                  <c:v>61.258620689655174</c:v>
                </c:pt>
                <c:pt idx="1">
                  <c:v>59.861788617886177</c:v>
                </c:pt>
                <c:pt idx="2">
                  <c:v>60.727272727272727</c:v>
                </c:pt>
                <c:pt idx="3">
                  <c:v>59.395555555555553</c:v>
                </c:pt>
                <c:pt idx="4">
                  <c:v>57.609756097560975</c:v>
                </c:pt>
                <c:pt idx="5">
                  <c:v>58.782978723404256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8C-4BA3-8D2D-63D594CAA3A2}"/>
            </c:ext>
          </c:extLst>
        </c:ser>
        <c:ser>
          <c:idx val="3"/>
          <c:order val="3"/>
          <c:tx>
            <c:strRef>
              <c:f>'Pivot Table'!$E$11:$E$12</c:f>
              <c:strCache>
                <c:ptCount val="1"/>
                <c:pt idx="0">
                  <c:v>Outerwear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Table'!$A$13:$A$19</c:f>
              <c:strCache>
                <c:ptCount val="6"/>
                <c:pt idx="0">
                  <c:v>48-57</c:v>
                </c:pt>
                <c:pt idx="1">
                  <c:v>28-37</c:v>
                </c:pt>
                <c:pt idx="2">
                  <c:v>18-27</c:v>
                </c:pt>
                <c:pt idx="3">
                  <c:v>58-67</c:v>
                </c:pt>
                <c:pt idx="4">
                  <c:v>68-77</c:v>
                </c:pt>
                <c:pt idx="5">
                  <c:v>38-47</c:v>
                </c:pt>
              </c:strCache>
            </c:strRef>
          </c:cat>
          <c:val>
            <c:numRef>
              <c:f>'Pivot Table'!$E$13:$E$19</c:f>
              <c:numCache>
                <c:formatCode>0.00</c:formatCode>
                <c:ptCount val="6"/>
                <c:pt idx="0">
                  <c:v>58.523809523809526</c:v>
                </c:pt>
                <c:pt idx="1">
                  <c:v>58.627450980392155</c:v>
                </c:pt>
                <c:pt idx="2">
                  <c:v>58.07692307692308</c:v>
                </c:pt>
                <c:pt idx="3">
                  <c:v>53.3</c:v>
                </c:pt>
                <c:pt idx="4">
                  <c:v>57.8</c:v>
                </c:pt>
                <c:pt idx="5">
                  <c:v>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8C-4BA3-8D2D-63D594CAA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87819200"/>
        <c:axId val="1487821696"/>
      </c:barChart>
      <c:catAx>
        <c:axId val="148781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 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21696"/>
        <c:crosses val="autoZero"/>
        <c:auto val="1"/>
        <c:lblAlgn val="ctr"/>
        <c:lblOffset val="100"/>
        <c:noMultiLvlLbl val="0"/>
      </c:catAx>
      <c:valAx>
        <c:axId val="148782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Total purchase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1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Purchase Behaviour.xlsx]Pivot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Subscription %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Accessories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Table'!$B$24:$B$26</c:f>
              <c:numCache>
                <c:formatCode>0.00%</c:formatCode>
                <c:ptCount val="2"/>
                <c:pt idx="0">
                  <c:v>0.2938862487593582</c:v>
                </c:pt>
                <c:pt idx="1">
                  <c:v>2.3247687969554159E-2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A-4D07-B6BD-E3116E914B57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Clothing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Table'!$C$24:$C$26</c:f>
              <c:numCache>
                <c:formatCode>0.00%</c:formatCode>
                <c:ptCount val="2"/>
                <c:pt idx="0">
                  <c:v>0.41575480317341379</c:v>
                </c:pt>
                <c:pt idx="1">
                  <c:v>3.1556931490281916E-2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FA-4D07-B6BD-E3116E914B57}"/>
            </c:ext>
          </c:extLst>
        </c:ser>
        <c:ser>
          <c:idx val="2"/>
          <c:order val="2"/>
          <c:tx>
            <c:strRef>
              <c:f>'Pivot Table'!$D$22:$D$23</c:f>
              <c:strCache>
                <c:ptCount val="1"/>
                <c:pt idx="0">
                  <c:v>Footwear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Table'!$D$24:$D$26</c:f>
              <c:numCache>
                <c:formatCode>0.00%</c:formatCode>
                <c:ptCount val="2"/>
                <c:pt idx="0">
                  <c:v>0.14178323769710593</c:v>
                </c:pt>
                <c:pt idx="1">
                  <c:v>1.2535641748664051E-2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FA-4D07-B6BD-E3116E914B57}"/>
            </c:ext>
          </c:extLst>
        </c:ser>
        <c:ser>
          <c:idx val="3"/>
          <c:order val="3"/>
          <c:tx>
            <c:strRef>
              <c:f>'Pivot Table'!$E$22:$E$23</c:f>
              <c:strCache>
                <c:ptCount val="1"/>
                <c:pt idx="0">
                  <c:v>Outerwear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Table'!$E$24:$E$26</c:f>
              <c:numCache>
                <c:formatCode>0.00%</c:formatCode>
                <c:ptCount val="2"/>
                <c:pt idx="0">
                  <c:v>7.5625184863841621E-2</c:v>
                </c:pt>
                <c:pt idx="1">
                  <c:v>5.6102642977803197E-3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FA-4D07-B6BD-E3116E914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970176"/>
        <c:axId val="1676974752"/>
      </c:lineChart>
      <c:catAx>
        <c:axId val="167697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Subscriptions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74752"/>
        <c:crosses val="autoZero"/>
        <c:auto val="1"/>
        <c:lblAlgn val="ctr"/>
        <c:lblOffset val="100"/>
        <c:noMultiLvlLbl val="0"/>
      </c:catAx>
      <c:valAx>
        <c:axId val="16769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7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Purchase Behaviour.xlsx]Pivot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Most purchased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Table'!$B$61</c:f>
              <c:strCache>
                <c:ptCount val="1"/>
                <c:pt idx="0">
                  <c:v>Purchase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Table'!$A$62:$A$66</c:f>
              <c:strCache>
                <c:ptCount val="4"/>
                <c:pt idx="0">
                  <c:v>M</c:v>
                </c:pt>
                <c:pt idx="1">
                  <c:v>L</c:v>
                </c:pt>
                <c:pt idx="2">
                  <c:v>S</c:v>
                </c:pt>
                <c:pt idx="3">
                  <c:v>XL</c:v>
                </c:pt>
              </c:strCache>
            </c:strRef>
          </c:cat>
          <c:val>
            <c:numRef>
              <c:f>'Pivot Table'!$B$62:$B$66</c:f>
              <c:numCache>
                <c:formatCode>General</c:formatCode>
                <c:ptCount val="4"/>
                <c:pt idx="0">
                  <c:v>1755</c:v>
                </c:pt>
                <c:pt idx="1">
                  <c:v>1053</c:v>
                </c:pt>
                <c:pt idx="2">
                  <c:v>663</c:v>
                </c:pt>
                <c:pt idx="3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E-4774-9060-768A7EA4893B}"/>
            </c:ext>
          </c:extLst>
        </c:ser>
        <c:ser>
          <c:idx val="1"/>
          <c:order val="1"/>
          <c:tx>
            <c:strRef>
              <c:f>'Pivot Table'!$C$61</c:f>
              <c:strCache>
                <c:ptCount val="1"/>
                <c:pt idx="0">
                  <c:v>Count of Item Purchased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Table'!$A$62:$A$66</c:f>
              <c:strCache>
                <c:ptCount val="4"/>
                <c:pt idx="0">
                  <c:v>M</c:v>
                </c:pt>
                <c:pt idx="1">
                  <c:v>L</c:v>
                </c:pt>
                <c:pt idx="2">
                  <c:v>S</c:v>
                </c:pt>
                <c:pt idx="3">
                  <c:v>XL</c:v>
                </c:pt>
              </c:strCache>
            </c:strRef>
          </c:cat>
          <c:val>
            <c:numRef>
              <c:f>'Pivot Table'!$C$62:$C$66</c:f>
              <c:numCache>
                <c:formatCode>0.00%</c:formatCode>
                <c:ptCount val="4"/>
                <c:pt idx="0">
                  <c:v>0.45</c:v>
                </c:pt>
                <c:pt idx="1">
                  <c:v>0.27</c:v>
                </c:pt>
                <c:pt idx="2">
                  <c:v>0.17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E-4774-9060-768A7EA48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3847040"/>
        <c:axId val="1303848288"/>
      </c:barChart>
      <c:catAx>
        <c:axId val="130384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48288"/>
        <c:crosses val="autoZero"/>
        <c:auto val="1"/>
        <c:lblAlgn val="ctr"/>
        <c:lblOffset val="100"/>
        <c:noMultiLvlLbl val="0"/>
      </c:catAx>
      <c:valAx>
        <c:axId val="130384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4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Purchase Behaviour.xlsx]Pivot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/>
              <a:t>% Increase in purchase from pervious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Table'!$B$37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Table'!$A$38:$A$42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'Pivot Table'!$B$38:$B$42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A-49C4-A3DC-5F6EB8BD88FC}"/>
            </c:ext>
          </c:extLst>
        </c:ser>
        <c:ser>
          <c:idx val="1"/>
          <c:order val="1"/>
          <c:tx>
            <c:strRef>
              <c:f>'Pivot Table'!$C$37</c:f>
              <c:strCache>
                <c:ptCount val="1"/>
                <c:pt idx="0">
                  <c:v>Previous Purchase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Table'!$A$38:$A$42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'Pivot Table'!$C$38:$C$42</c:f>
              <c:numCache>
                <c:formatCode>General</c:formatCode>
                <c:ptCount val="4"/>
                <c:pt idx="0">
                  <c:v>24346</c:v>
                </c:pt>
                <c:pt idx="1">
                  <c:v>25091</c:v>
                </c:pt>
                <c:pt idx="2">
                  <c:v>24265</c:v>
                </c:pt>
                <c:pt idx="3">
                  <c:v>25169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A-49C4-A3DC-5F6EB8BD88FC}"/>
            </c:ext>
          </c:extLst>
        </c:ser>
        <c:ser>
          <c:idx val="2"/>
          <c:order val="2"/>
          <c:tx>
            <c:strRef>
              <c:f>'Pivot Table'!$D$37</c:f>
              <c:strCache>
                <c:ptCount val="1"/>
                <c:pt idx="0">
                  <c:v>Increase Volume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Table'!$A$38:$A$42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'Pivot Table'!$D$38:$D$42</c:f>
              <c:numCache>
                <c:formatCode>0.00</c:formatCode>
                <c:ptCount val="4"/>
                <c:pt idx="0">
                  <c:v>146.52098907418056</c:v>
                </c:pt>
                <c:pt idx="1">
                  <c:v>133.86473237415805</c:v>
                </c:pt>
                <c:pt idx="2">
                  <c:v>129.86606222954873</c:v>
                </c:pt>
                <c:pt idx="3">
                  <c:v>132.85390758472724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A-49C4-A3DC-5F6EB8BD88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82071344"/>
        <c:axId val="1482072592"/>
      </c:barChart>
      <c:catAx>
        <c:axId val="1482071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Seasons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072592"/>
        <c:crosses val="autoZero"/>
        <c:auto val="1"/>
        <c:lblAlgn val="ctr"/>
        <c:lblOffset val="100"/>
        <c:noMultiLvlLbl val="0"/>
      </c:catAx>
      <c:valAx>
        <c:axId val="14820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07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Purchase Behaviour.xlsx]Pivot Table!Payment Method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Payment Method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BE-4EF4-A994-A0E8408A336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BE-4EF4-A994-A0E8408A336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BE-4EF4-A994-A0E8408A336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3BE-4EF4-A994-A0E8408A336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3BE-4EF4-A994-A0E8408A336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3BE-4EF4-A994-A0E8408A33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Table'!$A$70:$A$76</c:f>
              <c:strCache>
                <c:ptCount val="6"/>
                <c:pt idx="0">
                  <c:v>Credit Card</c:v>
                </c:pt>
                <c:pt idx="1">
                  <c:v>PayPal</c:v>
                </c:pt>
                <c:pt idx="2">
                  <c:v>Cash</c:v>
                </c:pt>
                <c:pt idx="3">
                  <c:v>Debit Card</c:v>
                </c:pt>
                <c:pt idx="4">
                  <c:v>Venmo</c:v>
                </c:pt>
                <c:pt idx="5">
                  <c:v>Bank Transfer</c:v>
                </c:pt>
              </c:strCache>
            </c:strRef>
          </c:cat>
          <c:val>
            <c:numRef>
              <c:f>'Pivot Table'!$B$70:$B$76</c:f>
              <c:numCache>
                <c:formatCode>General</c:formatCode>
                <c:ptCount val="6"/>
                <c:pt idx="0">
                  <c:v>40310</c:v>
                </c:pt>
                <c:pt idx="1">
                  <c:v>40109</c:v>
                </c:pt>
                <c:pt idx="2">
                  <c:v>40002</c:v>
                </c:pt>
                <c:pt idx="3">
                  <c:v>38742</c:v>
                </c:pt>
                <c:pt idx="4">
                  <c:v>37374</c:v>
                </c:pt>
                <c:pt idx="5">
                  <c:v>36544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3BE-4EF4-A994-A0E8408A33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Purchase Behaviour.xlsx]Pivot Table!PivotTable9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Use of Promotion code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Table'!$A$95:$A$97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Table'!$B$95:$B$97</c:f>
              <c:numCache>
                <c:formatCode>0.00%</c:formatCode>
                <c:ptCount val="2"/>
                <c:pt idx="0">
                  <c:v>0.56999999999999995</c:v>
                </c:pt>
                <c:pt idx="1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D-44C4-936D-6929B209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73021168"/>
        <c:axId val="1673020752"/>
      </c:barChart>
      <c:catAx>
        <c:axId val="167302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Subscription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20752"/>
        <c:crosses val="autoZero"/>
        <c:auto val="1"/>
        <c:lblAlgn val="ctr"/>
        <c:lblOffset val="100"/>
        <c:noMultiLvlLbl val="0"/>
      </c:catAx>
      <c:valAx>
        <c:axId val="167302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2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Purchase Behaviour.xlsx]Pivot Table!PivotTable11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Delivery Count</a:t>
            </a: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Table'!$B$108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Table'!$A$109:$A$115</c:f>
              <c:strCache>
                <c:ptCount val="6"/>
                <c:pt idx="0">
                  <c:v>Free Shipping</c:v>
                </c:pt>
                <c:pt idx="1">
                  <c:v>Standard</c:v>
                </c:pt>
                <c:pt idx="2">
                  <c:v>Store Pickup</c:v>
                </c:pt>
                <c:pt idx="3">
                  <c:v>Next Day Air</c:v>
                </c:pt>
                <c:pt idx="4">
                  <c:v>Express</c:v>
                </c:pt>
                <c:pt idx="5">
                  <c:v>2-Day Shipping</c:v>
                </c:pt>
              </c:strCache>
            </c:strRef>
          </c:cat>
          <c:val>
            <c:numRef>
              <c:f>'Pivot Table'!$B$109:$B$115</c:f>
              <c:numCache>
                <c:formatCode>General</c:formatCode>
                <c:ptCount val="6"/>
                <c:pt idx="0">
                  <c:v>675</c:v>
                </c:pt>
                <c:pt idx="1">
                  <c:v>654</c:v>
                </c:pt>
                <c:pt idx="2">
                  <c:v>650</c:v>
                </c:pt>
                <c:pt idx="3">
                  <c:v>648</c:v>
                </c:pt>
                <c:pt idx="4">
                  <c:v>646</c:v>
                </c:pt>
                <c:pt idx="5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8-44D7-9D99-824B6BB61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786560"/>
        <c:axId val="1315786976"/>
      </c:lineChart>
      <c:catAx>
        <c:axId val="131578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Delivery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786976"/>
        <c:crosses val="autoZero"/>
        <c:auto val="1"/>
        <c:lblAlgn val="ctr"/>
        <c:lblOffset val="100"/>
        <c:noMultiLvlLbl val="0"/>
      </c:catAx>
      <c:valAx>
        <c:axId val="131578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78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235567</xdr:colOff>
      <xdr:row>0</xdr:row>
      <xdr:rowOff>168700</xdr:rowOff>
    </xdr:from>
    <xdr:to>
      <xdr:col>9</xdr:col>
      <xdr:colOff>540367</xdr:colOff>
      <xdr:row>15</xdr:row>
      <xdr:rowOff>168700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9F4A4-F5D1-4174-B8F0-B967B7210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188125</xdr:colOff>
      <xdr:row>66</xdr:row>
      <xdr:rowOff>86393</xdr:rowOff>
    </xdr:from>
    <xdr:to>
      <xdr:col>9</xdr:col>
      <xdr:colOff>492925</xdr:colOff>
      <xdr:row>81</xdr:row>
      <xdr:rowOff>86394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A26C1C-AA96-4F4B-BB2D-1D6E91890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136170</xdr:colOff>
      <xdr:row>82</xdr:row>
      <xdr:rowOff>53935</xdr:rowOff>
    </xdr:from>
    <xdr:to>
      <xdr:col>9</xdr:col>
      <xdr:colOff>440970</xdr:colOff>
      <xdr:row>97</xdr:row>
      <xdr:rowOff>53935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C6F6F1-93F1-4E13-B29D-23F584D27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208510</xdr:colOff>
      <xdr:row>16</xdr:row>
      <xdr:rowOff>130926</xdr:rowOff>
    </xdr:from>
    <xdr:to>
      <xdr:col>9</xdr:col>
      <xdr:colOff>513310</xdr:colOff>
      <xdr:row>31</xdr:row>
      <xdr:rowOff>166254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F2ECC0-9D51-424D-BB84-8B98D88B8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175953</xdr:colOff>
      <xdr:row>34</xdr:row>
      <xdr:rowOff>15239</xdr:rowOff>
    </xdr:from>
    <xdr:to>
      <xdr:col>9</xdr:col>
      <xdr:colOff>480753</xdr:colOff>
      <xdr:row>49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689A29-0D6D-4B03-808E-26E83942E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146858</xdr:colOff>
      <xdr:row>50</xdr:row>
      <xdr:rowOff>26323</xdr:rowOff>
    </xdr:from>
    <xdr:to>
      <xdr:col>9</xdr:col>
      <xdr:colOff>451658</xdr:colOff>
      <xdr:row>65</xdr:row>
      <xdr:rowOff>26323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C9E873-6FCB-49FD-8175-7E88CCBF8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50273</xdr:colOff>
      <xdr:row>99</xdr:row>
      <xdr:rowOff>80951</xdr:rowOff>
    </xdr:from>
    <xdr:to>
      <xdr:col>9</xdr:col>
      <xdr:colOff>355073</xdr:colOff>
      <xdr:row>114</xdr:row>
      <xdr:rowOff>80951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B0D5E7-CD42-49A2-A0DD-D88A59FF2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50273</xdr:colOff>
      <xdr:row>116</xdr:row>
      <xdr:rowOff>80951</xdr:rowOff>
    </xdr:from>
    <xdr:to>
      <xdr:col>9</xdr:col>
      <xdr:colOff>355073</xdr:colOff>
      <xdr:row>131</xdr:row>
      <xdr:rowOff>80951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818AA1-61C6-4FCF-809F-5B44148CE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23455</xdr:colOff>
      <xdr:row>25</xdr:row>
      <xdr:rowOff>79962</xdr:rowOff>
    </xdr:from>
    <xdr:to>
      <xdr:col>13</xdr:col>
      <xdr:colOff>434935</xdr:colOff>
      <xdr:row>31</xdr:row>
      <xdr:rowOff>95202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BAB975E-AF02-427E-AD2B-F97CA85511AF}"/>
            </a:ext>
          </a:extLst>
        </xdr:cNvPr>
        <xdr:cNvSpPr/>
      </xdr:nvSpPr>
      <xdr:spPr>
        <a:xfrm>
          <a:off x="6119455" y="4582689"/>
          <a:ext cx="2240280" cy="109589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236815</xdr:colOff>
      <xdr:row>25</xdr:row>
      <xdr:rowOff>165959</xdr:rowOff>
    </xdr:from>
    <xdr:to>
      <xdr:col>13</xdr:col>
      <xdr:colOff>221575</xdr:colOff>
      <xdr:row>27</xdr:row>
      <xdr:rowOff>95202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A36D5E-96B6-498B-BE92-C385807B7B2C}"/>
            </a:ext>
          </a:extLst>
        </xdr:cNvPr>
        <xdr:cNvSpPr txBox="1"/>
      </xdr:nvSpPr>
      <xdr:spPr>
        <a:xfrm>
          <a:off x="6332815" y="4668686"/>
          <a:ext cx="1813560" cy="289461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bg1"/>
              </a:solidFill>
            </a:rPr>
            <a:t>Highest Selling</a:t>
          </a:r>
          <a:r>
            <a:rPr lang="en-IN" sz="1200" b="1" baseline="0">
              <a:solidFill>
                <a:schemeClr val="bg1"/>
              </a:solidFill>
            </a:rPr>
            <a:t> Category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69175</xdr:colOff>
      <xdr:row>27</xdr:row>
      <xdr:rowOff>118062</xdr:rowOff>
    </xdr:from>
    <xdr:to>
      <xdr:col>12</xdr:col>
      <xdr:colOff>236815</xdr:colOff>
      <xdr:row>29</xdr:row>
      <xdr:rowOff>41862</xdr:rowOff>
    </xdr:to>
    <xdr:sp macro="" textlink="'Pivot Table'!A4">
      <xdr:nvSpPr>
        <xdr:cNvPr id="13" name="TextBox 12">
          <a:extLst>
            <a:ext uri="{FF2B5EF4-FFF2-40B4-BE49-F238E27FC236}">
              <a16:creationId xmlns:a16="http://schemas.microsoft.com/office/drawing/2014/main" id="{6E78CD0E-2B1C-4558-A71E-37F492DE6E09}"/>
            </a:ext>
          </a:extLst>
        </xdr:cNvPr>
        <xdr:cNvSpPr txBox="1"/>
      </xdr:nvSpPr>
      <xdr:spPr>
        <a:xfrm>
          <a:off x="6774775" y="4981007"/>
          <a:ext cx="777240" cy="284019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4DB7EA9-587C-4CD0-BE10-4586B5857CF4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Clothing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168235</xdr:colOff>
      <xdr:row>29</xdr:row>
      <xdr:rowOff>110442</xdr:rowOff>
    </xdr:from>
    <xdr:to>
      <xdr:col>12</xdr:col>
      <xdr:colOff>84415</xdr:colOff>
      <xdr:row>31</xdr:row>
      <xdr:rowOff>23950</xdr:rowOff>
    </xdr:to>
    <xdr:sp macro="" textlink="'Pivot Table'!D4">
      <xdr:nvSpPr>
        <xdr:cNvPr id="14" name="TextBox 13">
          <a:extLst>
            <a:ext uri="{FF2B5EF4-FFF2-40B4-BE49-F238E27FC236}">
              <a16:creationId xmlns:a16="http://schemas.microsoft.com/office/drawing/2014/main" id="{AA8EE3C9-94B3-4CE1-B627-8CD2DC9F2239}"/>
            </a:ext>
          </a:extLst>
        </xdr:cNvPr>
        <xdr:cNvSpPr txBox="1"/>
      </xdr:nvSpPr>
      <xdr:spPr>
        <a:xfrm>
          <a:off x="6873835" y="5333606"/>
          <a:ext cx="525780" cy="273726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5878DE-6BFF-4336-8CD3-E85545B7BEA1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44.73%</a:t>
          </a:fld>
          <a:endParaRPr lang="en-IN" sz="16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1782</xdr:colOff>
      <xdr:row>18</xdr:row>
      <xdr:rowOff>48393</xdr:rowOff>
    </xdr:from>
    <xdr:to>
      <xdr:col>13</xdr:col>
      <xdr:colOff>413262</xdr:colOff>
      <xdr:row>24</xdr:row>
      <xdr:rowOff>58686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44EFCCC-03D7-4B3C-A493-5950270312DB}"/>
            </a:ext>
          </a:extLst>
        </xdr:cNvPr>
        <xdr:cNvSpPr/>
      </xdr:nvSpPr>
      <xdr:spPr>
        <a:xfrm>
          <a:off x="6097782" y="3290357"/>
          <a:ext cx="2240280" cy="1090947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215142</xdr:colOff>
      <xdr:row>18</xdr:row>
      <xdr:rowOff>129441</xdr:rowOff>
    </xdr:from>
    <xdr:to>
      <xdr:col>13</xdr:col>
      <xdr:colOff>199902</xdr:colOff>
      <xdr:row>20</xdr:row>
      <xdr:rowOff>58684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E9CC784-E771-48E0-AAE9-3544F868E8AC}"/>
            </a:ext>
          </a:extLst>
        </xdr:cNvPr>
        <xdr:cNvSpPr txBox="1"/>
      </xdr:nvSpPr>
      <xdr:spPr>
        <a:xfrm>
          <a:off x="6311142" y="3371405"/>
          <a:ext cx="1813560" cy="289461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bg1"/>
              </a:solidFill>
            </a:rPr>
            <a:t>Agewize Total Purchase</a:t>
          </a:r>
        </a:p>
      </xdr:txBody>
    </xdr:sp>
    <xdr:clientData/>
  </xdr:twoCellAnchor>
  <xdr:twoCellAnchor>
    <xdr:from>
      <xdr:col>11</xdr:col>
      <xdr:colOff>215142</xdr:colOff>
      <xdr:row>20</xdr:row>
      <xdr:rowOff>58684</xdr:rowOff>
    </xdr:from>
    <xdr:to>
      <xdr:col>12</xdr:col>
      <xdr:colOff>154182</xdr:colOff>
      <xdr:row>21</xdr:row>
      <xdr:rowOff>167543</xdr:rowOff>
    </xdr:to>
    <xdr:sp macro="" textlink="'Pivot Table'!A13">
      <xdr:nvSpPr>
        <xdr:cNvPr id="17" name="TextBox 16">
          <a:extLst>
            <a:ext uri="{FF2B5EF4-FFF2-40B4-BE49-F238E27FC236}">
              <a16:creationId xmlns:a16="http://schemas.microsoft.com/office/drawing/2014/main" id="{B04018AD-4A4D-46E1-AA58-0BD30215B5F7}"/>
            </a:ext>
          </a:extLst>
        </xdr:cNvPr>
        <xdr:cNvSpPr txBox="1"/>
      </xdr:nvSpPr>
      <xdr:spPr>
        <a:xfrm>
          <a:off x="6920742" y="3660866"/>
          <a:ext cx="548640" cy="288968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BF090E4-FFA4-4D83-AA38-E564EB477B60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48-57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184662</xdr:colOff>
      <xdr:row>21</xdr:row>
      <xdr:rowOff>144683</xdr:rowOff>
    </xdr:from>
    <xdr:to>
      <xdr:col>12</xdr:col>
      <xdr:colOff>238002</xdr:colOff>
      <xdr:row>23</xdr:row>
      <xdr:rowOff>56014</xdr:rowOff>
    </xdr:to>
    <xdr:sp macro="" textlink="'Pivot Table'!D4">
      <xdr:nvSpPr>
        <xdr:cNvPr id="18" name="TextBox 17">
          <a:extLst>
            <a:ext uri="{FF2B5EF4-FFF2-40B4-BE49-F238E27FC236}">
              <a16:creationId xmlns:a16="http://schemas.microsoft.com/office/drawing/2014/main" id="{A866B287-189D-4077-AD80-917A58920C34}"/>
            </a:ext>
          </a:extLst>
        </xdr:cNvPr>
        <xdr:cNvSpPr txBox="1"/>
      </xdr:nvSpPr>
      <xdr:spPr>
        <a:xfrm>
          <a:off x="6890262" y="3926974"/>
          <a:ext cx="662940" cy="271549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5878DE-6BFF-4336-8CD3-E85545B7BEA1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44.73%</a:t>
          </a:fld>
          <a:endParaRPr lang="en-IN" sz="16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31859</xdr:colOff>
      <xdr:row>9</xdr:row>
      <xdr:rowOff>150566</xdr:rowOff>
    </xdr:from>
    <xdr:to>
      <xdr:col>13</xdr:col>
      <xdr:colOff>443339</xdr:colOff>
      <xdr:row>15</xdr:row>
      <xdr:rowOff>165807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228C0CA-E312-46AB-A09E-5975A03B0622}"/>
            </a:ext>
          </a:extLst>
        </xdr:cNvPr>
        <xdr:cNvSpPr/>
      </xdr:nvSpPr>
      <xdr:spPr>
        <a:xfrm>
          <a:off x="6127859" y="1771548"/>
          <a:ext cx="2240280" cy="1095895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245219</xdr:colOff>
      <xdr:row>10</xdr:row>
      <xdr:rowOff>45744</xdr:rowOff>
    </xdr:from>
    <xdr:to>
      <xdr:col>13</xdr:col>
      <xdr:colOff>229979</xdr:colOff>
      <xdr:row>11</xdr:row>
      <xdr:rowOff>165807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2CE3FB6-41F5-4706-B298-B04B5BADD35E}"/>
            </a:ext>
          </a:extLst>
        </xdr:cNvPr>
        <xdr:cNvSpPr txBox="1"/>
      </xdr:nvSpPr>
      <xdr:spPr>
        <a:xfrm>
          <a:off x="6341219" y="1846835"/>
          <a:ext cx="1813560" cy="300172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solidFill>
                <a:schemeClr val="bg1"/>
              </a:solidFill>
            </a:rPr>
            <a:t>Most purchased Size</a:t>
          </a:r>
        </a:p>
      </xdr:txBody>
    </xdr:sp>
    <xdr:clientData/>
  </xdr:twoCellAnchor>
  <xdr:twoCellAnchor>
    <xdr:from>
      <xdr:col>11</xdr:col>
      <xdr:colOff>336659</xdr:colOff>
      <xdr:row>11</xdr:row>
      <xdr:rowOff>165807</xdr:rowOff>
    </xdr:from>
    <xdr:to>
      <xdr:col>12</xdr:col>
      <xdr:colOff>115679</xdr:colOff>
      <xdr:row>13</xdr:row>
      <xdr:rowOff>83844</xdr:rowOff>
    </xdr:to>
    <xdr:sp macro="" textlink="'Pivot Table'!A62">
      <xdr:nvSpPr>
        <xdr:cNvPr id="25" name="TextBox 24">
          <a:extLst>
            <a:ext uri="{FF2B5EF4-FFF2-40B4-BE49-F238E27FC236}">
              <a16:creationId xmlns:a16="http://schemas.microsoft.com/office/drawing/2014/main" id="{78B57373-6C33-4540-A8A1-40D2765CCD10}"/>
            </a:ext>
          </a:extLst>
        </xdr:cNvPr>
        <xdr:cNvSpPr txBox="1"/>
      </xdr:nvSpPr>
      <xdr:spPr>
        <a:xfrm>
          <a:off x="7042259" y="2147007"/>
          <a:ext cx="388620" cy="278255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57C9414-512F-45ED-BAE4-B4CA2528F336}" type="TxLink">
            <a:rPr lang="en-US" sz="1100" b="0" i="0" u="none" strike="noStrike">
              <a:ln>
                <a:solidFill>
                  <a:schemeClr val="bg1"/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M</a:t>
          </a:fld>
          <a:endParaRPr lang="en-IN" sz="11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214739</xdr:colOff>
      <xdr:row>13</xdr:row>
      <xdr:rowOff>60984</xdr:rowOff>
    </xdr:from>
    <xdr:to>
      <xdr:col>12</xdr:col>
      <xdr:colOff>268079</xdr:colOff>
      <xdr:row>14</xdr:row>
      <xdr:rowOff>158187</xdr:rowOff>
    </xdr:to>
    <xdr:sp macro="" textlink="'Pivot Table'!C62">
      <xdr:nvSpPr>
        <xdr:cNvPr id="26" name="TextBox 25">
          <a:extLst>
            <a:ext uri="{FF2B5EF4-FFF2-40B4-BE49-F238E27FC236}">
              <a16:creationId xmlns:a16="http://schemas.microsoft.com/office/drawing/2014/main" id="{E8F255D9-A6C0-4102-A5EF-ADD996D9F8CA}"/>
            </a:ext>
          </a:extLst>
        </xdr:cNvPr>
        <xdr:cNvSpPr txBox="1"/>
      </xdr:nvSpPr>
      <xdr:spPr>
        <a:xfrm>
          <a:off x="6920339" y="2402402"/>
          <a:ext cx="662940" cy="277312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8E61961-B5ED-4D73-962C-A4F378A983D7}" type="TxLink">
            <a:rPr lang="en-US" sz="1100" b="0" i="0" u="none" strike="noStrike">
              <a:ln>
                <a:solidFill>
                  <a:schemeClr val="bg1"/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45.00%</a:t>
          </a:fld>
          <a:endParaRPr lang="en-IN" sz="16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49283</xdr:colOff>
      <xdr:row>1</xdr:row>
      <xdr:rowOff>60960</xdr:rowOff>
    </xdr:from>
    <xdr:to>
      <xdr:col>13</xdr:col>
      <xdr:colOff>460763</xdr:colOff>
      <xdr:row>7</xdr:row>
      <xdr:rowOff>76199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D7CE157-D78C-4FE2-BE7A-8E8E1A2A21EA}"/>
            </a:ext>
          </a:extLst>
        </xdr:cNvPr>
        <xdr:cNvSpPr/>
      </xdr:nvSpPr>
      <xdr:spPr>
        <a:xfrm>
          <a:off x="6145283" y="241069"/>
          <a:ext cx="2240280" cy="1095894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262643</xdr:colOff>
      <xdr:row>1</xdr:row>
      <xdr:rowOff>146957</xdr:rowOff>
    </xdr:from>
    <xdr:to>
      <xdr:col>13</xdr:col>
      <xdr:colOff>247403</xdr:colOff>
      <xdr:row>3</xdr:row>
      <xdr:rowOff>76199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D1B242C-770D-4473-BEF4-49BAD34D07BA}"/>
            </a:ext>
          </a:extLst>
        </xdr:cNvPr>
        <xdr:cNvSpPr txBox="1"/>
      </xdr:nvSpPr>
      <xdr:spPr>
        <a:xfrm>
          <a:off x="6358643" y="327066"/>
          <a:ext cx="1813560" cy="289460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solidFill>
                <a:schemeClr val="bg1"/>
              </a:solidFill>
            </a:rPr>
            <a:t>Subscription %</a:t>
          </a:r>
        </a:p>
      </xdr:txBody>
    </xdr:sp>
    <xdr:clientData/>
  </xdr:twoCellAnchor>
  <xdr:twoCellAnchor>
    <xdr:from>
      <xdr:col>11</xdr:col>
      <xdr:colOff>354083</xdr:colOff>
      <xdr:row>3</xdr:row>
      <xdr:rowOff>76199</xdr:rowOff>
    </xdr:from>
    <xdr:to>
      <xdr:col>12</xdr:col>
      <xdr:colOff>178823</xdr:colOff>
      <xdr:row>5</xdr:row>
      <xdr:rowOff>0</xdr:rowOff>
    </xdr:to>
    <xdr:sp macro="" textlink="'Pivot Table'!A24">
      <xdr:nvSpPr>
        <xdr:cNvPr id="29" name="TextBox 28">
          <a:extLst>
            <a:ext uri="{FF2B5EF4-FFF2-40B4-BE49-F238E27FC236}">
              <a16:creationId xmlns:a16="http://schemas.microsoft.com/office/drawing/2014/main" id="{90FA5C34-2491-45C5-A642-B9EBD1EFEC7A}"/>
            </a:ext>
          </a:extLst>
        </xdr:cNvPr>
        <xdr:cNvSpPr txBox="1"/>
      </xdr:nvSpPr>
      <xdr:spPr>
        <a:xfrm>
          <a:off x="7059683" y="616526"/>
          <a:ext cx="434340" cy="284019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3E0522D-D124-4BAF-AA27-2CA3C72B3B29}" type="TxLink">
            <a:rPr lang="en-US" sz="1100" b="0" i="0" u="none" strike="noStrike">
              <a:ln>
                <a:solidFill>
                  <a:schemeClr val="bg1"/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No</a:t>
          </a:fld>
          <a:endParaRPr lang="en-IN" sz="11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232163</xdr:colOff>
      <xdr:row>4</xdr:row>
      <xdr:rowOff>162197</xdr:rowOff>
    </xdr:from>
    <xdr:to>
      <xdr:col>12</xdr:col>
      <xdr:colOff>285503</xdr:colOff>
      <xdr:row>6</xdr:row>
      <xdr:rowOff>68579</xdr:rowOff>
    </xdr:to>
    <xdr:sp macro="" textlink="'Pivot Table'!F24">
      <xdr:nvSpPr>
        <xdr:cNvPr id="30" name="TextBox 29">
          <a:extLst>
            <a:ext uri="{FF2B5EF4-FFF2-40B4-BE49-F238E27FC236}">
              <a16:creationId xmlns:a16="http://schemas.microsoft.com/office/drawing/2014/main" id="{D3DB4EAB-D7F3-4A56-B7A9-DEB4C1F7DEF1}"/>
            </a:ext>
          </a:extLst>
        </xdr:cNvPr>
        <xdr:cNvSpPr txBox="1"/>
      </xdr:nvSpPr>
      <xdr:spPr>
        <a:xfrm>
          <a:off x="6937763" y="882633"/>
          <a:ext cx="662940" cy="266601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3303707-4D95-443E-AF12-9F29DC316707}" type="TxLink">
            <a:rPr lang="en-US" sz="1100" b="0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92.70%</a:t>
          </a:fld>
          <a:endParaRPr lang="en-IN" sz="16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96" refreshedDate="46049.423780902776" createdVersion="7" refreshedVersion="7" minRefreshableVersion="3" recordCount="3900" xr:uid="{00000000-000A-0000-FFFF-FFFF17000000}">
  <cacheSource type="worksheet">
    <worksheetSource ref="A1:R3901" sheet="shopping_behavior_updated"/>
  </cacheSource>
  <cacheFields count="21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 count="53">
        <n v="55"/>
        <n v="19"/>
        <n v="50"/>
        <n v="21"/>
        <n v="45"/>
        <n v="46"/>
        <n v="63"/>
        <n v="27"/>
        <n v="26"/>
        <n v="57"/>
        <n v="53"/>
        <n v="30"/>
        <n v="61"/>
        <n v="65"/>
        <n v="64"/>
        <n v="25"/>
        <n v="52"/>
        <n v="66"/>
        <n v="31"/>
        <n v="56"/>
        <n v="18"/>
        <n v="38"/>
        <n v="54"/>
        <n v="33"/>
        <n v="36"/>
        <n v="35"/>
        <n v="29"/>
        <n v="70"/>
        <n v="69"/>
        <n v="67"/>
        <n v="20"/>
        <n v="39"/>
        <n v="42"/>
        <n v="68"/>
        <n v="49"/>
        <n v="59"/>
        <n v="47"/>
        <n v="40"/>
        <n v="41"/>
        <n v="48"/>
        <n v="22"/>
        <n v="24"/>
        <n v="44"/>
        <n v="37"/>
        <n v="58"/>
        <n v="32"/>
        <n v="62"/>
        <n v="51"/>
        <n v="28"/>
        <n v="43"/>
        <n v="34"/>
        <n v="23"/>
        <n v="60"/>
      </sharedItems>
      <fieldGroup base="1">
        <rangePr startNum="18" endNum="70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ender" numFmtId="0">
      <sharedItems/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 count="25">
        <s v="Gray"/>
        <s v="Maroon"/>
        <s v="Turquoise"/>
        <s v="White"/>
        <s v="Charcoal"/>
        <s v="Silver"/>
        <s v="Pink"/>
        <s v="Purple"/>
        <s v="Olive"/>
        <s v="Gold"/>
        <s v="Violet"/>
        <s v="Teal"/>
        <s v="Lavender"/>
        <s v="Black"/>
        <s v="Green"/>
        <s v="Peach"/>
        <s v="Red"/>
        <s v="Cyan"/>
        <s v="Brown"/>
        <s v="Beige"/>
        <s v="Orange"/>
        <s v="Indigo"/>
        <s v="Yellow"/>
        <s v="Magenta"/>
        <s v="Blue"/>
      </sharedItems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/>
    </cacheField>
    <cacheField name="Subscription Status" numFmtId="0">
      <sharedItems count="2">
        <s v="Yes"/>
        <s v="No"/>
      </sharedItems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Increase %" numFmtId="0" formula=" ('Purchase Amount (USD)'-'Previous Purchases')/'Previous Purchases'" databaseField="0"/>
    <cacheField name="Increase % 1" numFmtId="0" formula=" ('Purchase Amount (USD)'-'Previous Purchases')/'Previous Purchases'" databaseField="0"/>
    <cacheField name="Increase" numFmtId="0" formula=" ('Purchase Amount (USD)'-'Previous Purchases')/'Previous Purchases'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96" refreshedDate="46049.492394444445" createdVersion="7" refreshedVersion="7" minRefreshableVersion="3" recordCount="3900" xr:uid="{00000000-000A-0000-FFFF-FFFF29000000}">
  <cacheSource type="worksheet">
    <worksheetSource ref="A1:S3901" sheet="shopping_behavior_updated"/>
  </cacheSource>
  <cacheFields count="22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 count="53">
        <n v="55"/>
        <n v="19"/>
        <n v="50"/>
        <n v="21"/>
        <n v="45"/>
        <n v="46"/>
        <n v="63"/>
        <n v="27"/>
        <n v="26"/>
        <n v="57"/>
        <n v="53"/>
        <n v="30"/>
        <n v="61"/>
        <n v="65"/>
        <n v="64"/>
        <n v="25"/>
        <n v="52"/>
        <n v="66"/>
        <n v="31"/>
        <n v="56"/>
        <n v="18"/>
        <n v="38"/>
        <n v="54"/>
        <n v="33"/>
        <n v="36"/>
        <n v="35"/>
        <n v="29"/>
        <n v="70"/>
        <n v="69"/>
        <n v="67"/>
        <n v="20"/>
        <n v="39"/>
        <n v="42"/>
        <n v="68"/>
        <n v="49"/>
        <n v="59"/>
        <n v="47"/>
        <n v="40"/>
        <n v="41"/>
        <n v="48"/>
        <n v="22"/>
        <n v="24"/>
        <n v="44"/>
        <n v="37"/>
        <n v="58"/>
        <n v="32"/>
        <n v="62"/>
        <n v="51"/>
        <n v="28"/>
        <n v="43"/>
        <n v="34"/>
        <n v="23"/>
        <n v="60"/>
      </sharedItems>
      <fieldGroup base="1">
        <rangePr startNum="18" endNum="70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 count="81"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</sharedItems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 count="2">
        <s v="Yes"/>
        <s v="No"/>
      </sharedItems>
    </cacheField>
    <cacheField name="Promo Code Us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Frequency of Purchases Consolidation" numFmtId="0">
      <sharedItems count="6">
        <s v="Fortnightly"/>
        <s v="Weekly"/>
        <s v="Annually"/>
        <s v="Quarterly"/>
        <s v="Bi-Weekly"/>
        <s v="Monthly"/>
      </sharedItems>
    </cacheField>
    <cacheField name="Increase %" numFmtId="0" formula=" ('Purchase Amount (USD)'-'Previous Purchases')/'Previous Purchases'" databaseField="0"/>
    <cacheField name="Increase % 1" numFmtId="0" formula=" ('Purchase Amount (USD)'-'Previous Purchases')/'Previous Purchases'" databaseField="0"/>
    <cacheField name="Increase" numFmtId="0" formula=" ('Purchase Amount (USD)'-'Previous Purchases')/'Previous Purchases'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96" refreshedDate="46050.433705671298" createdVersion="7" refreshedVersion="7" minRefreshableVersion="3" recordCount="3900" xr:uid="{096518CE-1E5E-4E28-A271-DB91F882C9DB}">
  <cacheSource type="worksheet">
    <worksheetSource ref="A1:T3901" sheet="shopping_behavior_updated"/>
  </cacheSource>
  <cacheFields count="20">
    <cacheField name="Customer ID" numFmtId="0">
      <sharedItems containsSemiMixedTypes="0" containsString="0" containsNumber="1" containsInteger="1" minValue="1" maxValue="3900" count="39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/>
    </cacheField>
    <cacheField name="Frequency of Purchases Consolidation" numFmtId="0">
      <sharedItems/>
    </cacheField>
    <cacheField name="Helper col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n v="1"/>
    <x v="0"/>
    <s v="Male"/>
    <x v="0"/>
    <x v="0"/>
    <n v="53"/>
    <s v="Kentucky"/>
    <x v="0"/>
    <x v="0"/>
    <x v="0"/>
    <n v="3.1"/>
    <x v="0"/>
    <s v="Express"/>
    <s v="Yes"/>
    <s v="Yes"/>
    <n v="14"/>
    <s v="Venmo"/>
    <x v="0"/>
  </r>
  <r>
    <n v="2"/>
    <x v="1"/>
    <s v="Male"/>
    <x v="1"/>
    <x v="0"/>
    <n v="64"/>
    <s v="Maine"/>
    <x v="0"/>
    <x v="1"/>
    <x v="0"/>
    <n v="3.1"/>
    <x v="0"/>
    <s v="Express"/>
    <s v="Yes"/>
    <s v="Yes"/>
    <n v="2"/>
    <s v="Cash"/>
    <x v="0"/>
  </r>
  <r>
    <n v="3"/>
    <x v="2"/>
    <s v="Male"/>
    <x v="2"/>
    <x v="0"/>
    <n v="73"/>
    <s v="Massachusetts"/>
    <x v="1"/>
    <x v="1"/>
    <x v="1"/>
    <n v="3.1"/>
    <x v="0"/>
    <s v="Free Shipping"/>
    <s v="Yes"/>
    <s v="Yes"/>
    <n v="23"/>
    <s v="Credit Card"/>
    <x v="1"/>
  </r>
  <r>
    <n v="4"/>
    <x v="3"/>
    <s v="Male"/>
    <x v="3"/>
    <x v="1"/>
    <n v="90"/>
    <s v="Rhode Island"/>
    <x v="2"/>
    <x v="1"/>
    <x v="1"/>
    <n v="3.5"/>
    <x v="0"/>
    <s v="Next Day Air"/>
    <s v="Yes"/>
    <s v="Yes"/>
    <n v="49"/>
    <s v="PayPal"/>
    <x v="1"/>
  </r>
  <r>
    <n v="5"/>
    <x v="4"/>
    <s v="Male"/>
    <x v="0"/>
    <x v="0"/>
    <n v="49"/>
    <s v="Oregon"/>
    <x v="2"/>
    <x v="2"/>
    <x v="1"/>
    <n v="2.7"/>
    <x v="0"/>
    <s v="Free Shipping"/>
    <s v="Yes"/>
    <s v="Yes"/>
    <n v="31"/>
    <s v="PayPal"/>
    <x v="2"/>
  </r>
  <r>
    <n v="6"/>
    <x v="5"/>
    <s v="Male"/>
    <x v="4"/>
    <x v="1"/>
    <n v="20"/>
    <s v="Wyoming"/>
    <x v="2"/>
    <x v="3"/>
    <x v="2"/>
    <n v="2.9"/>
    <x v="0"/>
    <s v="Standard"/>
    <s v="Yes"/>
    <s v="Yes"/>
    <n v="14"/>
    <s v="Venmo"/>
    <x v="1"/>
  </r>
  <r>
    <n v="7"/>
    <x v="6"/>
    <s v="Male"/>
    <x v="5"/>
    <x v="0"/>
    <n v="85"/>
    <s v="Montana"/>
    <x v="2"/>
    <x v="0"/>
    <x v="3"/>
    <n v="3.2"/>
    <x v="0"/>
    <s v="Free Shipping"/>
    <s v="Yes"/>
    <s v="Yes"/>
    <n v="49"/>
    <s v="Cash"/>
    <x v="3"/>
  </r>
  <r>
    <n v="8"/>
    <x v="7"/>
    <s v="Male"/>
    <x v="6"/>
    <x v="0"/>
    <n v="34"/>
    <s v="Louisiana"/>
    <x v="0"/>
    <x v="4"/>
    <x v="0"/>
    <n v="3.2"/>
    <x v="0"/>
    <s v="Free Shipping"/>
    <s v="Yes"/>
    <s v="Yes"/>
    <n v="19"/>
    <s v="Credit Card"/>
    <x v="1"/>
  </r>
  <r>
    <n v="9"/>
    <x v="8"/>
    <s v="Male"/>
    <x v="7"/>
    <x v="2"/>
    <n v="97"/>
    <s v="West Virginia"/>
    <x v="0"/>
    <x v="5"/>
    <x v="2"/>
    <n v="2.6"/>
    <x v="0"/>
    <s v="Express"/>
    <s v="Yes"/>
    <s v="Yes"/>
    <n v="8"/>
    <s v="Venmo"/>
    <x v="2"/>
  </r>
  <r>
    <n v="10"/>
    <x v="9"/>
    <s v="Male"/>
    <x v="8"/>
    <x v="3"/>
    <n v="31"/>
    <s v="Missouri"/>
    <x v="2"/>
    <x v="6"/>
    <x v="1"/>
    <n v="4.8"/>
    <x v="0"/>
    <s v="2-Day Shipping"/>
    <s v="Yes"/>
    <s v="Yes"/>
    <n v="4"/>
    <s v="Cash"/>
    <x v="3"/>
  </r>
  <r>
    <n v="11"/>
    <x v="10"/>
    <s v="Male"/>
    <x v="9"/>
    <x v="1"/>
    <n v="34"/>
    <s v="Arkansas"/>
    <x v="0"/>
    <x v="7"/>
    <x v="3"/>
    <n v="4.0999999999999996"/>
    <x v="0"/>
    <s v="Store Pickup"/>
    <s v="Yes"/>
    <s v="Yes"/>
    <n v="26"/>
    <s v="Bank Transfer"/>
    <x v="4"/>
  </r>
  <r>
    <n v="12"/>
    <x v="11"/>
    <s v="Male"/>
    <x v="6"/>
    <x v="0"/>
    <n v="68"/>
    <s v="Hawaii"/>
    <x v="1"/>
    <x v="8"/>
    <x v="0"/>
    <n v="4.9000000000000004"/>
    <x v="0"/>
    <s v="Store Pickup"/>
    <s v="Yes"/>
    <s v="Yes"/>
    <n v="10"/>
    <s v="Bank Transfer"/>
    <x v="0"/>
  </r>
  <r>
    <n v="13"/>
    <x v="12"/>
    <s v="Male"/>
    <x v="7"/>
    <x v="2"/>
    <n v="72"/>
    <s v="Delaware"/>
    <x v="2"/>
    <x v="9"/>
    <x v="0"/>
    <n v="4.5"/>
    <x v="0"/>
    <s v="Express"/>
    <s v="Yes"/>
    <s v="Yes"/>
    <n v="37"/>
    <s v="Venmo"/>
    <x v="0"/>
  </r>
  <r>
    <n v="14"/>
    <x v="13"/>
    <s v="Male"/>
    <x v="10"/>
    <x v="0"/>
    <n v="51"/>
    <s v="New Hampshire"/>
    <x v="2"/>
    <x v="10"/>
    <x v="1"/>
    <n v="4.7"/>
    <x v="0"/>
    <s v="Express"/>
    <s v="Yes"/>
    <s v="Yes"/>
    <n v="31"/>
    <s v="PayPal"/>
    <x v="1"/>
  </r>
  <r>
    <n v="15"/>
    <x v="14"/>
    <s v="Male"/>
    <x v="7"/>
    <x v="2"/>
    <n v="53"/>
    <s v="New York"/>
    <x v="0"/>
    <x v="11"/>
    <x v="0"/>
    <n v="4.7"/>
    <x v="0"/>
    <s v="Free Shipping"/>
    <s v="Yes"/>
    <s v="Yes"/>
    <n v="34"/>
    <s v="Debit Card"/>
    <x v="1"/>
  </r>
  <r>
    <n v="16"/>
    <x v="14"/>
    <s v="Male"/>
    <x v="11"/>
    <x v="0"/>
    <n v="81"/>
    <s v="Rhode Island"/>
    <x v="2"/>
    <x v="11"/>
    <x v="0"/>
    <n v="2.8"/>
    <x v="0"/>
    <s v="Store Pickup"/>
    <s v="Yes"/>
    <s v="Yes"/>
    <n v="8"/>
    <s v="PayPal"/>
    <x v="5"/>
  </r>
  <r>
    <n v="17"/>
    <x v="15"/>
    <s v="Male"/>
    <x v="12"/>
    <x v="3"/>
    <n v="36"/>
    <s v="Alabama"/>
    <x v="1"/>
    <x v="0"/>
    <x v="1"/>
    <n v="4.0999999999999996"/>
    <x v="0"/>
    <s v="Next Day Air"/>
    <s v="Yes"/>
    <s v="Yes"/>
    <n v="44"/>
    <s v="Debit Card"/>
    <x v="4"/>
  </r>
  <r>
    <n v="18"/>
    <x v="10"/>
    <s v="Male"/>
    <x v="10"/>
    <x v="0"/>
    <n v="38"/>
    <s v="Mississippi"/>
    <x v="3"/>
    <x v="12"/>
    <x v="0"/>
    <n v="4.7"/>
    <x v="0"/>
    <s v="2-Day Shipping"/>
    <s v="Yes"/>
    <s v="Yes"/>
    <n v="36"/>
    <s v="Venmo"/>
    <x v="3"/>
  </r>
  <r>
    <n v="19"/>
    <x v="16"/>
    <s v="Male"/>
    <x v="1"/>
    <x v="0"/>
    <n v="48"/>
    <s v="Montana"/>
    <x v="1"/>
    <x v="13"/>
    <x v="2"/>
    <n v="4.5999999999999996"/>
    <x v="0"/>
    <s v="Free Shipping"/>
    <s v="Yes"/>
    <s v="Yes"/>
    <n v="17"/>
    <s v="Cash"/>
    <x v="1"/>
  </r>
  <r>
    <n v="20"/>
    <x v="17"/>
    <s v="Male"/>
    <x v="13"/>
    <x v="0"/>
    <n v="90"/>
    <s v="Rhode Island"/>
    <x v="2"/>
    <x v="14"/>
    <x v="2"/>
    <n v="3.3"/>
    <x v="0"/>
    <s v="Standard"/>
    <s v="Yes"/>
    <s v="Yes"/>
    <n v="46"/>
    <s v="Debit Card"/>
    <x v="4"/>
  </r>
  <r>
    <n v="21"/>
    <x v="3"/>
    <s v="Male"/>
    <x v="13"/>
    <x v="0"/>
    <n v="51"/>
    <s v="Louisiana"/>
    <x v="2"/>
    <x v="13"/>
    <x v="0"/>
    <n v="2.8"/>
    <x v="0"/>
    <s v="Express"/>
    <s v="Yes"/>
    <s v="Yes"/>
    <n v="50"/>
    <s v="Cash"/>
    <x v="6"/>
  </r>
  <r>
    <n v="22"/>
    <x v="18"/>
    <s v="Male"/>
    <x v="13"/>
    <x v="0"/>
    <n v="62"/>
    <s v="North Carolina"/>
    <x v="2"/>
    <x v="4"/>
    <x v="0"/>
    <n v="4.0999999999999996"/>
    <x v="0"/>
    <s v="Store Pickup"/>
    <s v="Yes"/>
    <s v="Yes"/>
    <n v="22"/>
    <s v="Debit Card"/>
    <x v="3"/>
  </r>
  <r>
    <n v="23"/>
    <x v="19"/>
    <s v="Male"/>
    <x v="13"/>
    <x v="0"/>
    <n v="37"/>
    <s v="California"/>
    <x v="2"/>
    <x v="15"/>
    <x v="2"/>
    <n v="3.2"/>
    <x v="0"/>
    <s v="Store Pickup"/>
    <s v="Yes"/>
    <s v="Yes"/>
    <n v="32"/>
    <s v="Debit Card"/>
    <x v="2"/>
  </r>
  <r>
    <n v="24"/>
    <x v="18"/>
    <s v="Male"/>
    <x v="13"/>
    <x v="0"/>
    <n v="88"/>
    <s v="Oklahoma"/>
    <x v="3"/>
    <x v="3"/>
    <x v="0"/>
    <n v="4.4000000000000004"/>
    <x v="0"/>
    <s v="Express"/>
    <s v="Yes"/>
    <s v="Yes"/>
    <n v="40"/>
    <s v="Credit Card"/>
    <x v="1"/>
  </r>
  <r>
    <n v="25"/>
    <x v="20"/>
    <s v="Male"/>
    <x v="14"/>
    <x v="2"/>
    <n v="22"/>
    <s v="Florida"/>
    <x v="2"/>
    <x v="14"/>
    <x v="3"/>
    <n v="2.9"/>
    <x v="0"/>
    <s v="Store Pickup"/>
    <s v="Yes"/>
    <s v="Yes"/>
    <n v="16"/>
    <s v="Debit Card"/>
    <x v="1"/>
  </r>
  <r>
    <n v="26"/>
    <x v="20"/>
    <s v="Male"/>
    <x v="15"/>
    <x v="0"/>
    <n v="25"/>
    <s v="Texas"/>
    <x v="2"/>
    <x v="5"/>
    <x v="2"/>
    <n v="3.6"/>
    <x v="0"/>
    <s v="Express"/>
    <s v="Yes"/>
    <s v="Yes"/>
    <n v="14"/>
    <s v="PayPal"/>
    <x v="2"/>
  </r>
  <r>
    <n v="27"/>
    <x v="21"/>
    <s v="Male"/>
    <x v="16"/>
    <x v="3"/>
    <n v="20"/>
    <s v="Nevada"/>
    <x v="2"/>
    <x v="16"/>
    <x v="1"/>
    <n v="3.6"/>
    <x v="0"/>
    <s v="Next Day Air"/>
    <s v="Yes"/>
    <s v="Yes"/>
    <n v="13"/>
    <s v="Credit Card"/>
    <x v="2"/>
  </r>
  <r>
    <n v="28"/>
    <x v="19"/>
    <s v="Male"/>
    <x v="6"/>
    <x v="0"/>
    <n v="56"/>
    <s v="Kentucky"/>
    <x v="0"/>
    <x v="17"/>
    <x v="2"/>
    <n v="5"/>
    <x v="0"/>
    <s v="Next Day Air"/>
    <s v="Yes"/>
    <s v="Yes"/>
    <n v="7"/>
    <s v="Bank Transfer"/>
    <x v="6"/>
  </r>
  <r>
    <n v="29"/>
    <x v="22"/>
    <s v="Male"/>
    <x v="8"/>
    <x v="3"/>
    <n v="94"/>
    <s v="North Carolina"/>
    <x v="2"/>
    <x v="0"/>
    <x v="3"/>
    <n v="4.4000000000000004"/>
    <x v="0"/>
    <s v="Free Shipping"/>
    <s v="Yes"/>
    <s v="Yes"/>
    <n v="41"/>
    <s v="PayPal"/>
    <x v="6"/>
  </r>
  <r>
    <n v="30"/>
    <x v="18"/>
    <s v="Male"/>
    <x v="10"/>
    <x v="0"/>
    <n v="48"/>
    <s v="Wyoming"/>
    <x v="1"/>
    <x v="13"/>
    <x v="3"/>
    <n v="4.0999999999999996"/>
    <x v="0"/>
    <s v="Store Pickup"/>
    <s v="Yes"/>
    <s v="Yes"/>
    <n v="14"/>
    <s v="Credit Card"/>
    <x v="1"/>
  </r>
  <r>
    <n v="31"/>
    <x v="9"/>
    <s v="Male"/>
    <x v="16"/>
    <x v="3"/>
    <n v="31"/>
    <s v="North Carolina"/>
    <x v="0"/>
    <x v="13"/>
    <x v="0"/>
    <n v="4.7"/>
    <x v="0"/>
    <s v="Standard"/>
    <s v="Yes"/>
    <s v="Yes"/>
    <n v="16"/>
    <s v="Credit Card"/>
    <x v="5"/>
  </r>
  <r>
    <n v="32"/>
    <x v="23"/>
    <s v="Male"/>
    <x v="10"/>
    <x v="0"/>
    <n v="79"/>
    <s v="West Virginia"/>
    <x v="0"/>
    <x v="18"/>
    <x v="0"/>
    <n v="4.7"/>
    <x v="0"/>
    <s v="Store Pickup"/>
    <s v="Yes"/>
    <s v="Yes"/>
    <n v="45"/>
    <s v="Venmo"/>
    <x v="5"/>
  </r>
  <r>
    <n v="33"/>
    <x v="24"/>
    <s v="Male"/>
    <x v="14"/>
    <x v="2"/>
    <n v="67"/>
    <s v="Kansas"/>
    <x v="2"/>
    <x v="5"/>
    <x v="2"/>
    <n v="4.9000000000000004"/>
    <x v="0"/>
    <s v="Free Shipping"/>
    <s v="Yes"/>
    <s v="Yes"/>
    <n v="37"/>
    <s v="Venmo"/>
    <x v="2"/>
  </r>
  <r>
    <n v="34"/>
    <x v="22"/>
    <s v="Male"/>
    <x v="13"/>
    <x v="0"/>
    <n v="38"/>
    <s v="Colorado"/>
    <x v="0"/>
    <x v="14"/>
    <x v="2"/>
    <n v="3.3"/>
    <x v="0"/>
    <s v="Store Pickup"/>
    <s v="Yes"/>
    <s v="Yes"/>
    <n v="45"/>
    <s v="Cash"/>
    <x v="3"/>
  </r>
  <r>
    <n v="35"/>
    <x v="24"/>
    <s v="Male"/>
    <x v="17"/>
    <x v="0"/>
    <n v="91"/>
    <s v="North Dakota"/>
    <x v="0"/>
    <x v="10"/>
    <x v="1"/>
    <n v="4.5999999999999996"/>
    <x v="0"/>
    <s v="2-Day Shipping"/>
    <s v="Yes"/>
    <s v="Yes"/>
    <n v="38"/>
    <s v="PayPal"/>
    <x v="3"/>
  </r>
  <r>
    <n v="36"/>
    <x v="22"/>
    <s v="Male"/>
    <x v="0"/>
    <x v="0"/>
    <n v="33"/>
    <s v="Massachusetts"/>
    <x v="2"/>
    <x v="17"/>
    <x v="2"/>
    <n v="4"/>
    <x v="0"/>
    <s v="2-Day Shipping"/>
    <s v="Yes"/>
    <s v="Yes"/>
    <n v="48"/>
    <s v="Credit Card"/>
    <x v="4"/>
  </r>
  <r>
    <n v="37"/>
    <x v="25"/>
    <s v="Male"/>
    <x v="17"/>
    <x v="0"/>
    <n v="69"/>
    <s v="Illinois"/>
    <x v="2"/>
    <x v="1"/>
    <x v="0"/>
    <n v="4.5999999999999996"/>
    <x v="0"/>
    <s v="Free Shipping"/>
    <s v="Yes"/>
    <s v="Yes"/>
    <n v="44"/>
    <s v="PayPal"/>
    <x v="0"/>
  </r>
  <r>
    <n v="38"/>
    <x v="25"/>
    <s v="Male"/>
    <x v="2"/>
    <x v="0"/>
    <n v="45"/>
    <s v="Indiana"/>
    <x v="1"/>
    <x v="17"/>
    <x v="2"/>
    <n v="2.8"/>
    <x v="0"/>
    <s v="Store Pickup"/>
    <s v="Yes"/>
    <s v="Yes"/>
    <n v="10"/>
    <s v="PayPal"/>
    <x v="1"/>
  </r>
  <r>
    <n v="39"/>
    <x v="26"/>
    <s v="Male"/>
    <x v="10"/>
    <x v="0"/>
    <n v="37"/>
    <s v="Florida"/>
    <x v="2"/>
    <x v="16"/>
    <x v="0"/>
    <n v="3.7"/>
    <x v="0"/>
    <s v="2-Day Shipping"/>
    <s v="Yes"/>
    <s v="Yes"/>
    <n v="44"/>
    <s v="Venmo"/>
    <x v="6"/>
  </r>
  <r>
    <n v="40"/>
    <x v="27"/>
    <s v="Male"/>
    <x v="13"/>
    <x v="0"/>
    <n v="60"/>
    <s v="Arizona"/>
    <x v="1"/>
    <x v="2"/>
    <x v="2"/>
    <n v="4.2"/>
    <x v="0"/>
    <s v="Express"/>
    <s v="Yes"/>
    <s v="Yes"/>
    <n v="18"/>
    <s v="Credit Card"/>
    <x v="5"/>
  </r>
  <r>
    <n v="41"/>
    <x v="28"/>
    <s v="Male"/>
    <x v="8"/>
    <x v="3"/>
    <n v="76"/>
    <s v="Louisiana"/>
    <x v="0"/>
    <x v="19"/>
    <x v="0"/>
    <n v="4.5999999999999996"/>
    <x v="0"/>
    <s v="Next Day Air"/>
    <s v="Yes"/>
    <s v="Yes"/>
    <n v="31"/>
    <s v="Debit Card"/>
    <x v="3"/>
  </r>
  <r>
    <n v="42"/>
    <x v="29"/>
    <s v="Male"/>
    <x v="18"/>
    <x v="3"/>
    <n v="39"/>
    <s v="Alaska"/>
    <x v="2"/>
    <x v="20"/>
    <x v="1"/>
    <n v="4.5"/>
    <x v="0"/>
    <s v="Standard"/>
    <s v="Yes"/>
    <s v="Yes"/>
    <n v="40"/>
    <s v="Venmo"/>
    <x v="2"/>
  </r>
  <r>
    <n v="43"/>
    <x v="30"/>
    <s v="Male"/>
    <x v="7"/>
    <x v="2"/>
    <n v="100"/>
    <s v="Tennessee"/>
    <x v="2"/>
    <x v="19"/>
    <x v="1"/>
    <n v="4.0999999999999996"/>
    <x v="0"/>
    <s v="Free Shipping"/>
    <s v="Yes"/>
    <s v="Yes"/>
    <n v="15"/>
    <s v="PayPal"/>
    <x v="2"/>
  </r>
  <r>
    <n v="44"/>
    <x v="15"/>
    <s v="Male"/>
    <x v="18"/>
    <x v="3"/>
    <n v="69"/>
    <s v="Ohio"/>
    <x v="0"/>
    <x v="12"/>
    <x v="3"/>
    <n v="3.7"/>
    <x v="0"/>
    <s v="Store Pickup"/>
    <s v="Yes"/>
    <s v="Yes"/>
    <n v="19"/>
    <s v="PayPal"/>
    <x v="0"/>
  </r>
  <r>
    <n v="45"/>
    <x v="31"/>
    <s v="Male"/>
    <x v="19"/>
    <x v="3"/>
    <n v="53"/>
    <s v="Kentucky"/>
    <x v="1"/>
    <x v="5"/>
    <x v="2"/>
    <n v="4.5999999999999996"/>
    <x v="0"/>
    <s v="Free Shipping"/>
    <s v="Yes"/>
    <s v="Yes"/>
    <n v="45"/>
    <s v="PayPal"/>
    <x v="1"/>
  </r>
  <r>
    <n v="46"/>
    <x v="2"/>
    <s v="Male"/>
    <x v="20"/>
    <x v="0"/>
    <n v="21"/>
    <s v="Tennessee"/>
    <x v="3"/>
    <x v="21"/>
    <x v="3"/>
    <n v="2.9"/>
    <x v="0"/>
    <s v="2-Day Shipping"/>
    <s v="Yes"/>
    <s v="Yes"/>
    <n v="25"/>
    <s v="PayPal"/>
    <x v="2"/>
  </r>
  <r>
    <n v="47"/>
    <x v="9"/>
    <s v="Male"/>
    <x v="5"/>
    <x v="0"/>
    <n v="43"/>
    <s v="California"/>
    <x v="0"/>
    <x v="3"/>
    <x v="2"/>
    <n v="2.9"/>
    <x v="0"/>
    <s v="Store Pickup"/>
    <s v="Yes"/>
    <s v="Yes"/>
    <n v="45"/>
    <s v="Cash"/>
    <x v="3"/>
  </r>
  <r>
    <n v="48"/>
    <x v="0"/>
    <s v="Male"/>
    <x v="16"/>
    <x v="3"/>
    <n v="54"/>
    <s v="Montana"/>
    <x v="2"/>
    <x v="4"/>
    <x v="0"/>
    <n v="4.5"/>
    <x v="0"/>
    <s v="Free Shipping"/>
    <s v="Yes"/>
    <s v="Yes"/>
    <n v="36"/>
    <s v="Cash"/>
    <x v="1"/>
  </r>
  <r>
    <n v="49"/>
    <x v="32"/>
    <s v="Male"/>
    <x v="5"/>
    <x v="0"/>
    <n v="55"/>
    <s v="Nevada"/>
    <x v="2"/>
    <x v="20"/>
    <x v="2"/>
    <n v="2.7"/>
    <x v="0"/>
    <s v="Store Pickup"/>
    <s v="Yes"/>
    <s v="Yes"/>
    <n v="38"/>
    <s v="Cash"/>
    <x v="5"/>
  </r>
  <r>
    <n v="50"/>
    <x v="33"/>
    <s v="Male"/>
    <x v="15"/>
    <x v="0"/>
    <n v="30"/>
    <s v="New Jersey"/>
    <x v="1"/>
    <x v="21"/>
    <x v="1"/>
    <n v="4.5999999999999996"/>
    <x v="0"/>
    <s v="Next Day Air"/>
    <s v="Yes"/>
    <s v="Yes"/>
    <n v="34"/>
    <s v="Debit Card"/>
    <x v="4"/>
  </r>
  <r>
    <n v="51"/>
    <x v="34"/>
    <s v="Male"/>
    <x v="0"/>
    <x v="0"/>
    <n v="28"/>
    <s v="Maryland"/>
    <x v="2"/>
    <x v="16"/>
    <x v="1"/>
    <n v="3.7"/>
    <x v="0"/>
    <s v="Store Pickup"/>
    <s v="Yes"/>
    <s v="Yes"/>
    <n v="39"/>
    <s v="Debit Card"/>
    <x v="4"/>
  </r>
  <r>
    <n v="52"/>
    <x v="35"/>
    <s v="Male"/>
    <x v="11"/>
    <x v="0"/>
    <n v="59"/>
    <s v="Vermont"/>
    <x v="3"/>
    <x v="0"/>
    <x v="0"/>
    <n v="4.7"/>
    <x v="0"/>
    <s v="2-Day Shipping"/>
    <s v="Yes"/>
    <s v="Yes"/>
    <n v="7"/>
    <s v="Credit Card"/>
    <x v="3"/>
  </r>
  <r>
    <n v="53"/>
    <x v="32"/>
    <s v="Male"/>
    <x v="17"/>
    <x v="0"/>
    <n v="20"/>
    <s v="Alaska"/>
    <x v="2"/>
    <x v="14"/>
    <x v="2"/>
    <n v="2.6"/>
    <x v="0"/>
    <s v="Free Shipping"/>
    <s v="Yes"/>
    <s v="Yes"/>
    <n v="26"/>
    <s v="Credit Card"/>
    <x v="1"/>
  </r>
  <r>
    <n v="54"/>
    <x v="26"/>
    <s v="Male"/>
    <x v="11"/>
    <x v="0"/>
    <n v="24"/>
    <s v="Mississippi"/>
    <x v="1"/>
    <x v="15"/>
    <x v="0"/>
    <n v="3.9"/>
    <x v="0"/>
    <s v="Next Day Air"/>
    <s v="Yes"/>
    <s v="Yes"/>
    <n v="35"/>
    <s v="Credit Card"/>
    <x v="1"/>
  </r>
  <r>
    <n v="55"/>
    <x v="36"/>
    <s v="Male"/>
    <x v="7"/>
    <x v="2"/>
    <n v="94"/>
    <s v="New Mexico"/>
    <x v="2"/>
    <x v="18"/>
    <x v="2"/>
    <n v="4.2"/>
    <x v="0"/>
    <s v="Next Day Air"/>
    <s v="Yes"/>
    <s v="Yes"/>
    <n v="35"/>
    <s v="Debit Card"/>
    <x v="4"/>
  </r>
  <r>
    <n v="56"/>
    <x v="37"/>
    <s v="Male"/>
    <x v="14"/>
    <x v="2"/>
    <n v="28"/>
    <s v="South Carolina"/>
    <x v="2"/>
    <x v="12"/>
    <x v="0"/>
    <n v="3"/>
    <x v="0"/>
    <s v="2-Day Shipping"/>
    <s v="Yes"/>
    <s v="Yes"/>
    <n v="49"/>
    <s v="Credit Card"/>
    <x v="2"/>
  </r>
  <r>
    <n v="57"/>
    <x v="38"/>
    <s v="Male"/>
    <x v="21"/>
    <x v="3"/>
    <n v="73"/>
    <s v="Mississippi"/>
    <x v="3"/>
    <x v="18"/>
    <x v="2"/>
    <n v="4.7"/>
    <x v="0"/>
    <s v="Store Pickup"/>
    <s v="Yes"/>
    <s v="Yes"/>
    <n v="46"/>
    <s v="Credit Card"/>
    <x v="1"/>
  </r>
  <r>
    <n v="58"/>
    <x v="3"/>
    <s v="Male"/>
    <x v="7"/>
    <x v="2"/>
    <n v="64"/>
    <s v="West Virginia"/>
    <x v="2"/>
    <x v="3"/>
    <x v="2"/>
    <n v="4.4000000000000004"/>
    <x v="0"/>
    <s v="Store Pickup"/>
    <s v="Yes"/>
    <s v="Yes"/>
    <n v="17"/>
    <s v="Debit Card"/>
    <x v="0"/>
  </r>
  <r>
    <n v="59"/>
    <x v="28"/>
    <s v="Male"/>
    <x v="15"/>
    <x v="0"/>
    <n v="54"/>
    <s v="Missouri"/>
    <x v="2"/>
    <x v="4"/>
    <x v="2"/>
    <n v="4.2"/>
    <x v="0"/>
    <s v="Free Shipping"/>
    <s v="Yes"/>
    <s v="Yes"/>
    <n v="29"/>
    <s v="Venmo"/>
    <x v="5"/>
  </r>
  <r>
    <n v="60"/>
    <x v="6"/>
    <s v="Male"/>
    <x v="22"/>
    <x v="3"/>
    <n v="79"/>
    <s v="Louisiana"/>
    <x v="0"/>
    <x v="22"/>
    <x v="1"/>
    <n v="4.5999999999999996"/>
    <x v="0"/>
    <s v="Standard"/>
    <s v="Yes"/>
    <s v="Yes"/>
    <n v="4"/>
    <s v="Debit Card"/>
    <x v="1"/>
  </r>
  <r>
    <n v="61"/>
    <x v="2"/>
    <s v="Male"/>
    <x v="1"/>
    <x v="0"/>
    <n v="37"/>
    <s v="Idaho"/>
    <x v="0"/>
    <x v="18"/>
    <x v="2"/>
    <n v="4"/>
    <x v="0"/>
    <s v="Express"/>
    <s v="Yes"/>
    <s v="Yes"/>
    <n v="17"/>
    <s v="Cash"/>
    <x v="1"/>
  </r>
  <r>
    <n v="62"/>
    <x v="0"/>
    <s v="Male"/>
    <x v="18"/>
    <x v="3"/>
    <n v="68"/>
    <s v="Texas"/>
    <x v="2"/>
    <x v="20"/>
    <x v="0"/>
    <n v="4.7"/>
    <x v="0"/>
    <s v="Store Pickup"/>
    <s v="Yes"/>
    <s v="Yes"/>
    <n v="21"/>
    <s v="Credit Card"/>
    <x v="6"/>
  </r>
  <r>
    <n v="63"/>
    <x v="11"/>
    <s v="Male"/>
    <x v="4"/>
    <x v="1"/>
    <n v="21"/>
    <s v="Mississippi"/>
    <x v="1"/>
    <x v="23"/>
    <x v="1"/>
    <n v="3.8"/>
    <x v="0"/>
    <s v="Free Shipping"/>
    <s v="Yes"/>
    <s v="Yes"/>
    <n v="31"/>
    <s v="Credit Card"/>
    <x v="0"/>
  </r>
  <r>
    <n v="64"/>
    <x v="23"/>
    <s v="Male"/>
    <x v="12"/>
    <x v="3"/>
    <n v="79"/>
    <s v="Arizona"/>
    <x v="0"/>
    <x v="12"/>
    <x v="0"/>
    <n v="2.7"/>
    <x v="0"/>
    <s v="2-Day Shipping"/>
    <s v="Yes"/>
    <s v="Yes"/>
    <n v="43"/>
    <s v="Credit Card"/>
    <x v="1"/>
  </r>
  <r>
    <n v="65"/>
    <x v="13"/>
    <s v="Male"/>
    <x v="23"/>
    <x v="1"/>
    <n v="83"/>
    <s v="Alabama"/>
    <x v="1"/>
    <x v="14"/>
    <x v="3"/>
    <n v="4.8"/>
    <x v="0"/>
    <s v="Standard"/>
    <s v="Yes"/>
    <s v="Yes"/>
    <n v="18"/>
    <s v="Debit Card"/>
    <x v="0"/>
  </r>
  <r>
    <n v="66"/>
    <x v="13"/>
    <s v="Male"/>
    <x v="21"/>
    <x v="3"/>
    <n v="36"/>
    <s v="New Jersey"/>
    <x v="2"/>
    <x v="7"/>
    <x v="1"/>
    <n v="4.8"/>
    <x v="0"/>
    <s v="2-Day Shipping"/>
    <s v="Yes"/>
    <s v="Yes"/>
    <n v="44"/>
    <s v="Venmo"/>
    <x v="6"/>
  </r>
  <r>
    <n v="67"/>
    <x v="18"/>
    <s v="Male"/>
    <x v="0"/>
    <x v="0"/>
    <n v="94"/>
    <s v="Pennsylvania"/>
    <x v="1"/>
    <x v="23"/>
    <x v="0"/>
    <n v="4.7"/>
    <x v="0"/>
    <s v="2-Day Shipping"/>
    <s v="Yes"/>
    <s v="Yes"/>
    <n v="3"/>
    <s v="Venmo"/>
    <x v="6"/>
  </r>
  <r>
    <n v="68"/>
    <x v="4"/>
    <s v="Male"/>
    <x v="7"/>
    <x v="2"/>
    <n v="33"/>
    <s v="Connecticut"/>
    <x v="0"/>
    <x v="0"/>
    <x v="0"/>
    <n v="4.4000000000000004"/>
    <x v="0"/>
    <s v="Store Pickup"/>
    <s v="Yes"/>
    <s v="Yes"/>
    <n v="49"/>
    <s v="Debit Card"/>
    <x v="5"/>
  </r>
  <r>
    <n v="69"/>
    <x v="9"/>
    <s v="Male"/>
    <x v="8"/>
    <x v="3"/>
    <n v="46"/>
    <s v="Utah"/>
    <x v="0"/>
    <x v="5"/>
    <x v="2"/>
    <n v="3.9"/>
    <x v="0"/>
    <s v="Next Day Air"/>
    <s v="Yes"/>
    <s v="Yes"/>
    <n v="21"/>
    <s v="Cash"/>
    <x v="6"/>
  </r>
  <r>
    <n v="70"/>
    <x v="39"/>
    <s v="Male"/>
    <x v="22"/>
    <x v="3"/>
    <n v="70"/>
    <s v="Tennessee"/>
    <x v="1"/>
    <x v="17"/>
    <x v="2"/>
    <n v="4.4000000000000004"/>
    <x v="0"/>
    <s v="Express"/>
    <s v="Yes"/>
    <s v="Yes"/>
    <n v="5"/>
    <s v="Cash"/>
    <x v="1"/>
  </r>
  <r>
    <n v="71"/>
    <x v="40"/>
    <s v="Male"/>
    <x v="22"/>
    <x v="3"/>
    <n v="29"/>
    <s v="Alabama"/>
    <x v="2"/>
    <x v="23"/>
    <x v="3"/>
    <n v="4.2"/>
    <x v="0"/>
    <s v="Express"/>
    <s v="Yes"/>
    <s v="Yes"/>
    <n v="32"/>
    <s v="Debit Card"/>
    <x v="6"/>
  </r>
  <r>
    <n v="72"/>
    <x v="24"/>
    <s v="Male"/>
    <x v="10"/>
    <x v="0"/>
    <n v="48"/>
    <s v="Virginia"/>
    <x v="0"/>
    <x v="9"/>
    <x v="2"/>
    <n v="2.9"/>
    <x v="0"/>
    <s v="Express"/>
    <s v="Yes"/>
    <s v="Yes"/>
    <n v="34"/>
    <s v="Bank Transfer"/>
    <x v="2"/>
  </r>
  <r>
    <n v="73"/>
    <x v="20"/>
    <s v="Male"/>
    <x v="10"/>
    <x v="0"/>
    <n v="26"/>
    <s v="Georgia"/>
    <x v="2"/>
    <x v="8"/>
    <x v="0"/>
    <n v="2.9"/>
    <x v="0"/>
    <s v="Store Pickup"/>
    <s v="Yes"/>
    <s v="Yes"/>
    <n v="21"/>
    <s v="Bank Transfer"/>
    <x v="6"/>
  </r>
  <r>
    <n v="74"/>
    <x v="39"/>
    <s v="Male"/>
    <x v="13"/>
    <x v="0"/>
    <n v="85"/>
    <s v="Hawaii"/>
    <x v="2"/>
    <x v="11"/>
    <x v="1"/>
    <n v="2.7"/>
    <x v="0"/>
    <s v="Free Shipping"/>
    <s v="Yes"/>
    <s v="Yes"/>
    <n v="43"/>
    <s v="Bank Transfer"/>
    <x v="4"/>
  </r>
  <r>
    <n v="75"/>
    <x v="34"/>
    <s v="Male"/>
    <x v="24"/>
    <x v="3"/>
    <n v="58"/>
    <s v="Indiana"/>
    <x v="0"/>
    <x v="10"/>
    <x v="1"/>
    <n v="4.5"/>
    <x v="0"/>
    <s v="Express"/>
    <s v="Yes"/>
    <s v="Yes"/>
    <n v="3"/>
    <s v="Cash"/>
    <x v="5"/>
  </r>
  <r>
    <n v="76"/>
    <x v="14"/>
    <s v="Male"/>
    <x v="18"/>
    <x v="3"/>
    <n v="85"/>
    <s v="Utah"/>
    <x v="2"/>
    <x v="24"/>
    <x v="2"/>
    <n v="2.7"/>
    <x v="0"/>
    <s v="Free Shipping"/>
    <s v="Yes"/>
    <s v="Yes"/>
    <n v="21"/>
    <s v="Credit Card"/>
    <x v="2"/>
  </r>
  <r>
    <n v="77"/>
    <x v="2"/>
    <s v="Male"/>
    <x v="19"/>
    <x v="3"/>
    <n v="43"/>
    <s v="Delaware"/>
    <x v="1"/>
    <x v="11"/>
    <x v="2"/>
    <n v="4.2"/>
    <x v="0"/>
    <s v="Free Shipping"/>
    <s v="Yes"/>
    <s v="Yes"/>
    <n v="32"/>
    <s v="Venmo"/>
    <x v="5"/>
  </r>
  <r>
    <n v="78"/>
    <x v="40"/>
    <s v="Male"/>
    <x v="10"/>
    <x v="0"/>
    <n v="53"/>
    <s v="Delaware"/>
    <x v="0"/>
    <x v="9"/>
    <x v="2"/>
    <n v="3.3"/>
    <x v="0"/>
    <s v="Next Day Air"/>
    <s v="Yes"/>
    <s v="Yes"/>
    <n v="36"/>
    <s v="Debit Card"/>
    <x v="0"/>
  </r>
  <r>
    <n v="79"/>
    <x v="2"/>
    <s v="Male"/>
    <x v="11"/>
    <x v="0"/>
    <n v="91"/>
    <s v="Nebraska"/>
    <x v="2"/>
    <x v="1"/>
    <x v="1"/>
    <n v="4.7"/>
    <x v="0"/>
    <s v="Free Shipping"/>
    <s v="Yes"/>
    <s v="Yes"/>
    <n v="50"/>
    <s v="Venmo"/>
    <x v="0"/>
  </r>
  <r>
    <n v="80"/>
    <x v="21"/>
    <s v="Male"/>
    <x v="14"/>
    <x v="2"/>
    <n v="96"/>
    <s v="Iowa"/>
    <x v="2"/>
    <x v="8"/>
    <x v="0"/>
    <n v="2.6"/>
    <x v="0"/>
    <s v="2-Day Shipping"/>
    <s v="Yes"/>
    <s v="Yes"/>
    <n v="43"/>
    <s v="Bank Transfer"/>
    <x v="6"/>
  </r>
  <r>
    <n v="81"/>
    <x v="1"/>
    <s v="Male"/>
    <x v="3"/>
    <x v="1"/>
    <n v="72"/>
    <s v="New York"/>
    <x v="3"/>
    <x v="24"/>
    <x v="2"/>
    <n v="3.3"/>
    <x v="0"/>
    <s v="Store Pickup"/>
    <s v="Yes"/>
    <s v="Yes"/>
    <n v="24"/>
    <s v="Credit Card"/>
    <x v="6"/>
  </r>
  <r>
    <n v="82"/>
    <x v="29"/>
    <s v="Male"/>
    <x v="9"/>
    <x v="1"/>
    <n v="96"/>
    <s v="Virginia"/>
    <x v="0"/>
    <x v="1"/>
    <x v="2"/>
    <n v="2.6"/>
    <x v="0"/>
    <s v="Express"/>
    <s v="Yes"/>
    <s v="Yes"/>
    <n v="36"/>
    <s v="Credit Card"/>
    <x v="6"/>
  </r>
  <r>
    <n v="83"/>
    <x v="1"/>
    <s v="Male"/>
    <x v="13"/>
    <x v="0"/>
    <n v="28"/>
    <s v="Georgia"/>
    <x v="1"/>
    <x v="8"/>
    <x v="1"/>
    <n v="4"/>
    <x v="0"/>
    <s v="2-Day Shipping"/>
    <s v="Yes"/>
    <s v="Yes"/>
    <n v="21"/>
    <s v="Credit Card"/>
    <x v="6"/>
  </r>
  <r>
    <n v="84"/>
    <x v="24"/>
    <s v="Male"/>
    <x v="10"/>
    <x v="0"/>
    <n v="40"/>
    <s v="Texas"/>
    <x v="2"/>
    <x v="2"/>
    <x v="2"/>
    <n v="4.0999999999999996"/>
    <x v="0"/>
    <s v="Standard"/>
    <s v="Yes"/>
    <s v="Yes"/>
    <n v="34"/>
    <s v="Bank Transfer"/>
    <x v="1"/>
  </r>
  <r>
    <n v="85"/>
    <x v="16"/>
    <s v="Male"/>
    <x v="7"/>
    <x v="2"/>
    <n v="32"/>
    <s v="Arizona"/>
    <x v="1"/>
    <x v="15"/>
    <x v="1"/>
    <n v="4.4000000000000004"/>
    <x v="0"/>
    <s v="Standard"/>
    <s v="Yes"/>
    <s v="Yes"/>
    <n v="42"/>
    <s v="Bank Transfer"/>
    <x v="6"/>
  </r>
  <r>
    <n v="86"/>
    <x v="10"/>
    <s v="Male"/>
    <x v="12"/>
    <x v="3"/>
    <n v="95"/>
    <s v="New Mexico"/>
    <x v="2"/>
    <x v="4"/>
    <x v="0"/>
    <n v="4.5"/>
    <x v="0"/>
    <s v="Next Day Air"/>
    <s v="Yes"/>
    <s v="Yes"/>
    <n v="2"/>
    <s v="Debit Card"/>
    <x v="4"/>
  </r>
  <r>
    <n v="87"/>
    <x v="41"/>
    <s v="Male"/>
    <x v="15"/>
    <x v="0"/>
    <n v="41"/>
    <s v="Nevada"/>
    <x v="0"/>
    <x v="6"/>
    <x v="1"/>
    <n v="3.7"/>
    <x v="0"/>
    <s v="2-Day Shipping"/>
    <s v="Yes"/>
    <s v="Yes"/>
    <n v="47"/>
    <s v="Cash"/>
    <x v="4"/>
  </r>
  <r>
    <n v="88"/>
    <x v="16"/>
    <s v="Male"/>
    <x v="9"/>
    <x v="1"/>
    <n v="53"/>
    <s v="Ohio"/>
    <x v="2"/>
    <x v="14"/>
    <x v="3"/>
    <n v="3.7"/>
    <x v="0"/>
    <s v="2-Day Shipping"/>
    <s v="Yes"/>
    <s v="Yes"/>
    <n v="44"/>
    <s v="Debit Card"/>
    <x v="0"/>
  </r>
  <r>
    <n v="89"/>
    <x v="23"/>
    <s v="Male"/>
    <x v="17"/>
    <x v="0"/>
    <n v="47"/>
    <s v="Wyoming"/>
    <x v="2"/>
    <x v="20"/>
    <x v="3"/>
    <n v="3.5"/>
    <x v="0"/>
    <s v="Free Shipping"/>
    <s v="Yes"/>
    <s v="Yes"/>
    <n v="35"/>
    <s v="Credit Card"/>
    <x v="5"/>
  </r>
  <r>
    <n v="90"/>
    <x v="36"/>
    <s v="Male"/>
    <x v="14"/>
    <x v="2"/>
    <n v="83"/>
    <s v="California"/>
    <x v="3"/>
    <x v="6"/>
    <x v="3"/>
    <n v="3.6"/>
    <x v="0"/>
    <s v="Next Day Air"/>
    <s v="Yes"/>
    <s v="Yes"/>
    <n v="15"/>
    <s v="Cash"/>
    <x v="3"/>
  </r>
  <r>
    <n v="91"/>
    <x v="15"/>
    <s v="Male"/>
    <x v="19"/>
    <x v="3"/>
    <n v="48"/>
    <s v="South Carolina"/>
    <x v="0"/>
    <x v="10"/>
    <x v="2"/>
    <n v="2.9"/>
    <x v="0"/>
    <s v="Express"/>
    <s v="Yes"/>
    <s v="Yes"/>
    <n v="29"/>
    <s v="Credit Card"/>
    <x v="5"/>
  </r>
  <r>
    <n v="92"/>
    <x v="42"/>
    <s v="Male"/>
    <x v="18"/>
    <x v="3"/>
    <n v="99"/>
    <s v="South Carolina"/>
    <x v="1"/>
    <x v="14"/>
    <x v="0"/>
    <n v="4.5999999999999996"/>
    <x v="0"/>
    <s v="Standard"/>
    <s v="Yes"/>
    <s v="Yes"/>
    <n v="18"/>
    <s v="Credit Card"/>
    <x v="6"/>
  </r>
  <r>
    <n v="93"/>
    <x v="12"/>
    <s v="Male"/>
    <x v="14"/>
    <x v="2"/>
    <n v="87"/>
    <s v="Texas"/>
    <x v="2"/>
    <x v="8"/>
    <x v="0"/>
    <n v="4.4000000000000004"/>
    <x v="0"/>
    <s v="2-Day Shipping"/>
    <s v="Yes"/>
    <s v="Yes"/>
    <n v="13"/>
    <s v="Venmo"/>
    <x v="6"/>
  </r>
  <r>
    <n v="94"/>
    <x v="43"/>
    <s v="Male"/>
    <x v="1"/>
    <x v="0"/>
    <n v="62"/>
    <s v="Florida"/>
    <x v="2"/>
    <x v="7"/>
    <x v="3"/>
    <n v="4.5"/>
    <x v="0"/>
    <s v="Standard"/>
    <s v="Yes"/>
    <s v="Yes"/>
    <n v="46"/>
    <s v="Credit Card"/>
    <x v="1"/>
  </r>
  <r>
    <n v="95"/>
    <x v="44"/>
    <s v="Male"/>
    <x v="11"/>
    <x v="0"/>
    <n v="76"/>
    <s v="Nevada"/>
    <x v="1"/>
    <x v="5"/>
    <x v="1"/>
    <n v="4.5999999999999996"/>
    <x v="0"/>
    <s v="Free Shipping"/>
    <s v="Yes"/>
    <s v="Yes"/>
    <n v="28"/>
    <s v="Credit Card"/>
    <x v="1"/>
  </r>
  <r>
    <n v="96"/>
    <x v="43"/>
    <s v="Male"/>
    <x v="4"/>
    <x v="1"/>
    <n v="100"/>
    <s v="Missouri"/>
    <x v="0"/>
    <x v="6"/>
    <x v="3"/>
    <n v="3.8"/>
    <x v="0"/>
    <s v="Free Shipping"/>
    <s v="Yes"/>
    <s v="Yes"/>
    <n v="48"/>
    <s v="PayPal"/>
    <x v="5"/>
  </r>
  <r>
    <n v="97"/>
    <x v="45"/>
    <s v="Male"/>
    <x v="24"/>
    <x v="3"/>
    <n v="73"/>
    <s v="Delaware"/>
    <x v="1"/>
    <x v="9"/>
    <x v="1"/>
    <n v="3.6"/>
    <x v="0"/>
    <s v="Express"/>
    <s v="Yes"/>
    <s v="Yes"/>
    <n v="43"/>
    <s v="Venmo"/>
    <x v="6"/>
  </r>
  <r>
    <n v="98"/>
    <x v="3"/>
    <s v="Male"/>
    <x v="9"/>
    <x v="1"/>
    <n v="92"/>
    <s v="Virginia"/>
    <x v="2"/>
    <x v="11"/>
    <x v="0"/>
    <n v="4.8"/>
    <x v="0"/>
    <s v="Store Pickup"/>
    <s v="Yes"/>
    <s v="Yes"/>
    <n v="37"/>
    <s v="Cash"/>
    <x v="2"/>
  </r>
  <r>
    <n v="99"/>
    <x v="30"/>
    <s v="Male"/>
    <x v="2"/>
    <x v="0"/>
    <n v="67"/>
    <s v="New York"/>
    <x v="3"/>
    <x v="11"/>
    <x v="1"/>
    <n v="2.6"/>
    <x v="0"/>
    <s v="Next Day Air"/>
    <s v="Yes"/>
    <s v="Yes"/>
    <n v="20"/>
    <s v="Bank Transfer"/>
    <x v="2"/>
  </r>
  <r>
    <n v="100"/>
    <x v="8"/>
    <s v="Male"/>
    <x v="15"/>
    <x v="0"/>
    <n v="40"/>
    <s v="Missouri"/>
    <x v="3"/>
    <x v="21"/>
    <x v="2"/>
    <n v="3.7"/>
    <x v="0"/>
    <s v="Express"/>
    <s v="Yes"/>
    <s v="Yes"/>
    <n v="33"/>
    <s v="Debit Card"/>
    <x v="3"/>
  </r>
  <r>
    <n v="101"/>
    <x v="46"/>
    <s v="Male"/>
    <x v="12"/>
    <x v="3"/>
    <n v="98"/>
    <s v="South Dakota"/>
    <x v="2"/>
    <x v="1"/>
    <x v="3"/>
    <n v="2.7"/>
    <x v="0"/>
    <s v="Express"/>
    <s v="Yes"/>
    <s v="Yes"/>
    <n v="31"/>
    <s v="Cash"/>
    <x v="0"/>
  </r>
  <r>
    <n v="102"/>
    <x v="7"/>
    <s v="Male"/>
    <x v="7"/>
    <x v="2"/>
    <n v="85"/>
    <s v="North Dakota"/>
    <x v="3"/>
    <x v="3"/>
    <x v="1"/>
    <n v="4.5999999999999996"/>
    <x v="0"/>
    <s v="Express"/>
    <s v="Yes"/>
    <s v="Yes"/>
    <n v="50"/>
    <s v="Credit Card"/>
    <x v="4"/>
  </r>
  <r>
    <n v="103"/>
    <x v="47"/>
    <s v="Male"/>
    <x v="20"/>
    <x v="0"/>
    <n v="67"/>
    <s v="Oklahoma"/>
    <x v="0"/>
    <x v="10"/>
    <x v="0"/>
    <n v="4.8"/>
    <x v="0"/>
    <s v="Next Day Air"/>
    <s v="Yes"/>
    <s v="Yes"/>
    <n v="35"/>
    <s v="Credit Card"/>
    <x v="3"/>
  </r>
  <r>
    <n v="104"/>
    <x v="22"/>
    <s v="Male"/>
    <x v="23"/>
    <x v="1"/>
    <n v="89"/>
    <s v="West Virginia"/>
    <x v="0"/>
    <x v="16"/>
    <x v="0"/>
    <n v="4"/>
    <x v="0"/>
    <s v="Next Day Air"/>
    <s v="Yes"/>
    <s v="Yes"/>
    <n v="22"/>
    <s v="Venmo"/>
    <x v="4"/>
  </r>
  <r>
    <n v="105"/>
    <x v="0"/>
    <s v="Male"/>
    <x v="12"/>
    <x v="3"/>
    <n v="24"/>
    <s v="New Hampshire"/>
    <x v="0"/>
    <x v="6"/>
    <x v="1"/>
    <n v="4.4000000000000004"/>
    <x v="0"/>
    <s v="2-Day Shipping"/>
    <s v="Yes"/>
    <s v="Yes"/>
    <n v="1"/>
    <s v="PayPal"/>
    <x v="5"/>
  </r>
  <r>
    <n v="106"/>
    <x v="28"/>
    <s v="Male"/>
    <x v="21"/>
    <x v="3"/>
    <n v="96"/>
    <s v="New York"/>
    <x v="2"/>
    <x v="4"/>
    <x v="3"/>
    <n v="3.6"/>
    <x v="0"/>
    <s v="Next Day Air"/>
    <s v="Yes"/>
    <s v="Yes"/>
    <n v="4"/>
    <s v="Bank Transfer"/>
    <x v="2"/>
  </r>
  <r>
    <n v="107"/>
    <x v="14"/>
    <s v="Male"/>
    <x v="14"/>
    <x v="2"/>
    <n v="35"/>
    <s v="Minnesota"/>
    <x v="0"/>
    <x v="3"/>
    <x v="2"/>
    <n v="3.7"/>
    <x v="0"/>
    <s v="Standard"/>
    <s v="Yes"/>
    <s v="Yes"/>
    <n v="31"/>
    <s v="Credit Card"/>
    <x v="5"/>
  </r>
  <r>
    <n v="108"/>
    <x v="48"/>
    <s v="Male"/>
    <x v="4"/>
    <x v="1"/>
    <n v="67"/>
    <s v="Maryland"/>
    <x v="0"/>
    <x v="8"/>
    <x v="0"/>
    <n v="3.1"/>
    <x v="0"/>
    <s v="Next Day Air"/>
    <s v="Yes"/>
    <s v="Yes"/>
    <n v="46"/>
    <s v="PayPal"/>
    <x v="0"/>
  </r>
  <r>
    <n v="109"/>
    <x v="27"/>
    <s v="Male"/>
    <x v="20"/>
    <x v="0"/>
    <n v="79"/>
    <s v="Montana"/>
    <x v="0"/>
    <x v="7"/>
    <x v="1"/>
    <n v="3.4"/>
    <x v="0"/>
    <s v="Next Day Air"/>
    <s v="Yes"/>
    <s v="Yes"/>
    <n v="32"/>
    <s v="Bank Transfer"/>
    <x v="4"/>
  </r>
  <r>
    <n v="110"/>
    <x v="44"/>
    <s v="Male"/>
    <x v="17"/>
    <x v="0"/>
    <n v="85"/>
    <s v="Alabama"/>
    <x v="2"/>
    <x v="10"/>
    <x v="1"/>
    <n v="2.6"/>
    <x v="0"/>
    <s v="Next Day Air"/>
    <s v="Yes"/>
    <s v="Yes"/>
    <n v="43"/>
    <s v="Bank Transfer"/>
    <x v="0"/>
  </r>
  <r>
    <n v="111"/>
    <x v="19"/>
    <s v="Male"/>
    <x v="21"/>
    <x v="3"/>
    <n v="26"/>
    <s v="New York"/>
    <x v="2"/>
    <x v="13"/>
    <x v="2"/>
    <n v="4"/>
    <x v="0"/>
    <s v="Standard"/>
    <s v="Yes"/>
    <s v="Yes"/>
    <n v="26"/>
    <s v="Venmo"/>
    <x v="0"/>
  </r>
  <r>
    <n v="112"/>
    <x v="8"/>
    <s v="Male"/>
    <x v="22"/>
    <x v="3"/>
    <n v="75"/>
    <s v="Massachusetts"/>
    <x v="0"/>
    <x v="7"/>
    <x v="2"/>
    <n v="5"/>
    <x v="0"/>
    <s v="Free Shipping"/>
    <s v="Yes"/>
    <s v="Yes"/>
    <n v="9"/>
    <s v="Credit Card"/>
    <x v="2"/>
  </r>
  <r>
    <n v="113"/>
    <x v="43"/>
    <s v="Male"/>
    <x v="24"/>
    <x v="3"/>
    <n v="65"/>
    <s v="Florida"/>
    <x v="2"/>
    <x v="16"/>
    <x v="1"/>
    <n v="4.3"/>
    <x v="0"/>
    <s v="Free Shipping"/>
    <s v="Yes"/>
    <s v="Yes"/>
    <n v="28"/>
    <s v="PayPal"/>
    <x v="4"/>
  </r>
  <r>
    <n v="114"/>
    <x v="42"/>
    <s v="Male"/>
    <x v="19"/>
    <x v="3"/>
    <n v="54"/>
    <s v="New Jersey"/>
    <x v="0"/>
    <x v="1"/>
    <x v="0"/>
    <n v="3.1"/>
    <x v="0"/>
    <s v="Next Day Air"/>
    <s v="Yes"/>
    <s v="Yes"/>
    <n v="20"/>
    <s v="PayPal"/>
    <x v="3"/>
  </r>
  <r>
    <n v="115"/>
    <x v="27"/>
    <s v="Male"/>
    <x v="7"/>
    <x v="2"/>
    <n v="95"/>
    <s v="Massachusetts"/>
    <x v="1"/>
    <x v="24"/>
    <x v="2"/>
    <n v="3.7"/>
    <x v="0"/>
    <s v="Store Pickup"/>
    <s v="Yes"/>
    <s v="Yes"/>
    <n v="9"/>
    <s v="Cash"/>
    <x v="1"/>
  </r>
  <r>
    <n v="116"/>
    <x v="10"/>
    <s v="Male"/>
    <x v="11"/>
    <x v="0"/>
    <n v="94"/>
    <s v="Wyoming"/>
    <x v="2"/>
    <x v="0"/>
    <x v="1"/>
    <n v="3.8"/>
    <x v="0"/>
    <s v="Standard"/>
    <s v="Yes"/>
    <s v="Yes"/>
    <n v="48"/>
    <s v="Debit Card"/>
    <x v="6"/>
  </r>
  <r>
    <n v="117"/>
    <x v="0"/>
    <s v="Male"/>
    <x v="9"/>
    <x v="1"/>
    <n v="86"/>
    <s v="Virginia"/>
    <x v="1"/>
    <x v="24"/>
    <x v="1"/>
    <n v="3.4"/>
    <x v="0"/>
    <s v="Free Shipping"/>
    <s v="Yes"/>
    <s v="Yes"/>
    <n v="12"/>
    <s v="Venmo"/>
    <x v="2"/>
  </r>
  <r>
    <n v="118"/>
    <x v="2"/>
    <s v="Male"/>
    <x v="3"/>
    <x v="1"/>
    <n v="32"/>
    <s v="South Dakota"/>
    <x v="0"/>
    <x v="22"/>
    <x v="2"/>
    <n v="4.5999999999999996"/>
    <x v="0"/>
    <s v="Express"/>
    <s v="Yes"/>
    <s v="Yes"/>
    <n v="29"/>
    <s v="Cash"/>
    <x v="0"/>
  </r>
  <r>
    <n v="119"/>
    <x v="2"/>
    <s v="Male"/>
    <x v="1"/>
    <x v="0"/>
    <n v="45"/>
    <s v="Kentucky"/>
    <x v="0"/>
    <x v="20"/>
    <x v="3"/>
    <n v="4.8"/>
    <x v="0"/>
    <s v="2-Day Shipping"/>
    <s v="Yes"/>
    <s v="Yes"/>
    <n v="27"/>
    <s v="Cash"/>
    <x v="4"/>
  </r>
  <r>
    <n v="120"/>
    <x v="21"/>
    <s v="Male"/>
    <x v="7"/>
    <x v="2"/>
    <n v="76"/>
    <s v="Wyoming"/>
    <x v="2"/>
    <x v="20"/>
    <x v="3"/>
    <n v="4.3"/>
    <x v="0"/>
    <s v="Express"/>
    <s v="Yes"/>
    <s v="Yes"/>
    <n v="44"/>
    <s v="Cash"/>
    <x v="2"/>
  </r>
  <r>
    <n v="121"/>
    <x v="14"/>
    <s v="Male"/>
    <x v="19"/>
    <x v="3"/>
    <n v="84"/>
    <s v="West Virginia"/>
    <x v="0"/>
    <x v="16"/>
    <x v="2"/>
    <n v="4"/>
    <x v="0"/>
    <s v="Express"/>
    <s v="Yes"/>
    <s v="Yes"/>
    <n v="32"/>
    <s v="Bank Transfer"/>
    <x v="2"/>
  </r>
  <r>
    <n v="122"/>
    <x v="1"/>
    <s v="Male"/>
    <x v="6"/>
    <x v="0"/>
    <n v="72"/>
    <s v="Virginia"/>
    <x v="2"/>
    <x v="8"/>
    <x v="0"/>
    <n v="4.2"/>
    <x v="0"/>
    <s v="Standard"/>
    <s v="Yes"/>
    <s v="Yes"/>
    <n v="11"/>
    <s v="Cash"/>
    <x v="0"/>
  </r>
  <r>
    <n v="123"/>
    <x v="37"/>
    <s v="Male"/>
    <x v="21"/>
    <x v="3"/>
    <n v="40"/>
    <s v="Washington"/>
    <x v="0"/>
    <x v="18"/>
    <x v="1"/>
    <n v="4.8"/>
    <x v="0"/>
    <s v="2-Day Shipping"/>
    <s v="Yes"/>
    <s v="Yes"/>
    <n v="44"/>
    <s v="Cash"/>
    <x v="0"/>
  </r>
  <r>
    <n v="124"/>
    <x v="9"/>
    <s v="Male"/>
    <x v="1"/>
    <x v="0"/>
    <n v="89"/>
    <s v="Louisiana"/>
    <x v="0"/>
    <x v="18"/>
    <x v="3"/>
    <n v="3.1"/>
    <x v="0"/>
    <s v="Free Shipping"/>
    <s v="Yes"/>
    <s v="Yes"/>
    <n v="46"/>
    <s v="Cash"/>
    <x v="1"/>
  </r>
  <r>
    <n v="125"/>
    <x v="42"/>
    <s v="Male"/>
    <x v="1"/>
    <x v="0"/>
    <n v="86"/>
    <s v="Nevada"/>
    <x v="2"/>
    <x v="0"/>
    <x v="1"/>
    <n v="3.1"/>
    <x v="0"/>
    <s v="Next Day Air"/>
    <s v="Yes"/>
    <s v="Yes"/>
    <n v="50"/>
    <s v="PayPal"/>
    <x v="2"/>
  </r>
  <r>
    <n v="126"/>
    <x v="34"/>
    <s v="Male"/>
    <x v="6"/>
    <x v="0"/>
    <n v="54"/>
    <s v="California"/>
    <x v="2"/>
    <x v="21"/>
    <x v="0"/>
    <n v="3.6"/>
    <x v="0"/>
    <s v="Next Day Air"/>
    <s v="Yes"/>
    <s v="Yes"/>
    <n v="45"/>
    <s v="Venmo"/>
    <x v="6"/>
  </r>
  <r>
    <n v="127"/>
    <x v="49"/>
    <s v="Male"/>
    <x v="6"/>
    <x v="0"/>
    <n v="36"/>
    <s v="Mississippi"/>
    <x v="0"/>
    <x v="6"/>
    <x v="1"/>
    <n v="3.9"/>
    <x v="0"/>
    <s v="Store Pickup"/>
    <s v="Yes"/>
    <s v="Yes"/>
    <n v="48"/>
    <s v="Cash"/>
    <x v="6"/>
  </r>
  <r>
    <n v="128"/>
    <x v="41"/>
    <s v="Male"/>
    <x v="1"/>
    <x v="0"/>
    <n v="89"/>
    <s v="Mississippi"/>
    <x v="2"/>
    <x v="0"/>
    <x v="0"/>
    <n v="4.8"/>
    <x v="0"/>
    <s v="Next Day Air"/>
    <s v="Yes"/>
    <s v="Yes"/>
    <n v="26"/>
    <s v="Credit Card"/>
    <x v="1"/>
  </r>
  <r>
    <n v="129"/>
    <x v="30"/>
    <s v="Male"/>
    <x v="18"/>
    <x v="3"/>
    <n v="32"/>
    <s v="California"/>
    <x v="2"/>
    <x v="9"/>
    <x v="1"/>
    <n v="4.7"/>
    <x v="0"/>
    <s v="Standard"/>
    <s v="Yes"/>
    <s v="Yes"/>
    <n v="21"/>
    <s v="Credit Card"/>
    <x v="0"/>
  </r>
  <r>
    <n v="130"/>
    <x v="41"/>
    <s v="Male"/>
    <x v="10"/>
    <x v="0"/>
    <n v="67"/>
    <s v="Pennsylvania"/>
    <x v="3"/>
    <x v="8"/>
    <x v="2"/>
    <n v="4.2"/>
    <x v="0"/>
    <s v="2-Day Shipping"/>
    <s v="Yes"/>
    <s v="Yes"/>
    <n v="49"/>
    <s v="PayPal"/>
    <x v="4"/>
  </r>
  <r>
    <n v="131"/>
    <x v="42"/>
    <s v="Male"/>
    <x v="18"/>
    <x v="3"/>
    <n v="39"/>
    <s v="Kentucky"/>
    <x v="0"/>
    <x v="10"/>
    <x v="3"/>
    <n v="3.7"/>
    <x v="0"/>
    <s v="Next Day Air"/>
    <s v="Yes"/>
    <s v="Yes"/>
    <n v="13"/>
    <s v="PayPal"/>
    <x v="0"/>
  </r>
  <r>
    <n v="132"/>
    <x v="48"/>
    <s v="Male"/>
    <x v="11"/>
    <x v="0"/>
    <n v="29"/>
    <s v="Maine"/>
    <x v="0"/>
    <x v="21"/>
    <x v="2"/>
    <n v="3.9"/>
    <x v="0"/>
    <s v="Standard"/>
    <s v="Yes"/>
    <s v="Yes"/>
    <n v="46"/>
    <s v="Credit Card"/>
    <x v="1"/>
  </r>
  <r>
    <n v="133"/>
    <x v="11"/>
    <s v="Male"/>
    <x v="21"/>
    <x v="3"/>
    <n v="58"/>
    <s v="New Mexico"/>
    <x v="2"/>
    <x v="20"/>
    <x v="3"/>
    <n v="4.7"/>
    <x v="0"/>
    <s v="2-Day Shipping"/>
    <s v="Yes"/>
    <s v="Yes"/>
    <n v="42"/>
    <s v="PayPal"/>
    <x v="1"/>
  </r>
  <r>
    <n v="134"/>
    <x v="16"/>
    <s v="Male"/>
    <x v="1"/>
    <x v="0"/>
    <n v="65"/>
    <s v="Montana"/>
    <x v="2"/>
    <x v="10"/>
    <x v="0"/>
    <n v="2.5"/>
    <x v="0"/>
    <s v="Next Day Air"/>
    <s v="Yes"/>
    <s v="Yes"/>
    <n v="25"/>
    <s v="Venmo"/>
    <x v="2"/>
  </r>
  <r>
    <n v="135"/>
    <x v="49"/>
    <s v="Male"/>
    <x v="19"/>
    <x v="3"/>
    <n v="94"/>
    <s v="Texas"/>
    <x v="0"/>
    <x v="0"/>
    <x v="3"/>
    <n v="4.9000000000000004"/>
    <x v="0"/>
    <s v="Store Pickup"/>
    <s v="Yes"/>
    <s v="Yes"/>
    <n v="25"/>
    <s v="Cash"/>
    <x v="5"/>
  </r>
  <r>
    <n v="136"/>
    <x v="49"/>
    <s v="Male"/>
    <x v="3"/>
    <x v="1"/>
    <n v="81"/>
    <s v="Kansas"/>
    <x v="2"/>
    <x v="7"/>
    <x v="3"/>
    <n v="4.0999999999999996"/>
    <x v="0"/>
    <s v="Express"/>
    <s v="Yes"/>
    <s v="Yes"/>
    <n v="12"/>
    <s v="PayPal"/>
    <x v="3"/>
  </r>
  <r>
    <n v="137"/>
    <x v="31"/>
    <s v="Male"/>
    <x v="0"/>
    <x v="0"/>
    <n v="86"/>
    <s v="South Carolina"/>
    <x v="2"/>
    <x v="3"/>
    <x v="0"/>
    <n v="3.3"/>
    <x v="0"/>
    <s v="Free Shipping"/>
    <s v="Yes"/>
    <s v="Yes"/>
    <n v="4"/>
    <s v="Debit Card"/>
    <x v="3"/>
  </r>
  <r>
    <n v="138"/>
    <x v="33"/>
    <s v="Male"/>
    <x v="4"/>
    <x v="1"/>
    <n v="43"/>
    <s v="Colorado"/>
    <x v="2"/>
    <x v="2"/>
    <x v="1"/>
    <n v="4.7"/>
    <x v="0"/>
    <s v="Free Shipping"/>
    <s v="Yes"/>
    <s v="Yes"/>
    <n v="38"/>
    <s v="PayPal"/>
    <x v="1"/>
  </r>
  <r>
    <n v="139"/>
    <x v="33"/>
    <s v="Male"/>
    <x v="11"/>
    <x v="0"/>
    <n v="29"/>
    <s v="Georgia"/>
    <x v="2"/>
    <x v="1"/>
    <x v="0"/>
    <n v="4.4000000000000004"/>
    <x v="0"/>
    <s v="Store Pickup"/>
    <s v="Yes"/>
    <s v="Yes"/>
    <n v="42"/>
    <s v="Bank Transfer"/>
    <x v="1"/>
  </r>
  <r>
    <n v="140"/>
    <x v="34"/>
    <s v="Male"/>
    <x v="7"/>
    <x v="2"/>
    <n v="95"/>
    <s v="Florida"/>
    <x v="2"/>
    <x v="3"/>
    <x v="3"/>
    <n v="3.8"/>
    <x v="0"/>
    <s v="Store Pickup"/>
    <s v="Yes"/>
    <s v="Yes"/>
    <n v="30"/>
    <s v="Venmo"/>
    <x v="2"/>
  </r>
  <r>
    <n v="141"/>
    <x v="6"/>
    <s v="Male"/>
    <x v="5"/>
    <x v="0"/>
    <n v="28"/>
    <s v="North Carolina"/>
    <x v="0"/>
    <x v="22"/>
    <x v="3"/>
    <n v="3.9"/>
    <x v="0"/>
    <s v="2-Day Shipping"/>
    <s v="Yes"/>
    <s v="Yes"/>
    <n v="50"/>
    <s v="Credit Card"/>
    <x v="1"/>
  </r>
  <r>
    <n v="142"/>
    <x v="19"/>
    <s v="Male"/>
    <x v="24"/>
    <x v="3"/>
    <n v="46"/>
    <s v="Virginia"/>
    <x v="2"/>
    <x v="2"/>
    <x v="3"/>
    <n v="4.9000000000000004"/>
    <x v="0"/>
    <s v="Free Shipping"/>
    <s v="Yes"/>
    <s v="Yes"/>
    <n v="45"/>
    <s v="PayPal"/>
    <x v="1"/>
  </r>
  <r>
    <n v="143"/>
    <x v="43"/>
    <s v="Male"/>
    <x v="14"/>
    <x v="2"/>
    <n v="58"/>
    <s v="Nebraska"/>
    <x v="0"/>
    <x v="10"/>
    <x v="3"/>
    <n v="3.1"/>
    <x v="0"/>
    <s v="Free Shipping"/>
    <s v="Yes"/>
    <s v="Yes"/>
    <n v="33"/>
    <s v="Credit Card"/>
    <x v="0"/>
  </r>
  <r>
    <n v="144"/>
    <x v="11"/>
    <s v="Male"/>
    <x v="7"/>
    <x v="2"/>
    <n v="48"/>
    <s v="Missouri"/>
    <x v="2"/>
    <x v="19"/>
    <x v="3"/>
    <n v="2.7"/>
    <x v="0"/>
    <s v="Store Pickup"/>
    <s v="Yes"/>
    <s v="Yes"/>
    <n v="25"/>
    <s v="PayPal"/>
    <x v="3"/>
  </r>
  <r>
    <n v="145"/>
    <x v="1"/>
    <s v="Male"/>
    <x v="9"/>
    <x v="1"/>
    <n v="43"/>
    <s v="New Jersey"/>
    <x v="2"/>
    <x v="5"/>
    <x v="3"/>
    <n v="3.2"/>
    <x v="0"/>
    <s v="Express"/>
    <s v="Yes"/>
    <s v="Yes"/>
    <n v="25"/>
    <s v="Cash"/>
    <x v="5"/>
  </r>
  <r>
    <n v="146"/>
    <x v="41"/>
    <s v="Male"/>
    <x v="16"/>
    <x v="3"/>
    <n v="95"/>
    <s v="Missouri"/>
    <x v="2"/>
    <x v="11"/>
    <x v="3"/>
    <n v="4.5"/>
    <x v="0"/>
    <s v="Standard"/>
    <s v="Yes"/>
    <s v="Yes"/>
    <n v="44"/>
    <s v="Debit Card"/>
    <x v="3"/>
  </r>
  <r>
    <n v="147"/>
    <x v="16"/>
    <s v="Male"/>
    <x v="11"/>
    <x v="0"/>
    <n v="30"/>
    <s v="Colorado"/>
    <x v="1"/>
    <x v="13"/>
    <x v="3"/>
    <n v="4"/>
    <x v="0"/>
    <s v="Standard"/>
    <s v="Yes"/>
    <s v="Yes"/>
    <n v="21"/>
    <s v="Venmo"/>
    <x v="0"/>
  </r>
  <r>
    <n v="148"/>
    <x v="6"/>
    <s v="Male"/>
    <x v="9"/>
    <x v="1"/>
    <n v="64"/>
    <s v="Idaho"/>
    <x v="2"/>
    <x v="7"/>
    <x v="2"/>
    <n v="3.5"/>
    <x v="0"/>
    <s v="2-Day Shipping"/>
    <s v="Yes"/>
    <s v="Yes"/>
    <n v="31"/>
    <s v="Bank Transfer"/>
    <x v="0"/>
  </r>
  <r>
    <n v="149"/>
    <x v="43"/>
    <s v="Male"/>
    <x v="24"/>
    <x v="3"/>
    <n v="90"/>
    <s v="Wyoming"/>
    <x v="2"/>
    <x v="0"/>
    <x v="3"/>
    <n v="2.6"/>
    <x v="0"/>
    <s v="Store Pickup"/>
    <s v="Yes"/>
    <s v="Yes"/>
    <n v="47"/>
    <s v="Debit Card"/>
    <x v="2"/>
  </r>
  <r>
    <n v="150"/>
    <x v="21"/>
    <s v="Male"/>
    <x v="13"/>
    <x v="0"/>
    <n v="76"/>
    <s v="Delaware"/>
    <x v="2"/>
    <x v="3"/>
    <x v="2"/>
    <n v="3.2"/>
    <x v="0"/>
    <s v="Free Shipping"/>
    <s v="Yes"/>
    <s v="Yes"/>
    <n v="14"/>
    <s v="PayPal"/>
    <x v="5"/>
  </r>
  <r>
    <n v="151"/>
    <x v="25"/>
    <s v="Male"/>
    <x v="23"/>
    <x v="1"/>
    <n v="96"/>
    <s v="California"/>
    <x v="0"/>
    <x v="17"/>
    <x v="3"/>
    <n v="4.9000000000000004"/>
    <x v="0"/>
    <s v="Standard"/>
    <s v="Yes"/>
    <s v="Yes"/>
    <n v="17"/>
    <s v="Debit Card"/>
    <x v="6"/>
  </r>
  <r>
    <n v="152"/>
    <x v="48"/>
    <s v="Male"/>
    <x v="12"/>
    <x v="3"/>
    <n v="47"/>
    <s v="North Dakota"/>
    <x v="0"/>
    <x v="2"/>
    <x v="3"/>
    <n v="4.5"/>
    <x v="0"/>
    <s v="Next Day Air"/>
    <s v="Yes"/>
    <s v="Yes"/>
    <n v="3"/>
    <s v="Venmo"/>
    <x v="2"/>
  </r>
  <r>
    <n v="153"/>
    <x v="11"/>
    <s v="Male"/>
    <x v="5"/>
    <x v="0"/>
    <n v="85"/>
    <s v="South Carolina"/>
    <x v="1"/>
    <x v="18"/>
    <x v="2"/>
    <n v="4.3"/>
    <x v="0"/>
    <s v="Express"/>
    <s v="Yes"/>
    <s v="Yes"/>
    <n v="42"/>
    <s v="Venmo"/>
    <x v="2"/>
  </r>
  <r>
    <n v="154"/>
    <x v="28"/>
    <s v="Male"/>
    <x v="15"/>
    <x v="0"/>
    <n v="55"/>
    <s v="North Carolina"/>
    <x v="2"/>
    <x v="1"/>
    <x v="0"/>
    <n v="3.2"/>
    <x v="0"/>
    <s v="Standard"/>
    <s v="Yes"/>
    <s v="Yes"/>
    <n v="22"/>
    <s v="Debit Card"/>
    <x v="2"/>
  </r>
  <r>
    <n v="155"/>
    <x v="38"/>
    <s v="Male"/>
    <x v="10"/>
    <x v="0"/>
    <n v="98"/>
    <s v="Oklahoma"/>
    <x v="2"/>
    <x v="4"/>
    <x v="3"/>
    <n v="3.6"/>
    <x v="0"/>
    <s v="Next Day Air"/>
    <s v="Yes"/>
    <s v="Yes"/>
    <n v="21"/>
    <s v="Venmo"/>
    <x v="3"/>
  </r>
  <r>
    <n v="156"/>
    <x v="6"/>
    <s v="Male"/>
    <x v="20"/>
    <x v="0"/>
    <n v="77"/>
    <s v="Maine"/>
    <x v="1"/>
    <x v="8"/>
    <x v="1"/>
    <n v="4.3"/>
    <x v="0"/>
    <s v="Free Shipping"/>
    <s v="Yes"/>
    <s v="Yes"/>
    <n v="21"/>
    <s v="Bank Transfer"/>
    <x v="3"/>
  </r>
  <r>
    <n v="157"/>
    <x v="25"/>
    <s v="Male"/>
    <x v="6"/>
    <x v="0"/>
    <n v="26"/>
    <s v="Missouri"/>
    <x v="2"/>
    <x v="12"/>
    <x v="3"/>
    <n v="4"/>
    <x v="0"/>
    <s v="Standard"/>
    <s v="Yes"/>
    <s v="Yes"/>
    <n v="40"/>
    <s v="Debit Card"/>
    <x v="2"/>
  </r>
  <r>
    <n v="158"/>
    <x v="24"/>
    <s v="Male"/>
    <x v="19"/>
    <x v="3"/>
    <n v="68"/>
    <s v="Vermont"/>
    <x v="1"/>
    <x v="22"/>
    <x v="3"/>
    <n v="3"/>
    <x v="0"/>
    <s v="Next Day Air"/>
    <s v="Yes"/>
    <s v="Yes"/>
    <n v="1"/>
    <s v="Bank Transfer"/>
    <x v="0"/>
  </r>
  <r>
    <n v="159"/>
    <x v="15"/>
    <s v="Male"/>
    <x v="5"/>
    <x v="0"/>
    <n v="73"/>
    <s v="Connecticut"/>
    <x v="3"/>
    <x v="11"/>
    <x v="3"/>
    <n v="4.0999999999999996"/>
    <x v="0"/>
    <s v="Standard"/>
    <s v="Yes"/>
    <s v="Yes"/>
    <n v="50"/>
    <s v="Bank Transfer"/>
    <x v="5"/>
  </r>
  <r>
    <n v="160"/>
    <x v="44"/>
    <s v="Male"/>
    <x v="24"/>
    <x v="3"/>
    <n v="27"/>
    <s v="New Hampshire"/>
    <x v="2"/>
    <x v="4"/>
    <x v="3"/>
    <n v="3.8"/>
    <x v="0"/>
    <s v="Store Pickup"/>
    <s v="Yes"/>
    <s v="Yes"/>
    <n v="39"/>
    <s v="Bank Transfer"/>
    <x v="6"/>
  </r>
  <r>
    <n v="161"/>
    <x v="7"/>
    <s v="Male"/>
    <x v="24"/>
    <x v="3"/>
    <n v="23"/>
    <s v="Texas"/>
    <x v="2"/>
    <x v="20"/>
    <x v="2"/>
    <n v="4.5999999999999996"/>
    <x v="0"/>
    <s v="Free Shipping"/>
    <s v="Yes"/>
    <s v="Yes"/>
    <n v="34"/>
    <s v="Venmo"/>
    <x v="5"/>
  </r>
  <r>
    <n v="162"/>
    <x v="13"/>
    <s v="Male"/>
    <x v="21"/>
    <x v="3"/>
    <n v="49"/>
    <s v="North Dakota"/>
    <x v="2"/>
    <x v="8"/>
    <x v="3"/>
    <n v="3"/>
    <x v="0"/>
    <s v="Express"/>
    <s v="Yes"/>
    <s v="Yes"/>
    <n v="29"/>
    <s v="Venmo"/>
    <x v="0"/>
  </r>
  <r>
    <n v="163"/>
    <x v="22"/>
    <s v="Male"/>
    <x v="12"/>
    <x v="3"/>
    <n v="74"/>
    <s v="California"/>
    <x v="2"/>
    <x v="2"/>
    <x v="2"/>
    <n v="3"/>
    <x v="0"/>
    <s v="Store Pickup"/>
    <s v="Yes"/>
    <s v="Yes"/>
    <n v="31"/>
    <s v="PayPal"/>
    <x v="4"/>
  </r>
  <r>
    <n v="164"/>
    <x v="22"/>
    <s v="Male"/>
    <x v="11"/>
    <x v="0"/>
    <n v="67"/>
    <s v="Virginia"/>
    <x v="2"/>
    <x v="7"/>
    <x v="2"/>
    <n v="3.4"/>
    <x v="0"/>
    <s v="Standard"/>
    <s v="Yes"/>
    <s v="Yes"/>
    <n v="8"/>
    <s v="Debit Card"/>
    <x v="1"/>
  </r>
  <r>
    <n v="165"/>
    <x v="35"/>
    <s v="Male"/>
    <x v="8"/>
    <x v="3"/>
    <n v="65"/>
    <s v="Delaware"/>
    <x v="1"/>
    <x v="7"/>
    <x v="1"/>
    <n v="2.6"/>
    <x v="0"/>
    <s v="Free Shipping"/>
    <s v="Yes"/>
    <s v="Yes"/>
    <n v="5"/>
    <s v="Credit Card"/>
    <x v="0"/>
  </r>
  <r>
    <n v="166"/>
    <x v="32"/>
    <s v="Male"/>
    <x v="8"/>
    <x v="3"/>
    <n v="60"/>
    <s v="Kentucky"/>
    <x v="1"/>
    <x v="22"/>
    <x v="0"/>
    <n v="2.8"/>
    <x v="0"/>
    <s v="Store Pickup"/>
    <s v="Yes"/>
    <s v="Yes"/>
    <n v="7"/>
    <s v="Cash"/>
    <x v="5"/>
  </r>
  <r>
    <n v="167"/>
    <x v="5"/>
    <s v="Male"/>
    <x v="4"/>
    <x v="1"/>
    <n v="31"/>
    <s v="Delaware"/>
    <x v="3"/>
    <x v="21"/>
    <x v="3"/>
    <n v="4"/>
    <x v="0"/>
    <s v="Store Pickup"/>
    <s v="Yes"/>
    <s v="Yes"/>
    <n v="30"/>
    <s v="Cash"/>
    <x v="5"/>
  </r>
  <r>
    <n v="168"/>
    <x v="23"/>
    <s v="Male"/>
    <x v="24"/>
    <x v="3"/>
    <n v="27"/>
    <s v="Arkansas"/>
    <x v="2"/>
    <x v="14"/>
    <x v="3"/>
    <n v="4"/>
    <x v="0"/>
    <s v="Express"/>
    <s v="Yes"/>
    <s v="Yes"/>
    <n v="14"/>
    <s v="Credit Card"/>
    <x v="6"/>
  </r>
  <r>
    <n v="169"/>
    <x v="50"/>
    <s v="Male"/>
    <x v="9"/>
    <x v="1"/>
    <n v="80"/>
    <s v="Louisiana"/>
    <x v="2"/>
    <x v="23"/>
    <x v="2"/>
    <n v="3"/>
    <x v="0"/>
    <s v="Express"/>
    <s v="Yes"/>
    <s v="Yes"/>
    <n v="5"/>
    <s v="Cash"/>
    <x v="0"/>
  </r>
  <r>
    <n v="170"/>
    <x v="7"/>
    <s v="Male"/>
    <x v="14"/>
    <x v="2"/>
    <n v="30"/>
    <s v="Nevada"/>
    <x v="1"/>
    <x v="9"/>
    <x v="2"/>
    <n v="3.3"/>
    <x v="0"/>
    <s v="Standard"/>
    <s v="Yes"/>
    <s v="Yes"/>
    <n v="3"/>
    <s v="PayPal"/>
    <x v="6"/>
  </r>
  <r>
    <n v="171"/>
    <x v="16"/>
    <s v="Male"/>
    <x v="5"/>
    <x v="0"/>
    <n v="25"/>
    <s v="Wyoming"/>
    <x v="2"/>
    <x v="1"/>
    <x v="3"/>
    <n v="2.6"/>
    <x v="0"/>
    <s v="Store Pickup"/>
    <s v="Yes"/>
    <s v="Yes"/>
    <n v="46"/>
    <s v="Venmo"/>
    <x v="4"/>
  </r>
  <r>
    <n v="172"/>
    <x v="26"/>
    <s v="Male"/>
    <x v="6"/>
    <x v="0"/>
    <n v="35"/>
    <s v="Virginia"/>
    <x v="2"/>
    <x v="24"/>
    <x v="2"/>
    <n v="3.6"/>
    <x v="0"/>
    <s v="Store Pickup"/>
    <s v="Yes"/>
    <s v="Yes"/>
    <n v="4"/>
    <s v="Credit Card"/>
    <x v="1"/>
  </r>
  <r>
    <n v="173"/>
    <x v="22"/>
    <s v="Male"/>
    <x v="16"/>
    <x v="3"/>
    <n v="67"/>
    <s v="Nebraska"/>
    <x v="2"/>
    <x v="10"/>
    <x v="2"/>
    <n v="3.9"/>
    <x v="0"/>
    <s v="Next Day Air"/>
    <s v="Yes"/>
    <s v="Yes"/>
    <n v="42"/>
    <s v="Credit Card"/>
    <x v="4"/>
  </r>
  <r>
    <n v="174"/>
    <x v="15"/>
    <s v="Male"/>
    <x v="19"/>
    <x v="3"/>
    <n v="46"/>
    <s v="Hawaii"/>
    <x v="2"/>
    <x v="2"/>
    <x v="3"/>
    <n v="3.4"/>
    <x v="0"/>
    <s v="Standard"/>
    <s v="Yes"/>
    <s v="Yes"/>
    <n v="30"/>
    <s v="Cash"/>
    <x v="2"/>
  </r>
  <r>
    <n v="175"/>
    <x v="38"/>
    <s v="Male"/>
    <x v="9"/>
    <x v="1"/>
    <n v="35"/>
    <s v="Vermont"/>
    <x v="0"/>
    <x v="18"/>
    <x v="0"/>
    <n v="3.5"/>
    <x v="0"/>
    <s v="Express"/>
    <s v="Yes"/>
    <s v="Yes"/>
    <n v="37"/>
    <s v="Venmo"/>
    <x v="2"/>
  </r>
  <r>
    <n v="176"/>
    <x v="10"/>
    <s v="Male"/>
    <x v="7"/>
    <x v="2"/>
    <n v="86"/>
    <s v="Oklahoma"/>
    <x v="0"/>
    <x v="10"/>
    <x v="3"/>
    <n v="2.8"/>
    <x v="0"/>
    <s v="Next Day Air"/>
    <s v="Yes"/>
    <s v="Yes"/>
    <n v="2"/>
    <s v="Bank Transfer"/>
    <x v="2"/>
  </r>
  <r>
    <n v="177"/>
    <x v="10"/>
    <s v="Male"/>
    <x v="21"/>
    <x v="3"/>
    <n v="81"/>
    <s v="New Hampshire"/>
    <x v="0"/>
    <x v="13"/>
    <x v="1"/>
    <n v="2.7"/>
    <x v="0"/>
    <s v="Next Day Air"/>
    <s v="Yes"/>
    <s v="Yes"/>
    <n v="30"/>
    <s v="Credit Card"/>
    <x v="3"/>
  </r>
  <r>
    <n v="178"/>
    <x v="3"/>
    <s v="Male"/>
    <x v="15"/>
    <x v="0"/>
    <n v="42"/>
    <s v="Kansas"/>
    <x v="0"/>
    <x v="23"/>
    <x v="3"/>
    <n v="3.7"/>
    <x v="0"/>
    <s v="Next Day Air"/>
    <s v="Yes"/>
    <s v="Yes"/>
    <n v="47"/>
    <s v="Bank Transfer"/>
    <x v="5"/>
  </r>
  <r>
    <n v="179"/>
    <x v="12"/>
    <s v="Male"/>
    <x v="11"/>
    <x v="0"/>
    <n v="43"/>
    <s v="Idaho"/>
    <x v="0"/>
    <x v="12"/>
    <x v="3"/>
    <n v="4.3"/>
    <x v="0"/>
    <s v="2-Day Shipping"/>
    <s v="Yes"/>
    <s v="Yes"/>
    <n v="21"/>
    <s v="PayPal"/>
    <x v="3"/>
  </r>
  <r>
    <n v="180"/>
    <x v="14"/>
    <s v="Male"/>
    <x v="23"/>
    <x v="1"/>
    <n v="31"/>
    <s v="Illinois"/>
    <x v="2"/>
    <x v="10"/>
    <x v="3"/>
    <n v="4.9000000000000004"/>
    <x v="0"/>
    <s v="Store Pickup"/>
    <s v="Yes"/>
    <s v="Yes"/>
    <n v="9"/>
    <s v="Bank Transfer"/>
    <x v="0"/>
  </r>
  <r>
    <n v="181"/>
    <x v="47"/>
    <s v="Male"/>
    <x v="3"/>
    <x v="1"/>
    <n v="81"/>
    <s v="South Dakota"/>
    <x v="0"/>
    <x v="14"/>
    <x v="3"/>
    <n v="3.3"/>
    <x v="0"/>
    <s v="Store Pickup"/>
    <s v="Yes"/>
    <s v="Yes"/>
    <n v="12"/>
    <s v="Debit Card"/>
    <x v="0"/>
  </r>
  <r>
    <n v="182"/>
    <x v="45"/>
    <s v="Male"/>
    <x v="13"/>
    <x v="0"/>
    <n v="61"/>
    <s v="Massachusetts"/>
    <x v="2"/>
    <x v="19"/>
    <x v="2"/>
    <n v="4.7"/>
    <x v="0"/>
    <s v="Next Day Air"/>
    <s v="Yes"/>
    <s v="Yes"/>
    <n v="4"/>
    <s v="Bank Transfer"/>
    <x v="1"/>
  </r>
  <r>
    <n v="183"/>
    <x v="21"/>
    <s v="Male"/>
    <x v="24"/>
    <x v="3"/>
    <n v="96"/>
    <s v="Alabama"/>
    <x v="3"/>
    <x v="7"/>
    <x v="2"/>
    <n v="2.8"/>
    <x v="0"/>
    <s v="Store Pickup"/>
    <s v="Yes"/>
    <s v="Yes"/>
    <n v="10"/>
    <s v="Debit Card"/>
    <x v="2"/>
  </r>
  <r>
    <n v="184"/>
    <x v="44"/>
    <s v="Male"/>
    <x v="11"/>
    <x v="0"/>
    <n v="29"/>
    <s v="Ohio"/>
    <x v="3"/>
    <x v="19"/>
    <x v="1"/>
    <n v="3.6"/>
    <x v="0"/>
    <s v="2-Day Shipping"/>
    <s v="Yes"/>
    <s v="Yes"/>
    <n v="26"/>
    <s v="Credit Card"/>
    <x v="1"/>
  </r>
  <r>
    <n v="185"/>
    <x v="45"/>
    <s v="Male"/>
    <x v="4"/>
    <x v="1"/>
    <n v="33"/>
    <s v="Hawaii"/>
    <x v="0"/>
    <x v="17"/>
    <x v="1"/>
    <n v="3"/>
    <x v="0"/>
    <s v="Express"/>
    <s v="Yes"/>
    <s v="Yes"/>
    <n v="40"/>
    <s v="Cash"/>
    <x v="0"/>
  </r>
  <r>
    <n v="186"/>
    <x v="5"/>
    <s v="Male"/>
    <x v="17"/>
    <x v="0"/>
    <n v="32"/>
    <s v="Wisconsin"/>
    <x v="3"/>
    <x v="5"/>
    <x v="2"/>
    <n v="4.5"/>
    <x v="0"/>
    <s v="Store Pickup"/>
    <s v="Yes"/>
    <s v="Yes"/>
    <n v="34"/>
    <s v="Bank Transfer"/>
    <x v="0"/>
  </r>
  <r>
    <n v="187"/>
    <x v="31"/>
    <s v="Male"/>
    <x v="21"/>
    <x v="3"/>
    <n v="56"/>
    <s v="Minnesota"/>
    <x v="1"/>
    <x v="12"/>
    <x v="2"/>
    <n v="2.9"/>
    <x v="0"/>
    <s v="Standard"/>
    <s v="Yes"/>
    <s v="Yes"/>
    <n v="31"/>
    <s v="Debit Card"/>
    <x v="2"/>
  </r>
  <r>
    <n v="188"/>
    <x v="1"/>
    <s v="Male"/>
    <x v="9"/>
    <x v="1"/>
    <n v="94"/>
    <s v="Georgia"/>
    <x v="1"/>
    <x v="7"/>
    <x v="1"/>
    <n v="3.3"/>
    <x v="0"/>
    <s v="Store Pickup"/>
    <s v="Yes"/>
    <s v="Yes"/>
    <n v="1"/>
    <s v="Bank Transfer"/>
    <x v="4"/>
  </r>
  <r>
    <n v="189"/>
    <x v="2"/>
    <s v="Male"/>
    <x v="15"/>
    <x v="0"/>
    <n v="53"/>
    <s v="Arkansas"/>
    <x v="2"/>
    <x v="6"/>
    <x v="1"/>
    <n v="3.1"/>
    <x v="0"/>
    <s v="Express"/>
    <s v="Yes"/>
    <s v="Yes"/>
    <n v="5"/>
    <s v="Bank Transfer"/>
    <x v="4"/>
  </r>
  <r>
    <n v="190"/>
    <x v="24"/>
    <s v="Male"/>
    <x v="0"/>
    <x v="0"/>
    <n v="82"/>
    <s v="West Virginia"/>
    <x v="2"/>
    <x v="1"/>
    <x v="3"/>
    <n v="4.4000000000000004"/>
    <x v="0"/>
    <s v="Next Day Air"/>
    <s v="Yes"/>
    <s v="Yes"/>
    <n v="4"/>
    <s v="Credit Card"/>
    <x v="1"/>
  </r>
  <r>
    <n v="191"/>
    <x v="13"/>
    <s v="Male"/>
    <x v="7"/>
    <x v="2"/>
    <n v="70"/>
    <s v="Indiana"/>
    <x v="3"/>
    <x v="19"/>
    <x v="3"/>
    <n v="3"/>
    <x v="0"/>
    <s v="Free Shipping"/>
    <s v="Yes"/>
    <s v="Yes"/>
    <n v="48"/>
    <s v="Venmo"/>
    <x v="3"/>
  </r>
  <r>
    <n v="192"/>
    <x v="14"/>
    <s v="Male"/>
    <x v="19"/>
    <x v="3"/>
    <n v="76"/>
    <s v="Utah"/>
    <x v="2"/>
    <x v="0"/>
    <x v="3"/>
    <n v="3.9"/>
    <x v="0"/>
    <s v="Free Shipping"/>
    <s v="Yes"/>
    <s v="Yes"/>
    <n v="29"/>
    <s v="Cash"/>
    <x v="6"/>
  </r>
  <r>
    <n v="193"/>
    <x v="5"/>
    <s v="Male"/>
    <x v="9"/>
    <x v="1"/>
    <n v="29"/>
    <s v="Nebraska"/>
    <x v="0"/>
    <x v="2"/>
    <x v="2"/>
    <n v="2.9"/>
    <x v="0"/>
    <s v="Express"/>
    <s v="Yes"/>
    <s v="Yes"/>
    <n v="12"/>
    <s v="PayPal"/>
    <x v="4"/>
  </r>
  <r>
    <n v="194"/>
    <x v="24"/>
    <s v="Male"/>
    <x v="22"/>
    <x v="3"/>
    <n v="100"/>
    <s v="North Dakota"/>
    <x v="1"/>
    <x v="5"/>
    <x v="3"/>
    <n v="3"/>
    <x v="0"/>
    <s v="Standard"/>
    <s v="Yes"/>
    <s v="Yes"/>
    <n v="29"/>
    <s v="Venmo"/>
    <x v="2"/>
  </r>
  <r>
    <n v="195"/>
    <x v="47"/>
    <s v="Male"/>
    <x v="21"/>
    <x v="3"/>
    <n v="94"/>
    <s v="Missouri"/>
    <x v="2"/>
    <x v="8"/>
    <x v="1"/>
    <n v="3.1"/>
    <x v="0"/>
    <s v="Express"/>
    <s v="Yes"/>
    <s v="Yes"/>
    <n v="15"/>
    <s v="Debit Card"/>
    <x v="3"/>
  </r>
  <r>
    <n v="196"/>
    <x v="47"/>
    <s v="Male"/>
    <x v="14"/>
    <x v="2"/>
    <n v="25"/>
    <s v="New York"/>
    <x v="2"/>
    <x v="23"/>
    <x v="3"/>
    <n v="4.3"/>
    <x v="0"/>
    <s v="Free Shipping"/>
    <s v="Yes"/>
    <s v="Yes"/>
    <n v="34"/>
    <s v="Credit Card"/>
    <x v="5"/>
  </r>
  <r>
    <n v="197"/>
    <x v="21"/>
    <s v="Male"/>
    <x v="23"/>
    <x v="1"/>
    <n v="88"/>
    <s v="Washington"/>
    <x v="2"/>
    <x v="12"/>
    <x v="2"/>
    <n v="3.9"/>
    <x v="0"/>
    <s v="Next Day Air"/>
    <s v="Yes"/>
    <s v="Yes"/>
    <n v="41"/>
    <s v="Credit Card"/>
    <x v="0"/>
  </r>
  <r>
    <n v="198"/>
    <x v="35"/>
    <s v="Male"/>
    <x v="18"/>
    <x v="3"/>
    <n v="78"/>
    <s v="South Carolina"/>
    <x v="2"/>
    <x v="13"/>
    <x v="3"/>
    <n v="3.2"/>
    <x v="0"/>
    <s v="2-Day Shipping"/>
    <s v="Yes"/>
    <s v="Yes"/>
    <n v="41"/>
    <s v="Credit Card"/>
    <x v="5"/>
  </r>
  <r>
    <n v="199"/>
    <x v="9"/>
    <s v="Male"/>
    <x v="16"/>
    <x v="3"/>
    <n v="45"/>
    <s v="Utah"/>
    <x v="2"/>
    <x v="2"/>
    <x v="0"/>
    <n v="4.8"/>
    <x v="0"/>
    <s v="Standard"/>
    <s v="Yes"/>
    <s v="Yes"/>
    <n v="39"/>
    <s v="Credit Card"/>
    <x v="0"/>
  </r>
  <r>
    <n v="200"/>
    <x v="22"/>
    <s v="Male"/>
    <x v="19"/>
    <x v="3"/>
    <n v="73"/>
    <s v="Idaho"/>
    <x v="3"/>
    <x v="14"/>
    <x v="2"/>
    <n v="3.8"/>
    <x v="0"/>
    <s v="Express"/>
    <s v="Yes"/>
    <s v="Yes"/>
    <n v="32"/>
    <s v="Cash"/>
    <x v="1"/>
  </r>
  <r>
    <n v="201"/>
    <x v="15"/>
    <s v="Male"/>
    <x v="10"/>
    <x v="0"/>
    <n v="61"/>
    <s v="Pennsylvania"/>
    <x v="1"/>
    <x v="11"/>
    <x v="2"/>
    <n v="3.3"/>
    <x v="0"/>
    <s v="Next Day Air"/>
    <s v="Yes"/>
    <s v="Yes"/>
    <n v="29"/>
    <s v="Venmo"/>
    <x v="5"/>
  </r>
  <r>
    <n v="202"/>
    <x v="28"/>
    <s v="Male"/>
    <x v="0"/>
    <x v="0"/>
    <n v="22"/>
    <s v="Missouri"/>
    <x v="1"/>
    <x v="19"/>
    <x v="3"/>
    <n v="4.3"/>
    <x v="0"/>
    <s v="Free Shipping"/>
    <s v="Yes"/>
    <s v="Yes"/>
    <n v="15"/>
    <s v="Bank Transfer"/>
    <x v="2"/>
  </r>
  <r>
    <n v="203"/>
    <x v="9"/>
    <s v="Male"/>
    <x v="19"/>
    <x v="3"/>
    <n v="38"/>
    <s v="Nebraska"/>
    <x v="0"/>
    <x v="23"/>
    <x v="1"/>
    <n v="2.7"/>
    <x v="0"/>
    <s v="Express"/>
    <s v="Yes"/>
    <s v="Yes"/>
    <n v="33"/>
    <s v="Venmo"/>
    <x v="2"/>
  </r>
  <r>
    <n v="204"/>
    <x v="27"/>
    <s v="Male"/>
    <x v="18"/>
    <x v="3"/>
    <n v="38"/>
    <s v="Indiana"/>
    <x v="1"/>
    <x v="22"/>
    <x v="3"/>
    <n v="3.2"/>
    <x v="0"/>
    <s v="Next Day Air"/>
    <s v="Yes"/>
    <s v="Yes"/>
    <n v="18"/>
    <s v="Bank Transfer"/>
    <x v="1"/>
  </r>
  <r>
    <n v="205"/>
    <x v="41"/>
    <s v="Male"/>
    <x v="4"/>
    <x v="1"/>
    <n v="100"/>
    <s v="Arizona"/>
    <x v="2"/>
    <x v="22"/>
    <x v="3"/>
    <n v="4"/>
    <x v="0"/>
    <s v="Store Pickup"/>
    <s v="Yes"/>
    <s v="Yes"/>
    <n v="35"/>
    <s v="Cash"/>
    <x v="4"/>
  </r>
  <r>
    <n v="206"/>
    <x v="29"/>
    <s v="Male"/>
    <x v="5"/>
    <x v="0"/>
    <n v="64"/>
    <s v="Hawaii"/>
    <x v="2"/>
    <x v="5"/>
    <x v="0"/>
    <n v="3"/>
    <x v="0"/>
    <s v="Standard"/>
    <s v="Yes"/>
    <s v="Yes"/>
    <n v="25"/>
    <s v="PayPal"/>
    <x v="1"/>
  </r>
  <r>
    <n v="207"/>
    <x v="41"/>
    <s v="Male"/>
    <x v="17"/>
    <x v="0"/>
    <n v="55"/>
    <s v="Wisconsin"/>
    <x v="0"/>
    <x v="5"/>
    <x v="2"/>
    <n v="4.2"/>
    <x v="0"/>
    <s v="Free Shipping"/>
    <s v="Yes"/>
    <s v="Yes"/>
    <n v="6"/>
    <s v="Venmo"/>
    <x v="0"/>
  </r>
  <r>
    <n v="208"/>
    <x v="46"/>
    <s v="Male"/>
    <x v="24"/>
    <x v="3"/>
    <n v="91"/>
    <s v="Rhode Island"/>
    <x v="2"/>
    <x v="5"/>
    <x v="2"/>
    <n v="2.9"/>
    <x v="0"/>
    <s v="Express"/>
    <s v="Yes"/>
    <s v="Yes"/>
    <n v="17"/>
    <s v="Bank Transfer"/>
    <x v="4"/>
  </r>
  <r>
    <n v="209"/>
    <x v="9"/>
    <s v="Male"/>
    <x v="11"/>
    <x v="0"/>
    <n v="38"/>
    <s v="Wisconsin"/>
    <x v="2"/>
    <x v="9"/>
    <x v="1"/>
    <n v="4.0999999999999996"/>
    <x v="0"/>
    <s v="Store Pickup"/>
    <s v="Yes"/>
    <s v="Yes"/>
    <n v="17"/>
    <s v="Credit Card"/>
    <x v="5"/>
  </r>
  <r>
    <n v="210"/>
    <x v="0"/>
    <s v="Male"/>
    <x v="3"/>
    <x v="1"/>
    <n v="97"/>
    <s v="Minnesota"/>
    <x v="1"/>
    <x v="8"/>
    <x v="0"/>
    <n v="3.2"/>
    <x v="0"/>
    <s v="Store Pickup"/>
    <s v="Yes"/>
    <s v="Yes"/>
    <n v="44"/>
    <s v="Cash"/>
    <x v="6"/>
  </r>
  <r>
    <n v="211"/>
    <x v="4"/>
    <s v="Male"/>
    <x v="14"/>
    <x v="2"/>
    <n v="22"/>
    <s v="Vermont"/>
    <x v="0"/>
    <x v="11"/>
    <x v="3"/>
    <n v="3"/>
    <x v="0"/>
    <s v="2-Day Shipping"/>
    <s v="Yes"/>
    <s v="Yes"/>
    <n v="6"/>
    <s v="PayPal"/>
    <x v="0"/>
  </r>
  <r>
    <n v="212"/>
    <x v="28"/>
    <s v="Male"/>
    <x v="11"/>
    <x v="0"/>
    <n v="92"/>
    <s v="South Dakota"/>
    <x v="0"/>
    <x v="1"/>
    <x v="3"/>
    <n v="4.2"/>
    <x v="0"/>
    <s v="2-Day Shipping"/>
    <s v="Yes"/>
    <s v="Yes"/>
    <n v="45"/>
    <s v="Debit Card"/>
    <x v="0"/>
  </r>
  <r>
    <n v="213"/>
    <x v="29"/>
    <s v="Male"/>
    <x v="8"/>
    <x v="3"/>
    <n v="84"/>
    <s v="Virginia"/>
    <x v="0"/>
    <x v="24"/>
    <x v="3"/>
    <n v="4.2"/>
    <x v="0"/>
    <s v="Express"/>
    <s v="Yes"/>
    <s v="Yes"/>
    <n v="7"/>
    <s v="Debit Card"/>
    <x v="2"/>
  </r>
  <r>
    <n v="214"/>
    <x v="11"/>
    <s v="Male"/>
    <x v="8"/>
    <x v="3"/>
    <n v="93"/>
    <s v="Nevada"/>
    <x v="0"/>
    <x v="15"/>
    <x v="3"/>
    <n v="4.4000000000000004"/>
    <x v="0"/>
    <s v="Store Pickup"/>
    <s v="Yes"/>
    <s v="Yes"/>
    <n v="11"/>
    <s v="Debit Card"/>
    <x v="6"/>
  </r>
  <r>
    <n v="215"/>
    <x v="41"/>
    <s v="Male"/>
    <x v="14"/>
    <x v="2"/>
    <n v="50"/>
    <s v="Hawaii"/>
    <x v="0"/>
    <x v="24"/>
    <x v="2"/>
    <n v="4.2"/>
    <x v="0"/>
    <s v="Next Day Air"/>
    <s v="Yes"/>
    <s v="Yes"/>
    <n v="41"/>
    <s v="Cash"/>
    <x v="6"/>
  </r>
  <r>
    <n v="216"/>
    <x v="46"/>
    <s v="Male"/>
    <x v="18"/>
    <x v="3"/>
    <n v="64"/>
    <s v="New Jersey"/>
    <x v="1"/>
    <x v="20"/>
    <x v="1"/>
    <n v="2.8"/>
    <x v="0"/>
    <s v="2-Day Shipping"/>
    <s v="Yes"/>
    <s v="Yes"/>
    <n v="24"/>
    <s v="PayPal"/>
    <x v="4"/>
  </r>
  <r>
    <n v="217"/>
    <x v="49"/>
    <s v="Male"/>
    <x v="6"/>
    <x v="0"/>
    <n v="61"/>
    <s v="Massachusetts"/>
    <x v="0"/>
    <x v="22"/>
    <x v="1"/>
    <n v="3.7"/>
    <x v="0"/>
    <s v="Free Shipping"/>
    <s v="Yes"/>
    <s v="Yes"/>
    <n v="21"/>
    <s v="Venmo"/>
    <x v="1"/>
  </r>
  <r>
    <n v="218"/>
    <x v="25"/>
    <s v="Male"/>
    <x v="12"/>
    <x v="3"/>
    <n v="48"/>
    <s v="Oklahoma"/>
    <x v="2"/>
    <x v="7"/>
    <x v="0"/>
    <n v="3.5"/>
    <x v="0"/>
    <s v="Next Day Air"/>
    <s v="Yes"/>
    <s v="Yes"/>
    <n v="24"/>
    <s v="Bank Transfer"/>
    <x v="2"/>
  </r>
  <r>
    <n v="219"/>
    <x v="48"/>
    <s v="Male"/>
    <x v="17"/>
    <x v="0"/>
    <n v="45"/>
    <s v="California"/>
    <x v="1"/>
    <x v="23"/>
    <x v="1"/>
    <n v="2.9"/>
    <x v="0"/>
    <s v="Store Pickup"/>
    <s v="Yes"/>
    <s v="Yes"/>
    <n v="8"/>
    <s v="Credit Card"/>
    <x v="3"/>
  </r>
  <r>
    <n v="220"/>
    <x v="45"/>
    <s v="Male"/>
    <x v="22"/>
    <x v="3"/>
    <n v="88"/>
    <s v="Nevada"/>
    <x v="2"/>
    <x v="17"/>
    <x v="1"/>
    <n v="3"/>
    <x v="0"/>
    <s v="Free Shipping"/>
    <s v="Yes"/>
    <s v="Yes"/>
    <n v="12"/>
    <s v="Cash"/>
    <x v="0"/>
  </r>
  <r>
    <n v="221"/>
    <x v="31"/>
    <s v="Male"/>
    <x v="4"/>
    <x v="1"/>
    <n v="57"/>
    <s v="Arizona"/>
    <x v="1"/>
    <x v="21"/>
    <x v="1"/>
    <n v="3.7"/>
    <x v="0"/>
    <s v="Express"/>
    <s v="Yes"/>
    <s v="Yes"/>
    <n v="48"/>
    <s v="Debit Card"/>
    <x v="0"/>
  </r>
  <r>
    <n v="222"/>
    <x v="48"/>
    <s v="Male"/>
    <x v="19"/>
    <x v="3"/>
    <n v="68"/>
    <s v="North Carolina"/>
    <x v="3"/>
    <x v="23"/>
    <x v="2"/>
    <n v="4.4000000000000004"/>
    <x v="0"/>
    <s v="Store Pickup"/>
    <s v="Yes"/>
    <s v="Yes"/>
    <n v="6"/>
    <s v="Bank Transfer"/>
    <x v="3"/>
  </r>
  <r>
    <n v="223"/>
    <x v="36"/>
    <s v="Male"/>
    <x v="24"/>
    <x v="3"/>
    <n v="94"/>
    <s v="New York"/>
    <x v="3"/>
    <x v="0"/>
    <x v="1"/>
    <n v="4.5"/>
    <x v="0"/>
    <s v="2-Day Shipping"/>
    <s v="Yes"/>
    <s v="Yes"/>
    <n v="14"/>
    <s v="PayPal"/>
    <x v="0"/>
  </r>
  <r>
    <n v="224"/>
    <x v="30"/>
    <s v="Male"/>
    <x v="13"/>
    <x v="0"/>
    <n v="41"/>
    <s v="Wyoming"/>
    <x v="2"/>
    <x v="2"/>
    <x v="1"/>
    <n v="4.8"/>
    <x v="0"/>
    <s v="Free Shipping"/>
    <s v="Yes"/>
    <s v="Yes"/>
    <n v="34"/>
    <s v="PayPal"/>
    <x v="2"/>
  </r>
  <r>
    <n v="225"/>
    <x v="6"/>
    <s v="Male"/>
    <x v="20"/>
    <x v="0"/>
    <n v="83"/>
    <s v="South Dakota"/>
    <x v="1"/>
    <x v="19"/>
    <x v="2"/>
    <n v="2.9"/>
    <x v="0"/>
    <s v="Free Shipping"/>
    <s v="Yes"/>
    <s v="Yes"/>
    <n v="12"/>
    <s v="Cash"/>
    <x v="6"/>
  </r>
  <r>
    <n v="226"/>
    <x v="15"/>
    <s v="Male"/>
    <x v="14"/>
    <x v="2"/>
    <n v="22"/>
    <s v="Arkansas"/>
    <x v="2"/>
    <x v="8"/>
    <x v="1"/>
    <n v="3.2"/>
    <x v="0"/>
    <s v="Next Day Air"/>
    <s v="Yes"/>
    <s v="Yes"/>
    <n v="11"/>
    <s v="Bank Transfer"/>
    <x v="2"/>
  </r>
  <r>
    <n v="227"/>
    <x v="26"/>
    <s v="Male"/>
    <x v="9"/>
    <x v="1"/>
    <n v="74"/>
    <s v="Texas"/>
    <x v="0"/>
    <x v="10"/>
    <x v="1"/>
    <n v="3.3"/>
    <x v="0"/>
    <s v="Free Shipping"/>
    <s v="Yes"/>
    <s v="Yes"/>
    <n v="5"/>
    <s v="PayPal"/>
    <x v="5"/>
  </r>
  <r>
    <n v="228"/>
    <x v="2"/>
    <s v="Male"/>
    <x v="2"/>
    <x v="0"/>
    <n v="90"/>
    <s v="Rhode Island"/>
    <x v="2"/>
    <x v="2"/>
    <x v="0"/>
    <n v="4.2"/>
    <x v="0"/>
    <s v="Standard"/>
    <s v="Yes"/>
    <s v="Yes"/>
    <n v="25"/>
    <s v="Venmo"/>
    <x v="0"/>
  </r>
  <r>
    <n v="229"/>
    <x v="20"/>
    <s v="Male"/>
    <x v="20"/>
    <x v="0"/>
    <n v="79"/>
    <s v="New Hampshire"/>
    <x v="2"/>
    <x v="3"/>
    <x v="1"/>
    <n v="2.9"/>
    <x v="0"/>
    <s v="Store Pickup"/>
    <s v="Yes"/>
    <s v="Yes"/>
    <n v="11"/>
    <s v="Credit Card"/>
    <x v="2"/>
  </r>
  <r>
    <n v="230"/>
    <x v="27"/>
    <s v="Male"/>
    <x v="3"/>
    <x v="1"/>
    <n v="28"/>
    <s v="Ohio"/>
    <x v="1"/>
    <x v="5"/>
    <x v="1"/>
    <n v="4.5999999999999996"/>
    <x v="0"/>
    <s v="Next Day Air"/>
    <s v="Yes"/>
    <s v="Yes"/>
    <n v="27"/>
    <s v="PayPal"/>
    <x v="6"/>
  </r>
  <r>
    <n v="231"/>
    <x v="17"/>
    <s v="Male"/>
    <x v="18"/>
    <x v="3"/>
    <n v="88"/>
    <s v="Utah"/>
    <x v="0"/>
    <x v="8"/>
    <x v="3"/>
    <n v="4.0999999999999996"/>
    <x v="0"/>
    <s v="Standard"/>
    <s v="Yes"/>
    <s v="Yes"/>
    <n v="43"/>
    <s v="Credit Card"/>
    <x v="2"/>
  </r>
  <r>
    <n v="232"/>
    <x v="48"/>
    <s v="Male"/>
    <x v="0"/>
    <x v="0"/>
    <n v="26"/>
    <s v="Tennessee"/>
    <x v="2"/>
    <x v="24"/>
    <x v="1"/>
    <n v="3.1"/>
    <x v="0"/>
    <s v="2-Day Shipping"/>
    <s v="Yes"/>
    <s v="Yes"/>
    <n v="18"/>
    <s v="Debit Card"/>
    <x v="6"/>
  </r>
  <r>
    <n v="233"/>
    <x v="22"/>
    <s v="Male"/>
    <x v="16"/>
    <x v="3"/>
    <n v="27"/>
    <s v="Hawaii"/>
    <x v="0"/>
    <x v="7"/>
    <x v="0"/>
    <n v="4.2"/>
    <x v="0"/>
    <s v="Express"/>
    <s v="Yes"/>
    <s v="Yes"/>
    <n v="32"/>
    <s v="Bank Transfer"/>
    <x v="4"/>
  </r>
  <r>
    <n v="234"/>
    <x v="1"/>
    <s v="Male"/>
    <x v="1"/>
    <x v="0"/>
    <n v="83"/>
    <s v="Arizona"/>
    <x v="3"/>
    <x v="22"/>
    <x v="3"/>
    <n v="4.5"/>
    <x v="0"/>
    <s v="Next Day Air"/>
    <s v="Yes"/>
    <s v="Yes"/>
    <n v="27"/>
    <s v="Bank Transfer"/>
    <x v="6"/>
  </r>
  <r>
    <n v="235"/>
    <x v="30"/>
    <s v="Male"/>
    <x v="24"/>
    <x v="3"/>
    <n v="39"/>
    <s v="South Dakota"/>
    <x v="1"/>
    <x v="5"/>
    <x v="2"/>
    <n v="3.7"/>
    <x v="0"/>
    <s v="Next Day Air"/>
    <s v="Yes"/>
    <s v="Yes"/>
    <n v="24"/>
    <s v="Credit Card"/>
    <x v="1"/>
  </r>
  <r>
    <n v="236"/>
    <x v="49"/>
    <s v="Male"/>
    <x v="12"/>
    <x v="3"/>
    <n v="89"/>
    <s v="New Jersey"/>
    <x v="2"/>
    <x v="17"/>
    <x v="0"/>
    <n v="3.7"/>
    <x v="0"/>
    <s v="Free Shipping"/>
    <s v="Yes"/>
    <s v="Yes"/>
    <n v="31"/>
    <s v="Debit Card"/>
    <x v="3"/>
  </r>
  <r>
    <n v="237"/>
    <x v="21"/>
    <s v="Male"/>
    <x v="7"/>
    <x v="2"/>
    <n v="68"/>
    <s v="North Dakota"/>
    <x v="0"/>
    <x v="14"/>
    <x v="0"/>
    <n v="3.4"/>
    <x v="0"/>
    <s v="Next Day Air"/>
    <s v="Yes"/>
    <s v="Yes"/>
    <n v="39"/>
    <s v="PayPal"/>
    <x v="0"/>
  </r>
  <r>
    <n v="238"/>
    <x v="2"/>
    <s v="Male"/>
    <x v="10"/>
    <x v="0"/>
    <n v="90"/>
    <s v="Iowa"/>
    <x v="2"/>
    <x v="19"/>
    <x v="2"/>
    <n v="3"/>
    <x v="0"/>
    <s v="Store Pickup"/>
    <s v="Yes"/>
    <s v="Yes"/>
    <n v="36"/>
    <s v="Debit Card"/>
    <x v="0"/>
  </r>
  <r>
    <n v="239"/>
    <x v="14"/>
    <s v="Male"/>
    <x v="11"/>
    <x v="0"/>
    <n v="34"/>
    <s v="Ohio"/>
    <x v="2"/>
    <x v="15"/>
    <x v="3"/>
    <n v="4.2"/>
    <x v="0"/>
    <s v="Free Shipping"/>
    <s v="Yes"/>
    <s v="Yes"/>
    <n v="5"/>
    <s v="Cash"/>
    <x v="2"/>
  </r>
  <r>
    <n v="240"/>
    <x v="34"/>
    <s v="Male"/>
    <x v="13"/>
    <x v="0"/>
    <n v="51"/>
    <s v="Vermont"/>
    <x v="0"/>
    <x v="22"/>
    <x v="2"/>
    <n v="2.9"/>
    <x v="0"/>
    <s v="Express"/>
    <s v="Yes"/>
    <s v="Yes"/>
    <n v="47"/>
    <s v="Credit Card"/>
    <x v="4"/>
  </r>
  <r>
    <n v="241"/>
    <x v="36"/>
    <s v="Male"/>
    <x v="1"/>
    <x v="0"/>
    <n v="45"/>
    <s v="Montana"/>
    <x v="3"/>
    <x v="2"/>
    <x v="0"/>
    <n v="3.5"/>
    <x v="0"/>
    <s v="Free Shipping"/>
    <s v="Yes"/>
    <s v="Yes"/>
    <n v="29"/>
    <s v="Bank Transfer"/>
    <x v="0"/>
  </r>
  <r>
    <n v="242"/>
    <x v="24"/>
    <s v="Male"/>
    <x v="15"/>
    <x v="0"/>
    <n v="88"/>
    <s v="Delaware"/>
    <x v="2"/>
    <x v="15"/>
    <x v="0"/>
    <n v="4.0999999999999996"/>
    <x v="0"/>
    <s v="Free Shipping"/>
    <s v="Yes"/>
    <s v="Yes"/>
    <n v="43"/>
    <s v="Venmo"/>
    <x v="4"/>
  </r>
  <r>
    <n v="243"/>
    <x v="0"/>
    <s v="Male"/>
    <x v="7"/>
    <x v="2"/>
    <n v="85"/>
    <s v="New York"/>
    <x v="0"/>
    <x v="0"/>
    <x v="2"/>
    <n v="4.3"/>
    <x v="0"/>
    <s v="Store Pickup"/>
    <s v="Yes"/>
    <s v="Yes"/>
    <n v="40"/>
    <s v="Debit Card"/>
    <x v="6"/>
  </r>
  <r>
    <n v="244"/>
    <x v="15"/>
    <s v="Male"/>
    <x v="16"/>
    <x v="3"/>
    <n v="100"/>
    <s v="Kentucky"/>
    <x v="2"/>
    <x v="8"/>
    <x v="0"/>
    <n v="2.8"/>
    <x v="0"/>
    <s v="2-Day Shipping"/>
    <s v="Yes"/>
    <s v="Yes"/>
    <n v="4"/>
    <s v="Debit Card"/>
    <x v="5"/>
  </r>
  <r>
    <n v="245"/>
    <x v="10"/>
    <s v="Male"/>
    <x v="22"/>
    <x v="3"/>
    <n v="42"/>
    <s v="Oregon"/>
    <x v="1"/>
    <x v="21"/>
    <x v="1"/>
    <n v="4.9000000000000004"/>
    <x v="0"/>
    <s v="2-Day Shipping"/>
    <s v="Yes"/>
    <s v="Yes"/>
    <n v="39"/>
    <s v="PayPal"/>
    <x v="1"/>
  </r>
  <r>
    <n v="246"/>
    <x v="34"/>
    <s v="Male"/>
    <x v="3"/>
    <x v="1"/>
    <n v="53"/>
    <s v="Rhode Island"/>
    <x v="0"/>
    <x v="4"/>
    <x v="2"/>
    <n v="3.3"/>
    <x v="0"/>
    <s v="Next Day Air"/>
    <s v="Yes"/>
    <s v="Yes"/>
    <n v="45"/>
    <s v="Venmo"/>
    <x v="0"/>
  </r>
  <r>
    <n v="247"/>
    <x v="25"/>
    <s v="Male"/>
    <x v="12"/>
    <x v="3"/>
    <n v="86"/>
    <s v="Nevada"/>
    <x v="3"/>
    <x v="19"/>
    <x v="1"/>
    <n v="3.2"/>
    <x v="0"/>
    <s v="Express"/>
    <s v="Yes"/>
    <s v="Yes"/>
    <n v="20"/>
    <s v="Venmo"/>
    <x v="4"/>
  </r>
  <r>
    <n v="248"/>
    <x v="26"/>
    <s v="Male"/>
    <x v="1"/>
    <x v="0"/>
    <n v="66"/>
    <s v="Montana"/>
    <x v="3"/>
    <x v="18"/>
    <x v="1"/>
    <n v="4.4000000000000004"/>
    <x v="0"/>
    <s v="Standard"/>
    <s v="Yes"/>
    <s v="Yes"/>
    <n v="14"/>
    <s v="Debit Card"/>
    <x v="1"/>
  </r>
  <r>
    <n v="249"/>
    <x v="36"/>
    <s v="Male"/>
    <x v="22"/>
    <x v="3"/>
    <n v="100"/>
    <s v="Pennsylvania"/>
    <x v="2"/>
    <x v="24"/>
    <x v="0"/>
    <n v="4.8"/>
    <x v="0"/>
    <s v="Express"/>
    <s v="Yes"/>
    <s v="Yes"/>
    <n v="33"/>
    <s v="PayPal"/>
    <x v="1"/>
  </r>
  <r>
    <n v="250"/>
    <x v="10"/>
    <s v="Male"/>
    <x v="8"/>
    <x v="3"/>
    <n v="47"/>
    <s v="Alaska"/>
    <x v="1"/>
    <x v="11"/>
    <x v="3"/>
    <n v="4.2"/>
    <x v="0"/>
    <s v="Standard"/>
    <s v="Yes"/>
    <s v="Yes"/>
    <n v="18"/>
    <s v="Credit Card"/>
    <x v="2"/>
  </r>
  <r>
    <n v="251"/>
    <x v="23"/>
    <s v="Male"/>
    <x v="11"/>
    <x v="0"/>
    <n v="25"/>
    <s v="Mississippi"/>
    <x v="0"/>
    <x v="13"/>
    <x v="3"/>
    <n v="4"/>
    <x v="0"/>
    <s v="Express"/>
    <s v="Yes"/>
    <s v="Yes"/>
    <n v="9"/>
    <s v="Bank Transfer"/>
    <x v="1"/>
  </r>
  <r>
    <n v="252"/>
    <x v="3"/>
    <s v="Male"/>
    <x v="8"/>
    <x v="3"/>
    <n v="51"/>
    <s v="Wyoming"/>
    <x v="3"/>
    <x v="9"/>
    <x v="0"/>
    <n v="2.5"/>
    <x v="0"/>
    <s v="Standard"/>
    <s v="Yes"/>
    <s v="Yes"/>
    <n v="34"/>
    <s v="PayPal"/>
    <x v="2"/>
  </r>
  <r>
    <n v="253"/>
    <x v="45"/>
    <s v="Male"/>
    <x v="6"/>
    <x v="0"/>
    <n v="41"/>
    <s v="Delaware"/>
    <x v="2"/>
    <x v="10"/>
    <x v="2"/>
    <n v="3.9"/>
    <x v="0"/>
    <s v="Free Shipping"/>
    <s v="Yes"/>
    <s v="Yes"/>
    <n v="33"/>
    <s v="Venmo"/>
    <x v="0"/>
  </r>
  <r>
    <n v="254"/>
    <x v="16"/>
    <s v="Male"/>
    <x v="23"/>
    <x v="1"/>
    <n v="73"/>
    <s v="Oklahoma"/>
    <x v="0"/>
    <x v="17"/>
    <x v="0"/>
    <n v="4.9000000000000004"/>
    <x v="0"/>
    <s v="2-Day Shipping"/>
    <s v="Yes"/>
    <s v="Yes"/>
    <n v="15"/>
    <s v="Bank Transfer"/>
    <x v="4"/>
  </r>
  <r>
    <n v="255"/>
    <x v="29"/>
    <s v="Male"/>
    <x v="12"/>
    <x v="3"/>
    <n v="42"/>
    <s v="Indiana"/>
    <x v="2"/>
    <x v="3"/>
    <x v="0"/>
    <n v="3.5"/>
    <x v="0"/>
    <s v="Store Pickup"/>
    <s v="Yes"/>
    <s v="Yes"/>
    <n v="4"/>
    <s v="PayPal"/>
    <x v="4"/>
  </r>
  <r>
    <n v="256"/>
    <x v="49"/>
    <s v="Male"/>
    <x v="18"/>
    <x v="3"/>
    <n v="20"/>
    <s v="Maryland"/>
    <x v="2"/>
    <x v="4"/>
    <x v="1"/>
    <n v="4.2"/>
    <x v="0"/>
    <s v="Free Shipping"/>
    <s v="Yes"/>
    <s v="Yes"/>
    <n v="25"/>
    <s v="Debit Card"/>
    <x v="2"/>
  </r>
  <r>
    <n v="257"/>
    <x v="44"/>
    <s v="Male"/>
    <x v="16"/>
    <x v="3"/>
    <n v="30"/>
    <s v="South Dakota"/>
    <x v="3"/>
    <x v="10"/>
    <x v="1"/>
    <n v="4.7"/>
    <x v="0"/>
    <s v="Express"/>
    <s v="Yes"/>
    <s v="Yes"/>
    <n v="20"/>
    <s v="Credit Card"/>
    <x v="6"/>
  </r>
  <r>
    <n v="258"/>
    <x v="30"/>
    <s v="Male"/>
    <x v="8"/>
    <x v="3"/>
    <n v="53"/>
    <s v="West Virginia"/>
    <x v="2"/>
    <x v="16"/>
    <x v="2"/>
    <n v="4.5"/>
    <x v="0"/>
    <s v="Express"/>
    <s v="Yes"/>
    <s v="Yes"/>
    <n v="5"/>
    <s v="Credit Card"/>
    <x v="3"/>
  </r>
  <r>
    <n v="259"/>
    <x v="12"/>
    <s v="Male"/>
    <x v="24"/>
    <x v="3"/>
    <n v="74"/>
    <s v="Alabama"/>
    <x v="1"/>
    <x v="12"/>
    <x v="1"/>
    <n v="2.8"/>
    <x v="0"/>
    <s v="Express"/>
    <s v="Yes"/>
    <s v="Yes"/>
    <n v="16"/>
    <s v="Cash"/>
    <x v="3"/>
  </r>
  <r>
    <n v="260"/>
    <x v="45"/>
    <s v="Male"/>
    <x v="2"/>
    <x v="0"/>
    <n v="57"/>
    <s v="Louisiana"/>
    <x v="2"/>
    <x v="9"/>
    <x v="3"/>
    <n v="2.9"/>
    <x v="0"/>
    <s v="Standard"/>
    <s v="Yes"/>
    <s v="Yes"/>
    <n v="13"/>
    <s v="Debit Card"/>
    <x v="2"/>
  </r>
  <r>
    <n v="261"/>
    <x v="21"/>
    <s v="Male"/>
    <x v="19"/>
    <x v="3"/>
    <n v="57"/>
    <s v="Montana"/>
    <x v="1"/>
    <x v="16"/>
    <x v="0"/>
    <n v="3.2"/>
    <x v="0"/>
    <s v="2-Day Shipping"/>
    <s v="Yes"/>
    <s v="Yes"/>
    <n v="11"/>
    <s v="Credit Card"/>
    <x v="6"/>
  </r>
  <r>
    <n v="262"/>
    <x v="3"/>
    <s v="Male"/>
    <x v="2"/>
    <x v="0"/>
    <n v="77"/>
    <s v="California"/>
    <x v="0"/>
    <x v="23"/>
    <x v="0"/>
    <n v="4.9000000000000004"/>
    <x v="0"/>
    <s v="Standard"/>
    <s v="Yes"/>
    <s v="Yes"/>
    <n v="21"/>
    <s v="Credit Card"/>
    <x v="2"/>
  </r>
  <r>
    <n v="263"/>
    <x v="43"/>
    <s v="Male"/>
    <x v="13"/>
    <x v="0"/>
    <n v="40"/>
    <s v="Hawaii"/>
    <x v="2"/>
    <x v="11"/>
    <x v="2"/>
    <n v="3.7"/>
    <x v="0"/>
    <s v="Next Day Air"/>
    <s v="Yes"/>
    <s v="Yes"/>
    <n v="6"/>
    <s v="Debit Card"/>
    <x v="2"/>
  </r>
  <r>
    <n v="264"/>
    <x v="7"/>
    <s v="Male"/>
    <x v="6"/>
    <x v="0"/>
    <n v="46"/>
    <s v="Iowa"/>
    <x v="2"/>
    <x v="7"/>
    <x v="2"/>
    <n v="4.3"/>
    <x v="0"/>
    <s v="Store Pickup"/>
    <s v="Yes"/>
    <s v="Yes"/>
    <n v="29"/>
    <s v="Venmo"/>
    <x v="5"/>
  </r>
  <r>
    <n v="265"/>
    <x v="24"/>
    <s v="Male"/>
    <x v="13"/>
    <x v="0"/>
    <n v="78"/>
    <s v="Colorado"/>
    <x v="1"/>
    <x v="4"/>
    <x v="3"/>
    <n v="3.9"/>
    <x v="0"/>
    <s v="Store Pickup"/>
    <s v="Yes"/>
    <s v="Yes"/>
    <n v="15"/>
    <s v="Cash"/>
    <x v="2"/>
  </r>
  <r>
    <n v="266"/>
    <x v="45"/>
    <s v="Male"/>
    <x v="21"/>
    <x v="3"/>
    <n v="59"/>
    <s v="Michigan"/>
    <x v="2"/>
    <x v="0"/>
    <x v="1"/>
    <n v="3.2"/>
    <x v="0"/>
    <s v="2-Day Shipping"/>
    <s v="Yes"/>
    <s v="Yes"/>
    <n v="17"/>
    <s v="Bank Transfer"/>
    <x v="4"/>
  </r>
  <r>
    <n v="267"/>
    <x v="47"/>
    <s v="Male"/>
    <x v="16"/>
    <x v="3"/>
    <n v="75"/>
    <s v="Louisiana"/>
    <x v="0"/>
    <x v="3"/>
    <x v="2"/>
    <n v="3.1"/>
    <x v="0"/>
    <s v="Express"/>
    <s v="Yes"/>
    <s v="Yes"/>
    <n v="32"/>
    <s v="Credit Card"/>
    <x v="1"/>
  </r>
  <r>
    <n v="268"/>
    <x v="14"/>
    <s v="Male"/>
    <x v="1"/>
    <x v="0"/>
    <n v="54"/>
    <s v="Maryland"/>
    <x v="2"/>
    <x v="8"/>
    <x v="1"/>
    <n v="3.9"/>
    <x v="0"/>
    <s v="2-Day Shipping"/>
    <s v="Yes"/>
    <s v="Yes"/>
    <n v="42"/>
    <s v="Venmo"/>
    <x v="2"/>
  </r>
  <r>
    <n v="269"/>
    <x v="33"/>
    <s v="Male"/>
    <x v="9"/>
    <x v="1"/>
    <n v="42"/>
    <s v="Georgia"/>
    <x v="2"/>
    <x v="4"/>
    <x v="1"/>
    <n v="2.6"/>
    <x v="0"/>
    <s v="Store Pickup"/>
    <s v="Yes"/>
    <s v="Yes"/>
    <n v="21"/>
    <s v="Cash"/>
    <x v="5"/>
  </r>
  <r>
    <n v="270"/>
    <x v="33"/>
    <s v="Male"/>
    <x v="0"/>
    <x v="0"/>
    <n v="44"/>
    <s v="Georgia"/>
    <x v="2"/>
    <x v="4"/>
    <x v="0"/>
    <n v="3.3"/>
    <x v="0"/>
    <s v="Next Day Air"/>
    <s v="Yes"/>
    <s v="Yes"/>
    <n v="9"/>
    <s v="Cash"/>
    <x v="4"/>
  </r>
  <r>
    <n v="271"/>
    <x v="23"/>
    <s v="Male"/>
    <x v="2"/>
    <x v="0"/>
    <n v="52"/>
    <s v="North Dakota"/>
    <x v="3"/>
    <x v="20"/>
    <x v="3"/>
    <n v="4.5999999999999996"/>
    <x v="0"/>
    <s v="Free Shipping"/>
    <s v="Yes"/>
    <s v="Yes"/>
    <n v="16"/>
    <s v="Bank Transfer"/>
    <x v="2"/>
  </r>
  <r>
    <n v="272"/>
    <x v="13"/>
    <s v="Male"/>
    <x v="12"/>
    <x v="3"/>
    <n v="69"/>
    <s v="Maryland"/>
    <x v="3"/>
    <x v="22"/>
    <x v="2"/>
    <n v="4.5999999999999996"/>
    <x v="0"/>
    <s v="Express"/>
    <s v="Yes"/>
    <s v="Yes"/>
    <n v="42"/>
    <s v="Credit Card"/>
    <x v="0"/>
  </r>
  <r>
    <n v="273"/>
    <x v="39"/>
    <s v="Male"/>
    <x v="16"/>
    <x v="3"/>
    <n v="26"/>
    <s v="Oregon"/>
    <x v="2"/>
    <x v="19"/>
    <x v="2"/>
    <n v="4.4000000000000004"/>
    <x v="0"/>
    <s v="2-Day Shipping"/>
    <s v="Yes"/>
    <s v="Yes"/>
    <n v="37"/>
    <s v="Debit Card"/>
    <x v="4"/>
  </r>
  <r>
    <n v="274"/>
    <x v="28"/>
    <s v="Male"/>
    <x v="7"/>
    <x v="2"/>
    <n v="33"/>
    <s v="North Dakota"/>
    <x v="1"/>
    <x v="5"/>
    <x v="1"/>
    <n v="4.2"/>
    <x v="0"/>
    <s v="Express"/>
    <s v="Yes"/>
    <s v="Yes"/>
    <n v="32"/>
    <s v="Debit Card"/>
    <x v="3"/>
  </r>
  <r>
    <n v="275"/>
    <x v="35"/>
    <s v="Male"/>
    <x v="16"/>
    <x v="3"/>
    <n v="32"/>
    <s v="Maryland"/>
    <x v="2"/>
    <x v="21"/>
    <x v="1"/>
    <n v="3"/>
    <x v="0"/>
    <s v="Express"/>
    <s v="Yes"/>
    <s v="Yes"/>
    <n v="28"/>
    <s v="Cash"/>
    <x v="4"/>
  </r>
  <r>
    <n v="276"/>
    <x v="39"/>
    <s v="Male"/>
    <x v="21"/>
    <x v="3"/>
    <n v="85"/>
    <s v="Virginia"/>
    <x v="3"/>
    <x v="12"/>
    <x v="0"/>
    <n v="4"/>
    <x v="0"/>
    <s v="Express"/>
    <s v="Yes"/>
    <s v="Yes"/>
    <n v="13"/>
    <s v="Credit Card"/>
    <x v="1"/>
  </r>
  <r>
    <n v="277"/>
    <x v="15"/>
    <s v="Male"/>
    <x v="11"/>
    <x v="0"/>
    <n v="30"/>
    <s v="South Dakota"/>
    <x v="3"/>
    <x v="2"/>
    <x v="3"/>
    <n v="3.5"/>
    <x v="0"/>
    <s v="Express"/>
    <s v="Yes"/>
    <s v="Yes"/>
    <n v="11"/>
    <s v="Bank Transfer"/>
    <x v="0"/>
  </r>
  <r>
    <n v="278"/>
    <x v="26"/>
    <s v="Male"/>
    <x v="5"/>
    <x v="0"/>
    <n v="29"/>
    <s v="Georgia"/>
    <x v="2"/>
    <x v="14"/>
    <x v="0"/>
    <n v="3"/>
    <x v="0"/>
    <s v="Store Pickup"/>
    <s v="Yes"/>
    <s v="Yes"/>
    <n v="36"/>
    <s v="Bank Transfer"/>
    <x v="4"/>
  </r>
  <r>
    <n v="279"/>
    <x v="9"/>
    <s v="Male"/>
    <x v="1"/>
    <x v="0"/>
    <n v="95"/>
    <s v="Hawaii"/>
    <x v="2"/>
    <x v="20"/>
    <x v="1"/>
    <n v="3.7"/>
    <x v="0"/>
    <s v="Express"/>
    <s v="Yes"/>
    <s v="Yes"/>
    <n v="23"/>
    <s v="Debit Card"/>
    <x v="2"/>
  </r>
  <r>
    <n v="280"/>
    <x v="51"/>
    <s v="Male"/>
    <x v="4"/>
    <x v="1"/>
    <n v="69"/>
    <s v="Arkansas"/>
    <x v="0"/>
    <x v="2"/>
    <x v="2"/>
    <n v="4"/>
    <x v="0"/>
    <s v="Standard"/>
    <s v="Yes"/>
    <s v="Yes"/>
    <n v="37"/>
    <s v="Bank Transfer"/>
    <x v="5"/>
  </r>
  <r>
    <n v="281"/>
    <x v="4"/>
    <s v="Male"/>
    <x v="3"/>
    <x v="1"/>
    <n v="69"/>
    <s v="Montana"/>
    <x v="1"/>
    <x v="17"/>
    <x v="3"/>
    <n v="4.2"/>
    <x v="0"/>
    <s v="2-Day Shipping"/>
    <s v="Yes"/>
    <s v="Yes"/>
    <n v="21"/>
    <s v="Cash"/>
    <x v="4"/>
  </r>
  <r>
    <n v="282"/>
    <x v="21"/>
    <s v="Male"/>
    <x v="22"/>
    <x v="3"/>
    <n v="61"/>
    <s v="Oklahoma"/>
    <x v="3"/>
    <x v="4"/>
    <x v="1"/>
    <n v="2.5"/>
    <x v="0"/>
    <s v="Standard"/>
    <s v="Yes"/>
    <s v="Yes"/>
    <n v="22"/>
    <s v="Debit Card"/>
    <x v="4"/>
  </r>
  <r>
    <n v="283"/>
    <x v="3"/>
    <s v="Male"/>
    <x v="11"/>
    <x v="0"/>
    <n v="94"/>
    <s v="Minnesota"/>
    <x v="2"/>
    <x v="11"/>
    <x v="2"/>
    <n v="3"/>
    <x v="0"/>
    <s v="2-Day Shipping"/>
    <s v="Yes"/>
    <s v="Yes"/>
    <n v="9"/>
    <s v="Cash"/>
    <x v="5"/>
  </r>
  <r>
    <n v="284"/>
    <x v="45"/>
    <s v="Male"/>
    <x v="1"/>
    <x v="0"/>
    <n v="30"/>
    <s v="Montana"/>
    <x v="1"/>
    <x v="1"/>
    <x v="3"/>
    <n v="3.2"/>
    <x v="0"/>
    <s v="Next Day Air"/>
    <s v="Yes"/>
    <s v="Yes"/>
    <n v="16"/>
    <s v="Venmo"/>
    <x v="2"/>
  </r>
  <r>
    <n v="285"/>
    <x v="6"/>
    <s v="Male"/>
    <x v="11"/>
    <x v="0"/>
    <n v="45"/>
    <s v="Ohio"/>
    <x v="2"/>
    <x v="16"/>
    <x v="2"/>
    <n v="3.5"/>
    <x v="0"/>
    <s v="Standard"/>
    <s v="Yes"/>
    <s v="Yes"/>
    <n v="4"/>
    <s v="PayPal"/>
    <x v="3"/>
  </r>
  <r>
    <n v="286"/>
    <x v="26"/>
    <s v="Male"/>
    <x v="8"/>
    <x v="3"/>
    <n v="39"/>
    <s v="Kentucky"/>
    <x v="3"/>
    <x v="22"/>
    <x v="2"/>
    <n v="4.8"/>
    <x v="0"/>
    <s v="Express"/>
    <s v="Yes"/>
    <s v="Yes"/>
    <n v="3"/>
    <s v="Debit Card"/>
    <x v="4"/>
  </r>
  <r>
    <n v="287"/>
    <x v="7"/>
    <s v="Male"/>
    <x v="16"/>
    <x v="3"/>
    <n v="51"/>
    <s v="Nebraska"/>
    <x v="0"/>
    <x v="0"/>
    <x v="2"/>
    <n v="2.6"/>
    <x v="0"/>
    <s v="Store Pickup"/>
    <s v="Yes"/>
    <s v="Yes"/>
    <n v="6"/>
    <s v="Debit Card"/>
    <x v="2"/>
  </r>
  <r>
    <n v="288"/>
    <x v="19"/>
    <s v="Male"/>
    <x v="18"/>
    <x v="3"/>
    <n v="37"/>
    <s v="Delaware"/>
    <x v="0"/>
    <x v="24"/>
    <x v="1"/>
    <n v="3.4"/>
    <x v="0"/>
    <s v="2-Day Shipping"/>
    <s v="Yes"/>
    <s v="Yes"/>
    <n v="18"/>
    <s v="Venmo"/>
    <x v="0"/>
  </r>
  <r>
    <n v="289"/>
    <x v="11"/>
    <s v="Male"/>
    <x v="17"/>
    <x v="0"/>
    <n v="62"/>
    <s v="North Carolina"/>
    <x v="2"/>
    <x v="12"/>
    <x v="0"/>
    <n v="3.7"/>
    <x v="0"/>
    <s v="2-Day Shipping"/>
    <s v="Yes"/>
    <s v="Yes"/>
    <n v="34"/>
    <s v="Venmo"/>
    <x v="4"/>
  </r>
  <r>
    <n v="290"/>
    <x v="34"/>
    <s v="Male"/>
    <x v="7"/>
    <x v="2"/>
    <n v="85"/>
    <s v="New York"/>
    <x v="2"/>
    <x v="22"/>
    <x v="3"/>
    <n v="4.5"/>
    <x v="0"/>
    <s v="2-Day Shipping"/>
    <s v="Yes"/>
    <s v="Yes"/>
    <n v="26"/>
    <s v="Credit Card"/>
    <x v="5"/>
  </r>
  <r>
    <n v="291"/>
    <x v="44"/>
    <s v="Male"/>
    <x v="17"/>
    <x v="0"/>
    <n v="33"/>
    <s v="Colorado"/>
    <x v="2"/>
    <x v="21"/>
    <x v="0"/>
    <n v="3.7"/>
    <x v="0"/>
    <s v="Standard"/>
    <s v="Yes"/>
    <s v="Yes"/>
    <n v="50"/>
    <s v="PayPal"/>
    <x v="1"/>
  </r>
  <r>
    <n v="292"/>
    <x v="9"/>
    <s v="Male"/>
    <x v="10"/>
    <x v="0"/>
    <n v="26"/>
    <s v="Delaware"/>
    <x v="3"/>
    <x v="10"/>
    <x v="3"/>
    <n v="3.3"/>
    <x v="0"/>
    <s v="Next Day Air"/>
    <s v="Yes"/>
    <s v="Yes"/>
    <n v="40"/>
    <s v="Bank Transfer"/>
    <x v="5"/>
  </r>
  <r>
    <n v="293"/>
    <x v="52"/>
    <s v="Male"/>
    <x v="9"/>
    <x v="1"/>
    <n v="99"/>
    <s v="Utah"/>
    <x v="2"/>
    <x v="14"/>
    <x v="1"/>
    <n v="4.7"/>
    <x v="0"/>
    <s v="Free Shipping"/>
    <s v="Yes"/>
    <s v="Yes"/>
    <n v="24"/>
    <s v="Cash"/>
    <x v="3"/>
  </r>
  <r>
    <n v="294"/>
    <x v="28"/>
    <s v="Male"/>
    <x v="8"/>
    <x v="3"/>
    <n v="39"/>
    <s v="Connecticut"/>
    <x v="2"/>
    <x v="3"/>
    <x v="1"/>
    <n v="2.7"/>
    <x v="0"/>
    <s v="Express"/>
    <s v="Yes"/>
    <s v="Yes"/>
    <n v="33"/>
    <s v="PayPal"/>
    <x v="2"/>
  </r>
  <r>
    <n v="295"/>
    <x v="27"/>
    <s v="Male"/>
    <x v="11"/>
    <x v="0"/>
    <n v="20"/>
    <s v="New Jersey"/>
    <x v="2"/>
    <x v="9"/>
    <x v="1"/>
    <n v="4.5999999999999996"/>
    <x v="0"/>
    <s v="Store Pickup"/>
    <s v="Yes"/>
    <s v="Yes"/>
    <n v="19"/>
    <s v="Credit Card"/>
    <x v="6"/>
  </r>
  <r>
    <n v="296"/>
    <x v="10"/>
    <s v="Male"/>
    <x v="12"/>
    <x v="3"/>
    <n v="42"/>
    <s v="West Virginia"/>
    <x v="2"/>
    <x v="21"/>
    <x v="0"/>
    <n v="2.7"/>
    <x v="0"/>
    <s v="Store Pickup"/>
    <s v="Yes"/>
    <s v="Yes"/>
    <n v="24"/>
    <s v="Credit Card"/>
    <x v="3"/>
  </r>
  <r>
    <n v="297"/>
    <x v="15"/>
    <s v="Male"/>
    <x v="3"/>
    <x v="1"/>
    <n v="74"/>
    <s v="Indiana"/>
    <x v="1"/>
    <x v="12"/>
    <x v="1"/>
    <n v="4.8"/>
    <x v="0"/>
    <s v="2-Day Shipping"/>
    <s v="Yes"/>
    <s v="Yes"/>
    <n v="19"/>
    <s v="Credit Card"/>
    <x v="1"/>
  </r>
  <r>
    <n v="298"/>
    <x v="39"/>
    <s v="Male"/>
    <x v="9"/>
    <x v="1"/>
    <n v="26"/>
    <s v="Delaware"/>
    <x v="3"/>
    <x v="7"/>
    <x v="2"/>
    <n v="4.4000000000000004"/>
    <x v="0"/>
    <s v="Standard"/>
    <s v="Yes"/>
    <s v="Yes"/>
    <n v="4"/>
    <s v="Credit Card"/>
    <x v="4"/>
  </r>
  <r>
    <n v="299"/>
    <x v="28"/>
    <s v="Male"/>
    <x v="17"/>
    <x v="0"/>
    <n v="53"/>
    <s v="Maryland"/>
    <x v="2"/>
    <x v="12"/>
    <x v="0"/>
    <n v="4"/>
    <x v="0"/>
    <s v="Standard"/>
    <s v="Yes"/>
    <s v="Yes"/>
    <n v="11"/>
    <s v="Venmo"/>
    <x v="6"/>
  </r>
  <r>
    <n v="300"/>
    <x v="15"/>
    <s v="Male"/>
    <x v="4"/>
    <x v="1"/>
    <n v="80"/>
    <s v="Pennsylvania"/>
    <x v="2"/>
    <x v="1"/>
    <x v="2"/>
    <n v="3.2"/>
    <x v="0"/>
    <s v="Next Day Air"/>
    <s v="Yes"/>
    <s v="Yes"/>
    <n v="28"/>
    <s v="PayPal"/>
    <x v="0"/>
  </r>
  <r>
    <n v="301"/>
    <x v="26"/>
    <s v="Male"/>
    <x v="19"/>
    <x v="3"/>
    <n v="98"/>
    <s v="Iowa"/>
    <x v="2"/>
    <x v="11"/>
    <x v="1"/>
    <n v="4.4000000000000004"/>
    <x v="0"/>
    <s v="Store Pickup"/>
    <s v="Yes"/>
    <s v="Yes"/>
    <n v="24"/>
    <s v="PayPal"/>
    <x v="1"/>
  </r>
  <r>
    <n v="302"/>
    <x v="5"/>
    <s v="Male"/>
    <x v="11"/>
    <x v="0"/>
    <n v="95"/>
    <s v="Pennsylvania"/>
    <x v="2"/>
    <x v="14"/>
    <x v="1"/>
    <n v="3.8"/>
    <x v="0"/>
    <s v="Standard"/>
    <s v="Yes"/>
    <s v="Yes"/>
    <n v="25"/>
    <s v="Credit Card"/>
    <x v="6"/>
  </r>
  <r>
    <n v="303"/>
    <x v="43"/>
    <s v="Male"/>
    <x v="1"/>
    <x v="0"/>
    <n v="44"/>
    <s v="Delaware"/>
    <x v="0"/>
    <x v="8"/>
    <x v="2"/>
    <n v="3.6"/>
    <x v="0"/>
    <s v="Express"/>
    <s v="Yes"/>
    <s v="Yes"/>
    <n v="27"/>
    <s v="Bank Transfer"/>
    <x v="6"/>
  </r>
  <r>
    <n v="304"/>
    <x v="30"/>
    <s v="Male"/>
    <x v="3"/>
    <x v="1"/>
    <n v="60"/>
    <s v="Oregon"/>
    <x v="2"/>
    <x v="2"/>
    <x v="2"/>
    <n v="3.3"/>
    <x v="0"/>
    <s v="Next Day Air"/>
    <s v="Yes"/>
    <s v="Yes"/>
    <n v="49"/>
    <s v="Venmo"/>
    <x v="1"/>
  </r>
  <r>
    <n v="305"/>
    <x v="37"/>
    <s v="Male"/>
    <x v="10"/>
    <x v="0"/>
    <n v="84"/>
    <s v="Oregon"/>
    <x v="2"/>
    <x v="14"/>
    <x v="0"/>
    <n v="3.4"/>
    <x v="0"/>
    <s v="Next Day Air"/>
    <s v="Yes"/>
    <s v="Yes"/>
    <n v="45"/>
    <s v="Credit Card"/>
    <x v="4"/>
  </r>
  <r>
    <n v="306"/>
    <x v="52"/>
    <s v="Male"/>
    <x v="1"/>
    <x v="0"/>
    <n v="59"/>
    <s v="Utah"/>
    <x v="2"/>
    <x v="11"/>
    <x v="3"/>
    <n v="3.5"/>
    <x v="0"/>
    <s v="2-Day Shipping"/>
    <s v="Yes"/>
    <s v="Yes"/>
    <n v="26"/>
    <s v="PayPal"/>
    <x v="2"/>
  </r>
  <r>
    <n v="307"/>
    <x v="8"/>
    <s v="Male"/>
    <x v="14"/>
    <x v="2"/>
    <n v="49"/>
    <s v="North Dakota"/>
    <x v="1"/>
    <x v="3"/>
    <x v="2"/>
    <n v="3.6"/>
    <x v="0"/>
    <s v="Express"/>
    <s v="Yes"/>
    <s v="Yes"/>
    <n v="4"/>
    <s v="Cash"/>
    <x v="2"/>
  </r>
  <r>
    <n v="308"/>
    <x v="26"/>
    <s v="Male"/>
    <x v="24"/>
    <x v="3"/>
    <n v="32"/>
    <s v="Florida"/>
    <x v="2"/>
    <x v="20"/>
    <x v="0"/>
    <n v="3.2"/>
    <x v="0"/>
    <s v="Free Shipping"/>
    <s v="Yes"/>
    <s v="Yes"/>
    <n v="3"/>
    <s v="Credit Card"/>
    <x v="6"/>
  </r>
  <r>
    <n v="309"/>
    <x v="17"/>
    <s v="Male"/>
    <x v="8"/>
    <x v="3"/>
    <n v="29"/>
    <s v="Maryland"/>
    <x v="2"/>
    <x v="19"/>
    <x v="3"/>
    <n v="3.7"/>
    <x v="0"/>
    <s v="Standard"/>
    <s v="Yes"/>
    <s v="Yes"/>
    <n v="45"/>
    <s v="Venmo"/>
    <x v="4"/>
  </r>
  <r>
    <n v="310"/>
    <x v="17"/>
    <s v="Male"/>
    <x v="10"/>
    <x v="0"/>
    <n v="22"/>
    <s v="Minnesota"/>
    <x v="2"/>
    <x v="22"/>
    <x v="1"/>
    <n v="4.5"/>
    <x v="0"/>
    <s v="Standard"/>
    <s v="Yes"/>
    <s v="Yes"/>
    <n v="21"/>
    <s v="Cash"/>
    <x v="0"/>
  </r>
  <r>
    <n v="311"/>
    <x v="19"/>
    <s v="Male"/>
    <x v="13"/>
    <x v="0"/>
    <n v="85"/>
    <s v="Montana"/>
    <x v="2"/>
    <x v="4"/>
    <x v="0"/>
    <n v="4.5999999999999996"/>
    <x v="0"/>
    <s v="Standard"/>
    <s v="Yes"/>
    <s v="Yes"/>
    <n v="50"/>
    <s v="Cash"/>
    <x v="0"/>
  </r>
  <r>
    <n v="312"/>
    <x v="28"/>
    <s v="Male"/>
    <x v="2"/>
    <x v="0"/>
    <n v="52"/>
    <s v="Rhode Island"/>
    <x v="0"/>
    <x v="5"/>
    <x v="0"/>
    <n v="4.0999999999999996"/>
    <x v="0"/>
    <s v="Store Pickup"/>
    <s v="Yes"/>
    <s v="Yes"/>
    <n v="19"/>
    <s v="Bank Transfer"/>
    <x v="5"/>
  </r>
  <r>
    <n v="313"/>
    <x v="21"/>
    <s v="Male"/>
    <x v="13"/>
    <x v="0"/>
    <n v="89"/>
    <s v="Massachusetts"/>
    <x v="0"/>
    <x v="14"/>
    <x v="1"/>
    <n v="3.4"/>
    <x v="0"/>
    <s v="Next Day Air"/>
    <s v="Yes"/>
    <s v="Yes"/>
    <n v="6"/>
    <s v="PayPal"/>
    <x v="2"/>
  </r>
  <r>
    <n v="314"/>
    <x v="32"/>
    <s v="Male"/>
    <x v="10"/>
    <x v="0"/>
    <n v="77"/>
    <s v="Vermont"/>
    <x v="2"/>
    <x v="6"/>
    <x v="1"/>
    <n v="3.7"/>
    <x v="0"/>
    <s v="Express"/>
    <s v="Yes"/>
    <s v="Yes"/>
    <n v="50"/>
    <s v="Credit Card"/>
    <x v="6"/>
  </r>
  <r>
    <n v="315"/>
    <x v="11"/>
    <s v="Male"/>
    <x v="13"/>
    <x v="0"/>
    <n v="24"/>
    <s v="New Jersey"/>
    <x v="2"/>
    <x v="7"/>
    <x v="2"/>
    <n v="3.3"/>
    <x v="0"/>
    <s v="Store Pickup"/>
    <s v="Yes"/>
    <s v="Yes"/>
    <n v="17"/>
    <s v="Debit Card"/>
    <x v="6"/>
  </r>
  <r>
    <n v="316"/>
    <x v="17"/>
    <s v="Male"/>
    <x v="16"/>
    <x v="3"/>
    <n v="24"/>
    <s v="Wisconsin"/>
    <x v="3"/>
    <x v="20"/>
    <x v="1"/>
    <n v="4.5"/>
    <x v="0"/>
    <s v="Express"/>
    <s v="Yes"/>
    <s v="Yes"/>
    <n v="24"/>
    <s v="Debit Card"/>
    <x v="2"/>
  </r>
  <r>
    <n v="317"/>
    <x v="24"/>
    <s v="Male"/>
    <x v="8"/>
    <x v="3"/>
    <n v="22"/>
    <s v="California"/>
    <x v="2"/>
    <x v="4"/>
    <x v="3"/>
    <n v="3.3"/>
    <x v="0"/>
    <s v="Free Shipping"/>
    <s v="Yes"/>
    <s v="Yes"/>
    <n v="46"/>
    <s v="Venmo"/>
    <x v="5"/>
  </r>
  <r>
    <n v="318"/>
    <x v="44"/>
    <s v="Male"/>
    <x v="1"/>
    <x v="0"/>
    <n v="82"/>
    <s v="West Virginia"/>
    <x v="0"/>
    <x v="11"/>
    <x v="3"/>
    <n v="4.3"/>
    <x v="0"/>
    <s v="Standard"/>
    <s v="Yes"/>
    <s v="Yes"/>
    <n v="42"/>
    <s v="Cash"/>
    <x v="6"/>
  </r>
  <r>
    <n v="319"/>
    <x v="4"/>
    <s v="Male"/>
    <x v="21"/>
    <x v="3"/>
    <n v="67"/>
    <s v="South Dakota"/>
    <x v="2"/>
    <x v="19"/>
    <x v="0"/>
    <n v="2.5"/>
    <x v="0"/>
    <s v="Standard"/>
    <s v="Yes"/>
    <s v="Yes"/>
    <n v="10"/>
    <s v="Cash"/>
    <x v="2"/>
  </r>
  <r>
    <n v="320"/>
    <x v="36"/>
    <s v="Male"/>
    <x v="6"/>
    <x v="0"/>
    <n v="74"/>
    <s v="Maine"/>
    <x v="3"/>
    <x v="3"/>
    <x v="1"/>
    <n v="2.6"/>
    <x v="0"/>
    <s v="Standard"/>
    <s v="Yes"/>
    <s v="Yes"/>
    <n v="1"/>
    <s v="Cash"/>
    <x v="6"/>
  </r>
  <r>
    <n v="321"/>
    <x v="17"/>
    <s v="Male"/>
    <x v="16"/>
    <x v="3"/>
    <n v="72"/>
    <s v="Kansas"/>
    <x v="0"/>
    <x v="3"/>
    <x v="2"/>
    <n v="4.9000000000000004"/>
    <x v="0"/>
    <s v="Standard"/>
    <s v="Yes"/>
    <s v="Yes"/>
    <n v="28"/>
    <s v="Debit Card"/>
    <x v="3"/>
  </r>
  <r>
    <n v="322"/>
    <x v="38"/>
    <s v="Male"/>
    <x v="4"/>
    <x v="1"/>
    <n v="36"/>
    <s v="Vermont"/>
    <x v="0"/>
    <x v="20"/>
    <x v="2"/>
    <n v="4.7"/>
    <x v="0"/>
    <s v="Free Shipping"/>
    <s v="Yes"/>
    <s v="Yes"/>
    <n v="48"/>
    <s v="Debit Card"/>
    <x v="3"/>
  </r>
  <r>
    <n v="323"/>
    <x v="38"/>
    <s v="Male"/>
    <x v="22"/>
    <x v="3"/>
    <n v="95"/>
    <s v="Tennessee"/>
    <x v="1"/>
    <x v="17"/>
    <x v="0"/>
    <n v="3"/>
    <x v="0"/>
    <s v="Standard"/>
    <s v="Yes"/>
    <s v="Yes"/>
    <n v="47"/>
    <s v="Credit Card"/>
    <x v="5"/>
  </r>
  <r>
    <n v="324"/>
    <x v="17"/>
    <s v="Male"/>
    <x v="15"/>
    <x v="0"/>
    <n v="78"/>
    <s v="Tennessee"/>
    <x v="2"/>
    <x v="20"/>
    <x v="0"/>
    <n v="3.5"/>
    <x v="0"/>
    <s v="Next Day Air"/>
    <s v="Yes"/>
    <s v="Yes"/>
    <n v="29"/>
    <s v="PayPal"/>
    <x v="4"/>
  </r>
  <r>
    <n v="325"/>
    <x v="43"/>
    <s v="Male"/>
    <x v="5"/>
    <x v="0"/>
    <n v="82"/>
    <s v="Wyoming"/>
    <x v="2"/>
    <x v="8"/>
    <x v="2"/>
    <n v="4.8"/>
    <x v="0"/>
    <s v="Standard"/>
    <s v="Yes"/>
    <s v="Yes"/>
    <n v="37"/>
    <s v="Venmo"/>
    <x v="3"/>
  </r>
  <r>
    <n v="326"/>
    <x v="27"/>
    <s v="Male"/>
    <x v="13"/>
    <x v="0"/>
    <n v="70"/>
    <s v="Vermont"/>
    <x v="2"/>
    <x v="4"/>
    <x v="0"/>
    <n v="4.3"/>
    <x v="0"/>
    <s v="Free Shipping"/>
    <s v="Yes"/>
    <s v="Yes"/>
    <n v="38"/>
    <s v="Debit Card"/>
    <x v="2"/>
  </r>
  <r>
    <n v="327"/>
    <x v="46"/>
    <s v="Male"/>
    <x v="18"/>
    <x v="3"/>
    <n v="41"/>
    <s v="New Jersey"/>
    <x v="2"/>
    <x v="3"/>
    <x v="3"/>
    <n v="3.2"/>
    <x v="0"/>
    <s v="Store Pickup"/>
    <s v="Yes"/>
    <s v="Yes"/>
    <n v="48"/>
    <s v="Bank Transfer"/>
    <x v="1"/>
  </r>
  <r>
    <n v="328"/>
    <x v="12"/>
    <s v="Male"/>
    <x v="7"/>
    <x v="2"/>
    <n v="42"/>
    <s v="Iowa"/>
    <x v="2"/>
    <x v="11"/>
    <x v="2"/>
    <n v="3.1"/>
    <x v="0"/>
    <s v="Free Shipping"/>
    <s v="Yes"/>
    <s v="Yes"/>
    <n v="36"/>
    <s v="PayPal"/>
    <x v="1"/>
  </r>
  <r>
    <n v="329"/>
    <x v="39"/>
    <s v="Male"/>
    <x v="7"/>
    <x v="2"/>
    <n v="50"/>
    <s v="Florida"/>
    <x v="2"/>
    <x v="22"/>
    <x v="3"/>
    <n v="2.8"/>
    <x v="0"/>
    <s v="Free Shipping"/>
    <s v="Yes"/>
    <s v="Yes"/>
    <n v="9"/>
    <s v="Credit Card"/>
    <x v="1"/>
  </r>
  <r>
    <n v="330"/>
    <x v="27"/>
    <s v="Male"/>
    <x v="20"/>
    <x v="0"/>
    <n v="31"/>
    <s v="Nevada"/>
    <x v="1"/>
    <x v="3"/>
    <x v="2"/>
    <n v="2.9"/>
    <x v="0"/>
    <s v="2-Day Shipping"/>
    <s v="Yes"/>
    <s v="Yes"/>
    <n v="34"/>
    <s v="Bank Transfer"/>
    <x v="5"/>
  </r>
  <r>
    <n v="331"/>
    <x v="5"/>
    <s v="Male"/>
    <x v="1"/>
    <x v="0"/>
    <n v="51"/>
    <s v="North Dakota"/>
    <x v="2"/>
    <x v="19"/>
    <x v="0"/>
    <n v="3.7"/>
    <x v="0"/>
    <s v="Express"/>
    <s v="Yes"/>
    <s v="Yes"/>
    <n v="43"/>
    <s v="Venmo"/>
    <x v="4"/>
  </r>
  <r>
    <n v="332"/>
    <x v="18"/>
    <s v="Male"/>
    <x v="5"/>
    <x v="0"/>
    <n v="98"/>
    <s v="Florida"/>
    <x v="0"/>
    <x v="19"/>
    <x v="3"/>
    <n v="3.3"/>
    <x v="0"/>
    <s v="Store Pickup"/>
    <s v="Yes"/>
    <s v="Yes"/>
    <n v="46"/>
    <s v="PayPal"/>
    <x v="3"/>
  </r>
  <r>
    <n v="333"/>
    <x v="1"/>
    <s v="Male"/>
    <x v="5"/>
    <x v="0"/>
    <n v="86"/>
    <s v="New York"/>
    <x v="2"/>
    <x v="1"/>
    <x v="0"/>
    <n v="2.8"/>
    <x v="0"/>
    <s v="2-Day Shipping"/>
    <s v="Yes"/>
    <s v="Yes"/>
    <n v="5"/>
    <s v="Credit Card"/>
    <x v="5"/>
  </r>
  <r>
    <n v="334"/>
    <x v="31"/>
    <s v="Male"/>
    <x v="1"/>
    <x v="0"/>
    <n v="64"/>
    <s v="Alaska"/>
    <x v="2"/>
    <x v="11"/>
    <x v="0"/>
    <n v="4.5"/>
    <x v="0"/>
    <s v="Standard"/>
    <s v="Yes"/>
    <s v="Yes"/>
    <n v="15"/>
    <s v="Bank Transfer"/>
    <x v="4"/>
  </r>
  <r>
    <n v="335"/>
    <x v="38"/>
    <s v="Male"/>
    <x v="0"/>
    <x v="0"/>
    <n v="46"/>
    <s v="Kansas"/>
    <x v="2"/>
    <x v="12"/>
    <x v="3"/>
    <n v="2.6"/>
    <x v="0"/>
    <s v="Next Day Air"/>
    <s v="Yes"/>
    <s v="Yes"/>
    <n v="30"/>
    <s v="Credit Card"/>
    <x v="2"/>
  </r>
  <r>
    <n v="336"/>
    <x v="30"/>
    <s v="Male"/>
    <x v="1"/>
    <x v="0"/>
    <n v="85"/>
    <s v="Oregon"/>
    <x v="0"/>
    <x v="1"/>
    <x v="1"/>
    <n v="3.7"/>
    <x v="0"/>
    <s v="Standard"/>
    <s v="Yes"/>
    <s v="Yes"/>
    <n v="44"/>
    <s v="Venmo"/>
    <x v="6"/>
  </r>
  <r>
    <n v="337"/>
    <x v="24"/>
    <s v="Male"/>
    <x v="19"/>
    <x v="3"/>
    <n v="81"/>
    <s v="Rhode Island"/>
    <x v="1"/>
    <x v="20"/>
    <x v="3"/>
    <n v="4.4000000000000004"/>
    <x v="0"/>
    <s v="Express"/>
    <s v="Yes"/>
    <s v="Yes"/>
    <n v="16"/>
    <s v="PayPal"/>
    <x v="2"/>
  </r>
  <r>
    <n v="338"/>
    <x v="45"/>
    <s v="Male"/>
    <x v="1"/>
    <x v="0"/>
    <n v="59"/>
    <s v="New Mexico"/>
    <x v="2"/>
    <x v="17"/>
    <x v="0"/>
    <n v="4.3"/>
    <x v="0"/>
    <s v="2-Day Shipping"/>
    <s v="Yes"/>
    <s v="Yes"/>
    <n v="16"/>
    <s v="Bank Transfer"/>
    <x v="2"/>
  </r>
  <r>
    <n v="339"/>
    <x v="28"/>
    <s v="Male"/>
    <x v="15"/>
    <x v="0"/>
    <n v="79"/>
    <s v="Massachusetts"/>
    <x v="2"/>
    <x v="5"/>
    <x v="0"/>
    <n v="3.5"/>
    <x v="0"/>
    <s v="Express"/>
    <s v="Yes"/>
    <s v="Yes"/>
    <n v="16"/>
    <s v="Cash"/>
    <x v="1"/>
  </r>
  <r>
    <n v="340"/>
    <x v="37"/>
    <s v="Male"/>
    <x v="6"/>
    <x v="0"/>
    <n v="33"/>
    <s v="Pennsylvania"/>
    <x v="2"/>
    <x v="11"/>
    <x v="1"/>
    <n v="3.8"/>
    <x v="0"/>
    <s v="2-Day Shipping"/>
    <s v="Yes"/>
    <s v="Yes"/>
    <n v="21"/>
    <s v="Credit Card"/>
    <x v="6"/>
  </r>
  <r>
    <n v="341"/>
    <x v="37"/>
    <s v="Male"/>
    <x v="6"/>
    <x v="0"/>
    <n v="47"/>
    <s v="New Jersey"/>
    <x v="0"/>
    <x v="24"/>
    <x v="2"/>
    <n v="3.5"/>
    <x v="0"/>
    <s v="Express"/>
    <s v="Yes"/>
    <s v="Yes"/>
    <n v="39"/>
    <s v="Venmo"/>
    <x v="6"/>
  </r>
  <r>
    <n v="342"/>
    <x v="30"/>
    <s v="Male"/>
    <x v="19"/>
    <x v="3"/>
    <n v="20"/>
    <s v="Utah"/>
    <x v="1"/>
    <x v="24"/>
    <x v="2"/>
    <n v="4.5999999999999996"/>
    <x v="0"/>
    <s v="Store Pickup"/>
    <s v="Yes"/>
    <s v="Yes"/>
    <n v="40"/>
    <s v="Debit Card"/>
    <x v="4"/>
  </r>
  <r>
    <n v="343"/>
    <x v="14"/>
    <s v="Male"/>
    <x v="7"/>
    <x v="2"/>
    <n v="36"/>
    <s v="Kentucky"/>
    <x v="2"/>
    <x v="8"/>
    <x v="1"/>
    <n v="2.6"/>
    <x v="0"/>
    <s v="Next Day Air"/>
    <s v="Yes"/>
    <s v="Yes"/>
    <n v="48"/>
    <s v="Credit Card"/>
    <x v="6"/>
  </r>
  <r>
    <n v="344"/>
    <x v="7"/>
    <s v="Male"/>
    <x v="3"/>
    <x v="1"/>
    <n v="39"/>
    <s v="Nebraska"/>
    <x v="2"/>
    <x v="7"/>
    <x v="2"/>
    <n v="4.4000000000000004"/>
    <x v="0"/>
    <s v="Next Day Air"/>
    <s v="Yes"/>
    <s v="Yes"/>
    <n v="26"/>
    <s v="Venmo"/>
    <x v="5"/>
  </r>
  <r>
    <n v="345"/>
    <x v="41"/>
    <s v="Male"/>
    <x v="11"/>
    <x v="0"/>
    <n v="71"/>
    <s v="Virginia"/>
    <x v="2"/>
    <x v="4"/>
    <x v="0"/>
    <n v="4"/>
    <x v="0"/>
    <s v="Standard"/>
    <s v="Yes"/>
    <s v="Yes"/>
    <n v="46"/>
    <s v="Debit Card"/>
    <x v="5"/>
  </r>
  <r>
    <n v="346"/>
    <x v="39"/>
    <s v="Male"/>
    <x v="9"/>
    <x v="1"/>
    <n v="59"/>
    <s v="Wyoming"/>
    <x v="1"/>
    <x v="8"/>
    <x v="0"/>
    <n v="4.4000000000000004"/>
    <x v="0"/>
    <s v="Next Day Air"/>
    <s v="Yes"/>
    <s v="Yes"/>
    <n v="27"/>
    <s v="Bank Transfer"/>
    <x v="2"/>
  </r>
  <r>
    <n v="347"/>
    <x v="34"/>
    <s v="Male"/>
    <x v="2"/>
    <x v="0"/>
    <n v="50"/>
    <s v="New Mexico"/>
    <x v="0"/>
    <x v="10"/>
    <x v="1"/>
    <n v="4.7"/>
    <x v="0"/>
    <s v="Next Day Air"/>
    <s v="Yes"/>
    <s v="Yes"/>
    <n v="5"/>
    <s v="Cash"/>
    <x v="1"/>
  </r>
  <r>
    <n v="348"/>
    <x v="24"/>
    <s v="Male"/>
    <x v="3"/>
    <x v="1"/>
    <n v="41"/>
    <s v="Oregon"/>
    <x v="0"/>
    <x v="16"/>
    <x v="3"/>
    <n v="3.9"/>
    <x v="0"/>
    <s v="Store Pickup"/>
    <s v="Yes"/>
    <s v="Yes"/>
    <n v="43"/>
    <s v="PayPal"/>
    <x v="0"/>
  </r>
  <r>
    <n v="349"/>
    <x v="19"/>
    <s v="Male"/>
    <x v="0"/>
    <x v="0"/>
    <n v="59"/>
    <s v="South Carolina"/>
    <x v="2"/>
    <x v="19"/>
    <x v="3"/>
    <n v="2.7"/>
    <x v="0"/>
    <s v="Free Shipping"/>
    <s v="Yes"/>
    <s v="Yes"/>
    <n v="17"/>
    <s v="PayPal"/>
    <x v="0"/>
  </r>
  <r>
    <n v="350"/>
    <x v="43"/>
    <s v="Male"/>
    <x v="19"/>
    <x v="3"/>
    <n v="87"/>
    <s v="Arizona"/>
    <x v="2"/>
    <x v="14"/>
    <x v="0"/>
    <n v="3.7"/>
    <x v="0"/>
    <s v="2-Day Shipping"/>
    <s v="Yes"/>
    <s v="Yes"/>
    <n v="3"/>
    <s v="Bank Transfer"/>
    <x v="4"/>
  </r>
  <r>
    <n v="351"/>
    <x v="32"/>
    <s v="Male"/>
    <x v="1"/>
    <x v="0"/>
    <n v="68"/>
    <s v="Kentucky"/>
    <x v="2"/>
    <x v="10"/>
    <x v="1"/>
    <n v="2.6"/>
    <x v="0"/>
    <s v="2-Day Shipping"/>
    <s v="Yes"/>
    <s v="Yes"/>
    <n v="47"/>
    <s v="Bank Transfer"/>
    <x v="0"/>
  </r>
  <r>
    <n v="352"/>
    <x v="48"/>
    <s v="Male"/>
    <x v="11"/>
    <x v="0"/>
    <n v="90"/>
    <s v="New York"/>
    <x v="2"/>
    <x v="11"/>
    <x v="0"/>
    <n v="3.9"/>
    <x v="0"/>
    <s v="Standard"/>
    <s v="Yes"/>
    <s v="Yes"/>
    <n v="24"/>
    <s v="Debit Card"/>
    <x v="4"/>
  </r>
  <r>
    <n v="353"/>
    <x v="7"/>
    <s v="Male"/>
    <x v="2"/>
    <x v="0"/>
    <n v="71"/>
    <s v="Texas"/>
    <x v="3"/>
    <x v="22"/>
    <x v="3"/>
    <n v="4.9000000000000004"/>
    <x v="0"/>
    <s v="Next Day Air"/>
    <s v="Yes"/>
    <s v="Yes"/>
    <n v="12"/>
    <s v="Cash"/>
    <x v="6"/>
  </r>
  <r>
    <n v="354"/>
    <x v="6"/>
    <s v="Male"/>
    <x v="4"/>
    <x v="1"/>
    <n v="64"/>
    <s v="Missouri"/>
    <x v="0"/>
    <x v="22"/>
    <x v="3"/>
    <n v="4.0999999999999996"/>
    <x v="0"/>
    <s v="Store Pickup"/>
    <s v="Yes"/>
    <s v="Yes"/>
    <n v="35"/>
    <s v="Debit Card"/>
    <x v="5"/>
  </r>
  <r>
    <n v="355"/>
    <x v="44"/>
    <s v="Male"/>
    <x v="16"/>
    <x v="3"/>
    <n v="76"/>
    <s v="Pennsylvania"/>
    <x v="1"/>
    <x v="8"/>
    <x v="3"/>
    <n v="3"/>
    <x v="0"/>
    <s v="Free Shipping"/>
    <s v="Yes"/>
    <s v="Yes"/>
    <n v="42"/>
    <s v="Venmo"/>
    <x v="1"/>
  </r>
  <r>
    <n v="356"/>
    <x v="43"/>
    <s v="Male"/>
    <x v="16"/>
    <x v="3"/>
    <n v="42"/>
    <s v="Oregon"/>
    <x v="3"/>
    <x v="23"/>
    <x v="3"/>
    <n v="4.0999999999999996"/>
    <x v="0"/>
    <s v="2-Day Shipping"/>
    <s v="Yes"/>
    <s v="Yes"/>
    <n v="1"/>
    <s v="PayPal"/>
    <x v="6"/>
  </r>
  <r>
    <n v="357"/>
    <x v="19"/>
    <s v="Male"/>
    <x v="13"/>
    <x v="0"/>
    <n v="80"/>
    <s v="Nevada"/>
    <x v="0"/>
    <x v="13"/>
    <x v="1"/>
    <n v="3.8"/>
    <x v="0"/>
    <s v="Standard"/>
    <s v="Yes"/>
    <s v="Yes"/>
    <n v="27"/>
    <s v="Cash"/>
    <x v="1"/>
  </r>
  <r>
    <n v="358"/>
    <x v="20"/>
    <s v="Male"/>
    <x v="22"/>
    <x v="3"/>
    <n v="56"/>
    <s v="Arkansas"/>
    <x v="2"/>
    <x v="8"/>
    <x v="1"/>
    <n v="4"/>
    <x v="0"/>
    <s v="Standard"/>
    <s v="Yes"/>
    <s v="Yes"/>
    <n v="16"/>
    <s v="Credit Card"/>
    <x v="4"/>
  </r>
  <r>
    <n v="359"/>
    <x v="39"/>
    <s v="Male"/>
    <x v="19"/>
    <x v="3"/>
    <n v="25"/>
    <s v="Minnesota"/>
    <x v="3"/>
    <x v="23"/>
    <x v="2"/>
    <n v="3.6"/>
    <x v="0"/>
    <s v="Express"/>
    <s v="Yes"/>
    <s v="Yes"/>
    <n v="36"/>
    <s v="Credit Card"/>
    <x v="6"/>
  </r>
  <r>
    <n v="360"/>
    <x v="18"/>
    <s v="Male"/>
    <x v="4"/>
    <x v="1"/>
    <n v="74"/>
    <s v="Georgia"/>
    <x v="2"/>
    <x v="8"/>
    <x v="0"/>
    <n v="3"/>
    <x v="0"/>
    <s v="Store Pickup"/>
    <s v="Yes"/>
    <s v="Yes"/>
    <n v="30"/>
    <s v="Credit Card"/>
    <x v="6"/>
  </r>
  <r>
    <n v="361"/>
    <x v="47"/>
    <s v="Male"/>
    <x v="13"/>
    <x v="0"/>
    <n v="30"/>
    <s v="Rhode Island"/>
    <x v="2"/>
    <x v="11"/>
    <x v="2"/>
    <n v="3"/>
    <x v="0"/>
    <s v="Standard"/>
    <s v="Yes"/>
    <s v="Yes"/>
    <n v="18"/>
    <s v="Debit Card"/>
    <x v="0"/>
  </r>
  <r>
    <n v="362"/>
    <x v="13"/>
    <s v="Male"/>
    <x v="17"/>
    <x v="0"/>
    <n v="96"/>
    <s v="Nevada"/>
    <x v="2"/>
    <x v="3"/>
    <x v="1"/>
    <n v="2.6"/>
    <x v="0"/>
    <s v="Free Shipping"/>
    <s v="Yes"/>
    <s v="Yes"/>
    <n v="45"/>
    <s v="Cash"/>
    <x v="2"/>
  </r>
  <r>
    <n v="363"/>
    <x v="10"/>
    <s v="Male"/>
    <x v="4"/>
    <x v="1"/>
    <n v="64"/>
    <s v="Texas"/>
    <x v="2"/>
    <x v="4"/>
    <x v="3"/>
    <n v="3.4"/>
    <x v="0"/>
    <s v="Free Shipping"/>
    <s v="Yes"/>
    <s v="Yes"/>
    <n v="1"/>
    <s v="Venmo"/>
    <x v="0"/>
  </r>
  <r>
    <n v="364"/>
    <x v="0"/>
    <s v="Male"/>
    <x v="6"/>
    <x v="0"/>
    <n v="88"/>
    <s v="Florida"/>
    <x v="0"/>
    <x v="22"/>
    <x v="0"/>
    <n v="3.1"/>
    <x v="0"/>
    <s v="Free Shipping"/>
    <s v="Yes"/>
    <s v="Yes"/>
    <n v="42"/>
    <s v="Bank Transfer"/>
    <x v="0"/>
  </r>
  <r>
    <n v="365"/>
    <x v="46"/>
    <s v="Male"/>
    <x v="9"/>
    <x v="1"/>
    <n v="88"/>
    <s v="North Dakota"/>
    <x v="0"/>
    <x v="4"/>
    <x v="2"/>
    <n v="3"/>
    <x v="0"/>
    <s v="Free Shipping"/>
    <s v="Yes"/>
    <s v="Yes"/>
    <n v="7"/>
    <s v="Venmo"/>
    <x v="6"/>
  </r>
  <r>
    <n v="366"/>
    <x v="0"/>
    <s v="Male"/>
    <x v="24"/>
    <x v="3"/>
    <n v="88"/>
    <s v="West Virginia"/>
    <x v="3"/>
    <x v="0"/>
    <x v="2"/>
    <n v="3.7"/>
    <x v="0"/>
    <s v="Standard"/>
    <s v="Yes"/>
    <s v="Yes"/>
    <n v="50"/>
    <s v="PayPal"/>
    <x v="3"/>
  </r>
  <r>
    <n v="367"/>
    <x v="14"/>
    <s v="Male"/>
    <x v="20"/>
    <x v="0"/>
    <n v="36"/>
    <s v="Nebraska"/>
    <x v="2"/>
    <x v="2"/>
    <x v="1"/>
    <n v="3.5"/>
    <x v="0"/>
    <s v="Store Pickup"/>
    <s v="Yes"/>
    <s v="Yes"/>
    <n v="37"/>
    <s v="Venmo"/>
    <x v="0"/>
  </r>
  <r>
    <n v="368"/>
    <x v="16"/>
    <s v="Male"/>
    <x v="10"/>
    <x v="0"/>
    <n v="40"/>
    <s v="Tennessee"/>
    <x v="3"/>
    <x v="17"/>
    <x v="1"/>
    <n v="2.8"/>
    <x v="0"/>
    <s v="Store Pickup"/>
    <s v="Yes"/>
    <s v="Yes"/>
    <n v="18"/>
    <s v="Bank Transfer"/>
    <x v="5"/>
  </r>
  <r>
    <n v="369"/>
    <x v="41"/>
    <s v="Male"/>
    <x v="8"/>
    <x v="3"/>
    <n v="39"/>
    <s v="Oklahoma"/>
    <x v="2"/>
    <x v="4"/>
    <x v="1"/>
    <n v="4.5"/>
    <x v="0"/>
    <s v="Standard"/>
    <s v="Yes"/>
    <s v="Yes"/>
    <n v="29"/>
    <s v="Cash"/>
    <x v="5"/>
  </r>
  <r>
    <n v="370"/>
    <x v="21"/>
    <s v="Male"/>
    <x v="22"/>
    <x v="3"/>
    <n v="40"/>
    <s v="Wisconsin"/>
    <x v="2"/>
    <x v="5"/>
    <x v="2"/>
    <n v="3.3"/>
    <x v="0"/>
    <s v="Store Pickup"/>
    <s v="Yes"/>
    <s v="Yes"/>
    <n v="45"/>
    <s v="PayPal"/>
    <x v="3"/>
  </r>
  <r>
    <n v="371"/>
    <x v="35"/>
    <s v="Male"/>
    <x v="18"/>
    <x v="3"/>
    <n v="34"/>
    <s v="Oregon"/>
    <x v="2"/>
    <x v="8"/>
    <x v="0"/>
    <n v="3.4"/>
    <x v="0"/>
    <s v="Express"/>
    <s v="Yes"/>
    <s v="Yes"/>
    <n v="13"/>
    <s v="PayPal"/>
    <x v="1"/>
  </r>
  <r>
    <n v="372"/>
    <x v="7"/>
    <s v="Male"/>
    <x v="4"/>
    <x v="1"/>
    <n v="83"/>
    <s v="North Carolina"/>
    <x v="1"/>
    <x v="6"/>
    <x v="0"/>
    <n v="3.2"/>
    <x v="0"/>
    <s v="2-Day Shipping"/>
    <s v="Yes"/>
    <s v="Yes"/>
    <n v="47"/>
    <s v="PayPal"/>
    <x v="5"/>
  </r>
  <r>
    <n v="373"/>
    <x v="41"/>
    <s v="Male"/>
    <x v="1"/>
    <x v="0"/>
    <n v="85"/>
    <s v="Pennsylvania"/>
    <x v="0"/>
    <x v="20"/>
    <x v="2"/>
    <n v="3.7"/>
    <x v="0"/>
    <s v="Standard"/>
    <s v="Yes"/>
    <s v="Yes"/>
    <n v="7"/>
    <s v="Debit Card"/>
    <x v="1"/>
  </r>
  <r>
    <n v="374"/>
    <x v="51"/>
    <s v="Male"/>
    <x v="7"/>
    <x v="2"/>
    <n v="27"/>
    <s v="North Dakota"/>
    <x v="0"/>
    <x v="3"/>
    <x v="2"/>
    <n v="4.5999999999999996"/>
    <x v="0"/>
    <s v="Express"/>
    <s v="Yes"/>
    <s v="Yes"/>
    <n v="11"/>
    <s v="Venmo"/>
    <x v="4"/>
  </r>
  <r>
    <n v="375"/>
    <x v="28"/>
    <s v="Male"/>
    <x v="16"/>
    <x v="3"/>
    <n v="78"/>
    <s v="Ohio"/>
    <x v="1"/>
    <x v="7"/>
    <x v="1"/>
    <n v="5"/>
    <x v="0"/>
    <s v="Store Pickup"/>
    <s v="Yes"/>
    <s v="Yes"/>
    <n v="39"/>
    <s v="Bank Transfer"/>
    <x v="5"/>
  </r>
  <r>
    <n v="376"/>
    <x v="35"/>
    <s v="Male"/>
    <x v="12"/>
    <x v="3"/>
    <n v="32"/>
    <s v="Oklahoma"/>
    <x v="2"/>
    <x v="8"/>
    <x v="2"/>
    <n v="4.4000000000000004"/>
    <x v="0"/>
    <s v="Standard"/>
    <s v="Yes"/>
    <s v="Yes"/>
    <n v="6"/>
    <s v="Debit Card"/>
    <x v="3"/>
  </r>
  <r>
    <n v="377"/>
    <x v="47"/>
    <s v="Male"/>
    <x v="9"/>
    <x v="1"/>
    <n v="51"/>
    <s v="South Carolina"/>
    <x v="1"/>
    <x v="0"/>
    <x v="3"/>
    <n v="4.9000000000000004"/>
    <x v="0"/>
    <s v="Express"/>
    <s v="Yes"/>
    <s v="Yes"/>
    <n v="2"/>
    <s v="Venmo"/>
    <x v="4"/>
  </r>
  <r>
    <n v="378"/>
    <x v="6"/>
    <s v="Male"/>
    <x v="18"/>
    <x v="3"/>
    <n v="32"/>
    <s v="Maine"/>
    <x v="2"/>
    <x v="5"/>
    <x v="1"/>
    <n v="4.0999999999999996"/>
    <x v="0"/>
    <s v="Standard"/>
    <s v="Yes"/>
    <s v="Yes"/>
    <n v="39"/>
    <s v="Credit Card"/>
    <x v="6"/>
  </r>
  <r>
    <n v="379"/>
    <x v="22"/>
    <s v="Male"/>
    <x v="10"/>
    <x v="0"/>
    <n v="62"/>
    <s v="Nevada"/>
    <x v="0"/>
    <x v="20"/>
    <x v="0"/>
    <n v="4.9000000000000004"/>
    <x v="0"/>
    <s v="Next Day Air"/>
    <s v="Yes"/>
    <s v="Yes"/>
    <n v="23"/>
    <s v="Credit Card"/>
    <x v="5"/>
  </r>
  <r>
    <n v="380"/>
    <x v="45"/>
    <s v="Male"/>
    <x v="17"/>
    <x v="0"/>
    <n v="29"/>
    <s v="Montana"/>
    <x v="1"/>
    <x v="23"/>
    <x v="3"/>
    <n v="4.7"/>
    <x v="0"/>
    <s v="2-Day Shipping"/>
    <s v="Yes"/>
    <s v="Yes"/>
    <n v="46"/>
    <s v="Debit Card"/>
    <x v="4"/>
  </r>
  <r>
    <n v="381"/>
    <x v="31"/>
    <s v="Male"/>
    <x v="21"/>
    <x v="3"/>
    <n v="69"/>
    <s v="New Hampshire"/>
    <x v="3"/>
    <x v="19"/>
    <x v="3"/>
    <n v="3"/>
    <x v="0"/>
    <s v="Store Pickup"/>
    <s v="Yes"/>
    <s v="Yes"/>
    <n v="19"/>
    <s v="Bank Transfer"/>
    <x v="1"/>
  </r>
  <r>
    <n v="382"/>
    <x v="17"/>
    <s v="Male"/>
    <x v="16"/>
    <x v="3"/>
    <n v="25"/>
    <s v="Maine"/>
    <x v="0"/>
    <x v="12"/>
    <x v="0"/>
    <n v="3.4"/>
    <x v="0"/>
    <s v="Store Pickup"/>
    <s v="Yes"/>
    <s v="Yes"/>
    <n v="3"/>
    <s v="Credit Card"/>
    <x v="6"/>
  </r>
  <r>
    <n v="383"/>
    <x v="48"/>
    <s v="Male"/>
    <x v="2"/>
    <x v="0"/>
    <n v="76"/>
    <s v="California"/>
    <x v="2"/>
    <x v="15"/>
    <x v="0"/>
    <n v="3.2"/>
    <x v="0"/>
    <s v="Store Pickup"/>
    <s v="Yes"/>
    <s v="Yes"/>
    <n v="47"/>
    <s v="PayPal"/>
    <x v="3"/>
  </r>
  <r>
    <n v="384"/>
    <x v="2"/>
    <s v="Male"/>
    <x v="12"/>
    <x v="3"/>
    <n v="77"/>
    <s v="West Virginia"/>
    <x v="1"/>
    <x v="23"/>
    <x v="3"/>
    <n v="2.9"/>
    <x v="0"/>
    <s v="Standard"/>
    <s v="Yes"/>
    <s v="Yes"/>
    <n v="6"/>
    <s v="PayPal"/>
    <x v="3"/>
  </r>
  <r>
    <n v="385"/>
    <x v="27"/>
    <s v="Male"/>
    <x v="1"/>
    <x v="0"/>
    <n v="33"/>
    <s v="California"/>
    <x v="2"/>
    <x v="19"/>
    <x v="3"/>
    <n v="4.5"/>
    <x v="0"/>
    <s v="2-Day Shipping"/>
    <s v="Yes"/>
    <s v="Yes"/>
    <n v="6"/>
    <s v="Venmo"/>
    <x v="2"/>
  </r>
  <r>
    <n v="386"/>
    <x v="29"/>
    <s v="Male"/>
    <x v="6"/>
    <x v="0"/>
    <n v="93"/>
    <s v="West Virginia"/>
    <x v="1"/>
    <x v="22"/>
    <x v="3"/>
    <n v="2.7"/>
    <x v="0"/>
    <s v="Next Day Air"/>
    <s v="Yes"/>
    <s v="Yes"/>
    <n v="12"/>
    <s v="Credit Card"/>
    <x v="4"/>
  </r>
  <r>
    <n v="387"/>
    <x v="14"/>
    <s v="Male"/>
    <x v="16"/>
    <x v="3"/>
    <n v="39"/>
    <s v="Louisiana"/>
    <x v="0"/>
    <x v="18"/>
    <x v="1"/>
    <n v="3.4"/>
    <x v="0"/>
    <s v="Express"/>
    <s v="Yes"/>
    <s v="Yes"/>
    <n v="40"/>
    <s v="PayPal"/>
    <x v="3"/>
  </r>
  <r>
    <n v="388"/>
    <x v="4"/>
    <s v="Male"/>
    <x v="7"/>
    <x v="2"/>
    <n v="93"/>
    <s v="Georgia"/>
    <x v="0"/>
    <x v="5"/>
    <x v="2"/>
    <n v="4.5999999999999996"/>
    <x v="0"/>
    <s v="Store Pickup"/>
    <s v="Yes"/>
    <s v="Yes"/>
    <n v="38"/>
    <s v="PayPal"/>
    <x v="0"/>
  </r>
  <r>
    <n v="389"/>
    <x v="40"/>
    <s v="Male"/>
    <x v="8"/>
    <x v="3"/>
    <n v="82"/>
    <s v="Washington"/>
    <x v="2"/>
    <x v="20"/>
    <x v="2"/>
    <n v="2.7"/>
    <x v="0"/>
    <s v="Store Pickup"/>
    <s v="Yes"/>
    <s v="Yes"/>
    <n v="10"/>
    <s v="PayPal"/>
    <x v="3"/>
  </r>
  <r>
    <n v="390"/>
    <x v="7"/>
    <s v="Male"/>
    <x v="23"/>
    <x v="1"/>
    <n v="42"/>
    <s v="Virginia"/>
    <x v="0"/>
    <x v="7"/>
    <x v="1"/>
    <n v="4.2"/>
    <x v="0"/>
    <s v="Standard"/>
    <s v="Yes"/>
    <s v="Yes"/>
    <n v="28"/>
    <s v="Bank Transfer"/>
    <x v="5"/>
  </r>
  <r>
    <n v="391"/>
    <x v="15"/>
    <s v="Male"/>
    <x v="24"/>
    <x v="3"/>
    <n v="71"/>
    <s v="Indiana"/>
    <x v="2"/>
    <x v="21"/>
    <x v="0"/>
    <n v="3.2"/>
    <x v="0"/>
    <s v="2-Day Shipping"/>
    <s v="Yes"/>
    <s v="Yes"/>
    <n v="19"/>
    <s v="PayPal"/>
    <x v="2"/>
  </r>
  <r>
    <n v="392"/>
    <x v="43"/>
    <s v="Male"/>
    <x v="1"/>
    <x v="0"/>
    <n v="86"/>
    <s v="Minnesota"/>
    <x v="0"/>
    <x v="0"/>
    <x v="1"/>
    <n v="4.8"/>
    <x v="0"/>
    <s v="Standard"/>
    <s v="Yes"/>
    <s v="Yes"/>
    <n v="25"/>
    <s v="Cash"/>
    <x v="0"/>
  </r>
  <r>
    <n v="393"/>
    <x v="8"/>
    <s v="Male"/>
    <x v="17"/>
    <x v="0"/>
    <n v="82"/>
    <s v="Idaho"/>
    <x v="3"/>
    <x v="13"/>
    <x v="1"/>
    <n v="3.3"/>
    <x v="0"/>
    <s v="Next Day Air"/>
    <s v="Yes"/>
    <s v="Yes"/>
    <n v="38"/>
    <s v="Credit Card"/>
    <x v="2"/>
  </r>
  <r>
    <n v="394"/>
    <x v="23"/>
    <s v="Male"/>
    <x v="9"/>
    <x v="1"/>
    <n v="65"/>
    <s v="Vermont"/>
    <x v="0"/>
    <x v="1"/>
    <x v="3"/>
    <n v="4.2"/>
    <x v="0"/>
    <s v="Standard"/>
    <s v="Yes"/>
    <s v="Yes"/>
    <n v="6"/>
    <s v="PayPal"/>
    <x v="0"/>
  </r>
  <r>
    <n v="395"/>
    <x v="49"/>
    <s v="Male"/>
    <x v="18"/>
    <x v="3"/>
    <n v="29"/>
    <s v="North Dakota"/>
    <x v="2"/>
    <x v="19"/>
    <x v="1"/>
    <n v="4.8"/>
    <x v="0"/>
    <s v="Store Pickup"/>
    <s v="Yes"/>
    <s v="Yes"/>
    <n v="7"/>
    <s v="Debit Card"/>
    <x v="4"/>
  </r>
  <r>
    <n v="396"/>
    <x v="43"/>
    <s v="Male"/>
    <x v="4"/>
    <x v="1"/>
    <n v="65"/>
    <s v="Rhode Island"/>
    <x v="0"/>
    <x v="18"/>
    <x v="0"/>
    <n v="4.9000000000000004"/>
    <x v="0"/>
    <s v="Store Pickup"/>
    <s v="Yes"/>
    <s v="Yes"/>
    <n v="2"/>
    <s v="PayPal"/>
    <x v="2"/>
  </r>
  <r>
    <n v="397"/>
    <x v="5"/>
    <s v="Male"/>
    <x v="10"/>
    <x v="0"/>
    <n v="88"/>
    <s v="South Carolina"/>
    <x v="1"/>
    <x v="13"/>
    <x v="3"/>
    <n v="3.9"/>
    <x v="0"/>
    <s v="Standard"/>
    <s v="Yes"/>
    <s v="Yes"/>
    <n v="24"/>
    <s v="Bank Transfer"/>
    <x v="2"/>
  </r>
  <r>
    <n v="398"/>
    <x v="40"/>
    <s v="Male"/>
    <x v="22"/>
    <x v="3"/>
    <n v="46"/>
    <s v="Mississippi"/>
    <x v="2"/>
    <x v="21"/>
    <x v="3"/>
    <n v="3"/>
    <x v="0"/>
    <s v="Free Shipping"/>
    <s v="Yes"/>
    <s v="Yes"/>
    <n v="26"/>
    <s v="Cash"/>
    <x v="2"/>
  </r>
  <r>
    <n v="399"/>
    <x v="30"/>
    <s v="Male"/>
    <x v="23"/>
    <x v="1"/>
    <n v="67"/>
    <s v="Montana"/>
    <x v="1"/>
    <x v="5"/>
    <x v="0"/>
    <n v="4.5999999999999996"/>
    <x v="0"/>
    <s v="Free Shipping"/>
    <s v="Yes"/>
    <s v="Yes"/>
    <n v="25"/>
    <s v="Debit Card"/>
    <x v="6"/>
  </r>
  <r>
    <n v="400"/>
    <x v="52"/>
    <s v="Male"/>
    <x v="18"/>
    <x v="3"/>
    <n v="35"/>
    <s v="Idaho"/>
    <x v="0"/>
    <x v="24"/>
    <x v="3"/>
    <n v="3.5"/>
    <x v="0"/>
    <s v="2-Day Shipping"/>
    <s v="Yes"/>
    <s v="Yes"/>
    <n v="10"/>
    <s v="Debit Card"/>
    <x v="5"/>
  </r>
  <r>
    <n v="401"/>
    <x v="31"/>
    <s v="Male"/>
    <x v="23"/>
    <x v="1"/>
    <n v="66"/>
    <s v="Utah"/>
    <x v="2"/>
    <x v="14"/>
    <x v="0"/>
    <n v="4.8"/>
    <x v="0"/>
    <s v="Free Shipping"/>
    <s v="Yes"/>
    <s v="Yes"/>
    <n v="14"/>
    <s v="PayPal"/>
    <x v="0"/>
  </r>
  <r>
    <n v="402"/>
    <x v="49"/>
    <s v="Male"/>
    <x v="17"/>
    <x v="0"/>
    <n v="91"/>
    <s v="Oklahoma"/>
    <x v="0"/>
    <x v="20"/>
    <x v="3"/>
    <n v="4.8"/>
    <x v="0"/>
    <s v="Standard"/>
    <s v="Yes"/>
    <s v="Yes"/>
    <n v="21"/>
    <s v="Cash"/>
    <x v="3"/>
  </r>
  <r>
    <n v="403"/>
    <x v="18"/>
    <s v="Male"/>
    <x v="21"/>
    <x v="3"/>
    <n v="78"/>
    <s v="California"/>
    <x v="0"/>
    <x v="17"/>
    <x v="3"/>
    <n v="3"/>
    <x v="0"/>
    <s v="Express"/>
    <s v="Yes"/>
    <s v="Yes"/>
    <n v="26"/>
    <s v="PayPal"/>
    <x v="5"/>
  </r>
  <r>
    <n v="404"/>
    <x v="1"/>
    <s v="Male"/>
    <x v="4"/>
    <x v="1"/>
    <n v="45"/>
    <s v="Nevada"/>
    <x v="2"/>
    <x v="20"/>
    <x v="0"/>
    <n v="4.5"/>
    <x v="0"/>
    <s v="Next Day Air"/>
    <s v="Yes"/>
    <s v="Yes"/>
    <n v="12"/>
    <s v="Bank Transfer"/>
    <x v="2"/>
  </r>
  <r>
    <n v="405"/>
    <x v="25"/>
    <s v="Male"/>
    <x v="17"/>
    <x v="0"/>
    <n v="93"/>
    <s v="Delaware"/>
    <x v="2"/>
    <x v="21"/>
    <x v="1"/>
    <n v="4.8"/>
    <x v="0"/>
    <s v="Store Pickup"/>
    <s v="Yes"/>
    <s v="Yes"/>
    <n v="11"/>
    <s v="Credit Card"/>
    <x v="5"/>
  </r>
  <r>
    <n v="406"/>
    <x v="38"/>
    <s v="Male"/>
    <x v="2"/>
    <x v="0"/>
    <n v="74"/>
    <s v="South Carolina"/>
    <x v="1"/>
    <x v="5"/>
    <x v="2"/>
    <n v="3.8"/>
    <x v="0"/>
    <s v="Standard"/>
    <s v="Yes"/>
    <s v="Yes"/>
    <n v="15"/>
    <s v="Cash"/>
    <x v="2"/>
  </r>
  <r>
    <n v="407"/>
    <x v="16"/>
    <s v="Male"/>
    <x v="24"/>
    <x v="3"/>
    <n v="55"/>
    <s v="Maryland"/>
    <x v="2"/>
    <x v="15"/>
    <x v="1"/>
    <n v="4.5999999999999996"/>
    <x v="0"/>
    <s v="Express"/>
    <s v="Yes"/>
    <s v="Yes"/>
    <n v="13"/>
    <s v="Cash"/>
    <x v="5"/>
  </r>
  <r>
    <n v="408"/>
    <x v="4"/>
    <s v="Male"/>
    <x v="15"/>
    <x v="0"/>
    <n v="76"/>
    <s v="North Carolina"/>
    <x v="3"/>
    <x v="11"/>
    <x v="1"/>
    <n v="3.1"/>
    <x v="0"/>
    <s v="Next Day Air"/>
    <s v="Yes"/>
    <s v="Yes"/>
    <n v="5"/>
    <s v="Credit Card"/>
    <x v="4"/>
  </r>
  <r>
    <n v="409"/>
    <x v="50"/>
    <s v="Male"/>
    <x v="4"/>
    <x v="1"/>
    <n v="66"/>
    <s v="Alabama"/>
    <x v="0"/>
    <x v="3"/>
    <x v="1"/>
    <n v="3.4"/>
    <x v="0"/>
    <s v="Express"/>
    <s v="Yes"/>
    <s v="Yes"/>
    <n v="36"/>
    <s v="Cash"/>
    <x v="0"/>
  </r>
  <r>
    <n v="410"/>
    <x v="25"/>
    <s v="Male"/>
    <x v="6"/>
    <x v="0"/>
    <n v="51"/>
    <s v="Minnesota"/>
    <x v="2"/>
    <x v="18"/>
    <x v="0"/>
    <n v="3.3"/>
    <x v="0"/>
    <s v="2-Day Shipping"/>
    <s v="Yes"/>
    <s v="Yes"/>
    <n v="32"/>
    <s v="Bank Transfer"/>
    <x v="5"/>
  </r>
  <r>
    <n v="411"/>
    <x v="26"/>
    <s v="Male"/>
    <x v="1"/>
    <x v="0"/>
    <n v="26"/>
    <s v="Virginia"/>
    <x v="0"/>
    <x v="12"/>
    <x v="1"/>
    <n v="4.8"/>
    <x v="0"/>
    <s v="2-Day Shipping"/>
    <s v="Yes"/>
    <s v="Yes"/>
    <n v="1"/>
    <s v="Credit Card"/>
    <x v="3"/>
  </r>
  <r>
    <n v="412"/>
    <x v="35"/>
    <s v="Male"/>
    <x v="2"/>
    <x v="0"/>
    <n v="29"/>
    <s v="Michigan"/>
    <x v="2"/>
    <x v="21"/>
    <x v="2"/>
    <n v="2.8"/>
    <x v="0"/>
    <s v="Express"/>
    <s v="Yes"/>
    <s v="Yes"/>
    <n v="15"/>
    <s v="PayPal"/>
    <x v="2"/>
  </r>
  <r>
    <n v="413"/>
    <x v="41"/>
    <s v="Male"/>
    <x v="14"/>
    <x v="2"/>
    <n v="74"/>
    <s v="Maine"/>
    <x v="2"/>
    <x v="22"/>
    <x v="2"/>
    <n v="3.1"/>
    <x v="0"/>
    <s v="Store Pickup"/>
    <s v="Yes"/>
    <s v="Yes"/>
    <n v="3"/>
    <s v="Bank Transfer"/>
    <x v="1"/>
  </r>
  <r>
    <n v="414"/>
    <x v="27"/>
    <s v="Male"/>
    <x v="16"/>
    <x v="3"/>
    <n v="99"/>
    <s v="Nevada"/>
    <x v="1"/>
    <x v="3"/>
    <x v="2"/>
    <n v="4.5999999999999996"/>
    <x v="0"/>
    <s v="Free Shipping"/>
    <s v="Yes"/>
    <s v="Yes"/>
    <n v="48"/>
    <s v="Cash"/>
    <x v="5"/>
  </r>
  <r>
    <n v="415"/>
    <x v="26"/>
    <s v="Male"/>
    <x v="21"/>
    <x v="3"/>
    <n v="88"/>
    <s v="Wyoming"/>
    <x v="0"/>
    <x v="10"/>
    <x v="0"/>
    <n v="2.6"/>
    <x v="0"/>
    <s v="Store Pickup"/>
    <s v="Yes"/>
    <s v="Yes"/>
    <n v="30"/>
    <s v="Debit Card"/>
    <x v="1"/>
  </r>
  <r>
    <n v="416"/>
    <x v="29"/>
    <s v="Male"/>
    <x v="7"/>
    <x v="2"/>
    <n v="31"/>
    <s v="Connecticut"/>
    <x v="2"/>
    <x v="12"/>
    <x v="0"/>
    <n v="2.6"/>
    <x v="0"/>
    <s v="Express"/>
    <s v="Yes"/>
    <s v="Yes"/>
    <n v="40"/>
    <s v="Bank Transfer"/>
    <x v="5"/>
  </r>
  <r>
    <n v="417"/>
    <x v="24"/>
    <s v="Male"/>
    <x v="22"/>
    <x v="3"/>
    <n v="55"/>
    <s v="Oregon"/>
    <x v="0"/>
    <x v="8"/>
    <x v="1"/>
    <n v="3.8"/>
    <x v="0"/>
    <s v="Free Shipping"/>
    <s v="Yes"/>
    <s v="Yes"/>
    <n v="24"/>
    <s v="Bank Transfer"/>
    <x v="0"/>
  </r>
  <r>
    <n v="418"/>
    <x v="51"/>
    <s v="Male"/>
    <x v="3"/>
    <x v="1"/>
    <n v="81"/>
    <s v="Mississippi"/>
    <x v="0"/>
    <x v="19"/>
    <x v="3"/>
    <n v="4.5"/>
    <x v="0"/>
    <s v="Free Shipping"/>
    <s v="Yes"/>
    <s v="Yes"/>
    <n v="48"/>
    <s v="Debit Card"/>
    <x v="3"/>
  </r>
  <r>
    <n v="419"/>
    <x v="20"/>
    <s v="Male"/>
    <x v="1"/>
    <x v="0"/>
    <n v="73"/>
    <s v="Illinois"/>
    <x v="0"/>
    <x v="7"/>
    <x v="1"/>
    <n v="3"/>
    <x v="0"/>
    <s v="Standard"/>
    <s v="Yes"/>
    <s v="Yes"/>
    <n v="27"/>
    <s v="Venmo"/>
    <x v="4"/>
  </r>
  <r>
    <n v="420"/>
    <x v="10"/>
    <s v="Male"/>
    <x v="6"/>
    <x v="0"/>
    <n v="91"/>
    <s v="Utah"/>
    <x v="1"/>
    <x v="11"/>
    <x v="0"/>
    <n v="3.5"/>
    <x v="0"/>
    <s v="Free Shipping"/>
    <s v="Yes"/>
    <s v="Yes"/>
    <n v="14"/>
    <s v="Credit Card"/>
    <x v="6"/>
  </r>
  <r>
    <n v="421"/>
    <x v="45"/>
    <s v="Male"/>
    <x v="20"/>
    <x v="0"/>
    <n v="54"/>
    <s v="North Carolina"/>
    <x v="1"/>
    <x v="15"/>
    <x v="1"/>
    <n v="3.8"/>
    <x v="0"/>
    <s v="Free Shipping"/>
    <s v="Yes"/>
    <s v="Yes"/>
    <n v="18"/>
    <s v="Debit Card"/>
    <x v="4"/>
  </r>
  <r>
    <n v="422"/>
    <x v="21"/>
    <s v="Male"/>
    <x v="5"/>
    <x v="0"/>
    <n v="40"/>
    <s v="Kentucky"/>
    <x v="2"/>
    <x v="10"/>
    <x v="0"/>
    <n v="3.5"/>
    <x v="0"/>
    <s v="Standard"/>
    <s v="Yes"/>
    <s v="Yes"/>
    <n v="48"/>
    <s v="Cash"/>
    <x v="4"/>
  </r>
  <r>
    <n v="423"/>
    <x v="36"/>
    <s v="Male"/>
    <x v="13"/>
    <x v="0"/>
    <n v="59"/>
    <s v="Minnesota"/>
    <x v="2"/>
    <x v="7"/>
    <x v="3"/>
    <n v="3.1"/>
    <x v="0"/>
    <s v="Store Pickup"/>
    <s v="Yes"/>
    <s v="Yes"/>
    <n v="32"/>
    <s v="Debit Card"/>
    <x v="2"/>
  </r>
  <r>
    <n v="424"/>
    <x v="5"/>
    <s v="Male"/>
    <x v="18"/>
    <x v="3"/>
    <n v="26"/>
    <s v="New York"/>
    <x v="0"/>
    <x v="11"/>
    <x v="1"/>
    <n v="3"/>
    <x v="0"/>
    <s v="Store Pickup"/>
    <s v="Yes"/>
    <s v="Yes"/>
    <n v="21"/>
    <s v="Credit Card"/>
    <x v="4"/>
  </r>
  <r>
    <n v="425"/>
    <x v="17"/>
    <s v="Male"/>
    <x v="1"/>
    <x v="0"/>
    <n v="23"/>
    <s v="Illinois"/>
    <x v="2"/>
    <x v="9"/>
    <x v="0"/>
    <n v="4.3"/>
    <x v="0"/>
    <s v="Standard"/>
    <s v="Yes"/>
    <s v="Yes"/>
    <n v="42"/>
    <s v="PayPal"/>
    <x v="0"/>
  </r>
  <r>
    <n v="426"/>
    <x v="37"/>
    <s v="Male"/>
    <x v="2"/>
    <x v="0"/>
    <n v="87"/>
    <s v="North Dakota"/>
    <x v="1"/>
    <x v="11"/>
    <x v="0"/>
    <n v="3.3"/>
    <x v="0"/>
    <s v="Store Pickup"/>
    <s v="Yes"/>
    <s v="Yes"/>
    <n v="4"/>
    <s v="Credit Card"/>
    <x v="3"/>
  </r>
  <r>
    <n v="427"/>
    <x v="49"/>
    <s v="Male"/>
    <x v="13"/>
    <x v="0"/>
    <n v="71"/>
    <s v="Louisiana"/>
    <x v="2"/>
    <x v="10"/>
    <x v="0"/>
    <n v="4.7"/>
    <x v="0"/>
    <s v="Express"/>
    <s v="Yes"/>
    <s v="Yes"/>
    <n v="19"/>
    <s v="Credit Card"/>
    <x v="3"/>
  </r>
  <r>
    <n v="428"/>
    <x v="44"/>
    <s v="Male"/>
    <x v="21"/>
    <x v="3"/>
    <n v="91"/>
    <s v="Illinois"/>
    <x v="0"/>
    <x v="13"/>
    <x v="0"/>
    <n v="4.5"/>
    <x v="0"/>
    <s v="Store Pickup"/>
    <s v="Yes"/>
    <s v="Yes"/>
    <n v="6"/>
    <s v="Credit Card"/>
    <x v="3"/>
  </r>
  <r>
    <n v="429"/>
    <x v="3"/>
    <s v="Male"/>
    <x v="7"/>
    <x v="2"/>
    <n v="64"/>
    <s v="Wyoming"/>
    <x v="3"/>
    <x v="9"/>
    <x v="0"/>
    <n v="2.9"/>
    <x v="0"/>
    <s v="Free Shipping"/>
    <s v="Yes"/>
    <s v="Yes"/>
    <n v="2"/>
    <s v="Debit Card"/>
    <x v="0"/>
  </r>
  <r>
    <n v="430"/>
    <x v="32"/>
    <s v="Male"/>
    <x v="3"/>
    <x v="1"/>
    <n v="94"/>
    <s v="Washington"/>
    <x v="2"/>
    <x v="9"/>
    <x v="0"/>
    <n v="4.0999999999999996"/>
    <x v="0"/>
    <s v="2-Day Shipping"/>
    <s v="Yes"/>
    <s v="Yes"/>
    <n v="21"/>
    <s v="Cash"/>
    <x v="0"/>
  </r>
  <r>
    <n v="431"/>
    <x v="41"/>
    <s v="Male"/>
    <x v="5"/>
    <x v="0"/>
    <n v="40"/>
    <s v="Texas"/>
    <x v="2"/>
    <x v="18"/>
    <x v="2"/>
    <n v="3.5"/>
    <x v="0"/>
    <s v="Store Pickup"/>
    <s v="Yes"/>
    <s v="Yes"/>
    <n v="40"/>
    <s v="Debit Card"/>
    <x v="2"/>
  </r>
  <r>
    <n v="432"/>
    <x v="49"/>
    <s v="Male"/>
    <x v="19"/>
    <x v="3"/>
    <n v="76"/>
    <s v="New Hampshire"/>
    <x v="0"/>
    <x v="17"/>
    <x v="0"/>
    <n v="3.4"/>
    <x v="0"/>
    <s v="Store Pickup"/>
    <s v="Yes"/>
    <s v="Yes"/>
    <n v="33"/>
    <s v="Cash"/>
    <x v="0"/>
  </r>
  <r>
    <n v="433"/>
    <x v="36"/>
    <s v="Male"/>
    <x v="5"/>
    <x v="0"/>
    <n v="86"/>
    <s v="Indiana"/>
    <x v="1"/>
    <x v="21"/>
    <x v="3"/>
    <n v="3.3"/>
    <x v="0"/>
    <s v="Free Shipping"/>
    <s v="Yes"/>
    <s v="Yes"/>
    <n v="26"/>
    <s v="Venmo"/>
    <x v="1"/>
  </r>
  <r>
    <n v="434"/>
    <x v="34"/>
    <s v="Male"/>
    <x v="11"/>
    <x v="0"/>
    <n v="92"/>
    <s v="Alabama"/>
    <x v="2"/>
    <x v="20"/>
    <x v="3"/>
    <n v="3.2"/>
    <x v="0"/>
    <s v="Store Pickup"/>
    <s v="Yes"/>
    <s v="Yes"/>
    <n v="23"/>
    <s v="Credit Card"/>
    <x v="0"/>
  </r>
  <r>
    <n v="435"/>
    <x v="2"/>
    <s v="Male"/>
    <x v="9"/>
    <x v="1"/>
    <n v="52"/>
    <s v="Oklahoma"/>
    <x v="0"/>
    <x v="6"/>
    <x v="1"/>
    <n v="4"/>
    <x v="0"/>
    <s v="Store Pickup"/>
    <s v="Yes"/>
    <s v="Yes"/>
    <n v="39"/>
    <s v="PayPal"/>
    <x v="6"/>
  </r>
  <r>
    <n v="436"/>
    <x v="47"/>
    <s v="Male"/>
    <x v="7"/>
    <x v="2"/>
    <n v="28"/>
    <s v="Montana"/>
    <x v="3"/>
    <x v="8"/>
    <x v="0"/>
    <n v="3.6"/>
    <x v="0"/>
    <s v="Next Day Air"/>
    <s v="Yes"/>
    <s v="Yes"/>
    <n v="42"/>
    <s v="Bank Transfer"/>
    <x v="5"/>
  </r>
  <r>
    <n v="437"/>
    <x v="37"/>
    <s v="Male"/>
    <x v="13"/>
    <x v="0"/>
    <n v="46"/>
    <s v="Tennessee"/>
    <x v="0"/>
    <x v="17"/>
    <x v="2"/>
    <n v="4.5999999999999996"/>
    <x v="0"/>
    <s v="Free Shipping"/>
    <s v="Yes"/>
    <s v="Yes"/>
    <n v="41"/>
    <s v="Bank Transfer"/>
    <x v="1"/>
  </r>
  <r>
    <n v="438"/>
    <x v="4"/>
    <s v="Male"/>
    <x v="16"/>
    <x v="3"/>
    <n v="50"/>
    <s v="New Mexico"/>
    <x v="2"/>
    <x v="15"/>
    <x v="2"/>
    <n v="2.6"/>
    <x v="0"/>
    <s v="Next Day Air"/>
    <s v="Yes"/>
    <s v="Yes"/>
    <n v="41"/>
    <s v="PayPal"/>
    <x v="2"/>
  </r>
  <r>
    <n v="439"/>
    <x v="16"/>
    <s v="Male"/>
    <x v="22"/>
    <x v="3"/>
    <n v="23"/>
    <s v="Iowa"/>
    <x v="2"/>
    <x v="2"/>
    <x v="0"/>
    <n v="4.3"/>
    <x v="0"/>
    <s v="Express"/>
    <s v="Yes"/>
    <s v="Yes"/>
    <n v="12"/>
    <s v="Credit Card"/>
    <x v="0"/>
  </r>
  <r>
    <n v="440"/>
    <x v="46"/>
    <s v="Male"/>
    <x v="14"/>
    <x v="2"/>
    <n v="50"/>
    <s v="Idaho"/>
    <x v="2"/>
    <x v="2"/>
    <x v="2"/>
    <n v="3.4"/>
    <x v="0"/>
    <s v="Free Shipping"/>
    <s v="Yes"/>
    <s v="Yes"/>
    <n v="31"/>
    <s v="Cash"/>
    <x v="5"/>
  </r>
  <r>
    <n v="441"/>
    <x v="30"/>
    <s v="Male"/>
    <x v="5"/>
    <x v="0"/>
    <n v="89"/>
    <s v="Oklahoma"/>
    <x v="3"/>
    <x v="1"/>
    <x v="0"/>
    <n v="3.5"/>
    <x v="0"/>
    <s v="Store Pickup"/>
    <s v="Yes"/>
    <s v="Yes"/>
    <n v="34"/>
    <s v="Debit Card"/>
    <x v="0"/>
  </r>
  <r>
    <n v="442"/>
    <x v="49"/>
    <s v="Male"/>
    <x v="15"/>
    <x v="0"/>
    <n v="81"/>
    <s v="Florida"/>
    <x v="2"/>
    <x v="1"/>
    <x v="0"/>
    <n v="4.2"/>
    <x v="0"/>
    <s v="Standard"/>
    <s v="Yes"/>
    <s v="Yes"/>
    <n v="32"/>
    <s v="Credit Card"/>
    <x v="2"/>
  </r>
  <r>
    <n v="443"/>
    <x v="26"/>
    <s v="Male"/>
    <x v="12"/>
    <x v="3"/>
    <n v="69"/>
    <s v="Michigan"/>
    <x v="2"/>
    <x v="8"/>
    <x v="3"/>
    <n v="3.5"/>
    <x v="0"/>
    <s v="Store Pickup"/>
    <s v="Yes"/>
    <s v="Yes"/>
    <n v="31"/>
    <s v="Credit Card"/>
    <x v="3"/>
  </r>
  <r>
    <n v="444"/>
    <x v="40"/>
    <s v="Male"/>
    <x v="12"/>
    <x v="3"/>
    <n v="67"/>
    <s v="Hawaii"/>
    <x v="2"/>
    <x v="23"/>
    <x v="2"/>
    <n v="3.6"/>
    <x v="0"/>
    <s v="Free Shipping"/>
    <s v="Yes"/>
    <s v="Yes"/>
    <n v="24"/>
    <s v="PayPal"/>
    <x v="2"/>
  </r>
  <r>
    <n v="445"/>
    <x v="39"/>
    <s v="Male"/>
    <x v="10"/>
    <x v="0"/>
    <n v="20"/>
    <s v="California"/>
    <x v="2"/>
    <x v="16"/>
    <x v="2"/>
    <n v="4.3"/>
    <x v="0"/>
    <s v="Store Pickup"/>
    <s v="Yes"/>
    <s v="Yes"/>
    <n v="31"/>
    <s v="Debit Card"/>
    <x v="2"/>
  </r>
  <r>
    <n v="446"/>
    <x v="32"/>
    <s v="Male"/>
    <x v="23"/>
    <x v="1"/>
    <n v="29"/>
    <s v="Iowa"/>
    <x v="2"/>
    <x v="8"/>
    <x v="3"/>
    <n v="4.9000000000000004"/>
    <x v="0"/>
    <s v="Standard"/>
    <s v="Yes"/>
    <s v="Yes"/>
    <n v="18"/>
    <s v="Venmo"/>
    <x v="2"/>
  </r>
  <r>
    <n v="447"/>
    <x v="1"/>
    <s v="Male"/>
    <x v="5"/>
    <x v="0"/>
    <n v="74"/>
    <s v="West Virginia"/>
    <x v="2"/>
    <x v="5"/>
    <x v="2"/>
    <n v="4.0999999999999996"/>
    <x v="0"/>
    <s v="Store Pickup"/>
    <s v="Yes"/>
    <s v="Yes"/>
    <n v="15"/>
    <s v="Venmo"/>
    <x v="5"/>
  </r>
  <r>
    <n v="448"/>
    <x v="52"/>
    <s v="Male"/>
    <x v="6"/>
    <x v="0"/>
    <n v="82"/>
    <s v="Washington"/>
    <x v="1"/>
    <x v="2"/>
    <x v="1"/>
    <n v="3.6"/>
    <x v="0"/>
    <s v="Standard"/>
    <s v="Yes"/>
    <s v="Yes"/>
    <n v="7"/>
    <s v="Bank Transfer"/>
    <x v="6"/>
  </r>
  <r>
    <n v="449"/>
    <x v="45"/>
    <s v="Male"/>
    <x v="24"/>
    <x v="3"/>
    <n v="23"/>
    <s v="Missouri"/>
    <x v="2"/>
    <x v="22"/>
    <x v="2"/>
    <n v="3.4"/>
    <x v="0"/>
    <s v="Next Day Air"/>
    <s v="Yes"/>
    <s v="Yes"/>
    <n v="35"/>
    <s v="Bank Transfer"/>
    <x v="0"/>
  </r>
  <r>
    <n v="450"/>
    <x v="8"/>
    <s v="Male"/>
    <x v="16"/>
    <x v="3"/>
    <n v="45"/>
    <s v="New York"/>
    <x v="0"/>
    <x v="15"/>
    <x v="2"/>
    <n v="2.9"/>
    <x v="0"/>
    <s v="2-Day Shipping"/>
    <s v="Yes"/>
    <s v="Yes"/>
    <n v="35"/>
    <s v="Bank Transfer"/>
    <x v="5"/>
  </r>
  <r>
    <n v="451"/>
    <x v="15"/>
    <s v="Male"/>
    <x v="23"/>
    <x v="1"/>
    <n v="21"/>
    <s v="Connecticut"/>
    <x v="0"/>
    <x v="19"/>
    <x v="2"/>
    <n v="2.7"/>
    <x v="0"/>
    <s v="Store Pickup"/>
    <s v="Yes"/>
    <s v="Yes"/>
    <n v="19"/>
    <s v="Credit Card"/>
    <x v="5"/>
  </r>
  <r>
    <n v="452"/>
    <x v="17"/>
    <s v="Male"/>
    <x v="16"/>
    <x v="3"/>
    <n v="31"/>
    <s v="Virginia"/>
    <x v="2"/>
    <x v="6"/>
    <x v="2"/>
    <n v="4.3"/>
    <x v="0"/>
    <s v="Express"/>
    <s v="Yes"/>
    <s v="Yes"/>
    <n v="26"/>
    <s v="Credit Card"/>
    <x v="0"/>
  </r>
  <r>
    <n v="453"/>
    <x v="4"/>
    <s v="Male"/>
    <x v="13"/>
    <x v="0"/>
    <n v="45"/>
    <s v="Missouri"/>
    <x v="2"/>
    <x v="10"/>
    <x v="2"/>
    <n v="3.3"/>
    <x v="0"/>
    <s v="Express"/>
    <s v="Yes"/>
    <s v="Yes"/>
    <n v="39"/>
    <s v="PayPal"/>
    <x v="0"/>
  </r>
  <r>
    <n v="454"/>
    <x v="22"/>
    <s v="Male"/>
    <x v="16"/>
    <x v="3"/>
    <n v="56"/>
    <s v="Nebraska"/>
    <x v="3"/>
    <x v="15"/>
    <x v="0"/>
    <n v="2.8"/>
    <x v="0"/>
    <s v="Next Day Air"/>
    <s v="Yes"/>
    <s v="Yes"/>
    <n v="22"/>
    <s v="Credit Card"/>
    <x v="1"/>
  </r>
  <r>
    <n v="455"/>
    <x v="43"/>
    <s v="Male"/>
    <x v="14"/>
    <x v="2"/>
    <n v="97"/>
    <s v="New Jersey"/>
    <x v="1"/>
    <x v="9"/>
    <x v="2"/>
    <n v="3.2"/>
    <x v="0"/>
    <s v="Next Day Air"/>
    <s v="Yes"/>
    <s v="Yes"/>
    <n v="14"/>
    <s v="Cash"/>
    <x v="4"/>
  </r>
  <r>
    <n v="456"/>
    <x v="22"/>
    <s v="Male"/>
    <x v="0"/>
    <x v="0"/>
    <n v="100"/>
    <s v="Utah"/>
    <x v="3"/>
    <x v="9"/>
    <x v="3"/>
    <n v="3.6"/>
    <x v="0"/>
    <s v="Store Pickup"/>
    <s v="Yes"/>
    <s v="Yes"/>
    <n v="50"/>
    <s v="Debit Card"/>
    <x v="0"/>
  </r>
  <r>
    <n v="457"/>
    <x v="2"/>
    <s v="Male"/>
    <x v="0"/>
    <x v="0"/>
    <n v="96"/>
    <s v="North Carolina"/>
    <x v="1"/>
    <x v="21"/>
    <x v="3"/>
    <n v="4"/>
    <x v="0"/>
    <s v="2-Day Shipping"/>
    <s v="Yes"/>
    <s v="Yes"/>
    <n v="33"/>
    <s v="Credit Card"/>
    <x v="3"/>
  </r>
  <r>
    <n v="458"/>
    <x v="15"/>
    <s v="Male"/>
    <x v="24"/>
    <x v="3"/>
    <n v="99"/>
    <s v="Rhode Island"/>
    <x v="2"/>
    <x v="24"/>
    <x v="1"/>
    <n v="4.9000000000000004"/>
    <x v="0"/>
    <s v="Next Day Air"/>
    <s v="Yes"/>
    <s v="Yes"/>
    <n v="48"/>
    <s v="Debit Card"/>
    <x v="6"/>
  </r>
  <r>
    <n v="459"/>
    <x v="36"/>
    <s v="Male"/>
    <x v="6"/>
    <x v="0"/>
    <n v="91"/>
    <s v="Arkansas"/>
    <x v="0"/>
    <x v="13"/>
    <x v="0"/>
    <n v="4"/>
    <x v="0"/>
    <s v="2-Day Shipping"/>
    <s v="Yes"/>
    <s v="Yes"/>
    <n v="48"/>
    <s v="PayPal"/>
    <x v="5"/>
  </r>
  <r>
    <n v="460"/>
    <x v="6"/>
    <s v="Male"/>
    <x v="19"/>
    <x v="3"/>
    <n v="30"/>
    <s v="Maryland"/>
    <x v="0"/>
    <x v="13"/>
    <x v="0"/>
    <n v="3.8"/>
    <x v="0"/>
    <s v="Standard"/>
    <s v="Yes"/>
    <s v="Yes"/>
    <n v="27"/>
    <s v="PayPal"/>
    <x v="0"/>
  </r>
  <r>
    <n v="461"/>
    <x v="14"/>
    <s v="Male"/>
    <x v="9"/>
    <x v="1"/>
    <n v="65"/>
    <s v="South Carolina"/>
    <x v="0"/>
    <x v="11"/>
    <x v="2"/>
    <n v="3.7"/>
    <x v="0"/>
    <s v="Store Pickup"/>
    <s v="Yes"/>
    <s v="Yes"/>
    <n v="27"/>
    <s v="Bank Transfer"/>
    <x v="1"/>
  </r>
  <r>
    <n v="462"/>
    <x v="20"/>
    <s v="Male"/>
    <x v="23"/>
    <x v="1"/>
    <n v="93"/>
    <s v="Ohio"/>
    <x v="2"/>
    <x v="22"/>
    <x v="0"/>
    <n v="3.9"/>
    <x v="0"/>
    <s v="Express"/>
    <s v="Yes"/>
    <s v="Yes"/>
    <n v="20"/>
    <s v="Venmo"/>
    <x v="1"/>
  </r>
  <r>
    <n v="463"/>
    <x v="35"/>
    <s v="Male"/>
    <x v="14"/>
    <x v="2"/>
    <n v="81"/>
    <s v="Illinois"/>
    <x v="2"/>
    <x v="3"/>
    <x v="3"/>
    <n v="3.3"/>
    <x v="0"/>
    <s v="Express"/>
    <s v="Yes"/>
    <s v="Yes"/>
    <n v="48"/>
    <s v="Venmo"/>
    <x v="6"/>
  </r>
  <r>
    <n v="464"/>
    <x v="43"/>
    <s v="Male"/>
    <x v="16"/>
    <x v="3"/>
    <n v="81"/>
    <s v="Georgia"/>
    <x v="1"/>
    <x v="20"/>
    <x v="2"/>
    <n v="2.7"/>
    <x v="0"/>
    <s v="Standard"/>
    <s v="Yes"/>
    <s v="Yes"/>
    <n v="29"/>
    <s v="Venmo"/>
    <x v="1"/>
  </r>
  <r>
    <n v="465"/>
    <x v="51"/>
    <s v="Male"/>
    <x v="12"/>
    <x v="3"/>
    <n v="52"/>
    <s v="Alabama"/>
    <x v="2"/>
    <x v="5"/>
    <x v="0"/>
    <n v="4.7"/>
    <x v="0"/>
    <s v="Next Day Air"/>
    <s v="Yes"/>
    <s v="Yes"/>
    <n v="45"/>
    <s v="PayPal"/>
    <x v="5"/>
  </r>
  <r>
    <n v="466"/>
    <x v="22"/>
    <s v="Male"/>
    <x v="11"/>
    <x v="0"/>
    <n v="88"/>
    <s v="Oklahoma"/>
    <x v="2"/>
    <x v="6"/>
    <x v="2"/>
    <n v="2.8"/>
    <x v="0"/>
    <s v="Next Day Air"/>
    <s v="Yes"/>
    <s v="Yes"/>
    <n v="25"/>
    <s v="Cash"/>
    <x v="3"/>
  </r>
  <r>
    <n v="467"/>
    <x v="21"/>
    <s v="Male"/>
    <x v="2"/>
    <x v="0"/>
    <n v="24"/>
    <s v="Vermont"/>
    <x v="0"/>
    <x v="2"/>
    <x v="0"/>
    <n v="4.5999999999999996"/>
    <x v="0"/>
    <s v="Free Shipping"/>
    <s v="Yes"/>
    <s v="Yes"/>
    <n v="25"/>
    <s v="PayPal"/>
    <x v="1"/>
  </r>
  <r>
    <n v="468"/>
    <x v="1"/>
    <s v="Male"/>
    <x v="21"/>
    <x v="3"/>
    <n v="51"/>
    <s v="Nebraska"/>
    <x v="1"/>
    <x v="20"/>
    <x v="1"/>
    <n v="4.5"/>
    <x v="0"/>
    <s v="2-Day Shipping"/>
    <s v="Yes"/>
    <s v="Yes"/>
    <n v="37"/>
    <s v="Debit Card"/>
    <x v="6"/>
  </r>
  <r>
    <n v="469"/>
    <x v="50"/>
    <s v="Male"/>
    <x v="21"/>
    <x v="3"/>
    <n v="38"/>
    <s v="Georgia"/>
    <x v="1"/>
    <x v="15"/>
    <x v="3"/>
    <n v="5"/>
    <x v="0"/>
    <s v="Free Shipping"/>
    <s v="Yes"/>
    <s v="Yes"/>
    <n v="16"/>
    <s v="Cash"/>
    <x v="3"/>
  </r>
  <r>
    <n v="470"/>
    <x v="3"/>
    <s v="Male"/>
    <x v="6"/>
    <x v="0"/>
    <n v="46"/>
    <s v="Alabama"/>
    <x v="0"/>
    <x v="6"/>
    <x v="3"/>
    <n v="4.0999999999999996"/>
    <x v="0"/>
    <s v="2-Day Shipping"/>
    <s v="Yes"/>
    <s v="Yes"/>
    <n v="30"/>
    <s v="Debit Card"/>
    <x v="4"/>
  </r>
  <r>
    <n v="471"/>
    <x v="2"/>
    <s v="Male"/>
    <x v="10"/>
    <x v="0"/>
    <n v="63"/>
    <s v="Minnesota"/>
    <x v="0"/>
    <x v="11"/>
    <x v="2"/>
    <n v="4.5999999999999996"/>
    <x v="0"/>
    <s v="Express"/>
    <s v="Yes"/>
    <s v="Yes"/>
    <n v="6"/>
    <s v="Cash"/>
    <x v="6"/>
  </r>
  <r>
    <n v="472"/>
    <x v="0"/>
    <s v="Male"/>
    <x v="18"/>
    <x v="3"/>
    <n v="72"/>
    <s v="Missouri"/>
    <x v="3"/>
    <x v="3"/>
    <x v="0"/>
    <n v="4.9000000000000004"/>
    <x v="0"/>
    <s v="2-Day Shipping"/>
    <s v="Yes"/>
    <s v="Yes"/>
    <n v="36"/>
    <s v="Bank Transfer"/>
    <x v="3"/>
  </r>
  <r>
    <n v="473"/>
    <x v="30"/>
    <s v="Male"/>
    <x v="2"/>
    <x v="0"/>
    <n v="39"/>
    <s v="Georgia"/>
    <x v="0"/>
    <x v="0"/>
    <x v="0"/>
    <n v="3.9"/>
    <x v="0"/>
    <s v="Free Shipping"/>
    <s v="Yes"/>
    <s v="Yes"/>
    <n v="3"/>
    <s v="Bank Transfer"/>
    <x v="3"/>
  </r>
  <r>
    <n v="474"/>
    <x v="50"/>
    <s v="Male"/>
    <x v="7"/>
    <x v="2"/>
    <n v="42"/>
    <s v="West Virginia"/>
    <x v="0"/>
    <x v="8"/>
    <x v="1"/>
    <n v="3.9"/>
    <x v="0"/>
    <s v="Store Pickup"/>
    <s v="Yes"/>
    <s v="Yes"/>
    <n v="29"/>
    <s v="PayPal"/>
    <x v="6"/>
  </r>
  <r>
    <n v="475"/>
    <x v="46"/>
    <s v="Male"/>
    <x v="1"/>
    <x v="0"/>
    <n v="76"/>
    <s v="Arkansas"/>
    <x v="3"/>
    <x v="1"/>
    <x v="2"/>
    <n v="2.6"/>
    <x v="0"/>
    <s v="2-Day Shipping"/>
    <s v="Yes"/>
    <s v="Yes"/>
    <n v="15"/>
    <s v="Cash"/>
    <x v="3"/>
  </r>
  <r>
    <n v="476"/>
    <x v="3"/>
    <s v="Male"/>
    <x v="4"/>
    <x v="1"/>
    <n v="66"/>
    <s v="Ohio"/>
    <x v="0"/>
    <x v="23"/>
    <x v="2"/>
    <n v="2.7"/>
    <x v="0"/>
    <s v="Free Shipping"/>
    <s v="Yes"/>
    <s v="Yes"/>
    <n v="18"/>
    <s v="Debit Card"/>
    <x v="2"/>
  </r>
  <r>
    <n v="477"/>
    <x v="3"/>
    <s v="Male"/>
    <x v="18"/>
    <x v="3"/>
    <n v="90"/>
    <s v="Connecticut"/>
    <x v="2"/>
    <x v="23"/>
    <x v="1"/>
    <n v="3.5"/>
    <x v="0"/>
    <s v="Free Shipping"/>
    <s v="Yes"/>
    <s v="Yes"/>
    <n v="2"/>
    <s v="Debit Card"/>
    <x v="0"/>
  </r>
  <r>
    <n v="478"/>
    <x v="32"/>
    <s v="Male"/>
    <x v="1"/>
    <x v="0"/>
    <n v="56"/>
    <s v="North Dakota"/>
    <x v="2"/>
    <x v="14"/>
    <x v="2"/>
    <n v="3.7"/>
    <x v="0"/>
    <s v="Free Shipping"/>
    <s v="Yes"/>
    <s v="Yes"/>
    <n v="49"/>
    <s v="Debit Card"/>
    <x v="1"/>
  </r>
  <r>
    <n v="479"/>
    <x v="25"/>
    <s v="Male"/>
    <x v="16"/>
    <x v="3"/>
    <n v="43"/>
    <s v="Kansas"/>
    <x v="3"/>
    <x v="2"/>
    <x v="0"/>
    <n v="3.2"/>
    <x v="0"/>
    <s v="Free Shipping"/>
    <s v="Yes"/>
    <s v="Yes"/>
    <n v="48"/>
    <s v="Venmo"/>
    <x v="2"/>
  </r>
  <r>
    <n v="480"/>
    <x v="31"/>
    <s v="Male"/>
    <x v="8"/>
    <x v="3"/>
    <n v="84"/>
    <s v="Iowa"/>
    <x v="0"/>
    <x v="22"/>
    <x v="0"/>
    <n v="3.3"/>
    <x v="0"/>
    <s v="Store Pickup"/>
    <s v="Yes"/>
    <s v="Yes"/>
    <n v="43"/>
    <s v="Venmo"/>
    <x v="5"/>
  </r>
  <r>
    <n v="481"/>
    <x v="33"/>
    <s v="Male"/>
    <x v="15"/>
    <x v="0"/>
    <n v="88"/>
    <s v="Vermont"/>
    <x v="2"/>
    <x v="0"/>
    <x v="2"/>
    <n v="4.8"/>
    <x v="0"/>
    <s v="Standard"/>
    <s v="Yes"/>
    <s v="Yes"/>
    <n v="30"/>
    <s v="Debit Card"/>
    <x v="4"/>
  </r>
  <r>
    <n v="482"/>
    <x v="5"/>
    <s v="Male"/>
    <x v="19"/>
    <x v="3"/>
    <n v="88"/>
    <s v="Wisconsin"/>
    <x v="0"/>
    <x v="15"/>
    <x v="3"/>
    <n v="3.2"/>
    <x v="0"/>
    <s v="2-Day Shipping"/>
    <s v="Yes"/>
    <s v="Yes"/>
    <n v="10"/>
    <s v="PayPal"/>
    <x v="0"/>
  </r>
  <r>
    <n v="483"/>
    <x v="38"/>
    <s v="Male"/>
    <x v="22"/>
    <x v="3"/>
    <n v="42"/>
    <s v="Connecticut"/>
    <x v="2"/>
    <x v="22"/>
    <x v="0"/>
    <n v="2.5"/>
    <x v="0"/>
    <s v="2-Day Shipping"/>
    <s v="Yes"/>
    <s v="Yes"/>
    <n v="11"/>
    <s v="Venmo"/>
    <x v="2"/>
  </r>
  <r>
    <n v="484"/>
    <x v="51"/>
    <s v="Male"/>
    <x v="15"/>
    <x v="0"/>
    <n v="73"/>
    <s v="Oklahoma"/>
    <x v="2"/>
    <x v="3"/>
    <x v="3"/>
    <n v="3.9"/>
    <x v="0"/>
    <s v="Store Pickup"/>
    <s v="Yes"/>
    <s v="Yes"/>
    <n v="12"/>
    <s v="Debit Card"/>
    <x v="1"/>
  </r>
  <r>
    <n v="485"/>
    <x v="33"/>
    <s v="Male"/>
    <x v="19"/>
    <x v="3"/>
    <n v="73"/>
    <s v="Missouri"/>
    <x v="0"/>
    <x v="12"/>
    <x v="2"/>
    <n v="4.7"/>
    <x v="0"/>
    <s v="Free Shipping"/>
    <s v="Yes"/>
    <s v="Yes"/>
    <n v="28"/>
    <s v="Bank Transfer"/>
    <x v="3"/>
  </r>
  <r>
    <n v="486"/>
    <x v="39"/>
    <s v="Male"/>
    <x v="9"/>
    <x v="1"/>
    <n v="44"/>
    <s v="Tennessee"/>
    <x v="1"/>
    <x v="24"/>
    <x v="1"/>
    <n v="2.6"/>
    <x v="0"/>
    <s v="Next Day Air"/>
    <s v="Yes"/>
    <s v="Yes"/>
    <n v="36"/>
    <s v="Debit Card"/>
    <x v="0"/>
  </r>
  <r>
    <n v="487"/>
    <x v="21"/>
    <s v="Male"/>
    <x v="3"/>
    <x v="1"/>
    <n v="63"/>
    <s v="New Mexico"/>
    <x v="2"/>
    <x v="4"/>
    <x v="3"/>
    <n v="2.8"/>
    <x v="0"/>
    <s v="Store Pickup"/>
    <s v="Yes"/>
    <s v="Yes"/>
    <n v="37"/>
    <s v="Venmo"/>
    <x v="6"/>
  </r>
  <r>
    <n v="488"/>
    <x v="38"/>
    <s v="Male"/>
    <x v="14"/>
    <x v="2"/>
    <n v="68"/>
    <s v="Iowa"/>
    <x v="0"/>
    <x v="16"/>
    <x v="0"/>
    <n v="4.4000000000000004"/>
    <x v="0"/>
    <s v="Store Pickup"/>
    <s v="Yes"/>
    <s v="Yes"/>
    <n v="22"/>
    <s v="Credit Card"/>
    <x v="3"/>
  </r>
  <r>
    <n v="489"/>
    <x v="44"/>
    <s v="Male"/>
    <x v="1"/>
    <x v="0"/>
    <n v="29"/>
    <s v="Maine"/>
    <x v="0"/>
    <x v="8"/>
    <x v="1"/>
    <n v="4.5999999999999996"/>
    <x v="0"/>
    <s v="Standard"/>
    <s v="Yes"/>
    <s v="Yes"/>
    <n v="32"/>
    <s v="Venmo"/>
    <x v="1"/>
  </r>
  <r>
    <n v="490"/>
    <x v="34"/>
    <s v="Male"/>
    <x v="20"/>
    <x v="0"/>
    <n v="85"/>
    <s v="South Dakota"/>
    <x v="2"/>
    <x v="14"/>
    <x v="2"/>
    <n v="3.2"/>
    <x v="0"/>
    <s v="Standard"/>
    <s v="Yes"/>
    <s v="Yes"/>
    <n v="40"/>
    <s v="PayPal"/>
    <x v="2"/>
  </r>
  <r>
    <n v="491"/>
    <x v="9"/>
    <s v="Male"/>
    <x v="4"/>
    <x v="1"/>
    <n v="42"/>
    <s v="Colorado"/>
    <x v="2"/>
    <x v="5"/>
    <x v="0"/>
    <n v="4.2"/>
    <x v="0"/>
    <s v="2-Day Shipping"/>
    <s v="Yes"/>
    <s v="Yes"/>
    <n v="47"/>
    <s v="Cash"/>
    <x v="5"/>
  </r>
  <r>
    <n v="492"/>
    <x v="34"/>
    <s v="Male"/>
    <x v="7"/>
    <x v="2"/>
    <n v="69"/>
    <s v="Vermont"/>
    <x v="2"/>
    <x v="5"/>
    <x v="2"/>
    <n v="3.7"/>
    <x v="0"/>
    <s v="2-Day Shipping"/>
    <s v="Yes"/>
    <s v="Yes"/>
    <n v="24"/>
    <s v="Credit Card"/>
    <x v="4"/>
  </r>
  <r>
    <n v="493"/>
    <x v="2"/>
    <s v="Male"/>
    <x v="5"/>
    <x v="0"/>
    <n v="62"/>
    <s v="Michigan"/>
    <x v="2"/>
    <x v="13"/>
    <x v="3"/>
    <n v="3.9"/>
    <x v="0"/>
    <s v="Standard"/>
    <s v="Yes"/>
    <s v="Yes"/>
    <n v="11"/>
    <s v="Debit Card"/>
    <x v="1"/>
  </r>
  <r>
    <n v="494"/>
    <x v="48"/>
    <s v="Male"/>
    <x v="21"/>
    <x v="3"/>
    <n v="48"/>
    <s v="Nevada"/>
    <x v="3"/>
    <x v="16"/>
    <x v="2"/>
    <n v="4.7"/>
    <x v="0"/>
    <s v="Store Pickup"/>
    <s v="Yes"/>
    <s v="Yes"/>
    <n v="19"/>
    <s v="Cash"/>
    <x v="4"/>
  </r>
  <r>
    <n v="495"/>
    <x v="21"/>
    <s v="Male"/>
    <x v="23"/>
    <x v="1"/>
    <n v="68"/>
    <s v="Indiana"/>
    <x v="2"/>
    <x v="21"/>
    <x v="0"/>
    <n v="4.5"/>
    <x v="0"/>
    <s v="Express"/>
    <s v="Yes"/>
    <s v="Yes"/>
    <n v="42"/>
    <s v="Debit Card"/>
    <x v="1"/>
  </r>
  <r>
    <n v="496"/>
    <x v="23"/>
    <s v="Male"/>
    <x v="8"/>
    <x v="3"/>
    <n v="36"/>
    <s v="Michigan"/>
    <x v="3"/>
    <x v="17"/>
    <x v="3"/>
    <n v="3.3"/>
    <x v="0"/>
    <s v="Free Shipping"/>
    <s v="Yes"/>
    <s v="Yes"/>
    <n v="6"/>
    <s v="Debit Card"/>
    <x v="0"/>
  </r>
  <r>
    <n v="497"/>
    <x v="11"/>
    <s v="Male"/>
    <x v="10"/>
    <x v="0"/>
    <n v="63"/>
    <s v="California"/>
    <x v="1"/>
    <x v="1"/>
    <x v="3"/>
    <n v="3.3"/>
    <x v="0"/>
    <s v="Express"/>
    <s v="Yes"/>
    <s v="Yes"/>
    <n v="31"/>
    <s v="Venmo"/>
    <x v="0"/>
  </r>
  <r>
    <n v="498"/>
    <x v="49"/>
    <s v="Male"/>
    <x v="4"/>
    <x v="1"/>
    <n v="39"/>
    <s v="Oklahoma"/>
    <x v="1"/>
    <x v="5"/>
    <x v="0"/>
    <n v="4.5999999999999996"/>
    <x v="0"/>
    <s v="Free Shipping"/>
    <s v="Yes"/>
    <s v="Yes"/>
    <n v="31"/>
    <s v="Cash"/>
    <x v="1"/>
  </r>
  <r>
    <n v="499"/>
    <x v="49"/>
    <s v="Male"/>
    <x v="23"/>
    <x v="1"/>
    <n v="78"/>
    <s v="Iowa"/>
    <x v="2"/>
    <x v="12"/>
    <x v="1"/>
    <n v="3.6"/>
    <x v="0"/>
    <s v="Free Shipping"/>
    <s v="Yes"/>
    <s v="Yes"/>
    <n v="27"/>
    <s v="Bank Transfer"/>
    <x v="5"/>
  </r>
  <r>
    <n v="500"/>
    <x v="24"/>
    <s v="Male"/>
    <x v="9"/>
    <x v="1"/>
    <n v="99"/>
    <s v="Rhode Island"/>
    <x v="0"/>
    <x v="5"/>
    <x v="0"/>
    <n v="4.8"/>
    <x v="0"/>
    <s v="Express"/>
    <s v="Yes"/>
    <s v="Yes"/>
    <n v="24"/>
    <s v="PayPal"/>
    <x v="5"/>
  </r>
  <r>
    <n v="501"/>
    <x v="24"/>
    <s v="Male"/>
    <x v="17"/>
    <x v="0"/>
    <n v="31"/>
    <s v="Washington"/>
    <x v="0"/>
    <x v="7"/>
    <x v="3"/>
    <n v="4.8"/>
    <x v="0"/>
    <s v="Next Day Air"/>
    <s v="Yes"/>
    <s v="Yes"/>
    <n v="35"/>
    <s v="Venmo"/>
    <x v="6"/>
  </r>
  <r>
    <n v="502"/>
    <x v="14"/>
    <s v="Male"/>
    <x v="23"/>
    <x v="1"/>
    <n v="45"/>
    <s v="Florida"/>
    <x v="2"/>
    <x v="17"/>
    <x v="1"/>
    <n v="2.9"/>
    <x v="0"/>
    <s v="Next Day Air"/>
    <s v="Yes"/>
    <s v="Yes"/>
    <n v="21"/>
    <s v="Venmo"/>
    <x v="2"/>
  </r>
  <r>
    <n v="503"/>
    <x v="35"/>
    <s v="Male"/>
    <x v="13"/>
    <x v="0"/>
    <n v="30"/>
    <s v="South Carolina"/>
    <x v="1"/>
    <x v="17"/>
    <x v="3"/>
    <n v="2.8"/>
    <x v="0"/>
    <s v="Express"/>
    <s v="Yes"/>
    <s v="Yes"/>
    <n v="8"/>
    <s v="PayPal"/>
    <x v="0"/>
  </r>
  <r>
    <n v="504"/>
    <x v="0"/>
    <s v="Male"/>
    <x v="9"/>
    <x v="1"/>
    <n v="24"/>
    <s v="West Virginia"/>
    <x v="2"/>
    <x v="12"/>
    <x v="2"/>
    <n v="3.2"/>
    <x v="0"/>
    <s v="Next Day Air"/>
    <s v="Yes"/>
    <s v="Yes"/>
    <n v="26"/>
    <s v="Bank Transfer"/>
    <x v="3"/>
  </r>
  <r>
    <n v="505"/>
    <x v="32"/>
    <s v="Male"/>
    <x v="9"/>
    <x v="1"/>
    <n v="22"/>
    <s v="Missouri"/>
    <x v="2"/>
    <x v="1"/>
    <x v="0"/>
    <n v="3.9"/>
    <x v="0"/>
    <s v="Free Shipping"/>
    <s v="Yes"/>
    <s v="Yes"/>
    <n v="26"/>
    <s v="PayPal"/>
    <x v="2"/>
  </r>
  <r>
    <n v="506"/>
    <x v="12"/>
    <s v="Male"/>
    <x v="17"/>
    <x v="0"/>
    <n v="63"/>
    <s v="Maine"/>
    <x v="0"/>
    <x v="0"/>
    <x v="1"/>
    <n v="4.3"/>
    <x v="0"/>
    <s v="Express"/>
    <s v="Yes"/>
    <s v="Yes"/>
    <n v="9"/>
    <s v="Cash"/>
    <x v="4"/>
  </r>
  <r>
    <n v="507"/>
    <x v="48"/>
    <s v="Male"/>
    <x v="18"/>
    <x v="3"/>
    <n v="40"/>
    <s v="Georgia"/>
    <x v="2"/>
    <x v="8"/>
    <x v="3"/>
    <n v="2.7"/>
    <x v="0"/>
    <s v="2-Day Shipping"/>
    <s v="Yes"/>
    <s v="Yes"/>
    <n v="48"/>
    <s v="Debit Card"/>
    <x v="2"/>
  </r>
  <r>
    <n v="508"/>
    <x v="13"/>
    <s v="Male"/>
    <x v="6"/>
    <x v="0"/>
    <n v="20"/>
    <s v="Maine"/>
    <x v="2"/>
    <x v="23"/>
    <x v="1"/>
    <n v="5"/>
    <x v="0"/>
    <s v="Store Pickup"/>
    <s v="Yes"/>
    <s v="Yes"/>
    <n v="33"/>
    <s v="Debit Card"/>
    <x v="0"/>
  </r>
  <r>
    <n v="509"/>
    <x v="7"/>
    <s v="Male"/>
    <x v="16"/>
    <x v="3"/>
    <n v="20"/>
    <s v="Illinois"/>
    <x v="1"/>
    <x v="22"/>
    <x v="0"/>
    <n v="3.7"/>
    <x v="0"/>
    <s v="Store Pickup"/>
    <s v="Yes"/>
    <s v="Yes"/>
    <n v="31"/>
    <s v="PayPal"/>
    <x v="3"/>
  </r>
  <r>
    <n v="510"/>
    <x v="38"/>
    <s v="Male"/>
    <x v="17"/>
    <x v="0"/>
    <n v="80"/>
    <s v="Delaware"/>
    <x v="0"/>
    <x v="17"/>
    <x v="2"/>
    <n v="3.9"/>
    <x v="0"/>
    <s v="Free Shipping"/>
    <s v="Yes"/>
    <s v="Yes"/>
    <n v="17"/>
    <s v="Debit Card"/>
    <x v="1"/>
  </r>
  <r>
    <n v="511"/>
    <x v="3"/>
    <s v="Male"/>
    <x v="5"/>
    <x v="0"/>
    <n v="87"/>
    <s v="West Virginia"/>
    <x v="2"/>
    <x v="11"/>
    <x v="3"/>
    <n v="3.9"/>
    <x v="0"/>
    <s v="2-Day Shipping"/>
    <s v="Yes"/>
    <s v="Yes"/>
    <n v="22"/>
    <s v="Venmo"/>
    <x v="2"/>
  </r>
  <r>
    <n v="512"/>
    <x v="12"/>
    <s v="Male"/>
    <x v="5"/>
    <x v="0"/>
    <n v="46"/>
    <s v="Hawaii"/>
    <x v="0"/>
    <x v="22"/>
    <x v="3"/>
    <n v="3.1"/>
    <x v="0"/>
    <s v="Free Shipping"/>
    <s v="Yes"/>
    <s v="Yes"/>
    <n v="8"/>
    <s v="PayPal"/>
    <x v="2"/>
  </r>
  <r>
    <n v="513"/>
    <x v="1"/>
    <s v="Male"/>
    <x v="24"/>
    <x v="3"/>
    <n v="49"/>
    <s v="New York"/>
    <x v="0"/>
    <x v="15"/>
    <x v="0"/>
    <n v="3.3"/>
    <x v="0"/>
    <s v="Next Day Air"/>
    <s v="Yes"/>
    <s v="Yes"/>
    <n v="2"/>
    <s v="Bank Transfer"/>
    <x v="5"/>
  </r>
  <r>
    <n v="514"/>
    <x v="40"/>
    <s v="Male"/>
    <x v="18"/>
    <x v="3"/>
    <n v="65"/>
    <s v="New Mexico"/>
    <x v="2"/>
    <x v="15"/>
    <x v="3"/>
    <n v="3.6"/>
    <x v="0"/>
    <s v="Store Pickup"/>
    <s v="Yes"/>
    <s v="Yes"/>
    <n v="45"/>
    <s v="Venmo"/>
    <x v="2"/>
  </r>
  <r>
    <n v="515"/>
    <x v="14"/>
    <s v="Male"/>
    <x v="11"/>
    <x v="0"/>
    <n v="62"/>
    <s v="Indiana"/>
    <x v="1"/>
    <x v="8"/>
    <x v="0"/>
    <n v="4.3"/>
    <x v="0"/>
    <s v="Standard"/>
    <s v="Yes"/>
    <s v="Yes"/>
    <n v="47"/>
    <s v="PayPal"/>
    <x v="3"/>
  </r>
  <r>
    <n v="516"/>
    <x v="48"/>
    <s v="Male"/>
    <x v="19"/>
    <x v="3"/>
    <n v="67"/>
    <s v="Kentucky"/>
    <x v="0"/>
    <x v="4"/>
    <x v="1"/>
    <n v="4.5"/>
    <x v="0"/>
    <s v="Next Day Air"/>
    <s v="Yes"/>
    <s v="Yes"/>
    <n v="7"/>
    <s v="Cash"/>
    <x v="5"/>
  </r>
  <r>
    <n v="517"/>
    <x v="50"/>
    <s v="Male"/>
    <x v="15"/>
    <x v="0"/>
    <n v="41"/>
    <s v="West Virginia"/>
    <x v="0"/>
    <x v="21"/>
    <x v="3"/>
    <n v="2.8"/>
    <x v="0"/>
    <s v="2-Day Shipping"/>
    <s v="Yes"/>
    <s v="Yes"/>
    <n v="19"/>
    <s v="Debit Card"/>
    <x v="4"/>
  </r>
  <r>
    <n v="518"/>
    <x v="12"/>
    <s v="Male"/>
    <x v="23"/>
    <x v="1"/>
    <n v="49"/>
    <s v="North Dakota"/>
    <x v="0"/>
    <x v="5"/>
    <x v="3"/>
    <n v="2.7"/>
    <x v="0"/>
    <s v="Free Shipping"/>
    <s v="Yes"/>
    <s v="Yes"/>
    <n v="44"/>
    <s v="Cash"/>
    <x v="6"/>
  </r>
  <r>
    <n v="519"/>
    <x v="41"/>
    <s v="Male"/>
    <x v="0"/>
    <x v="0"/>
    <n v="100"/>
    <s v="Oregon"/>
    <x v="2"/>
    <x v="19"/>
    <x v="3"/>
    <n v="2.9"/>
    <x v="0"/>
    <s v="Next Day Air"/>
    <s v="Yes"/>
    <s v="Yes"/>
    <n v="16"/>
    <s v="Venmo"/>
    <x v="6"/>
  </r>
  <r>
    <n v="520"/>
    <x v="1"/>
    <s v="Male"/>
    <x v="22"/>
    <x v="3"/>
    <n v="54"/>
    <s v="Minnesota"/>
    <x v="0"/>
    <x v="24"/>
    <x v="2"/>
    <n v="4.4000000000000004"/>
    <x v="0"/>
    <s v="2-Day Shipping"/>
    <s v="Yes"/>
    <s v="Yes"/>
    <n v="17"/>
    <s v="Bank Transfer"/>
    <x v="3"/>
  </r>
  <r>
    <n v="521"/>
    <x v="47"/>
    <s v="Male"/>
    <x v="12"/>
    <x v="3"/>
    <n v="84"/>
    <s v="South Carolina"/>
    <x v="2"/>
    <x v="3"/>
    <x v="1"/>
    <n v="3.9"/>
    <x v="0"/>
    <s v="Free Shipping"/>
    <s v="Yes"/>
    <s v="Yes"/>
    <n v="20"/>
    <s v="Debit Card"/>
    <x v="3"/>
  </r>
  <r>
    <n v="522"/>
    <x v="24"/>
    <s v="Male"/>
    <x v="6"/>
    <x v="0"/>
    <n v="41"/>
    <s v="Vermont"/>
    <x v="0"/>
    <x v="9"/>
    <x v="0"/>
    <n v="3.5"/>
    <x v="0"/>
    <s v="Standard"/>
    <s v="Yes"/>
    <s v="Yes"/>
    <n v="50"/>
    <s v="Bank Transfer"/>
    <x v="2"/>
  </r>
  <r>
    <n v="523"/>
    <x v="13"/>
    <s v="Male"/>
    <x v="24"/>
    <x v="3"/>
    <n v="88"/>
    <s v="Minnesota"/>
    <x v="2"/>
    <x v="24"/>
    <x v="1"/>
    <n v="2.5"/>
    <x v="0"/>
    <s v="Store Pickup"/>
    <s v="Yes"/>
    <s v="Yes"/>
    <n v="37"/>
    <s v="Cash"/>
    <x v="3"/>
  </r>
  <r>
    <n v="524"/>
    <x v="5"/>
    <s v="Male"/>
    <x v="3"/>
    <x v="1"/>
    <n v="40"/>
    <s v="Delaware"/>
    <x v="2"/>
    <x v="20"/>
    <x v="1"/>
    <n v="4.9000000000000004"/>
    <x v="0"/>
    <s v="Express"/>
    <s v="Yes"/>
    <s v="Yes"/>
    <n v="5"/>
    <s v="PayPal"/>
    <x v="3"/>
  </r>
  <r>
    <n v="525"/>
    <x v="35"/>
    <s v="Male"/>
    <x v="5"/>
    <x v="0"/>
    <n v="39"/>
    <s v="Pennsylvania"/>
    <x v="2"/>
    <x v="9"/>
    <x v="2"/>
    <n v="4.8"/>
    <x v="0"/>
    <s v="Free Shipping"/>
    <s v="Yes"/>
    <s v="Yes"/>
    <n v="44"/>
    <s v="PayPal"/>
    <x v="2"/>
  </r>
  <r>
    <n v="526"/>
    <x v="47"/>
    <s v="Male"/>
    <x v="7"/>
    <x v="2"/>
    <n v="37"/>
    <s v="Iowa"/>
    <x v="2"/>
    <x v="17"/>
    <x v="1"/>
    <n v="3.2"/>
    <x v="0"/>
    <s v="Next Day Air"/>
    <s v="Yes"/>
    <s v="Yes"/>
    <n v="41"/>
    <s v="Debit Card"/>
    <x v="5"/>
  </r>
  <r>
    <n v="527"/>
    <x v="47"/>
    <s v="Male"/>
    <x v="13"/>
    <x v="0"/>
    <n v="52"/>
    <s v="New Jersey"/>
    <x v="1"/>
    <x v="16"/>
    <x v="0"/>
    <n v="4.9000000000000004"/>
    <x v="0"/>
    <s v="Standard"/>
    <s v="Yes"/>
    <s v="Yes"/>
    <n v="19"/>
    <s v="Cash"/>
    <x v="5"/>
  </r>
  <r>
    <n v="528"/>
    <x v="3"/>
    <s v="Male"/>
    <x v="17"/>
    <x v="0"/>
    <n v="23"/>
    <s v="South Carolina"/>
    <x v="0"/>
    <x v="22"/>
    <x v="0"/>
    <n v="4.3"/>
    <x v="0"/>
    <s v="Next Day Air"/>
    <s v="Yes"/>
    <s v="Yes"/>
    <n v="47"/>
    <s v="Bank Transfer"/>
    <x v="6"/>
  </r>
  <r>
    <n v="529"/>
    <x v="50"/>
    <s v="Male"/>
    <x v="4"/>
    <x v="1"/>
    <n v="88"/>
    <s v="Maryland"/>
    <x v="1"/>
    <x v="19"/>
    <x v="0"/>
    <n v="3.2"/>
    <x v="0"/>
    <s v="Express"/>
    <s v="Yes"/>
    <s v="Yes"/>
    <n v="40"/>
    <s v="Cash"/>
    <x v="2"/>
  </r>
  <r>
    <n v="530"/>
    <x v="45"/>
    <s v="Male"/>
    <x v="6"/>
    <x v="0"/>
    <n v="84"/>
    <s v="California"/>
    <x v="2"/>
    <x v="20"/>
    <x v="3"/>
    <n v="3.7"/>
    <x v="0"/>
    <s v="Standard"/>
    <s v="Yes"/>
    <s v="Yes"/>
    <n v="6"/>
    <s v="Credit Card"/>
    <x v="5"/>
  </r>
  <r>
    <n v="531"/>
    <x v="39"/>
    <s v="Male"/>
    <x v="7"/>
    <x v="2"/>
    <n v="37"/>
    <s v="Montana"/>
    <x v="3"/>
    <x v="23"/>
    <x v="0"/>
    <n v="3.2"/>
    <x v="0"/>
    <s v="Store Pickup"/>
    <s v="Yes"/>
    <s v="Yes"/>
    <n v="25"/>
    <s v="Credit Card"/>
    <x v="4"/>
  </r>
  <r>
    <n v="532"/>
    <x v="2"/>
    <s v="Male"/>
    <x v="3"/>
    <x v="1"/>
    <n v="51"/>
    <s v="Vermont"/>
    <x v="0"/>
    <x v="7"/>
    <x v="3"/>
    <n v="3.4"/>
    <x v="0"/>
    <s v="Next Day Air"/>
    <s v="Yes"/>
    <s v="Yes"/>
    <n v="42"/>
    <s v="Cash"/>
    <x v="1"/>
  </r>
  <r>
    <n v="533"/>
    <x v="8"/>
    <s v="Male"/>
    <x v="13"/>
    <x v="0"/>
    <n v="76"/>
    <s v="Texas"/>
    <x v="0"/>
    <x v="13"/>
    <x v="0"/>
    <n v="4.0999999999999996"/>
    <x v="0"/>
    <s v="Express"/>
    <s v="Yes"/>
    <s v="Yes"/>
    <n v="35"/>
    <s v="Bank Transfer"/>
    <x v="6"/>
  </r>
  <r>
    <n v="534"/>
    <x v="9"/>
    <s v="Male"/>
    <x v="3"/>
    <x v="1"/>
    <n v="60"/>
    <s v="North Carolina"/>
    <x v="0"/>
    <x v="6"/>
    <x v="1"/>
    <n v="4.5"/>
    <x v="0"/>
    <s v="Next Day Air"/>
    <s v="Yes"/>
    <s v="Yes"/>
    <n v="17"/>
    <s v="Debit Card"/>
    <x v="1"/>
  </r>
  <r>
    <n v="535"/>
    <x v="13"/>
    <s v="Male"/>
    <x v="24"/>
    <x v="3"/>
    <n v="72"/>
    <s v="Florida"/>
    <x v="0"/>
    <x v="6"/>
    <x v="3"/>
    <n v="4.5"/>
    <x v="0"/>
    <s v="Next Day Air"/>
    <s v="Yes"/>
    <s v="Yes"/>
    <n v="4"/>
    <s v="PayPal"/>
    <x v="3"/>
  </r>
  <r>
    <n v="536"/>
    <x v="19"/>
    <s v="Male"/>
    <x v="17"/>
    <x v="0"/>
    <n v="45"/>
    <s v="West Virginia"/>
    <x v="0"/>
    <x v="1"/>
    <x v="1"/>
    <n v="3.2"/>
    <x v="0"/>
    <s v="Free Shipping"/>
    <s v="Yes"/>
    <s v="Yes"/>
    <n v="24"/>
    <s v="Bank Transfer"/>
    <x v="1"/>
  </r>
  <r>
    <n v="537"/>
    <x v="42"/>
    <s v="Male"/>
    <x v="14"/>
    <x v="2"/>
    <n v="84"/>
    <s v="Illinois"/>
    <x v="1"/>
    <x v="1"/>
    <x v="3"/>
    <n v="4.4000000000000004"/>
    <x v="0"/>
    <s v="Store Pickup"/>
    <s v="Yes"/>
    <s v="Yes"/>
    <n v="16"/>
    <s v="Debit Card"/>
    <x v="6"/>
  </r>
  <r>
    <n v="538"/>
    <x v="2"/>
    <s v="Male"/>
    <x v="0"/>
    <x v="0"/>
    <n v="49"/>
    <s v="Virginia"/>
    <x v="1"/>
    <x v="2"/>
    <x v="2"/>
    <n v="3"/>
    <x v="0"/>
    <s v="Store Pickup"/>
    <s v="Yes"/>
    <s v="Yes"/>
    <n v="14"/>
    <s v="Debit Card"/>
    <x v="2"/>
  </r>
  <r>
    <n v="539"/>
    <x v="7"/>
    <s v="Male"/>
    <x v="20"/>
    <x v="0"/>
    <n v="22"/>
    <s v="Virginia"/>
    <x v="3"/>
    <x v="14"/>
    <x v="1"/>
    <n v="3.2"/>
    <x v="0"/>
    <s v="Free Shipping"/>
    <s v="Yes"/>
    <s v="Yes"/>
    <n v="43"/>
    <s v="Cash"/>
    <x v="1"/>
  </r>
  <r>
    <n v="540"/>
    <x v="34"/>
    <s v="Male"/>
    <x v="7"/>
    <x v="2"/>
    <n v="48"/>
    <s v="Wyoming"/>
    <x v="2"/>
    <x v="10"/>
    <x v="0"/>
    <n v="4"/>
    <x v="0"/>
    <s v="Store Pickup"/>
    <s v="Yes"/>
    <s v="Yes"/>
    <n v="49"/>
    <s v="Debit Card"/>
    <x v="1"/>
  </r>
  <r>
    <n v="541"/>
    <x v="34"/>
    <s v="Male"/>
    <x v="10"/>
    <x v="0"/>
    <n v="37"/>
    <s v="South Carolina"/>
    <x v="2"/>
    <x v="12"/>
    <x v="1"/>
    <n v="3.1"/>
    <x v="0"/>
    <s v="Next Day Air"/>
    <s v="Yes"/>
    <s v="Yes"/>
    <n v="33"/>
    <s v="Cash"/>
    <x v="6"/>
  </r>
  <r>
    <n v="542"/>
    <x v="16"/>
    <s v="Male"/>
    <x v="14"/>
    <x v="2"/>
    <n v="27"/>
    <s v="Connecticut"/>
    <x v="0"/>
    <x v="0"/>
    <x v="3"/>
    <n v="2.8"/>
    <x v="0"/>
    <s v="Next Day Air"/>
    <s v="Yes"/>
    <s v="Yes"/>
    <n v="45"/>
    <s v="Cash"/>
    <x v="4"/>
  </r>
  <r>
    <n v="543"/>
    <x v="7"/>
    <s v="Male"/>
    <x v="23"/>
    <x v="1"/>
    <n v="79"/>
    <s v="Illinois"/>
    <x v="3"/>
    <x v="11"/>
    <x v="1"/>
    <n v="4.5999999999999996"/>
    <x v="0"/>
    <s v="Next Day Air"/>
    <s v="Yes"/>
    <s v="Yes"/>
    <n v="35"/>
    <s v="Cash"/>
    <x v="4"/>
  </r>
  <r>
    <n v="544"/>
    <x v="10"/>
    <s v="Male"/>
    <x v="11"/>
    <x v="0"/>
    <n v="98"/>
    <s v="Alabama"/>
    <x v="1"/>
    <x v="16"/>
    <x v="1"/>
    <n v="4.3"/>
    <x v="0"/>
    <s v="Express"/>
    <s v="Yes"/>
    <s v="Yes"/>
    <n v="11"/>
    <s v="Credit Card"/>
    <x v="5"/>
  </r>
  <r>
    <n v="545"/>
    <x v="50"/>
    <s v="Male"/>
    <x v="3"/>
    <x v="1"/>
    <n v="64"/>
    <s v="Washington"/>
    <x v="1"/>
    <x v="22"/>
    <x v="2"/>
    <n v="3.3"/>
    <x v="0"/>
    <s v="Standard"/>
    <s v="Yes"/>
    <s v="Yes"/>
    <n v="30"/>
    <s v="Bank Transfer"/>
    <x v="6"/>
  </r>
  <r>
    <n v="546"/>
    <x v="23"/>
    <s v="Male"/>
    <x v="7"/>
    <x v="2"/>
    <n v="32"/>
    <s v="Alabama"/>
    <x v="0"/>
    <x v="23"/>
    <x v="2"/>
    <n v="3.5"/>
    <x v="0"/>
    <s v="2-Day Shipping"/>
    <s v="Yes"/>
    <s v="Yes"/>
    <n v="48"/>
    <s v="Debit Card"/>
    <x v="2"/>
  </r>
  <r>
    <n v="547"/>
    <x v="46"/>
    <s v="Male"/>
    <x v="15"/>
    <x v="0"/>
    <n v="74"/>
    <s v="New Mexico"/>
    <x v="2"/>
    <x v="18"/>
    <x v="0"/>
    <n v="3.4"/>
    <x v="0"/>
    <s v="Free Shipping"/>
    <s v="Yes"/>
    <s v="Yes"/>
    <n v="45"/>
    <s v="Venmo"/>
    <x v="4"/>
  </r>
  <r>
    <n v="548"/>
    <x v="21"/>
    <s v="Male"/>
    <x v="14"/>
    <x v="2"/>
    <n v="50"/>
    <s v="Nevada"/>
    <x v="2"/>
    <x v="24"/>
    <x v="0"/>
    <n v="2.8"/>
    <x v="0"/>
    <s v="Free Shipping"/>
    <s v="Yes"/>
    <s v="Yes"/>
    <n v="26"/>
    <s v="Venmo"/>
    <x v="1"/>
  </r>
  <r>
    <n v="549"/>
    <x v="24"/>
    <s v="Male"/>
    <x v="21"/>
    <x v="3"/>
    <n v="64"/>
    <s v="Nebraska"/>
    <x v="2"/>
    <x v="13"/>
    <x v="0"/>
    <n v="4.5999999999999996"/>
    <x v="0"/>
    <s v="Store Pickup"/>
    <s v="Yes"/>
    <s v="Yes"/>
    <n v="41"/>
    <s v="Debit Card"/>
    <x v="6"/>
  </r>
  <r>
    <n v="550"/>
    <x v="18"/>
    <s v="Male"/>
    <x v="21"/>
    <x v="3"/>
    <n v="29"/>
    <s v="Arizona"/>
    <x v="1"/>
    <x v="8"/>
    <x v="3"/>
    <n v="3.6"/>
    <x v="0"/>
    <s v="Express"/>
    <s v="Yes"/>
    <s v="Yes"/>
    <n v="37"/>
    <s v="Venmo"/>
    <x v="4"/>
  </r>
  <r>
    <n v="551"/>
    <x v="46"/>
    <s v="Male"/>
    <x v="22"/>
    <x v="3"/>
    <n v="62"/>
    <s v="Georgia"/>
    <x v="2"/>
    <x v="8"/>
    <x v="2"/>
    <n v="3.3"/>
    <x v="0"/>
    <s v="Store Pickup"/>
    <s v="Yes"/>
    <s v="Yes"/>
    <n v="12"/>
    <s v="PayPal"/>
    <x v="1"/>
  </r>
  <r>
    <n v="552"/>
    <x v="26"/>
    <s v="Male"/>
    <x v="7"/>
    <x v="2"/>
    <n v="78"/>
    <s v="Idaho"/>
    <x v="3"/>
    <x v="14"/>
    <x v="3"/>
    <n v="3.1"/>
    <x v="0"/>
    <s v="2-Day Shipping"/>
    <s v="Yes"/>
    <s v="Yes"/>
    <n v="27"/>
    <s v="Cash"/>
    <x v="4"/>
  </r>
  <r>
    <n v="553"/>
    <x v="41"/>
    <s v="Male"/>
    <x v="17"/>
    <x v="0"/>
    <n v="94"/>
    <s v="Missouri"/>
    <x v="2"/>
    <x v="15"/>
    <x v="3"/>
    <n v="3.5"/>
    <x v="0"/>
    <s v="Express"/>
    <s v="Yes"/>
    <s v="Yes"/>
    <n v="18"/>
    <s v="Bank Transfer"/>
    <x v="1"/>
  </r>
  <r>
    <n v="554"/>
    <x v="6"/>
    <s v="Male"/>
    <x v="12"/>
    <x v="3"/>
    <n v="59"/>
    <s v="Florida"/>
    <x v="2"/>
    <x v="3"/>
    <x v="0"/>
    <n v="3.2"/>
    <x v="0"/>
    <s v="Express"/>
    <s v="Yes"/>
    <s v="Yes"/>
    <n v="15"/>
    <s v="Credit Card"/>
    <x v="3"/>
  </r>
  <r>
    <n v="555"/>
    <x v="19"/>
    <s v="Male"/>
    <x v="4"/>
    <x v="1"/>
    <n v="47"/>
    <s v="Minnesota"/>
    <x v="2"/>
    <x v="16"/>
    <x v="2"/>
    <n v="3"/>
    <x v="0"/>
    <s v="Express"/>
    <s v="Yes"/>
    <s v="Yes"/>
    <n v="34"/>
    <s v="Bank Transfer"/>
    <x v="1"/>
  </r>
  <r>
    <n v="556"/>
    <x v="6"/>
    <s v="Male"/>
    <x v="24"/>
    <x v="3"/>
    <n v="57"/>
    <s v="Maine"/>
    <x v="2"/>
    <x v="3"/>
    <x v="3"/>
    <n v="4.8"/>
    <x v="0"/>
    <s v="Express"/>
    <s v="Yes"/>
    <s v="Yes"/>
    <n v="37"/>
    <s v="Venmo"/>
    <x v="2"/>
  </r>
  <r>
    <n v="557"/>
    <x v="37"/>
    <s v="Male"/>
    <x v="7"/>
    <x v="2"/>
    <n v="90"/>
    <s v="Montana"/>
    <x v="0"/>
    <x v="21"/>
    <x v="0"/>
    <n v="5"/>
    <x v="0"/>
    <s v="Store Pickup"/>
    <s v="Yes"/>
    <s v="Yes"/>
    <n v="21"/>
    <s v="Cash"/>
    <x v="0"/>
  </r>
  <r>
    <n v="558"/>
    <x v="20"/>
    <s v="Male"/>
    <x v="5"/>
    <x v="0"/>
    <n v="60"/>
    <s v="Alaska"/>
    <x v="2"/>
    <x v="3"/>
    <x v="1"/>
    <n v="2.9"/>
    <x v="0"/>
    <s v="Free Shipping"/>
    <s v="Yes"/>
    <s v="Yes"/>
    <n v="31"/>
    <s v="Debit Card"/>
    <x v="1"/>
  </r>
  <r>
    <n v="559"/>
    <x v="2"/>
    <s v="Male"/>
    <x v="4"/>
    <x v="1"/>
    <n v="77"/>
    <s v="Iowa"/>
    <x v="0"/>
    <x v="11"/>
    <x v="3"/>
    <n v="3.2"/>
    <x v="0"/>
    <s v="Express"/>
    <s v="Yes"/>
    <s v="Yes"/>
    <n v="43"/>
    <s v="Debit Card"/>
    <x v="6"/>
  </r>
  <r>
    <n v="560"/>
    <x v="17"/>
    <s v="Male"/>
    <x v="18"/>
    <x v="3"/>
    <n v="41"/>
    <s v="Arizona"/>
    <x v="2"/>
    <x v="21"/>
    <x v="3"/>
    <n v="2.9"/>
    <x v="0"/>
    <s v="Store Pickup"/>
    <s v="Yes"/>
    <s v="Yes"/>
    <n v="22"/>
    <s v="Bank Transfer"/>
    <x v="5"/>
  </r>
  <r>
    <n v="561"/>
    <x v="15"/>
    <s v="Male"/>
    <x v="16"/>
    <x v="3"/>
    <n v="48"/>
    <s v="Louisiana"/>
    <x v="0"/>
    <x v="16"/>
    <x v="3"/>
    <n v="3.3"/>
    <x v="0"/>
    <s v="Free Shipping"/>
    <s v="Yes"/>
    <s v="Yes"/>
    <n v="12"/>
    <s v="Debit Card"/>
    <x v="2"/>
  </r>
  <r>
    <n v="562"/>
    <x v="13"/>
    <s v="Male"/>
    <x v="14"/>
    <x v="2"/>
    <n v="65"/>
    <s v="Alabama"/>
    <x v="2"/>
    <x v="24"/>
    <x v="3"/>
    <n v="2.6"/>
    <x v="0"/>
    <s v="Next Day Air"/>
    <s v="Yes"/>
    <s v="Yes"/>
    <n v="25"/>
    <s v="PayPal"/>
    <x v="0"/>
  </r>
  <r>
    <n v="563"/>
    <x v="10"/>
    <s v="Male"/>
    <x v="2"/>
    <x v="0"/>
    <n v="62"/>
    <s v="Missouri"/>
    <x v="2"/>
    <x v="24"/>
    <x v="2"/>
    <n v="3.5"/>
    <x v="0"/>
    <s v="Standard"/>
    <s v="Yes"/>
    <s v="Yes"/>
    <n v="40"/>
    <s v="Debit Card"/>
    <x v="2"/>
  </r>
  <r>
    <n v="564"/>
    <x v="12"/>
    <s v="Male"/>
    <x v="9"/>
    <x v="1"/>
    <n v="99"/>
    <s v="Idaho"/>
    <x v="2"/>
    <x v="13"/>
    <x v="3"/>
    <n v="4.4000000000000004"/>
    <x v="0"/>
    <s v="Standard"/>
    <s v="Yes"/>
    <s v="Yes"/>
    <n v="16"/>
    <s v="Debit Card"/>
    <x v="3"/>
  </r>
  <r>
    <n v="565"/>
    <x v="29"/>
    <s v="Male"/>
    <x v="15"/>
    <x v="0"/>
    <n v="58"/>
    <s v="Florida"/>
    <x v="2"/>
    <x v="8"/>
    <x v="0"/>
    <n v="3.4"/>
    <x v="0"/>
    <s v="Next Day Air"/>
    <s v="Yes"/>
    <s v="Yes"/>
    <n v="30"/>
    <s v="Bank Transfer"/>
    <x v="1"/>
  </r>
  <r>
    <n v="566"/>
    <x v="35"/>
    <s v="Male"/>
    <x v="21"/>
    <x v="3"/>
    <n v="43"/>
    <s v="Idaho"/>
    <x v="0"/>
    <x v="12"/>
    <x v="3"/>
    <n v="4.2"/>
    <x v="0"/>
    <s v="Store Pickup"/>
    <s v="Yes"/>
    <s v="Yes"/>
    <n v="10"/>
    <s v="Venmo"/>
    <x v="1"/>
  </r>
  <r>
    <n v="567"/>
    <x v="0"/>
    <s v="Male"/>
    <x v="4"/>
    <x v="1"/>
    <n v="93"/>
    <s v="Alabama"/>
    <x v="2"/>
    <x v="21"/>
    <x v="1"/>
    <n v="3.6"/>
    <x v="0"/>
    <s v="Store Pickup"/>
    <s v="Yes"/>
    <s v="Yes"/>
    <n v="1"/>
    <s v="Debit Card"/>
    <x v="0"/>
  </r>
  <r>
    <n v="568"/>
    <x v="3"/>
    <s v="Male"/>
    <x v="0"/>
    <x v="0"/>
    <n v="50"/>
    <s v="New Hampshire"/>
    <x v="1"/>
    <x v="16"/>
    <x v="0"/>
    <n v="3"/>
    <x v="0"/>
    <s v="Next Day Air"/>
    <s v="Yes"/>
    <s v="Yes"/>
    <n v="24"/>
    <s v="Venmo"/>
    <x v="0"/>
  </r>
  <r>
    <n v="569"/>
    <x v="42"/>
    <s v="Male"/>
    <x v="13"/>
    <x v="0"/>
    <n v="88"/>
    <s v="Utah"/>
    <x v="0"/>
    <x v="16"/>
    <x v="2"/>
    <n v="4"/>
    <x v="0"/>
    <s v="Free Shipping"/>
    <s v="Yes"/>
    <s v="Yes"/>
    <n v="36"/>
    <s v="PayPal"/>
    <x v="5"/>
  </r>
  <r>
    <n v="570"/>
    <x v="13"/>
    <s v="Male"/>
    <x v="11"/>
    <x v="0"/>
    <n v="33"/>
    <s v="Alabama"/>
    <x v="2"/>
    <x v="6"/>
    <x v="3"/>
    <n v="4.4000000000000004"/>
    <x v="0"/>
    <s v="Express"/>
    <s v="Yes"/>
    <s v="Yes"/>
    <n v="46"/>
    <s v="Credit Card"/>
    <x v="6"/>
  </r>
  <r>
    <n v="571"/>
    <x v="13"/>
    <s v="Male"/>
    <x v="17"/>
    <x v="0"/>
    <n v="99"/>
    <s v="Iowa"/>
    <x v="3"/>
    <x v="7"/>
    <x v="3"/>
    <n v="4.0999999999999996"/>
    <x v="0"/>
    <s v="Standard"/>
    <s v="Yes"/>
    <s v="Yes"/>
    <n v="20"/>
    <s v="Cash"/>
    <x v="2"/>
  </r>
  <r>
    <n v="572"/>
    <x v="22"/>
    <s v="Male"/>
    <x v="14"/>
    <x v="2"/>
    <n v="76"/>
    <s v="Kentucky"/>
    <x v="3"/>
    <x v="17"/>
    <x v="1"/>
    <n v="3.6"/>
    <x v="0"/>
    <s v="Free Shipping"/>
    <s v="Yes"/>
    <s v="Yes"/>
    <n v="37"/>
    <s v="Venmo"/>
    <x v="1"/>
  </r>
  <r>
    <n v="573"/>
    <x v="19"/>
    <s v="Male"/>
    <x v="18"/>
    <x v="3"/>
    <n v="97"/>
    <s v="South Carolina"/>
    <x v="3"/>
    <x v="17"/>
    <x v="2"/>
    <n v="4.5999999999999996"/>
    <x v="0"/>
    <s v="Next Day Air"/>
    <s v="Yes"/>
    <s v="Yes"/>
    <n v="26"/>
    <s v="Bank Transfer"/>
    <x v="2"/>
  </r>
  <r>
    <n v="574"/>
    <x v="44"/>
    <s v="Male"/>
    <x v="13"/>
    <x v="0"/>
    <n v="68"/>
    <s v="California"/>
    <x v="2"/>
    <x v="4"/>
    <x v="2"/>
    <n v="3.2"/>
    <x v="0"/>
    <s v="2-Day Shipping"/>
    <s v="Yes"/>
    <s v="Yes"/>
    <n v="23"/>
    <s v="Credit Card"/>
    <x v="4"/>
  </r>
  <r>
    <n v="575"/>
    <x v="22"/>
    <s v="Male"/>
    <x v="4"/>
    <x v="1"/>
    <n v="79"/>
    <s v="Maine"/>
    <x v="0"/>
    <x v="16"/>
    <x v="3"/>
    <n v="4.8"/>
    <x v="0"/>
    <s v="Free Shipping"/>
    <s v="Yes"/>
    <s v="Yes"/>
    <n v="20"/>
    <s v="Bank Transfer"/>
    <x v="4"/>
  </r>
  <r>
    <n v="576"/>
    <x v="44"/>
    <s v="Male"/>
    <x v="2"/>
    <x v="0"/>
    <n v="86"/>
    <s v="Nebraska"/>
    <x v="2"/>
    <x v="15"/>
    <x v="3"/>
    <n v="4.8"/>
    <x v="0"/>
    <s v="Express"/>
    <s v="Yes"/>
    <s v="Yes"/>
    <n v="38"/>
    <s v="PayPal"/>
    <x v="5"/>
  </r>
  <r>
    <n v="577"/>
    <x v="39"/>
    <s v="Male"/>
    <x v="19"/>
    <x v="3"/>
    <n v="68"/>
    <s v="Washington"/>
    <x v="2"/>
    <x v="13"/>
    <x v="0"/>
    <n v="5"/>
    <x v="0"/>
    <s v="2-Day Shipping"/>
    <s v="Yes"/>
    <s v="Yes"/>
    <n v="5"/>
    <s v="Credit Card"/>
    <x v="6"/>
  </r>
  <r>
    <n v="578"/>
    <x v="1"/>
    <s v="Male"/>
    <x v="11"/>
    <x v="0"/>
    <n v="52"/>
    <s v="Alabama"/>
    <x v="2"/>
    <x v="13"/>
    <x v="3"/>
    <n v="3.7"/>
    <x v="0"/>
    <s v="Store Pickup"/>
    <s v="Yes"/>
    <s v="Yes"/>
    <n v="41"/>
    <s v="Venmo"/>
    <x v="2"/>
  </r>
  <r>
    <n v="579"/>
    <x v="28"/>
    <s v="Male"/>
    <x v="3"/>
    <x v="1"/>
    <n v="90"/>
    <s v="Maine"/>
    <x v="2"/>
    <x v="7"/>
    <x v="3"/>
    <n v="4.5999999999999996"/>
    <x v="0"/>
    <s v="Next Day Air"/>
    <s v="Yes"/>
    <s v="Yes"/>
    <n v="22"/>
    <s v="Credit Card"/>
    <x v="0"/>
  </r>
  <r>
    <n v="580"/>
    <x v="44"/>
    <s v="Male"/>
    <x v="3"/>
    <x v="1"/>
    <n v="41"/>
    <s v="California"/>
    <x v="2"/>
    <x v="10"/>
    <x v="0"/>
    <n v="3.7"/>
    <x v="0"/>
    <s v="Free Shipping"/>
    <s v="Yes"/>
    <s v="Yes"/>
    <n v="48"/>
    <s v="Credit Card"/>
    <x v="2"/>
  </r>
  <r>
    <n v="581"/>
    <x v="34"/>
    <s v="Male"/>
    <x v="1"/>
    <x v="0"/>
    <n v="80"/>
    <s v="Iowa"/>
    <x v="2"/>
    <x v="20"/>
    <x v="1"/>
    <n v="4.0999999999999996"/>
    <x v="0"/>
    <s v="Free Shipping"/>
    <s v="Yes"/>
    <s v="Yes"/>
    <n v="10"/>
    <s v="PayPal"/>
    <x v="1"/>
  </r>
  <r>
    <n v="582"/>
    <x v="45"/>
    <s v="Male"/>
    <x v="1"/>
    <x v="0"/>
    <n v="100"/>
    <s v="Iowa"/>
    <x v="3"/>
    <x v="4"/>
    <x v="0"/>
    <n v="2.7"/>
    <x v="0"/>
    <s v="Store Pickup"/>
    <s v="Yes"/>
    <s v="Yes"/>
    <n v="12"/>
    <s v="Bank Transfer"/>
    <x v="6"/>
  </r>
  <r>
    <n v="583"/>
    <x v="37"/>
    <s v="Male"/>
    <x v="14"/>
    <x v="2"/>
    <n v="77"/>
    <s v="Colorado"/>
    <x v="0"/>
    <x v="2"/>
    <x v="1"/>
    <n v="4.9000000000000004"/>
    <x v="0"/>
    <s v="Store Pickup"/>
    <s v="Yes"/>
    <s v="Yes"/>
    <n v="2"/>
    <s v="Bank Transfer"/>
    <x v="3"/>
  </r>
  <r>
    <n v="584"/>
    <x v="15"/>
    <s v="Male"/>
    <x v="6"/>
    <x v="0"/>
    <n v="78"/>
    <s v="California"/>
    <x v="0"/>
    <x v="22"/>
    <x v="1"/>
    <n v="4"/>
    <x v="0"/>
    <s v="Store Pickup"/>
    <s v="Yes"/>
    <s v="Yes"/>
    <n v="38"/>
    <s v="PayPal"/>
    <x v="5"/>
  </r>
  <r>
    <n v="585"/>
    <x v="27"/>
    <s v="Male"/>
    <x v="20"/>
    <x v="0"/>
    <n v="94"/>
    <s v="Indiana"/>
    <x v="2"/>
    <x v="3"/>
    <x v="1"/>
    <n v="4.7"/>
    <x v="0"/>
    <s v="Free Shipping"/>
    <s v="Yes"/>
    <s v="Yes"/>
    <n v="20"/>
    <s v="Debit Card"/>
    <x v="5"/>
  </r>
  <r>
    <n v="586"/>
    <x v="28"/>
    <s v="Male"/>
    <x v="20"/>
    <x v="0"/>
    <n v="23"/>
    <s v="South Carolina"/>
    <x v="2"/>
    <x v="0"/>
    <x v="3"/>
    <n v="2.8"/>
    <x v="0"/>
    <s v="Next Day Air"/>
    <s v="Yes"/>
    <s v="Yes"/>
    <n v="5"/>
    <s v="Cash"/>
    <x v="6"/>
  </r>
  <r>
    <n v="587"/>
    <x v="4"/>
    <s v="Male"/>
    <x v="15"/>
    <x v="0"/>
    <n v="20"/>
    <s v="Wisconsin"/>
    <x v="1"/>
    <x v="24"/>
    <x v="0"/>
    <n v="4.9000000000000004"/>
    <x v="0"/>
    <s v="2-Day Shipping"/>
    <s v="Yes"/>
    <s v="Yes"/>
    <n v="9"/>
    <s v="Venmo"/>
    <x v="2"/>
  </r>
  <r>
    <n v="588"/>
    <x v="26"/>
    <s v="Male"/>
    <x v="20"/>
    <x v="0"/>
    <n v="86"/>
    <s v="Washington"/>
    <x v="1"/>
    <x v="1"/>
    <x v="3"/>
    <n v="4.2"/>
    <x v="0"/>
    <s v="Express"/>
    <s v="Yes"/>
    <s v="Yes"/>
    <n v="48"/>
    <s v="Debit Card"/>
    <x v="6"/>
  </r>
  <r>
    <n v="589"/>
    <x v="36"/>
    <s v="Male"/>
    <x v="23"/>
    <x v="1"/>
    <n v="60"/>
    <s v="South Dakota"/>
    <x v="2"/>
    <x v="10"/>
    <x v="3"/>
    <n v="3"/>
    <x v="0"/>
    <s v="Standard"/>
    <s v="Yes"/>
    <s v="Yes"/>
    <n v="9"/>
    <s v="Debit Card"/>
    <x v="3"/>
  </r>
  <r>
    <n v="590"/>
    <x v="48"/>
    <s v="Male"/>
    <x v="5"/>
    <x v="0"/>
    <n v="70"/>
    <s v="Minnesota"/>
    <x v="2"/>
    <x v="20"/>
    <x v="3"/>
    <n v="3.4"/>
    <x v="0"/>
    <s v="2-Day Shipping"/>
    <s v="Yes"/>
    <s v="Yes"/>
    <n v="40"/>
    <s v="PayPal"/>
    <x v="2"/>
  </r>
  <r>
    <n v="591"/>
    <x v="14"/>
    <s v="Male"/>
    <x v="22"/>
    <x v="3"/>
    <n v="39"/>
    <s v="Alaska"/>
    <x v="1"/>
    <x v="2"/>
    <x v="3"/>
    <n v="4.5999999999999996"/>
    <x v="0"/>
    <s v="Standard"/>
    <s v="Yes"/>
    <s v="Yes"/>
    <n v="30"/>
    <s v="Venmo"/>
    <x v="0"/>
  </r>
  <r>
    <n v="592"/>
    <x v="36"/>
    <s v="Male"/>
    <x v="21"/>
    <x v="3"/>
    <n v="37"/>
    <s v="Kentucky"/>
    <x v="0"/>
    <x v="8"/>
    <x v="3"/>
    <n v="4.2"/>
    <x v="0"/>
    <s v="Store Pickup"/>
    <s v="Yes"/>
    <s v="Yes"/>
    <n v="6"/>
    <s v="Debit Card"/>
    <x v="4"/>
  </r>
  <r>
    <n v="593"/>
    <x v="52"/>
    <s v="Male"/>
    <x v="23"/>
    <x v="1"/>
    <n v="29"/>
    <s v="North Dakota"/>
    <x v="2"/>
    <x v="18"/>
    <x v="3"/>
    <n v="3.2"/>
    <x v="0"/>
    <s v="Free Shipping"/>
    <s v="Yes"/>
    <s v="Yes"/>
    <n v="42"/>
    <s v="Venmo"/>
    <x v="6"/>
  </r>
  <r>
    <n v="594"/>
    <x v="29"/>
    <s v="Male"/>
    <x v="7"/>
    <x v="2"/>
    <n v="35"/>
    <s v="Alaska"/>
    <x v="1"/>
    <x v="14"/>
    <x v="0"/>
    <n v="4.4000000000000004"/>
    <x v="0"/>
    <s v="Store Pickup"/>
    <s v="Yes"/>
    <s v="Yes"/>
    <n v="9"/>
    <s v="PayPal"/>
    <x v="6"/>
  </r>
  <r>
    <n v="595"/>
    <x v="25"/>
    <s v="Male"/>
    <x v="15"/>
    <x v="0"/>
    <n v="83"/>
    <s v="Oklahoma"/>
    <x v="1"/>
    <x v="18"/>
    <x v="0"/>
    <n v="2.5"/>
    <x v="0"/>
    <s v="Next Day Air"/>
    <s v="Yes"/>
    <s v="Yes"/>
    <n v="6"/>
    <s v="Debit Card"/>
    <x v="5"/>
  </r>
  <r>
    <n v="596"/>
    <x v="11"/>
    <s v="Male"/>
    <x v="9"/>
    <x v="1"/>
    <n v="77"/>
    <s v="Delaware"/>
    <x v="2"/>
    <x v="5"/>
    <x v="2"/>
    <n v="3.6"/>
    <x v="0"/>
    <s v="Next Day Air"/>
    <s v="Yes"/>
    <s v="Yes"/>
    <n v="47"/>
    <s v="PayPal"/>
    <x v="3"/>
  </r>
  <r>
    <n v="597"/>
    <x v="51"/>
    <s v="Male"/>
    <x v="9"/>
    <x v="1"/>
    <n v="37"/>
    <s v="Montana"/>
    <x v="3"/>
    <x v="3"/>
    <x v="2"/>
    <n v="4.5"/>
    <x v="0"/>
    <s v="Store Pickup"/>
    <s v="Yes"/>
    <s v="Yes"/>
    <n v="36"/>
    <s v="Venmo"/>
    <x v="2"/>
  </r>
  <r>
    <n v="598"/>
    <x v="27"/>
    <s v="Male"/>
    <x v="16"/>
    <x v="3"/>
    <n v="69"/>
    <s v="Alaska"/>
    <x v="0"/>
    <x v="9"/>
    <x v="2"/>
    <n v="3.4"/>
    <x v="0"/>
    <s v="Standard"/>
    <s v="Yes"/>
    <s v="Yes"/>
    <n v="19"/>
    <s v="Bank Transfer"/>
    <x v="0"/>
  </r>
  <r>
    <n v="599"/>
    <x v="3"/>
    <s v="Male"/>
    <x v="10"/>
    <x v="0"/>
    <n v="66"/>
    <s v="California"/>
    <x v="0"/>
    <x v="14"/>
    <x v="0"/>
    <n v="3.2"/>
    <x v="0"/>
    <s v="2-Day Shipping"/>
    <s v="Yes"/>
    <s v="Yes"/>
    <n v="30"/>
    <s v="Cash"/>
    <x v="6"/>
  </r>
  <r>
    <n v="600"/>
    <x v="47"/>
    <s v="Male"/>
    <x v="23"/>
    <x v="1"/>
    <n v="26"/>
    <s v="Massachusetts"/>
    <x v="0"/>
    <x v="11"/>
    <x v="1"/>
    <n v="4.2"/>
    <x v="0"/>
    <s v="Standard"/>
    <s v="Yes"/>
    <s v="Yes"/>
    <n v="27"/>
    <s v="Debit Card"/>
    <x v="6"/>
  </r>
  <r>
    <n v="601"/>
    <x v="40"/>
    <s v="Male"/>
    <x v="19"/>
    <x v="3"/>
    <n v="63"/>
    <s v="South Carolina"/>
    <x v="2"/>
    <x v="4"/>
    <x v="1"/>
    <n v="5"/>
    <x v="0"/>
    <s v="2-Day Shipping"/>
    <s v="Yes"/>
    <s v="Yes"/>
    <n v="25"/>
    <s v="Venmo"/>
    <x v="5"/>
  </r>
  <r>
    <n v="602"/>
    <x v="45"/>
    <s v="Male"/>
    <x v="21"/>
    <x v="3"/>
    <n v="38"/>
    <s v="West Virginia"/>
    <x v="2"/>
    <x v="1"/>
    <x v="2"/>
    <n v="4.7"/>
    <x v="0"/>
    <s v="Store Pickup"/>
    <s v="Yes"/>
    <s v="Yes"/>
    <n v="5"/>
    <s v="Cash"/>
    <x v="0"/>
  </r>
  <r>
    <n v="603"/>
    <x v="43"/>
    <s v="Male"/>
    <x v="9"/>
    <x v="1"/>
    <n v="58"/>
    <s v="Oregon"/>
    <x v="0"/>
    <x v="12"/>
    <x v="2"/>
    <n v="4.2"/>
    <x v="0"/>
    <s v="Next Day Air"/>
    <s v="Yes"/>
    <s v="Yes"/>
    <n v="10"/>
    <s v="Cash"/>
    <x v="6"/>
  </r>
  <r>
    <n v="604"/>
    <x v="18"/>
    <s v="Male"/>
    <x v="8"/>
    <x v="3"/>
    <n v="46"/>
    <s v="Massachusetts"/>
    <x v="0"/>
    <x v="14"/>
    <x v="0"/>
    <n v="3.4"/>
    <x v="0"/>
    <s v="2-Day Shipping"/>
    <s v="Yes"/>
    <s v="Yes"/>
    <n v="26"/>
    <s v="PayPal"/>
    <x v="6"/>
  </r>
  <r>
    <n v="605"/>
    <x v="42"/>
    <s v="Male"/>
    <x v="12"/>
    <x v="3"/>
    <n v="92"/>
    <s v="West Virginia"/>
    <x v="1"/>
    <x v="6"/>
    <x v="3"/>
    <n v="4.4000000000000004"/>
    <x v="0"/>
    <s v="Store Pickup"/>
    <s v="Yes"/>
    <s v="Yes"/>
    <n v="11"/>
    <s v="Credit Card"/>
    <x v="6"/>
  </r>
  <r>
    <n v="606"/>
    <x v="37"/>
    <s v="Male"/>
    <x v="19"/>
    <x v="3"/>
    <n v="32"/>
    <s v="California"/>
    <x v="3"/>
    <x v="4"/>
    <x v="0"/>
    <n v="4.2"/>
    <x v="0"/>
    <s v="Standard"/>
    <s v="Yes"/>
    <s v="Yes"/>
    <n v="17"/>
    <s v="Bank Transfer"/>
    <x v="1"/>
  </r>
  <r>
    <n v="607"/>
    <x v="7"/>
    <s v="Male"/>
    <x v="18"/>
    <x v="3"/>
    <n v="90"/>
    <s v="Colorado"/>
    <x v="2"/>
    <x v="24"/>
    <x v="1"/>
    <n v="4.5"/>
    <x v="0"/>
    <s v="Standard"/>
    <s v="Yes"/>
    <s v="Yes"/>
    <n v="44"/>
    <s v="PayPal"/>
    <x v="5"/>
  </r>
  <r>
    <n v="608"/>
    <x v="36"/>
    <s v="Male"/>
    <x v="15"/>
    <x v="0"/>
    <n v="23"/>
    <s v="Indiana"/>
    <x v="0"/>
    <x v="7"/>
    <x v="3"/>
    <n v="2.8"/>
    <x v="0"/>
    <s v="Next Day Air"/>
    <s v="Yes"/>
    <s v="Yes"/>
    <n v="44"/>
    <s v="Cash"/>
    <x v="5"/>
  </r>
  <r>
    <n v="609"/>
    <x v="38"/>
    <s v="Male"/>
    <x v="21"/>
    <x v="3"/>
    <n v="25"/>
    <s v="Delaware"/>
    <x v="1"/>
    <x v="9"/>
    <x v="3"/>
    <n v="3.3"/>
    <x v="0"/>
    <s v="Next Day Air"/>
    <s v="Yes"/>
    <s v="Yes"/>
    <n v="21"/>
    <s v="Venmo"/>
    <x v="6"/>
  </r>
  <r>
    <n v="610"/>
    <x v="47"/>
    <s v="Male"/>
    <x v="1"/>
    <x v="0"/>
    <n v="54"/>
    <s v="Ohio"/>
    <x v="0"/>
    <x v="7"/>
    <x v="3"/>
    <n v="4.5999999999999996"/>
    <x v="0"/>
    <s v="Next Day Air"/>
    <s v="Yes"/>
    <s v="Yes"/>
    <n v="49"/>
    <s v="Credit Card"/>
    <x v="0"/>
  </r>
  <r>
    <n v="611"/>
    <x v="10"/>
    <s v="Male"/>
    <x v="6"/>
    <x v="0"/>
    <n v="72"/>
    <s v="Oklahoma"/>
    <x v="2"/>
    <x v="4"/>
    <x v="2"/>
    <n v="2.5"/>
    <x v="0"/>
    <s v="Free Shipping"/>
    <s v="Yes"/>
    <s v="Yes"/>
    <n v="27"/>
    <s v="Bank Transfer"/>
    <x v="6"/>
  </r>
  <r>
    <n v="612"/>
    <x v="49"/>
    <s v="Male"/>
    <x v="18"/>
    <x v="3"/>
    <n v="33"/>
    <s v="California"/>
    <x v="2"/>
    <x v="13"/>
    <x v="0"/>
    <n v="4.7"/>
    <x v="0"/>
    <s v="Store Pickup"/>
    <s v="Yes"/>
    <s v="Yes"/>
    <n v="19"/>
    <s v="Cash"/>
    <x v="5"/>
  </r>
  <r>
    <n v="613"/>
    <x v="29"/>
    <s v="Male"/>
    <x v="19"/>
    <x v="3"/>
    <n v="43"/>
    <s v="New Hampshire"/>
    <x v="0"/>
    <x v="12"/>
    <x v="3"/>
    <n v="4.5999999999999996"/>
    <x v="0"/>
    <s v="Express"/>
    <s v="Yes"/>
    <s v="Yes"/>
    <n v="33"/>
    <s v="Credit Card"/>
    <x v="3"/>
  </r>
  <r>
    <n v="614"/>
    <x v="12"/>
    <s v="Male"/>
    <x v="7"/>
    <x v="2"/>
    <n v="51"/>
    <s v="Pennsylvania"/>
    <x v="0"/>
    <x v="12"/>
    <x v="3"/>
    <n v="2.6"/>
    <x v="0"/>
    <s v="Standard"/>
    <s v="Yes"/>
    <s v="Yes"/>
    <n v="46"/>
    <s v="Cash"/>
    <x v="4"/>
  </r>
  <r>
    <n v="615"/>
    <x v="33"/>
    <s v="Male"/>
    <x v="16"/>
    <x v="3"/>
    <n v="85"/>
    <s v="Idaho"/>
    <x v="2"/>
    <x v="12"/>
    <x v="0"/>
    <n v="4"/>
    <x v="0"/>
    <s v="Standard"/>
    <s v="Yes"/>
    <s v="Yes"/>
    <n v="21"/>
    <s v="Credit Card"/>
    <x v="4"/>
  </r>
  <r>
    <n v="616"/>
    <x v="29"/>
    <s v="Male"/>
    <x v="3"/>
    <x v="1"/>
    <n v="100"/>
    <s v="Maryland"/>
    <x v="0"/>
    <x v="8"/>
    <x v="2"/>
    <n v="2.6"/>
    <x v="0"/>
    <s v="Next Day Air"/>
    <s v="Yes"/>
    <s v="Yes"/>
    <n v="23"/>
    <s v="Venmo"/>
    <x v="2"/>
  </r>
  <r>
    <n v="617"/>
    <x v="26"/>
    <s v="Male"/>
    <x v="24"/>
    <x v="3"/>
    <n v="72"/>
    <s v="Pennsylvania"/>
    <x v="0"/>
    <x v="11"/>
    <x v="1"/>
    <n v="4.5999999999999996"/>
    <x v="0"/>
    <s v="Free Shipping"/>
    <s v="Yes"/>
    <s v="Yes"/>
    <n v="38"/>
    <s v="Credit Card"/>
    <x v="6"/>
  </r>
  <r>
    <n v="618"/>
    <x v="2"/>
    <s v="Male"/>
    <x v="21"/>
    <x v="3"/>
    <n v="57"/>
    <s v="Colorado"/>
    <x v="2"/>
    <x v="1"/>
    <x v="3"/>
    <n v="2.6"/>
    <x v="0"/>
    <s v="Standard"/>
    <s v="Yes"/>
    <s v="Yes"/>
    <n v="2"/>
    <s v="Bank Transfer"/>
    <x v="3"/>
  </r>
  <r>
    <n v="619"/>
    <x v="12"/>
    <s v="Male"/>
    <x v="14"/>
    <x v="2"/>
    <n v="94"/>
    <s v="Indiana"/>
    <x v="0"/>
    <x v="17"/>
    <x v="1"/>
    <n v="4"/>
    <x v="0"/>
    <s v="Express"/>
    <s v="Yes"/>
    <s v="Yes"/>
    <n v="21"/>
    <s v="Debit Card"/>
    <x v="4"/>
  </r>
  <r>
    <n v="620"/>
    <x v="1"/>
    <s v="Male"/>
    <x v="21"/>
    <x v="3"/>
    <n v="34"/>
    <s v="Nebraska"/>
    <x v="2"/>
    <x v="4"/>
    <x v="2"/>
    <n v="4.5999999999999996"/>
    <x v="0"/>
    <s v="Store Pickup"/>
    <s v="Yes"/>
    <s v="Yes"/>
    <n v="1"/>
    <s v="Debit Card"/>
    <x v="6"/>
  </r>
  <r>
    <n v="621"/>
    <x v="23"/>
    <s v="Male"/>
    <x v="21"/>
    <x v="3"/>
    <n v="89"/>
    <s v="Rhode Island"/>
    <x v="2"/>
    <x v="13"/>
    <x v="3"/>
    <n v="3.7"/>
    <x v="0"/>
    <s v="2-Day Shipping"/>
    <s v="Yes"/>
    <s v="Yes"/>
    <n v="10"/>
    <s v="Venmo"/>
    <x v="6"/>
  </r>
  <r>
    <n v="622"/>
    <x v="47"/>
    <s v="Male"/>
    <x v="12"/>
    <x v="3"/>
    <n v="27"/>
    <s v="Kansas"/>
    <x v="1"/>
    <x v="16"/>
    <x v="3"/>
    <n v="4.4000000000000004"/>
    <x v="0"/>
    <s v="Store Pickup"/>
    <s v="Yes"/>
    <s v="Yes"/>
    <n v="45"/>
    <s v="Credit Card"/>
    <x v="1"/>
  </r>
  <r>
    <n v="623"/>
    <x v="28"/>
    <s v="Male"/>
    <x v="20"/>
    <x v="0"/>
    <n v="63"/>
    <s v="Georgia"/>
    <x v="1"/>
    <x v="15"/>
    <x v="1"/>
    <n v="4"/>
    <x v="0"/>
    <s v="Next Day Air"/>
    <s v="Yes"/>
    <s v="Yes"/>
    <n v="44"/>
    <s v="Bank Transfer"/>
    <x v="0"/>
  </r>
  <r>
    <n v="624"/>
    <x v="1"/>
    <s v="Male"/>
    <x v="9"/>
    <x v="1"/>
    <n v="70"/>
    <s v="Nevada"/>
    <x v="2"/>
    <x v="3"/>
    <x v="3"/>
    <n v="4.7"/>
    <x v="0"/>
    <s v="Standard"/>
    <s v="Yes"/>
    <s v="Yes"/>
    <n v="48"/>
    <s v="PayPal"/>
    <x v="4"/>
  </r>
  <r>
    <n v="625"/>
    <x v="0"/>
    <s v="Male"/>
    <x v="13"/>
    <x v="0"/>
    <n v="87"/>
    <s v="South Carolina"/>
    <x v="3"/>
    <x v="6"/>
    <x v="3"/>
    <n v="3.4"/>
    <x v="0"/>
    <s v="Express"/>
    <s v="Yes"/>
    <s v="Yes"/>
    <n v="21"/>
    <s v="PayPal"/>
    <x v="2"/>
  </r>
  <r>
    <n v="626"/>
    <x v="34"/>
    <s v="Male"/>
    <x v="16"/>
    <x v="3"/>
    <n v="79"/>
    <s v="Delaware"/>
    <x v="2"/>
    <x v="16"/>
    <x v="3"/>
    <n v="4"/>
    <x v="0"/>
    <s v="Next Day Air"/>
    <s v="Yes"/>
    <s v="Yes"/>
    <n v="1"/>
    <s v="Venmo"/>
    <x v="1"/>
  </r>
  <r>
    <n v="627"/>
    <x v="18"/>
    <s v="Male"/>
    <x v="12"/>
    <x v="3"/>
    <n v="79"/>
    <s v="New Hampshire"/>
    <x v="2"/>
    <x v="21"/>
    <x v="1"/>
    <n v="3.9"/>
    <x v="0"/>
    <s v="Standard"/>
    <s v="Yes"/>
    <s v="Yes"/>
    <n v="10"/>
    <s v="Venmo"/>
    <x v="2"/>
  </r>
  <r>
    <n v="628"/>
    <x v="32"/>
    <s v="Male"/>
    <x v="3"/>
    <x v="1"/>
    <n v="44"/>
    <s v="Oregon"/>
    <x v="0"/>
    <x v="13"/>
    <x v="0"/>
    <n v="4.0999999999999996"/>
    <x v="0"/>
    <s v="Express"/>
    <s v="Yes"/>
    <s v="Yes"/>
    <n v="24"/>
    <s v="PayPal"/>
    <x v="5"/>
  </r>
  <r>
    <n v="629"/>
    <x v="28"/>
    <s v="Male"/>
    <x v="1"/>
    <x v="0"/>
    <n v="85"/>
    <s v="Massachusetts"/>
    <x v="2"/>
    <x v="3"/>
    <x v="3"/>
    <n v="3.7"/>
    <x v="0"/>
    <s v="2-Day Shipping"/>
    <s v="Yes"/>
    <s v="Yes"/>
    <n v="29"/>
    <s v="Credit Card"/>
    <x v="5"/>
  </r>
  <r>
    <n v="630"/>
    <x v="8"/>
    <s v="Male"/>
    <x v="9"/>
    <x v="1"/>
    <n v="90"/>
    <s v="Vermont"/>
    <x v="0"/>
    <x v="19"/>
    <x v="1"/>
    <n v="4.7"/>
    <x v="0"/>
    <s v="Standard"/>
    <s v="Yes"/>
    <s v="Yes"/>
    <n v="11"/>
    <s v="Debit Card"/>
    <x v="2"/>
  </r>
  <r>
    <n v="631"/>
    <x v="38"/>
    <s v="Male"/>
    <x v="16"/>
    <x v="3"/>
    <n v="94"/>
    <s v="Mississippi"/>
    <x v="1"/>
    <x v="5"/>
    <x v="3"/>
    <n v="4.3"/>
    <x v="0"/>
    <s v="2-Day Shipping"/>
    <s v="Yes"/>
    <s v="Yes"/>
    <n v="33"/>
    <s v="Debit Card"/>
    <x v="2"/>
  </r>
  <r>
    <n v="632"/>
    <x v="0"/>
    <s v="Male"/>
    <x v="23"/>
    <x v="1"/>
    <n v="68"/>
    <s v="Washington"/>
    <x v="1"/>
    <x v="10"/>
    <x v="2"/>
    <n v="4.0999999999999996"/>
    <x v="0"/>
    <s v="Store Pickup"/>
    <s v="Yes"/>
    <s v="Yes"/>
    <n v="27"/>
    <s v="Cash"/>
    <x v="0"/>
  </r>
  <r>
    <n v="633"/>
    <x v="25"/>
    <s v="Male"/>
    <x v="21"/>
    <x v="3"/>
    <n v="51"/>
    <s v="Wyoming"/>
    <x v="2"/>
    <x v="16"/>
    <x v="0"/>
    <n v="3.9"/>
    <x v="0"/>
    <s v="Next Day Air"/>
    <s v="Yes"/>
    <s v="Yes"/>
    <n v="19"/>
    <s v="Venmo"/>
    <x v="0"/>
  </r>
  <r>
    <n v="634"/>
    <x v="17"/>
    <s v="Male"/>
    <x v="3"/>
    <x v="1"/>
    <n v="33"/>
    <s v="Minnesota"/>
    <x v="2"/>
    <x v="20"/>
    <x v="1"/>
    <n v="2.9"/>
    <x v="0"/>
    <s v="Express"/>
    <s v="Yes"/>
    <s v="Yes"/>
    <n v="50"/>
    <s v="Debit Card"/>
    <x v="3"/>
  </r>
  <r>
    <n v="635"/>
    <x v="24"/>
    <s v="Male"/>
    <x v="4"/>
    <x v="1"/>
    <n v="60"/>
    <s v="Ohio"/>
    <x v="2"/>
    <x v="11"/>
    <x v="2"/>
    <n v="3.9"/>
    <x v="0"/>
    <s v="Standard"/>
    <s v="Yes"/>
    <s v="Yes"/>
    <n v="46"/>
    <s v="PayPal"/>
    <x v="1"/>
  </r>
  <r>
    <n v="636"/>
    <x v="7"/>
    <s v="Male"/>
    <x v="15"/>
    <x v="0"/>
    <n v="59"/>
    <s v="South Carolina"/>
    <x v="2"/>
    <x v="18"/>
    <x v="3"/>
    <n v="4.3"/>
    <x v="0"/>
    <s v="2-Day Shipping"/>
    <s v="Yes"/>
    <s v="Yes"/>
    <n v="28"/>
    <s v="Cash"/>
    <x v="3"/>
  </r>
  <r>
    <n v="637"/>
    <x v="38"/>
    <s v="Male"/>
    <x v="8"/>
    <x v="3"/>
    <n v="30"/>
    <s v="Wisconsin"/>
    <x v="2"/>
    <x v="21"/>
    <x v="2"/>
    <n v="2.8"/>
    <x v="0"/>
    <s v="Store Pickup"/>
    <s v="Yes"/>
    <s v="Yes"/>
    <n v="14"/>
    <s v="Bank Transfer"/>
    <x v="6"/>
  </r>
  <r>
    <n v="638"/>
    <x v="3"/>
    <s v="Male"/>
    <x v="1"/>
    <x v="0"/>
    <n v="20"/>
    <s v="Tennessee"/>
    <x v="2"/>
    <x v="17"/>
    <x v="0"/>
    <n v="3.4"/>
    <x v="0"/>
    <s v="2-Day Shipping"/>
    <s v="Yes"/>
    <s v="Yes"/>
    <n v="46"/>
    <s v="Cash"/>
    <x v="0"/>
  </r>
  <r>
    <n v="639"/>
    <x v="10"/>
    <s v="Male"/>
    <x v="3"/>
    <x v="1"/>
    <n v="20"/>
    <s v="Maryland"/>
    <x v="1"/>
    <x v="24"/>
    <x v="2"/>
    <n v="2.7"/>
    <x v="0"/>
    <s v="Express"/>
    <s v="Yes"/>
    <s v="Yes"/>
    <n v="41"/>
    <s v="PayPal"/>
    <x v="5"/>
  </r>
  <r>
    <n v="640"/>
    <x v="22"/>
    <s v="Male"/>
    <x v="10"/>
    <x v="0"/>
    <n v="24"/>
    <s v="Mississippi"/>
    <x v="0"/>
    <x v="8"/>
    <x v="1"/>
    <n v="4"/>
    <x v="0"/>
    <s v="2-Day Shipping"/>
    <s v="Yes"/>
    <s v="Yes"/>
    <n v="50"/>
    <s v="Credit Card"/>
    <x v="2"/>
  </r>
  <r>
    <n v="641"/>
    <x v="10"/>
    <s v="Male"/>
    <x v="11"/>
    <x v="0"/>
    <n v="88"/>
    <s v="Minnesota"/>
    <x v="2"/>
    <x v="0"/>
    <x v="2"/>
    <n v="4.4000000000000004"/>
    <x v="0"/>
    <s v="Store Pickup"/>
    <s v="Yes"/>
    <s v="Yes"/>
    <n v="28"/>
    <s v="Debit Card"/>
    <x v="0"/>
  </r>
  <r>
    <n v="642"/>
    <x v="36"/>
    <s v="Male"/>
    <x v="0"/>
    <x v="0"/>
    <n v="78"/>
    <s v="Alaska"/>
    <x v="2"/>
    <x v="16"/>
    <x v="0"/>
    <n v="3.9"/>
    <x v="0"/>
    <s v="2-Day Shipping"/>
    <s v="Yes"/>
    <s v="Yes"/>
    <n v="23"/>
    <s v="Credit Card"/>
    <x v="6"/>
  </r>
  <r>
    <n v="643"/>
    <x v="14"/>
    <s v="Male"/>
    <x v="11"/>
    <x v="0"/>
    <n v="25"/>
    <s v="Arkansas"/>
    <x v="0"/>
    <x v="16"/>
    <x v="1"/>
    <n v="2.8"/>
    <x v="0"/>
    <s v="2-Day Shipping"/>
    <s v="Yes"/>
    <s v="Yes"/>
    <n v="14"/>
    <s v="Debit Card"/>
    <x v="4"/>
  </r>
  <r>
    <n v="644"/>
    <x v="20"/>
    <s v="Male"/>
    <x v="1"/>
    <x v="0"/>
    <n v="57"/>
    <s v="Oregon"/>
    <x v="3"/>
    <x v="14"/>
    <x v="0"/>
    <n v="3.2"/>
    <x v="0"/>
    <s v="Next Day Air"/>
    <s v="Yes"/>
    <s v="Yes"/>
    <n v="10"/>
    <s v="Bank Transfer"/>
    <x v="6"/>
  </r>
  <r>
    <n v="645"/>
    <x v="33"/>
    <s v="Male"/>
    <x v="21"/>
    <x v="3"/>
    <n v="93"/>
    <s v="Louisiana"/>
    <x v="1"/>
    <x v="24"/>
    <x v="2"/>
    <n v="4.3"/>
    <x v="0"/>
    <s v="Next Day Air"/>
    <s v="Yes"/>
    <s v="Yes"/>
    <n v="37"/>
    <s v="Cash"/>
    <x v="1"/>
  </r>
  <r>
    <n v="646"/>
    <x v="46"/>
    <s v="Male"/>
    <x v="15"/>
    <x v="0"/>
    <n v="42"/>
    <s v="Oklahoma"/>
    <x v="1"/>
    <x v="7"/>
    <x v="2"/>
    <n v="4.2"/>
    <x v="0"/>
    <s v="Express"/>
    <s v="Yes"/>
    <s v="Yes"/>
    <n v="15"/>
    <s v="Venmo"/>
    <x v="4"/>
  </r>
  <r>
    <n v="647"/>
    <x v="47"/>
    <s v="Male"/>
    <x v="23"/>
    <x v="1"/>
    <n v="54"/>
    <s v="Indiana"/>
    <x v="3"/>
    <x v="6"/>
    <x v="1"/>
    <n v="4.9000000000000004"/>
    <x v="0"/>
    <s v="Standard"/>
    <s v="Yes"/>
    <s v="Yes"/>
    <n v="19"/>
    <s v="Venmo"/>
    <x v="4"/>
  </r>
  <r>
    <n v="648"/>
    <x v="22"/>
    <s v="Male"/>
    <x v="0"/>
    <x v="0"/>
    <n v="70"/>
    <s v="Mississippi"/>
    <x v="3"/>
    <x v="4"/>
    <x v="2"/>
    <n v="3.7"/>
    <x v="0"/>
    <s v="Express"/>
    <s v="Yes"/>
    <s v="Yes"/>
    <n v="23"/>
    <s v="Credit Card"/>
    <x v="0"/>
  </r>
  <r>
    <n v="649"/>
    <x v="40"/>
    <s v="Male"/>
    <x v="15"/>
    <x v="0"/>
    <n v="31"/>
    <s v="Michigan"/>
    <x v="2"/>
    <x v="18"/>
    <x v="0"/>
    <n v="4.0999999999999996"/>
    <x v="0"/>
    <s v="Store Pickup"/>
    <s v="Yes"/>
    <s v="Yes"/>
    <n v="35"/>
    <s v="Credit Card"/>
    <x v="1"/>
  </r>
  <r>
    <n v="650"/>
    <x v="10"/>
    <s v="Male"/>
    <x v="13"/>
    <x v="0"/>
    <n v="93"/>
    <s v="Delaware"/>
    <x v="0"/>
    <x v="20"/>
    <x v="1"/>
    <n v="4.2"/>
    <x v="0"/>
    <s v="Store Pickup"/>
    <s v="Yes"/>
    <s v="Yes"/>
    <n v="33"/>
    <s v="PayPal"/>
    <x v="6"/>
  </r>
  <r>
    <n v="651"/>
    <x v="50"/>
    <s v="Male"/>
    <x v="24"/>
    <x v="3"/>
    <n v="40"/>
    <s v="Florida"/>
    <x v="2"/>
    <x v="23"/>
    <x v="1"/>
    <n v="3.9"/>
    <x v="0"/>
    <s v="Next Day Air"/>
    <s v="Yes"/>
    <s v="Yes"/>
    <n v="12"/>
    <s v="Bank Transfer"/>
    <x v="2"/>
  </r>
  <r>
    <n v="652"/>
    <x v="45"/>
    <s v="Male"/>
    <x v="19"/>
    <x v="3"/>
    <n v="32"/>
    <s v="Arkansas"/>
    <x v="0"/>
    <x v="22"/>
    <x v="2"/>
    <n v="2.9"/>
    <x v="0"/>
    <s v="Next Day Air"/>
    <s v="Yes"/>
    <s v="Yes"/>
    <n v="41"/>
    <s v="Venmo"/>
    <x v="0"/>
  </r>
  <r>
    <n v="653"/>
    <x v="14"/>
    <s v="Male"/>
    <x v="12"/>
    <x v="3"/>
    <n v="27"/>
    <s v="Minnesota"/>
    <x v="2"/>
    <x v="19"/>
    <x v="0"/>
    <n v="3.1"/>
    <x v="0"/>
    <s v="Free Shipping"/>
    <s v="Yes"/>
    <s v="Yes"/>
    <n v="27"/>
    <s v="Venmo"/>
    <x v="1"/>
  </r>
  <r>
    <n v="654"/>
    <x v="30"/>
    <s v="Male"/>
    <x v="18"/>
    <x v="3"/>
    <n v="68"/>
    <s v="North Dakota"/>
    <x v="2"/>
    <x v="8"/>
    <x v="0"/>
    <n v="3.6"/>
    <x v="0"/>
    <s v="2-Day Shipping"/>
    <s v="Yes"/>
    <s v="Yes"/>
    <n v="45"/>
    <s v="Cash"/>
    <x v="0"/>
  </r>
  <r>
    <n v="655"/>
    <x v="41"/>
    <s v="Male"/>
    <x v="8"/>
    <x v="3"/>
    <n v="59"/>
    <s v="California"/>
    <x v="0"/>
    <x v="0"/>
    <x v="2"/>
    <n v="4.4000000000000004"/>
    <x v="0"/>
    <s v="2-Day Shipping"/>
    <s v="Yes"/>
    <s v="Yes"/>
    <n v="23"/>
    <s v="Venmo"/>
    <x v="2"/>
  </r>
  <r>
    <n v="656"/>
    <x v="30"/>
    <s v="Male"/>
    <x v="8"/>
    <x v="3"/>
    <n v="36"/>
    <s v="Mississippi"/>
    <x v="1"/>
    <x v="7"/>
    <x v="3"/>
    <n v="3.1"/>
    <x v="0"/>
    <s v="Free Shipping"/>
    <s v="Yes"/>
    <s v="Yes"/>
    <n v="19"/>
    <s v="Venmo"/>
    <x v="5"/>
  </r>
  <r>
    <n v="657"/>
    <x v="32"/>
    <s v="Male"/>
    <x v="2"/>
    <x v="0"/>
    <n v="23"/>
    <s v="Pennsylvania"/>
    <x v="2"/>
    <x v="19"/>
    <x v="2"/>
    <n v="3.9"/>
    <x v="0"/>
    <s v="Standard"/>
    <s v="Yes"/>
    <s v="Yes"/>
    <n v="6"/>
    <s v="PayPal"/>
    <x v="3"/>
  </r>
  <r>
    <n v="658"/>
    <x v="39"/>
    <s v="Male"/>
    <x v="14"/>
    <x v="2"/>
    <n v="80"/>
    <s v="Arizona"/>
    <x v="2"/>
    <x v="3"/>
    <x v="0"/>
    <n v="4.3"/>
    <x v="0"/>
    <s v="Free Shipping"/>
    <s v="Yes"/>
    <s v="Yes"/>
    <n v="6"/>
    <s v="PayPal"/>
    <x v="3"/>
  </r>
  <r>
    <n v="659"/>
    <x v="46"/>
    <s v="Male"/>
    <x v="21"/>
    <x v="3"/>
    <n v="37"/>
    <s v="Louisiana"/>
    <x v="1"/>
    <x v="3"/>
    <x v="3"/>
    <n v="4.9000000000000004"/>
    <x v="0"/>
    <s v="Store Pickup"/>
    <s v="Yes"/>
    <s v="Yes"/>
    <n v="20"/>
    <s v="Venmo"/>
    <x v="1"/>
  </r>
  <r>
    <n v="660"/>
    <x v="46"/>
    <s v="Male"/>
    <x v="6"/>
    <x v="0"/>
    <n v="52"/>
    <s v="Virginia"/>
    <x v="1"/>
    <x v="9"/>
    <x v="1"/>
    <n v="3.6"/>
    <x v="0"/>
    <s v="2-Day Shipping"/>
    <s v="Yes"/>
    <s v="Yes"/>
    <n v="8"/>
    <s v="Cash"/>
    <x v="1"/>
  </r>
  <r>
    <n v="661"/>
    <x v="2"/>
    <s v="Male"/>
    <x v="7"/>
    <x v="2"/>
    <n v="79"/>
    <s v="Montana"/>
    <x v="2"/>
    <x v="8"/>
    <x v="3"/>
    <n v="5"/>
    <x v="0"/>
    <s v="2-Day Shipping"/>
    <s v="Yes"/>
    <s v="Yes"/>
    <n v="39"/>
    <s v="Credit Card"/>
    <x v="3"/>
  </r>
  <r>
    <n v="662"/>
    <x v="9"/>
    <s v="Male"/>
    <x v="5"/>
    <x v="0"/>
    <n v="68"/>
    <s v="Iowa"/>
    <x v="3"/>
    <x v="14"/>
    <x v="3"/>
    <n v="4.0999999999999996"/>
    <x v="0"/>
    <s v="Store Pickup"/>
    <s v="Yes"/>
    <s v="Yes"/>
    <n v="39"/>
    <s v="Credit Card"/>
    <x v="3"/>
  </r>
  <r>
    <n v="663"/>
    <x v="41"/>
    <s v="Male"/>
    <x v="24"/>
    <x v="3"/>
    <n v="98"/>
    <s v="Illinois"/>
    <x v="0"/>
    <x v="23"/>
    <x v="3"/>
    <n v="2.8"/>
    <x v="0"/>
    <s v="Express"/>
    <s v="Yes"/>
    <s v="Yes"/>
    <n v="39"/>
    <s v="Venmo"/>
    <x v="4"/>
  </r>
  <r>
    <n v="664"/>
    <x v="35"/>
    <s v="Male"/>
    <x v="10"/>
    <x v="0"/>
    <n v="83"/>
    <s v="Alaska"/>
    <x v="2"/>
    <x v="4"/>
    <x v="3"/>
    <n v="4.7"/>
    <x v="0"/>
    <s v="Express"/>
    <s v="Yes"/>
    <s v="Yes"/>
    <n v="23"/>
    <s v="Credit Card"/>
    <x v="5"/>
  </r>
  <r>
    <n v="665"/>
    <x v="6"/>
    <s v="Male"/>
    <x v="13"/>
    <x v="0"/>
    <n v="83"/>
    <s v="Colorado"/>
    <x v="2"/>
    <x v="21"/>
    <x v="0"/>
    <n v="4.4000000000000004"/>
    <x v="0"/>
    <s v="Express"/>
    <s v="Yes"/>
    <s v="Yes"/>
    <n v="41"/>
    <s v="PayPal"/>
    <x v="4"/>
  </r>
  <r>
    <n v="666"/>
    <x v="38"/>
    <s v="Male"/>
    <x v="13"/>
    <x v="0"/>
    <n v="55"/>
    <s v="New Mexico"/>
    <x v="2"/>
    <x v="15"/>
    <x v="1"/>
    <n v="4.9000000000000004"/>
    <x v="0"/>
    <s v="2-Day Shipping"/>
    <s v="Yes"/>
    <s v="Yes"/>
    <n v="50"/>
    <s v="Credit Card"/>
    <x v="2"/>
  </r>
  <r>
    <n v="667"/>
    <x v="25"/>
    <s v="Male"/>
    <x v="15"/>
    <x v="0"/>
    <n v="26"/>
    <s v="Colorado"/>
    <x v="0"/>
    <x v="2"/>
    <x v="0"/>
    <n v="3.1"/>
    <x v="0"/>
    <s v="Free Shipping"/>
    <s v="Yes"/>
    <s v="Yes"/>
    <n v="30"/>
    <s v="Debit Card"/>
    <x v="3"/>
  </r>
  <r>
    <n v="668"/>
    <x v="50"/>
    <s v="Male"/>
    <x v="12"/>
    <x v="3"/>
    <n v="76"/>
    <s v="Arizona"/>
    <x v="1"/>
    <x v="24"/>
    <x v="0"/>
    <n v="2.6"/>
    <x v="0"/>
    <s v="Standard"/>
    <s v="Yes"/>
    <s v="Yes"/>
    <n v="32"/>
    <s v="Bank Transfer"/>
    <x v="3"/>
  </r>
  <r>
    <n v="669"/>
    <x v="34"/>
    <s v="Male"/>
    <x v="17"/>
    <x v="0"/>
    <n v="85"/>
    <s v="Hawaii"/>
    <x v="1"/>
    <x v="2"/>
    <x v="3"/>
    <n v="2.9"/>
    <x v="0"/>
    <s v="Express"/>
    <s v="Yes"/>
    <s v="Yes"/>
    <n v="35"/>
    <s v="Bank Transfer"/>
    <x v="5"/>
  </r>
  <r>
    <n v="670"/>
    <x v="49"/>
    <s v="Male"/>
    <x v="14"/>
    <x v="2"/>
    <n v="89"/>
    <s v="Illinois"/>
    <x v="2"/>
    <x v="0"/>
    <x v="1"/>
    <n v="3.3"/>
    <x v="0"/>
    <s v="Free Shipping"/>
    <s v="Yes"/>
    <s v="Yes"/>
    <n v="45"/>
    <s v="Venmo"/>
    <x v="4"/>
  </r>
  <r>
    <n v="671"/>
    <x v="6"/>
    <s v="Male"/>
    <x v="1"/>
    <x v="0"/>
    <n v="41"/>
    <s v="Louisiana"/>
    <x v="3"/>
    <x v="7"/>
    <x v="1"/>
    <n v="4.8"/>
    <x v="0"/>
    <s v="Next Day Air"/>
    <s v="Yes"/>
    <s v="Yes"/>
    <n v="37"/>
    <s v="Cash"/>
    <x v="4"/>
  </r>
  <r>
    <n v="672"/>
    <x v="21"/>
    <s v="Male"/>
    <x v="14"/>
    <x v="2"/>
    <n v="30"/>
    <s v="Iowa"/>
    <x v="0"/>
    <x v="13"/>
    <x v="0"/>
    <n v="4.7"/>
    <x v="0"/>
    <s v="Express"/>
    <s v="Yes"/>
    <s v="Yes"/>
    <n v="45"/>
    <s v="Cash"/>
    <x v="1"/>
  </r>
  <r>
    <n v="673"/>
    <x v="35"/>
    <s v="Male"/>
    <x v="20"/>
    <x v="0"/>
    <n v="53"/>
    <s v="Washington"/>
    <x v="2"/>
    <x v="15"/>
    <x v="0"/>
    <n v="3.3"/>
    <x v="0"/>
    <s v="2-Day Shipping"/>
    <s v="Yes"/>
    <s v="Yes"/>
    <n v="29"/>
    <s v="Cash"/>
    <x v="3"/>
  </r>
  <r>
    <n v="674"/>
    <x v="25"/>
    <s v="Male"/>
    <x v="5"/>
    <x v="0"/>
    <n v="66"/>
    <s v="Oklahoma"/>
    <x v="2"/>
    <x v="21"/>
    <x v="1"/>
    <n v="4.2"/>
    <x v="0"/>
    <s v="Free Shipping"/>
    <s v="Yes"/>
    <s v="Yes"/>
    <n v="27"/>
    <s v="Venmo"/>
    <x v="4"/>
  </r>
  <r>
    <n v="675"/>
    <x v="39"/>
    <s v="Male"/>
    <x v="16"/>
    <x v="3"/>
    <n v="33"/>
    <s v="Washington"/>
    <x v="3"/>
    <x v="19"/>
    <x v="0"/>
    <n v="4.7"/>
    <x v="0"/>
    <s v="Store Pickup"/>
    <s v="Yes"/>
    <s v="Yes"/>
    <n v="36"/>
    <s v="Bank Transfer"/>
    <x v="2"/>
  </r>
  <r>
    <n v="676"/>
    <x v="14"/>
    <s v="Male"/>
    <x v="12"/>
    <x v="3"/>
    <n v="86"/>
    <s v="Arkansas"/>
    <x v="2"/>
    <x v="22"/>
    <x v="1"/>
    <n v="2.6"/>
    <x v="0"/>
    <s v="2-Day Shipping"/>
    <s v="Yes"/>
    <s v="Yes"/>
    <n v="9"/>
    <s v="Cash"/>
    <x v="2"/>
  </r>
  <r>
    <n v="677"/>
    <x v="48"/>
    <s v="Male"/>
    <x v="13"/>
    <x v="0"/>
    <n v="60"/>
    <s v="Connecticut"/>
    <x v="2"/>
    <x v="15"/>
    <x v="0"/>
    <n v="2.9"/>
    <x v="0"/>
    <s v="2-Day Shipping"/>
    <s v="Yes"/>
    <s v="Yes"/>
    <n v="38"/>
    <s v="Venmo"/>
    <x v="4"/>
  </r>
  <r>
    <n v="678"/>
    <x v="52"/>
    <s v="Male"/>
    <x v="20"/>
    <x v="0"/>
    <n v="62"/>
    <s v="Washington"/>
    <x v="1"/>
    <x v="2"/>
    <x v="2"/>
    <n v="2.7"/>
    <x v="0"/>
    <s v="Express"/>
    <s v="Yes"/>
    <s v="Yes"/>
    <n v="41"/>
    <s v="PayPal"/>
    <x v="2"/>
  </r>
  <r>
    <n v="679"/>
    <x v="7"/>
    <s v="Male"/>
    <x v="0"/>
    <x v="0"/>
    <n v="74"/>
    <s v="Maine"/>
    <x v="2"/>
    <x v="11"/>
    <x v="3"/>
    <n v="3.3"/>
    <x v="0"/>
    <s v="Store Pickup"/>
    <s v="Yes"/>
    <s v="Yes"/>
    <n v="25"/>
    <s v="Debit Card"/>
    <x v="6"/>
  </r>
  <r>
    <n v="680"/>
    <x v="19"/>
    <s v="Male"/>
    <x v="3"/>
    <x v="1"/>
    <n v="95"/>
    <s v="Michigan"/>
    <x v="2"/>
    <x v="2"/>
    <x v="3"/>
    <n v="3.4"/>
    <x v="0"/>
    <s v="Express"/>
    <s v="Yes"/>
    <s v="Yes"/>
    <n v="37"/>
    <s v="Venmo"/>
    <x v="0"/>
  </r>
  <r>
    <n v="681"/>
    <x v="44"/>
    <s v="Male"/>
    <x v="4"/>
    <x v="1"/>
    <n v="25"/>
    <s v="Tennessee"/>
    <x v="2"/>
    <x v="23"/>
    <x v="1"/>
    <n v="4.2"/>
    <x v="0"/>
    <s v="Express"/>
    <s v="Yes"/>
    <s v="Yes"/>
    <n v="3"/>
    <s v="PayPal"/>
    <x v="2"/>
  </r>
  <r>
    <n v="682"/>
    <x v="11"/>
    <s v="Male"/>
    <x v="5"/>
    <x v="0"/>
    <n v="59"/>
    <s v="Louisiana"/>
    <x v="3"/>
    <x v="7"/>
    <x v="0"/>
    <n v="3.8"/>
    <x v="0"/>
    <s v="2-Day Shipping"/>
    <s v="Yes"/>
    <s v="Yes"/>
    <n v="24"/>
    <s v="Credit Card"/>
    <x v="6"/>
  </r>
  <r>
    <n v="683"/>
    <x v="51"/>
    <s v="Male"/>
    <x v="14"/>
    <x v="2"/>
    <n v="29"/>
    <s v="Missouri"/>
    <x v="2"/>
    <x v="18"/>
    <x v="2"/>
    <n v="4"/>
    <x v="0"/>
    <s v="Standard"/>
    <s v="Yes"/>
    <s v="Yes"/>
    <n v="49"/>
    <s v="Credit Card"/>
    <x v="4"/>
  </r>
  <r>
    <n v="684"/>
    <x v="23"/>
    <s v="Male"/>
    <x v="3"/>
    <x v="1"/>
    <n v="36"/>
    <s v="Michigan"/>
    <x v="1"/>
    <x v="10"/>
    <x v="0"/>
    <n v="2.7"/>
    <x v="0"/>
    <s v="Free Shipping"/>
    <s v="Yes"/>
    <s v="Yes"/>
    <n v="3"/>
    <s v="Bank Transfer"/>
    <x v="5"/>
  </r>
  <r>
    <n v="685"/>
    <x v="6"/>
    <s v="Male"/>
    <x v="19"/>
    <x v="3"/>
    <n v="82"/>
    <s v="Alabama"/>
    <x v="2"/>
    <x v="22"/>
    <x v="2"/>
    <n v="4.7"/>
    <x v="0"/>
    <s v="Express"/>
    <s v="Yes"/>
    <s v="Yes"/>
    <n v="42"/>
    <s v="Debit Card"/>
    <x v="5"/>
  </r>
  <r>
    <n v="686"/>
    <x v="27"/>
    <s v="Male"/>
    <x v="0"/>
    <x v="0"/>
    <n v="71"/>
    <s v="Massachusetts"/>
    <x v="3"/>
    <x v="23"/>
    <x v="0"/>
    <n v="3.5"/>
    <x v="0"/>
    <s v="Standard"/>
    <s v="Yes"/>
    <s v="Yes"/>
    <n v="32"/>
    <s v="Cash"/>
    <x v="0"/>
  </r>
  <r>
    <n v="687"/>
    <x v="27"/>
    <s v="Male"/>
    <x v="1"/>
    <x v="0"/>
    <n v="35"/>
    <s v="Indiana"/>
    <x v="0"/>
    <x v="19"/>
    <x v="3"/>
    <n v="3"/>
    <x v="0"/>
    <s v="2-Day Shipping"/>
    <s v="Yes"/>
    <s v="Yes"/>
    <n v="33"/>
    <s v="Venmo"/>
    <x v="0"/>
  </r>
  <r>
    <n v="688"/>
    <x v="1"/>
    <s v="Male"/>
    <x v="24"/>
    <x v="3"/>
    <n v="38"/>
    <s v="West Virginia"/>
    <x v="3"/>
    <x v="2"/>
    <x v="0"/>
    <n v="3.3"/>
    <x v="0"/>
    <s v="Free Shipping"/>
    <s v="Yes"/>
    <s v="Yes"/>
    <n v="46"/>
    <s v="Bank Transfer"/>
    <x v="3"/>
  </r>
  <r>
    <n v="689"/>
    <x v="15"/>
    <s v="Male"/>
    <x v="18"/>
    <x v="3"/>
    <n v="59"/>
    <s v="Michigan"/>
    <x v="1"/>
    <x v="15"/>
    <x v="2"/>
    <n v="4.7"/>
    <x v="0"/>
    <s v="Store Pickup"/>
    <s v="Yes"/>
    <s v="Yes"/>
    <n v="44"/>
    <s v="Venmo"/>
    <x v="5"/>
  </r>
  <r>
    <n v="690"/>
    <x v="1"/>
    <s v="Male"/>
    <x v="15"/>
    <x v="0"/>
    <n v="91"/>
    <s v="Pennsylvania"/>
    <x v="2"/>
    <x v="20"/>
    <x v="2"/>
    <n v="4.7"/>
    <x v="0"/>
    <s v="Express"/>
    <s v="Yes"/>
    <s v="Yes"/>
    <n v="35"/>
    <s v="Credit Card"/>
    <x v="6"/>
  </r>
  <r>
    <n v="691"/>
    <x v="15"/>
    <s v="Male"/>
    <x v="6"/>
    <x v="0"/>
    <n v="68"/>
    <s v="Alaska"/>
    <x v="3"/>
    <x v="16"/>
    <x v="1"/>
    <n v="4.8"/>
    <x v="0"/>
    <s v="Standard"/>
    <s v="Yes"/>
    <s v="Yes"/>
    <n v="45"/>
    <s v="Bank Transfer"/>
    <x v="1"/>
  </r>
  <r>
    <n v="692"/>
    <x v="52"/>
    <s v="Male"/>
    <x v="21"/>
    <x v="3"/>
    <n v="21"/>
    <s v="Massachusetts"/>
    <x v="0"/>
    <x v="5"/>
    <x v="2"/>
    <n v="2.9"/>
    <x v="0"/>
    <s v="Standard"/>
    <s v="Yes"/>
    <s v="Yes"/>
    <n v="37"/>
    <s v="PayPal"/>
    <x v="4"/>
  </r>
  <r>
    <n v="693"/>
    <x v="25"/>
    <s v="Male"/>
    <x v="12"/>
    <x v="3"/>
    <n v="95"/>
    <s v="North Dakota"/>
    <x v="2"/>
    <x v="17"/>
    <x v="1"/>
    <n v="4"/>
    <x v="0"/>
    <s v="2-Day Shipping"/>
    <s v="Yes"/>
    <s v="Yes"/>
    <n v="40"/>
    <s v="Debit Card"/>
    <x v="6"/>
  </r>
  <r>
    <n v="694"/>
    <x v="5"/>
    <s v="Male"/>
    <x v="6"/>
    <x v="0"/>
    <n v="52"/>
    <s v="Vermont"/>
    <x v="0"/>
    <x v="2"/>
    <x v="1"/>
    <n v="3.1"/>
    <x v="0"/>
    <s v="Free Shipping"/>
    <s v="Yes"/>
    <s v="Yes"/>
    <n v="30"/>
    <s v="Cash"/>
    <x v="6"/>
  </r>
  <r>
    <n v="695"/>
    <x v="38"/>
    <s v="Male"/>
    <x v="10"/>
    <x v="0"/>
    <n v="21"/>
    <s v="Kentucky"/>
    <x v="1"/>
    <x v="4"/>
    <x v="3"/>
    <n v="3.5"/>
    <x v="0"/>
    <s v="2-Day Shipping"/>
    <s v="Yes"/>
    <s v="Yes"/>
    <n v="38"/>
    <s v="Venmo"/>
    <x v="6"/>
  </r>
  <r>
    <n v="696"/>
    <x v="11"/>
    <s v="Male"/>
    <x v="6"/>
    <x v="0"/>
    <n v="67"/>
    <s v="Nevada"/>
    <x v="3"/>
    <x v="15"/>
    <x v="2"/>
    <n v="3.7"/>
    <x v="0"/>
    <s v="Next Day Air"/>
    <s v="Yes"/>
    <s v="Yes"/>
    <n v="15"/>
    <s v="Debit Card"/>
    <x v="6"/>
  </r>
  <r>
    <n v="697"/>
    <x v="42"/>
    <s v="Male"/>
    <x v="22"/>
    <x v="3"/>
    <n v="42"/>
    <s v="Utah"/>
    <x v="0"/>
    <x v="14"/>
    <x v="3"/>
    <n v="2.8"/>
    <x v="0"/>
    <s v="Standard"/>
    <s v="Yes"/>
    <s v="Yes"/>
    <n v="49"/>
    <s v="Cash"/>
    <x v="5"/>
  </r>
  <r>
    <n v="698"/>
    <x v="12"/>
    <s v="Male"/>
    <x v="18"/>
    <x v="3"/>
    <n v="63"/>
    <s v="North Dakota"/>
    <x v="3"/>
    <x v="18"/>
    <x v="2"/>
    <n v="4.5999999999999996"/>
    <x v="0"/>
    <s v="Free Shipping"/>
    <s v="Yes"/>
    <s v="Yes"/>
    <n v="40"/>
    <s v="Debit Card"/>
    <x v="3"/>
  </r>
  <r>
    <n v="699"/>
    <x v="0"/>
    <s v="Male"/>
    <x v="23"/>
    <x v="1"/>
    <n v="41"/>
    <s v="Iowa"/>
    <x v="2"/>
    <x v="22"/>
    <x v="0"/>
    <n v="3.8"/>
    <x v="0"/>
    <s v="Standard"/>
    <s v="Yes"/>
    <s v="Yes"/>
    <n v="40"/>
    <s v="Debit Card"/>
    <x v="1"/>
  </r>
  <r>
    <n v="700"/>
    <x v="2"/>
    <s v="Male"/>
    <x v="8"/>
    <x v="3"/>
    <n v="46"/>
    <s v="Connecticut"/>
    <x v="2"/>
    <x v="4"/>
    <x v="3"/>
    <n v="2.6"/>
    <x v="0"/>
    <s v="2-Day Shipping"/>
    <s v="Yes"/>
    <s v="Yes"/>
    <n v="5"/>
    <s v="PayPal"/>
    <x v="1"/>
  </r>
  <r>
    <n v="701"/>
    <x v="9"/>
    <s v="Male"/>
    <x v="13"/>
    <x v="0"/>
    <n v="79"/>
    <s v="Wisconsin"/>
    <x v="0"/>
    <x v="8"/>
    <x v="0"/>
    <n v="4.0999999999999996"/>
    <x v="0"/>
    <s v="Standard"/>
    <s v="Yes"/>
    <s v="Yes"/>
    <n v="5"/>
    <s v="PayPal"/>
    <x v="5"/>
  </r>
  <r>
    <n v="702"/>
    <x v="47"/>
    <s v="Male"/>
    <x v="23"/>
    <x v="1"/>
    <n v="90"/>
    <s v="Idaho"/>
    <x v="0"/>
    <x v="16"/>
    <x v="3"/>
    <n v="3.3"/>
    <x v="0"/>
    <s v="Next Day Air"/>
    <s v="Yes"/>
    <s v="Yes"/>
    <n v="5"/>
    <s v="Debit Card"/>
    <x v="6"/>
  </r>
  <r>
    <n v="703"/>
    <x v="20"/>
    <s v="Male"/>
    <x v="5"/>
    <x v="0"/>
    <n v="71"/>
    <s v="Montana"/>
    <x v="2"/>
    <x v="3"/>
    <x v="0"/>
    <n v="3.4"/>
    <x v="0"/>
    <s v="Store Pickup"/>
    <s v="Yes"/>
    <s v="Yes"/>
    <n v="1"/>
    <s v="Cash"/>
    <x v="1"/>
  </r>
  <r>
    <n v="704"/>
    <x v="6"/>
    <s v="Male"/>
    <x v="10"/>
    <x v="0"/>
    <n v="87"/>
    <s v="Connecticut"/>
    <x v="0"/>
    <x v="6"/>
    <x v="2"/>
    <n v="3"/>
    <x v="0"/>
    <s v="Standard"/>
    <s v="Yes"/>
    <s v="Yes"/>
    <n v="21"/>
    <s v="Venmo"/>
    <x v="1"/>
  </r>
  <r>
    <n v="705"/>
    <x v="50"/>
    <s v="Male"/>
    <x v="15"/>
    <x v="0"/>
    <n v="66"/>
    <s v="Idaho"/>
    <x v="1"/>
    <x v="13"/>
    <x v="1"/>
    <n v="3.2"/>
    <x v="0"/>
    <s v="Express"/>
    <s v="Yes"/>
    <s v="Yes"/>
    <n v="18"/>
    <s v="PayPal"/>
    <x v="2"/>
  </r>
  <r>
    <n v="706"/>
    <x v="15"/>
    <s v="Male"/>
    <x v="13"/>
    <x v="0"/>
    <n v="90"/>
    <s v="Arkansas"/>
    <x v="3"/>
    <x v="21"/>
    <x v="2"/>
    <n v="4.5"/>
    <x v="0"/>
    <s v="Free Shipping"/>
    <s v="Yes"/>
    <s v="Yes"/>
    <n v="49"/>
    <s v="Cash"/>
    <x v="3"/>
  </r>
  <r>
    <n v="707"/>
    <x v="5"/>
    <s v="Male"/>
    <x v="2"/>
    <x v="0"/>
    <n v="47"/>
    <s v="Iowa"/>
    <x v="0"/>
    <x v="2"/>
    <x v="2"/>
    <n v="4.8"/>
    <x v="0"/>
    <s v="Express"/>
    <s v="Yes"/>
    <s v="Yes"/>
    <n v="27"/>
    <s v="Debit Card"/>
    <x v="1"/>
  </r>
  <r>
    <n v="708"/>
    <x v="35"/>
    <s v="Male"/>
    <x v="5"/>
    <x v="0"/>
    <n v="38"/>
    <s v="Louisiana"/>
    <x v="0"/>
    <x v="7"/>
    <x v="1"/>
    <n v="3.7"/>
    <x v="0"/>
    <s v="Next Day Air"/>
    <s v="Yes"/>
    <s v="Yes"/>
    <n v="21"/>
    <s v="Venmo"/>
    <x v="2"/>
  </r>
  <r>
    <n v="709"/>
    <x v="43"/>
    <s v="Male"/>
    <x v="21"/>
    <x v="3"/>
    <n v="50"/>
    <s v="Kentucky"/>
    <x v="0"/>
    <x v="19"/>
    <x v="2"/>
    <n v="3.4"/>
    <x v="0"/>
    <s v="Store Pickup"/>
    <s v="Yes"/>
    <s v="Yes"/>
    <n v="19"/>
    <s v="Cash"/>
    <x v="0"/>
  </r>
  <r>
    <n v="710"/>
    <x v="34"/>
    <s v="Male"/>
    <x v="14"/>
    <x v="2"/>
    <n v="79"/>
    <s v="Massachusetts"/>
    <x v="0"/>
    <x v="4"/>
    <x v="2"/>
    <n v="4.5999999999999996"/>
    <x v="0"/>
    <s v="Standard"/>
    <s v="Yes"/>
    <s v="Yes"/>
    <n v="23"/>
    <s v="Debit Card"/>
    <x v="5"/>
  </r>
  <r>
    <n v="711"/>
    <x v="40"/>
    <s v="Male"/>
    <x v="18"/>
    <x v="3"/>
    <n v="91"/>
    <s v="Virginia"/>
    <x v="0"/>
    <x v="2"/>
    <x v="1"/>
    <n v="4.0999999999999996"/>
    <x v="0"/>
    <s v="Standard"/>
    <s v="Yes"/>
    <s v="Yes"/>
    <n v="26"/>
    <s v="PayPal"/>
    <x v="0"/>
  </r>
  <r>
    <n v="712"/>
    <x v="14"/>
    <s v="Male"/>
    <x v="23"/>
    <x v="1"/>
    <n v="60"/>
    <s v="New Hampshire"/>
    <x v="2"/>
    <x v="1"/>
    <x v="1"/>
    <n v="3.5"/>
    <x v="0"/>
    <s v="2-Day Shipping"/>
    <s v="Yes"/>
    <s v="Yes"/>
    <n v="13"/>
    <s v="Bank Transfer"/>
    <x v="4"/>
  </r>
  <r>
    <n v="713"/>
    <x v="32"/>
    <s v="Male"/>
    <x v="0"/>
    <x v="0"/>
    <n v="81"/>
    <s v="New Hampshire"/>
    <x v="3"/>
    <x v="13"/>
    <x v="2"/>
    <n v="3.8"/>
    <x v="0"/>
    <s v="Next Day Air"/>
    <s v="Yes"/>
    <s v="Yes"/>
    <n v="36"/>
    <s v="Bank Transfer"/>
    <x v="3"/>
  </r>
  <r>
    <n v="714"/>
    <x v="43"/>
    <s v="Male"/>
    <x v="15"/>
    <x v="0"/>
    <n v="90"/>
    <s v="Oregon"/>
    <x v="2"/>
    <x v="12"/>
    <x v="2"/>
    <n v="2.6"/>
    <x v="0"/>
    <s v="Express"/>
    <s v="Yes"/>
    <s v="Yes"/>
    <n v="39"/>
    <s v="Bank Transfer"/>
    <x v="4"/>
  </r>
  <r>
    <n v="715"/>
    <x v="8"/>
    <s v="Male"/>
    <x v="14"/>
    <x v="2"/>
    <n v="70"/>
    <s v="South Dakota"/>
    <x v="2"/>
    <x v="23"/>
    <x v="3"/>
    <n v="4.4000000000000004"/>
    <x v="0"/>
    <s v="Store Pickup"/>
    <s v="Yes"/>
    <s v="Yes"/>
    <n v="40"/>
    <s v="Debit Card"/>
    <x v="0"/>
  </r>
  <r>
    <n v="716"/>
    <x v="23"/>
    <s v="Male"/>
    <x v="2"/>
    <x v="0"/>
    <n v="63"/>
    <s v="Delaware"/>
    <x v="0"/>
    <x v="14"/>
    <x v="1"/>
    <n v="2.6"/>
    <x v="0"/>
    <s v="Express"/>
    <s v="Yes"/>
    <s v="Yes"/>
    <n v="37"/>
    <s v="Debit Card"/>
    <x v="3"/>
  </r>
  <r>
    <n v="717"/>
    <x v="11"/>
    <s v="Male"/>
    <x v="16"/>
    <x v="3"/>
    <n v="29"/>
    <s v="Missouri"/>
    <x v="2"/>
    <x v="8"/>
    <x v="1"/>
    <n v="3.6"/>
    <x v="0"/>
    <s v="Express"/>
    <s v="Yes"/>
    <s v="Yes"/>
    <n v="9"/>
    <s v="Venmo"/>
    <x v="4"/>
  </r>
  <r>
    <n v="718"/>
    <x v="3"/>
    <s v="Male"/>
    <x v="20"/>
    <x v="0"/>
    <n v="90"/>
    <s v="Alaska"/>
    <x v="0"/>
    <x v="14"/>
    <x v="1"/>
    <n v="4.2"/>
    <x v="0"/>
    <s v="Express"/>
    <s v="Yes"/>
    <s v="Yes"/>
    <n v="7"/>
    <s v="Venmo"/>
    <x v="6"/>
  </r>
  <r>
    <n v="719"/>
    <x v="40"/>
    <s v="Male"/>
    <x v="5"/>
    <x v="0"/>
    <n v="22"/>
    <s v="Florida"/>
    <x v="2"/>
    <x v="15"/>
    <x v="2"/>
    <n v="4.5999999999999996"/>
    <x v="0"/>
    <s v="Standard"/>
    <s v="Yes"/>
    <s v="Yes"/>
    <n v="25"/>
    <s v="Bank Transfer"/>
    <x v="2"/>
  </r>
  <r>
    <n v="720"/>
    <x v="6"/>
    <s v="Male"/>
    <x v="6"/>
    <x v="0"/>
    <n v="22"/>
    <s v="Mississippi"/>
    <x v="0"/>
    <x v="2"/>
    <x v="2"/>
    <n v="3.3"/>
    <x v="0"/>
    <s v="Next Day Air"/>
    <s v="Yes"/>
    <s v="Yes"/>
    <n v="42"/>
    <s v="Venmo"/>
    <x v="4"/>
  </r>
  <r>
    <n v="721"/>
    <x v="23"/>
    <s v="Male"/>
    <x v="16"/>
    <x v="3"/>
    <n v="62"/>
    <s v="New Mexico"/>
    <x v="0"/>
    <x v="20"/>
    <x v="3"/>
    <n v="3.4"/>
    <x v="0"/>
    <s v="Free Shipping"/>
    <s v="Yes"/>
    <s v="Yes"/>
    <n v="19"/>
    <s v="Debit Card"/>
    <x v="1"/>
  </r>
  <r>
    <n v="722"/>
    <x v="49"/>
    <s v="Male"/>
    <x v="0"/>
    <x v="0"/>
    <n v="57"/>
    <s v="California"/>
    <x v="0"/>
    <x v="5"/>
    <x v="2"/>
    <n v="4.4000000000000004"/>
    <x v="0"/>
    <s v="Next Day Air"/>
    <s v="Yes"/>
    <s v="Yes"/>
    <n v="41"/>
    <s v="Debit Card"/>
    <x v="6"/>
  </r>
  <r>
    <n v="723"/>
    <x v="7"/>
    <s v="Male"/>
    <x v="1"/>
    <x v="0"/>
    <n v="32"/>
    <s v="Wyoming"/>
    <x v="1"/>
    <x v="24"/>
    <x v="2"/>
    <n v="4.3"/>
    <x v="0"/>
    <s v="Store Pickup"/>
    <s v="Yes"/>
    <s v="Yes"/>
    <n v="50"/>
    <s v="Cash"/>
    <x v="4"/>
  </r>
  <r>
    <n v="724"/>
    <x v="25"/>
    <s v="Male"/>
    <x v="16"/>
    <x v="3"/>
    <n v="53"/>
    <s v="Missouri"/>
    <x v="0"/>
    <x v="17"/>
    <x v="3"/>
    <n v="3.5"/>
    <x v="0"/>
    <s v="Express"/>
    <s v="Yes"/>
    <s v="Yes"/>
    <n v="43"/>
    <s v="PayPal"/>
    <x v="5"/>
  </r>
  <r>
    <n v="725"/>
    <x v="43"/>
    <s v="Male"/>
    <x v="17"/>
    <x v="0"/>
    <n v="79"/>
    <s v="New Hampshire"/>
    <x v="3"/>
    <x v="14"/>
    <x v="3"/>
    <n v="4.7"/>
    <x v="0"/>
    <s v="Store Pickup"/>
    <s v="Yes"/>
    <s v="Yes"/>
    <n v="36"/>
    <s v="Venmo"/>
    <x v="6"/>
  </r>
  <r>
    <n v="726"/>
    <x v="12"/>
    <s v="Male"/>
    <x v="19"/>
    <x v="3"/>
    <n v="61"/>
    <s v="Texas"/>
    <x v="0"/>
    <x v="5"/>
    <x v="0"/>
    <n v="3.1"/>
    <x v="0"/>
    <s v="Standard"/>
    <s v="Yes"/>
    <s v="Yes"/>
    <n v="33"/>
    <s v="Debit Card"/>
    <x v="0"/>
  </r>
  <r>
    <n v="727"/>
    <x v="45"/>
    <s v="Male"/>
    <x v="6"/>
    <x v="0"/>
    <n v="78"/>
    <s v="North Dakota"/>
    <x v="0"/>
    <x v="22"/>
    <x v="2"/>
    <n v="3.6"/>
    <x v="0"/>
    <s v="Next Day Air"/>
    <s v="Yes"/>
    <s v="Yes"/>
    <n v="20"/>
    <s v="Bank Transfer"/>
    <x v="6"/>
  </r>
  <r>
    <n v="728"/>
    <x v="46"/>
    <s v="Male"/>
    <x v="1"/>
    <x v="0"/>
    <n v="97"/>
    <s v="Arkansas"/>
    <x v="1"/>
    <x v="0"/>
    <x v="0"/>
    <n v="4.8"/>
    <x v="0"/>
    <s v="Next Day Air"/>
    <s v="Yes"/>
    <s v="Yes"/>
    <n v="37"/>
    <s v="Venmo"/>
    <x v="6"/>
  </r>
  <r>
    <n v="729"/>
    <x v="26"/>
    <s v="Male"/>
    <x v="2"/>
    <x v="0"/>
    <n v="78"/>
    <s v="Nebraska"/>
    <x v="2"/>
    <x v="6"/>
    <x v="0"/>
    <n v="3.7"/>
    <x v="0"/>
    <s v="Next Day Air"/>
    <s v="Yes"/>
    <s v="Yes"/>
    <n v="12"/>
    <s v="PayPal"/>
    <x v="6"/>
  </r>
  <r>
    <n v="730"/>
    <x v="38"/>
    <s v="Male"/>
    <x v="12"/>
    <x v="3"/>
    <n v="56"/>
    <s v="Minnesota"/>
    <x v="0"/>
    <x v="19"/>
    <x v="2"/>
    <n v="3.2"/>
    <x v="0"/>
    <s v="Express"/>
    <s v="Yes"/>
    <s v="Yes"/>
    <n v="46"/>
    <s v="PayPal"/>
    <x v="6"/>
  </r>
  <r>
    <n v="731"/>
    <x v="39"/>
    <s v="Male"/>
    <x v="23"/>
    <x v="1"/>
    <n v="25"/>
    <s v="Massachusetts"/>
    <x v="2"/>
    <x v="21"/>
    <x v="2"/>
    <n v="3.9"/>
    <x v="0"/>
    <s v="Standard"/>
    <s v="Yes"/>
    <s v="Yes"/>
    <n v="28"/>
    <s v="Venmo"/>
    <x v="0"/>
  </r>
  <r>
    <n v="732"/>
    <x v="49"/>
    <s v="Male"/>
    <x v="7"/>
    <x v="2"/>
    <n v="28"/>
    <s v="Arkansas"/>
    <x v="2"/>
    <x v="16"/>
    <x v="1"/>
    <n v="3.5"/>
    <x v="0"/>
    <s v="Free Shipping"/>
    <s v="Yes"/>
    <s v="Yes"/>
    <n v="30"/>
    <s v="PayPal"/>
    <x v="0"/>
  </r>
  <r>
    <n v="733"/>
    <x v="50"/>
    <s v="Male"/>
    <x v="5"/>
    <x v="0"/>
    <n v="57"/>
    <s v="New Hampshire"/>
    <x v="0"/>
    <x v="24"/>
    <x v="1"/>
    <n v="2.8"/>
    <x v="0"/>
    <s v="Express"/>
    <s v="Yes"/>
    <s v="Yes"/>
    <n v="28"/>
    <s v="Cash"/>
    <x v="4"/>
  </r>
  <r>
    <n v="734"/>
    <x v="4"/>
    <s v="Male"/>
    <x v="10"/>
    <x v="0"/>
    <n v="36"/>
    <s v="Rhode Island"/>
    <x v="0"/>
    <x v="17"/>
    <x v="3"/>
    <n v="2.7"/>
    <x v="0"/>
    <s v="2-Day Shipping"/>
    <s v="Yes"/>
    <s v="Yes"/>
    <n v="20"/>
    <s v="Debit Card"/>
    <x v="4"/>
  </r>
  <r>
    <n v="735"/>
    <x v="13"/>
    <s v="Male"/>
    <x v="5"/>
    <x v="0"/>
    <n v="69"/>
    <s v="New Jersey"/>
    <x v="1"/>
    <x v="10"/>
    <x v="0"/>
    <n v="3.1"/>
    <x v="0"/>
    <s v="Express"/>
    <s v="Yes"/>
    <s v="Yes"/>
    <n v="39"/>
    <s v="Bank Transfer"/>
    <x v="6"/>
  </r>
  <r>
    <n v="736"/>
    <x v="12"/>
    <s v="Male"/>
    <x v="12"/>
    <x v="3"/>
    <n v="48"/>
    <s v="Montana"/>
    <x v="2"/>
    <x v="20"/>
    <x v="3"/>
    <n v="3.6"/>
    <x v="0"/>
    <s v="2-Day Shipping"/>
    <s v="Yes"/>
    <s v="Yes"/>
    <n v="48"/>
    <s v="Cash"/>
    <x v="4"/>
  </r>
  <r>
    <n v="737"/>
    <x v="20"/>
    <s v="Male"/>
    <x v="10"/>
    <x v="0"/>
    <n v="58"/>
    <s v="Colorado"/>
    <x v="0"/>
    <x v="1"/>
    <x v="1"/>
    <n v="2.9"/>
    <x v="0"/>
    <s v="2-Day Shipping"/>
    <s v="Yes"/>
    <s v="Yes"/>
    <n v="32"/>
    <s v="Credit Card"/>
    <x v="6"/>
  </r>
  <r>
    <n v="738"/>
    <x v="36"/>
    <s v="Male"/>
    <x v="12"/>
    <x v="3"/>
    <n v="24"/>
    <s v="Nebraska"/>
    <x v="2"/>
    <x v="11"/>
    <x v="1"/>
    <n v="3.6"/>
    <x v="0"/>
    <s v="Store Pickup"/>
    <s v="Yes"/>
    <s v="Yes"/>
    <n v="28"/>
    <s v="PayPal"/>
    <x v="2"/>
  </r>
  <r>
    <n v="739"/>
    <x v="19"/>
    <s v="Male"/>
    <x v="12"/>
    <x v="3"/>
    <n v="31"/>
    <s v="Minnesota"/>
    <x v="0"/>
    <x v="20"/>
    <x v="0"/>
    <n v="3.5"/>
    <x v="0"/>
    <s v="2-Day Shipping"/>
    <s v="Yes"/>
    <s v="Yes"/>
    <n v="27"/>
    <s v="Venmo"/>
    <x v="3"/>
  </r>
  <r>
    <n v="740"/>
    <x v="14"/>
    <s v="Male"/>
    <x v="6"/>
    <x v="0"/>
    <n v="29"/>
    <s v="Minnesota"/>
    <x v="1"/>
    <x v="7"/>
    <x v="2"/>
    <n v="3.5"/>
    <x v="0"/>
    <s v="Free Shipping"/>
    <s v="Yes"/>
    <s v="Yes"/>
    <n v="26"/>
    <s v="Venmo"/>
    <x v="4"/>
  </r>
  <r>
    <n v="741"/>
    <x v="8"/>
    <s v="Male"/>
    <x v="2"/>
    <x v="0"/>
    <n v="69"/>
    <s v="South Dakota"/>
    <x v="2"/>
    <x v="20"/>
    <x v="2"/>
    <n v="2.8"/>
    <x v="0"/>
    <s v="Next Day Air"/>
    <s v="Yes"/>
    <s v="Yes"/>
    <n v="22"/>
    <s v="Credit Card"/>
    <x v="0"/>
  </r>
  <r>
    <n v="742"/>
    <x v="40"/>
    <s v="Male"/>
    <x v="17"/>
    <x v="0"/>
    <n v="79"/>
    <s v="West Virginia"/>
    <x v="3"/>
    <x v="22"/>
    <x v="2"/>
    <n v="4.7"/>
    <x v="0"/>
    <s v="Free Shipping"/>
    <s v="Yes"/>
    <s v="Yes"/>
    <n v="23"/>
    <s v="Bank Transfer"/>
    <x v="6"/>
  </r>
  <r>
    <n v="743"/>
    <x v="14"/>
    <s v="Male"/>
    <x v="13"/>
    <x v="0"/>
    <n v="39"/>
    <s v="Nevada"/>
    <x v="2"/>
    <x v="4"/>
    <x v="2"/>
    <n v="3.1"/>
    <x v="0"/>
    <s v="Express"/>
    <s v="Yes"/>
    <s v="Yes"/>
    <n v="21"/>
    <s v="Debit Card"/>
    <x v="3"/>
  </r>
  <r>
    <n v="744"/>
    <x v="3"/>
    <s v="Male"/>
    <x v="12"/>
    <x v="3"/>
    <n v="84"/>
    <s v="North Carolina"/>
    <x v="0"/>
    <x v="0"/>
    <x v="3"/>
    <n v="4.9000000000000004"/>
    <x v="0"/>
    <s v="Free Shipping"/>
    <s v="Yes"/>
    <s v="Yes"/>
    <n v="36"/>
    <s v="Cash"/>
    <x v="1"/>
  </r>
  <r>
    <n v="745"/>
    <x v="29"/>
    <s v="Male"/>
    <x v="23"/>
    <x v="1"/>
    <n v="66"/>
    <s v="Illinois"/>
    <x v="1"/>
    <x v="4"/>
    <x v="1"/>
    <n v="4.0999999999999996"/>
    <x v="0"/>
    <s v="Next Day Air"/>
    <s v="Yes"/>
    <s v="Yes"/>
    <n v="42"/>
    <s v="Debit Card"/>
    <x v="4"/>
  </r>
  <r>
    <n v="746"/>
    <x v="5"/>
    <s v="Male"/>
    <x v="17"/>
    <x v="0"/>
    <n v="92"/>
    <s v="Michigan"/>
    <x v="0"/>
    <x v="20"/>
    <x v="3"/>
    <n v="4.7"/>
    <x v="0"/>
    <s v="Standard"/>
    <s v="Yes"/>
    <s v="Yes"/>
    <n v="4"/>
    <s v="Venmo"/>
    <x v="5"/>
  </r>
  <r>
    <n v="747"/>
    <x v="37"/>
    <s v="Male"/>
    <x v="3"/>
    <x v="1"/>
    <n v="45"/>
    <s v="Michigan"/>
    <x v="2"/>
    <x v="16"/>
    <x v="0"/>
    <n v="2.5"/>
    <x v="0"/>
    <s v="Free Shipping"/>
    <s v="Yes"/>
    <s v="Yes"/>
    <n v="47"/>
    <s v="Credit Card"/>
    <x v="2"/>
  </r>
  <r>
    <n v="748"/>
    <x v="47"/>
    <s v="Male"/>
    <x v="6"/>
    <x v="0"/>
    <n v="74"/>
    <s v="Oklahoma"/>
    <x v="0"/>
    <x v="9"/>
    <x v="1"/>
    <n v="4.4000000000000004"/>
    <x v="0"/>
    <s v="Next Day Air"/>
    <s v="Yes"/>
    <s v="Yes"/>
    <n v="13"/>
    <s v="Bank Transfer"/>
    <x v="1"/>
  </r>
  <r>
    <n v="749"/>
    <x v="25"/>
    <s v="Male"/>
    <x v="19"/>
    <x v="3"/>
    <n v="39"/>
    <s v="South Dakota"/>
    <x v="0"/>
    <x v="18"/>
    <x v="3"/>
    <n v="3.9"/>
    <x v="0"/>
    <s v="Free Shipping"/>
    <s v="Yes"/>
    <s v="Yes"/>
    <n v="8"/>
    <s v="Bank Transfer"/>
    <x v="3"/>
  </r>
  <r>
    <n v="750"/>
    <x v="19"/>
    <s v="Male"/>
    <x v="18"/>
    <x v="3"/>
    <n v="71"/>
    <s v="Oklahoma"/>
    <x v="2"/>
    <x v="8"/>
    <x v="0"/>
    <n v="3.7"/>
    <x v="0"/>
    <s v="Standard"/>
    <s v="Yes"/>
    <s v="Yes"/>
    <n v="11"/>
    <s v="Debit Card"/>
    <x v="3"/>
  </r>
  <r>
    <n v="751"/>
    <x v="15"/>
    <s v="Male"/>
    <x v="17"/>
    <x v="0"/>
    <n v="95"/>
    <s v="Maryland"/>
    <x v="0"/>
    <x v="10"/>
    <x v="3"/>
    <n v="3.4"/>
    <x v="0"/>
    <s v="Free Shipping"/>
    <s v="Yes"/>
    <s v="Yes"/>
    <n v="5"/>
    <s v="Venmo"/>
    <x v="2"/>
  </r>
  <r>
    <n v="752"/>
    <x v="13"/>
    <s v="Male"/>
    <x v="24"/>
    <x v="3"/>
    <n v="72"/>
    <s v="Ohio"/>
    <x v="0"/>
    <x v="21"/>
    <x v="3"/>
    <n v="4.8"/>
    <x v="0"/>
    <s v="Free Shipping"/>
    <s v="Yes"/>
    <s v="Yes"/>
    <n v="1"/>
    <s v="Credit Card"/>
    <x v="5"/>
  </r>
  <r>
    <n v="753"/>
    <x v="31"/>
    <s v="Male"/>
    <x v="18"/>
    <x v="3"/>
    <n v="85"/>
    <s v="Ohio"/>
    <x v="0"/>
    <x v="22"/>
    <x v="3"/>
    <n v="4.2"/>
    <x v="0"/>
    <s v="2-Day Shipping"/>
    <s v="Yes"/>
    <s v="Yes"/>
    <n v="17"/>
    <s v="PayPal"/>
    <x v="6"/>
  </r>
  <r>
    <n v="754"/>
    <x v="36"/>
    <s v="Male"/>
    <x v="23"/>
    <x v="1"/>
    <n v="54"/>
    <s v="Massachusetts"/>
    <x v="2"/>
    <x v="11"/>
    <x v="3"/>
    <n v="3.4"/>
    <x v="0"/>
    <s v="Store Pickup"/>
    <s v="Yes"/>
    <s v="Yes"/>
    <n v="27"/>
    <s v="Venmo"/>
    <x v="3"/>
  </r>
  <r>
    <n v="755"/>
    <x v="24"/>
    <s v="Male"/>
    <x v="24"/>
    <x v="3"/>
    <n v="41"/>
    <s v="North Carolina"/>
    <x v="0"/>
    <x v="6"/>
    <x v="1"/>
    <n v="2.9"/>
    <x v="0"/>
    <s v="Store Pickup"/>
    <s v="Yes"/>
    <s v="Yes"/>
    <n v="3"/>
    <s v="Debit Card"/>
    <x v="3"/>
  </r>
  <r>
    <n v="756"/>
    <x v="17"/>
    <s v="Male"/>
    <x v="7"/>
    <x v="2"/>
    <n v="24"/>
    <s v="Florida"/>
    <x v="2"/>
    <x v="10"/>
    <x v="1"/>
    <n v="3.3"/>
    <x v="0"/>
    <s v="Free Shipping"/>
    <s v="Yes"/>
    <s v="Yes"/>
    <n v="22"/>
    <s v="PayPal"/>
    <x v="1"/>
  </r>
  <r>
    <n v="757"/>
    <x v="46"/>
    <s v="Male"/>
    <x v="22"/>
    <x v="3"/>
    <n v="99"/>
    <s v="Montana"/>
    <x v="1"/>
    <x v="20"/>
    <x v="2"/>
    <n v="4.8"/>
    <x v="0"/>
    <s v="Standard"/>
    <s v="Yes"/>
    <s v="Yes"/>
    <n v="24"/>
    <s v="Cash"/>
    <x v="0"/>
  </r>
  <r>
    <n v="758"/>
    <x v="38"/>
    <s v="Male"/>
    <x v="15"/>
    <x v="0"/>
    <n v="32"/>
    <s v="Minnesota"/>
    <x v="2"/>
    <x v="16"/>
    <x v="3"/>
    <n v="3.8"/>
    <x v="0"/>
    <s v="Store Pickup"/>
    <s v="Yes"/>
    <s v="Yes"/>
    <n v="18"/>
    <s v="Debit Card"/>
    <x v="3"/>
  </r>
  <r>
    <n v="759"/>
    <x v="17"/>
    <s v="Male"/>
    <x v="9"/>
    <x v="1"/>
    <n v="71"/>
    <s v="Massachusetts"/>
    <x v="0"/>
    <x v="15"/>
    <x v="2"/>
    <n v="4.5999999999999996"/>
    <x v="0"/>
    <s v="2-Day Shipping"/>
    <s v="Yes"/>
    <s v="Yes"/>
    <n v="39"/>
    <s v="Bank Transfer"/>
    <x v="6"/>
  </r>
  <r>
    <n v="760"/>
    <x v="47"/>
    <s v="Male"/>
    <x v="10"/>
    <x v="0"/>
    <n v="49"/>
    <s v="Rhode Island"/>
    <x v="3"/>
    <x v="14"/>
    <x v="0"/>
    <n v="2.6"/>
    <x v="0"/>
    <s v="Next Day Air"/>
    <s v="Yes"/>
    <s v="Yes"/>
    <n v="25"/>
    <s v="Credit Card"/>
    <x v="0"/>
  </r>
  <r>
    <n v="761"/>
    <x v="23"/>
    <s v="Male"/>
    <x v="24"/>
    <x v="3"/>
    <n v="50"/>
    <s v="Minnesota"/>
    <x v="3"/>
    <x v="10"/>
    <x v="3"/>
    <n v="3.4"/>
    <x v="0"/>
    <s v="Free Shipping"/>
    <s v="Yes"/>
    <s v="Yes"/>
    <n v="6"/>
    <s v="Cash"/>
    <x v="2"/>
  </r>
  <r>
    <n v="762"/>
    <x v="9"/>
    <s v="Male"/>
    <x v="16"/>
    <x v="3"/>
    <n v="91"/>
    <s v="Nevada"/>
    <x v="0"/>
    <x v="22"/>
    <x v="3"/>
    <n v="4.2"/>
    <x v="0"/>
    <s v="Express"/>
    <s v="Yes"/>
    <s v="Yes"/>
    <n v="26"/>
    <s v="Bank Transfer"/>
    <x v="1"/>
  </r>
  <r>
    <n v="763"/>
    <x v="4"/>
    <s v="Male"/>
    <x v="22"/>
    <x v="3"/>
    <n v="46"/>
    <s v="New Mexico"/>
    <x v="2"/>
    <x v="6"/>
    <x v="3"/>
    <n v="3.9"/>
    <x v="0"/>
    <s v="Standard"/>
    <s v="Yes"/>
    <s v="Yes"/>
    <n v="43"/>
    <s v="Debit Card"/>
    <x v="0"/>
  </r>
  <r>
    <n v="764"/>
    <x v="12"/>
    <s v="Male"/>
    <x v="1"/>
    <x v="0"/>
    <n v="50"/>
    <s v="North Carolina"/>
    <x v="2"/>
    <x v="18"/>
    <x v="1"/>
    <n v="2.9"/>
    <x v="0"/>
    <s v="2-Day Shipping"/>
    <s v="Yes"/>
    <s v="Yes"/>
    <n v="6"/>
    <s v="Credit Card"/>
    <x v="5"/>
  </r>
  <r>
    <n v="765"/>
    <x v="0"/>
    <s v="Male"/>
    <x v="11"/>
    <x v="0"/>
    <n v="39"/>
    <s v="Virginia"/>
    <x v="3"/>
    <x v="5"/>
    <x v="3"/>
    <n v="4.2"/>
    <x v="0"/>
    <s v="Free Shipping"/>
    <s v="Yes"/>
    <s v="Yes"/>
    <n v="6"/>
    <s v="Debit Card"/>
    <x v="3"/>
  </r>
  <r>
    <n v="766"/>
    <x v="22"/>
    <s v="Male"/>
    <x v="4"/>
    <x v="1"/>
    <n v="99"/>
    <s v="Alaska"/>
    <x v="2"/>
    <x v="6"/>
    <x v="2"/>
    <n v="3"/>
    <x v="0"/>
    <s v="Store Pickup"/>
    <s v="Yes"/>
    <s v="Yes"/>
    <n v="13"/>
    <s v="Cash"/>
    <x v="3"/>
  </r>
  <r>
    <n v="767"/>
    <x v="9"/>
    <s v="Male"/>
    <x v="24"/>
    <x v="3"/>
    <n v="48"/>
    <s v="Nevada"/>
    <x v="2"/>
    <x v="17"/>
    <x v="0"/>
    <n v="3.6"/>
    <x v="0"/>
    <s v="Next Day Air"/>
    <s v="Yes"/>
    <s v="Yes"/>
    <n v="13"/>
    <s v="PayPal"/>
    <x v="5"/>
  </r>
  <r>
    <n v="768"/>
    <x v="7"/>
    <s v="Male"/>
    <x v="7"/>
    <x v="2"/>
    <n v="77"/>
    <s v="Pennsylvania"/>
    <x v="2"/>
    <x v="18"/>
    <x v="3"/>
    <n v="2.5"/>
    <x v="0"/>
    <s v="Next Day Air"/>
    <s v="Yes"/>
    <s v="Yes"/>
    <n v="11"/>
    <s v="Cash"/>
    <x v="2"/>
  </r>
  <r>
    <n v="769"/>
    <x v="14"/>
    <s v="Male"/>
    <x v="21"/>
    <x v="3"/>
    <n v="95"/>
    <s v="Illinois"/>
    <x v="3"/>
    <x v="16"/>
    <x v="1"/>
    <n v="2.6"/>
    <x v="0"/>
    <s v="Express"/>
    <s v="Yes"/>
    <s v="Yes"/>
    <n v="45"/>
    <s v="Venmo"/>
    <x v="1"/>
  </r>
  <r>
    <n v="770"/>
    <x v="16"/>
    <s v="Male"/>
    <x v="20"/>
    <x v="0"/>
    <n v="100"/>
    <s v="Delaware"/>
    <x v="2"/>
    <x v="5"/>
    <x v="1"/>
    <n v="4.3"/>
    <x v="0"/>
    <s v="Store Pickup"/>
    <s v="Yes"/>
    <s v="Yes"/>
    <n v="8"/>
    <s v="PayPal"/>
    <x v="5"/>
  </r>
  <r>
    <n v="771"/>
    <x v="1"/>
    <s v="Male"/>
    <x v="4"/>
    <x v="1"/>
    <n v="54"/>
    <s v="Vermont"/>
    <x v="2"/>
    <x v="0"/>
    <x v="1"/>
    <n v="3.3"/>
    <x v="0"/>
    <s v="Express"/>
    <s v="Yes"/>
    <s v="Yes"/>
    <n v="8"/>
    <s v="Credit Card"/>
    <x v="2"/>
  </r>
  <r>
    <n v="772"/>
    <x v="40"/>
    <s v="Male"/>
    <x v="1"/>
    <x v="0"/>
    <n v="68"/>
    <s v="Hawaii"/>
    <x v="0"/>
    <x v="17"/>
    <x v="3"/>
    <n v="2.6"/>
    <x v="0"/>
    <s v="Next Day Air"/>
    <s v="Yes"/>
    <s v="Yes"/>
    <n v="34"/>
    <s v="Bank Transfer"/>
    <x v="0"/>
  </r>
  <r>
    <n v="773"/>
    <x v="20"/>
    <s v="Male"/>
    <x v="2"/>
    <x v="0"/>
    <n v="22"/>
    <s v="Illinois"/>
    <x v="0"/>
    <x v="11"/>
    <x v="3"/>
    <n v="3.6"/>
    <x v="0"/>
    <s v="Free Shipping"/>
    <s v="Yes"/>
    <s v="Yes"/>
    <n v="40"/>
    <s v="Debit Card"/>
    <x v="4"/>
  </r>
  <r>
    <n v="774"/>
    <x v="26"/>
    <s v="Male"/>
    <x v="19"/>
    <x v="3"/>
    <n v="84"/>
    <s v="California"/>
    <x v="0"/>
    <x v="21"/>
    <x v="0"/>
    <n v="2.6"/>
    <x v="0"/>
    <s v="Express"/>
    <s v="Yes"/>
    <s v="Yes"/>
    <n v="14"/>
    <s v="Debit Card"/>
    <x v="4"/>
  </r>
  <r>
    <n v="775"/>
    <x v="32"/>
    <s v="Male"/>
    <x v="19"/>
    <x v="3"/>
    <n v="46"/>
    <s v="Nevada"/>
    <x v="2"/>
    <x v="22"/>
    <x v="2"/>
    <n v="3.5"/>
    <x v="0"/>
    <s v="Standard"/>
    <s v="Yes"/>
    <s v="Yes"/>
    <n v="11"/>
    <s v="Credit Card"/>
    <x v="3"/>
  </r>
  <r>
    <n v="776"/>
    <x v="34"/>
    <s v="Male"/>
    <x v="8"/>
    <x v="3"/>
    <n v="53"/>
    <s v="Kentucky"/>
    <x v="1"/>
    <x v="9"/>
    <x v="0"/>
    <n v="3"/>
    <x v="0"/>
    <s v="Store Pickup"/>
    <s v="Yes"/>
    <s v="Yes"/>
    <n v="8"/>
    <s v="PayPal"/>
    <x v="5"/>
  </r>
  <r>
    <n v="777"/>
    <x v="34"/>
    <s v="Male"/>
    <x v="5"/>
    <x v="0"/>
    <n v="60"/>
    <s v="Alabama"/>
    <x v="2"/>
    <x v="1"/>
    <x v="1"/>
    <n v="5"/>
    <x v="0"/>
    <s v="Standard"/>
    <s v="Yes"/>
    <s v="Yes"/>
    <n v="8"/>
    <s v="Venmo"/>
    <x v="6"/>
  </r>
  <r>
    <n v="778"/>
    <x v="0"/>
    <s v="Male"/>
    <x v="20"/>
    <x v="0"/>
    <n v="32"/>
    <s v="Wyoming"/>
    <x v="3"/>
    <x v="5"/>
    <x v="1"/>
    <n v="2.5"/>
    <x v="0"/>
    <s v="Express"/>
    <s v="Yes"/>
    <s v="Yes"/>
    <n v="37"/>
    <s v="Venmo"/>
    <x v="1"/>
  </r>
  <r>
    <n v="779"/>
    <x v="26"/>
    <s v="Male"/>
    <x v="20"/>
    <x v="0"/>
    <n v="50"/>
    <s v="Massachusetts"/>
    <x v="2"/>
    <x v="22"/>
    <x v="2"/>
    <n v="2.9"/>
    <x v="0"/>
    <s v="Store Pickup"/>
    <s v="Yes"/>
    <s v="Yes"/>
    <n v="23"/>
    <s v="Debit Card"/>
    <x v="2"/>
  </r>
  <r>
    <n v="780"/>
    <x v="52"/>
    <s v="Male"/>
    <x v="10"/>
    <x v="0"/>
    <n v="94"/>
    <s v="Utah"/>
    <x v="2"/>
    <x v="24"/>
    <x v="1"/>
    <n v="4.5999999999999996"/>
    <x v="0"/>
    <s v="Express"/>
    <s v="Yes"/>
    <s v="Yes"/>
    <n v="38"/>
    <s v="Cash"/>
    <x v="2"/>
  </r>
  <r>
    <n v="781"/>
    <x v="50"/>
    <s v="Male"/>
    <x v="9"/>
    <x v="1"/>
    <n v="26"/>
    <s v="New York"/>
    <x v="2"/>
    <x v="2"/>
    <x v="1"/>
    <n v="3.6"/>
    <x v="0"/>
    <s v="Free Shipping"/>
    <s v="Yes"/>
    <s v="Yes"/>
    <n v="38"/>
    <s v="Cash"/>
    <x v="3"/>
  </r>
  <r>
    <n v="782"/>
    <x v="11"/>
    <s v="Male"/>
    <x v="18"/>
    <x v="3"/>
    <n v="44"/>
    <s v="Vermont"/>
    <x v="0"/>
    <x v="21"/>
    <x v="0"/>
    <n v="3"/>
    <x v="0"/>
    <s v="Store Pickup"/>
    <s v="Yes"/>
    <s v="Yes"/>
    <n v="12"/>
    <s v="Credit Card"/>
    <x v="0"/>
  </r>
  <r>
    <n v="783"/>
    <x v="48"/>
    <s v="Male"/>
    <x v="15"/>
    <x v="0"/>
    <n v="57"/>
    <s v="Hawaii"/>
    <x v="2"/>
    <x v="14"/>
    <x v="2"/>
    <n v="4.5"/>
    <x v="0"/>
    <s v="Standard"/>
    <s v="Yes"/>
    <s v="Yes"/>
    <n v="15"/>
    <s v="Cash"/>
    <x v="1"/>
  </r>
  <r>
    <n v="784"/>
    <x v="6"/>
    <s v="Male"/>
    <x v="17"/>
    <x v="0"/>
    <n v="65"/>
    <s v="Louisiana"/>
    <x v="0"/>
    <x v="7"/>
    <x v="0"/>
    <n v="4.5"/>
    <x v="0"/>
    <s v="Next Day Air"/>
    <s v="Yes"/>
    <s v="Yes"/>
    <n v="38"/>
    <s v="PayPal"/>
    <x v="0"/>
  </r>
  <r>
    <n v="785"/>
    <x v="18"/>
    <s v="Male"/>
    <x v="2"/>
    <x v="0"/>
    <n v="72"/>
    <s v="Alabama"/>
    <x v="2"/>
    <x v="15"/>
    <x v="0"/>
    <n v="3.2"/>
    <x v="0"/>
    <s v="Store Pickup"/>
    <s v="Yes"/>
    <s v="Yes"/>
    <n v="41"/>
    <s v="Bank Transfer"/>
    <x v="6"/>
  </r>
  <r>
    <n v="786"/>
    <x v="5"/>
    <s v="Male"/>
    <x v="6"/>
    <x v="0"/>
    <n v="62"/>
    <s v="Louisiana"/>
    <x v="1"/>
    <x v="7"/>
    <x v="1"/>
    <n v="4"/>
    <x v="0"/>
    <s v="Next Day Air"/>
    <s v="Yes"/>
    <s v="Yes"/>
    <n v="37"/>
    <s v="PayPal"/>
    <x v="0"/>
  </r>
  <r>
    <n v="787"/>
    <x v="27"/>
    <s v="Male"/>
    <x v="19"/>
    <x v="3"/>
    <n v="21"/>
    <s v="Indiana"/>
    <x v="1"/>
    <x v="11"/>
    <x v="0"/>
    <n v="4.8"/>
    <x v="0"/>
    <s v="Express"/>
    <s v="Yes"/>
    <s v="Yes"/>
    <n v="16"/>
    <s v="Bank Transfer"/>
    <x v="6"/>
  </r>
  <r>
    <n v="788"/>
    <x v="10"/>
    <s v="Male"/>
    <x v="8"/>
    <x v="3"/>
    <n v="85"/>
    <s v="Michigan"/>
    <x v="1"/>
    <x v="14"/>
    <x v="1"/>
    <n v="3.7"/>
    <x v="0"/>
    <s v="Free Shipping"/>
    <s v="Yes"/>
    <s v="Yes"/>
    <n v="25"/>
    <s v="Venmo"/>
    <x v="1"/>
  </r>
  <r>
    <n v="789"/>
    <x v="2"/>
    <s v="Male"/>
    <x v="13"/>
    <x v="0"/>
    <n v="51"/>
    <s v="Rhode Island"/>
    <x v="3"/>
    <x v="22"/>
    <x v="2"/>
    <n v="3.8"/>
    <x v="0"/>
    <s v="Store Pickup"/>
    <s v="Yes"/>
    <s v="Yes"/>
    <n v="18"/>
    <s v="Bank Transfer"/>
    <x v="3"/>
  </r>
  <r>
    <n v="790"/>
    <x v="23"/>
    <s v="Male"/>
    <x v="8"/>
    <x v="3"/>
    <n v="84"/>
    <s v="Idaho"/>
    <x v="1"/>
    <x v="7"/>
    <x v="3"/>
    <n v="2.7"/>
    <x v="0"/>
    <s v="Standard"/>
    <s v="Yes"/>
    <s v="Yes"/>
    <n v="4"/>
    <s v="Credit Card"/>
    <x v="4"/>
  </r>
  <r>
    <n v="791"/>
    <x v="40"/>
    <s v="Male"/>
    <x v="1"/>
    <x v="0"/>
    <n v="37"/>
    <s v="Louisiana"/>
    <x v="2"/>
    <x v="21"/>
    <x v="2"/>
    <n v="4.9000000000000004"/>
    <x v="0"/>
    <s v="Store Pickup"/>
    <s v="Yes"/>
    <s v="Yes"/>
    <n v="12"/>
    <s v="Bank Transfer"/>
    <x v="3"/>
  </r>
  <r>
    <n v="792"/>
    <x v="2"/>
    <s v="Male"/>
    <x v="18"/>
    <x v="3"/>
    <n v="44"/>
    <s v="North Carolina"/>
    <x v="1"/>
    <x v="23"/>
    <x v="2"/>
    <n v="3.1"/>
    <x v="0"/>
    <s v="2-Day Shipping"/>
    <s v="Yes"/>
    <s v="Yes"/>
    <n v="35"/>
    <s v="PayPal"/>
    <x v="0"/>
  </r>
  <r>
    <n v="793"/>
    <x v="50"/>
    <s v="Male"/>
    <x v="4"/>
    <x v="1"/>
    <n v="45"/>
    <s v="New Jersey"/>
    <x v="2"/>
    <x v="10"/>
    <x v="1"/>
    <n v="4.2"/>
    <x v="0"/>
    <s v="Next Day Air"/>
    <s v="Yes"/>
    <s v="Yes"/>
    <n v="45"/>
    <s v="Venmo"/>
    <x v="1"/>
  </r>
  <r>
    <n v="794"/>
    <x v="41"/>
    <s v="Male"/>
    <x v="13"/>
    <x v="0"/>
    <n v="35"/>
    <s v="Alabama"/>
    <x v="0"/>
    <x v="1"/>
    <x v="2"/>
    <n v="3.8"/>
    <x v="0"/>
    <s v="Free Shipping"/>
    <s v="Yes"/>
    <s v="Yes"/>
    <n v="16"/>
    <s v="Credit Card"/>
    <x v="5"/>
  </r>
  <r>
    <n v="795"/>
    <x v="28"/>
    <s v="Male"/>
    <x v="21"/>
    <x v="3"/>
    <n v="50"/>
    <s v="Kentucky"/>
    <x v="3"/>
    <x v="22"/>
    <x v="0"/>
    <n v="4.2"/>
    <x v="0"/>
    <s v="Store Pickup"/>
    <s v="Yes"/>
    <s v="Yes"/>
    <n v="10"/>
    <s v="Debit Card"/>
    <x v="0"/>
  </r>
  <r>
    <n v="796"/>
    <x v="31"/>
    <s v="Male"/>
    <x v="3"/>
    <x v="1"/>
    <n v="26"/>
    <s v="New York"/>
    <x v="2"/>
    <x v="19"/>
    <x v="2"/>
    <n v="4.5999999999999996"/>
    <x v="0"/>
    <s v="Store Pickup"/>
    <s v="Yes"/>
    <s v="Yes"/>
    <n v="34"/>
    <s v="Venmo"/>
    <x v="2"/>
  </r>
  <r>
    <n v="797"/>
    <x v="32"/>
    <s v="Male"/>
    <x v="20"/>
    <x v="0"/>
    <n v="78"/>
    <s v="Arizona"/>
    <x v="3"/>
    <x v="13"/>
    <x v="3"/>
    <n v="4"/>
    <x v="0"/>
    <s v="2-Day Shipping"/>
    <s v="Yes"/>
    <s v="Yes"/>
    <n v="43"/>
    <s v="Credit Card"/>
    <x v="2"/>
  </r>
  <r>
    <n v="798"/>
    <x v="32"/>
    <s v="Male"/>
    <x v="7"/>
    <x v="2"/>
    <n v="82"/>
    <s v="Maryland"/>
    <x v="2"/>
    <x v="10"/>
    <x v="3"/>
    <n v="4"/>
    <x v="0"/>
    <s v="2-Day Shipping"/>
    <s v="Yes"/>
    <s v="Yes"/>
    <n v="38"/>
    <s v="Debit Card"/>
    <x v="1"/>
  </r>
  <r>
    <n v="799"/>
    <x v="26"/>
    <s v="Male"/>
    <x v="20"/>
    <x v="0"/>
    <n v="39"/>
    <s v="Alaska"/>
    <x v="2"/>
    <x v="10"/>
    <x v="1"/>
    <n v="3.8"/>
    <x v="0"/>
    <s v="2-Day Shipping"/>
    <s v="Yes"/>
    <s v="Yes"/>
    <n v="48"/>
    <s v="PayPal"/>
    <x v="6"/>
  </r>
  <r>
    <n v="800"/>
    <x v="0"/>
    <s v="Male"/>
    <x v="22"/>
    <x v="3"/>
    <n v="55"/>
    <s v="Nevada"/>
    <x v="0"/>
    <x v="18"/>
    <x v="2"/>
    <n v="3.3"/>
    <x v="0"/>
    <s v="Free Shipping"/>
    <s v="Yes"/>
    <s v="Yes"/>
    <n v="31"/>
    <s v="PayPal"/>
    <x v="2"/>
  </r>
  <r>
    <n v="801"/>
    <x v="45"/>
    <s v="Male"/>
    <x v="20"/>
    <x v="0"/>
    <n v="20"/>
    <s v="Utah"/>
    <x v="1"/>
    <x v="9"/>
    <x v="2"/>
    <n v="2.6"/>
    <x v="0"/>
    <s v="Free Shipping"/>
    <s v="Yes"/>
    <s v="Yes"/>
    <n v="20"/>
    <s v="Cash"/>
    <x v="6"/>
  </r>
  <r>
    <n v="802"/>
    <x v="15"/>
    <s v="Male"/>
    <x v="22"/>
    <x v="3"/>
    <n v="29"/>
    <s v="New Mexico"/>
    <x v="0"/>
    <x v="24"/>
    <x v="3"/>
    <n v="4.9000000000000004"/>
    <x v="0"/>
    <s v="Express"/>
    <s v="Yes"/>
    <s v="Yes"/>
    <n v="12"/>
    <s v="Credit Card"/>
    <x v="0"/>
  </r>
  <r>
    <n v="803"/>
    <x v="21"/>
    <s v="Male"/>
    <x v="13"/>
    <x v="0"/>
    <n v="41"/>
    <s v="Delaware"/>
    <x v="2"/>
    <x v="11"/>
    <x v="0"/>
    <n v="3.5"/>
    <x v="0"/>
    <s v="Next Day Air"/>
    <s v="Yes"/>
    <s v="Yes"/>
    <n v="2"/>
    <s v="Bank Transfer"/>
    <x v="1"/>
  </r>
  <r>
    <n v="804"/>
    <x v="45"/>
    <s v="Male"/>
    <x v="6"/>
    <x v="0"/>
    <n v="38"/>
    <s v="Connecticut"/>
    <x v="0"/>
    <x v="5"/>
    <x v="0"/>
    <n v="2.8"/>
    <x v="0"/>
    <s v="Express"/>
    <s v="Yes"/>
    <s v="Yes"/>
    <n v="30"/>
    <s v="Venmo"/>
    <x v="6"/>
  </r>
  <r>
    <n v="805"/>
    <x v="49"/>
    <s v="Male"/>
    <x v="23"/>
    <x v="1"/>
    <n v="47"/>
    <s v="Mississippi"/>
    <x v="2"/>
    <x v="1"/>
    <x v="2"/>
    <n v="2.6"/>
    <x v="0"/>
    <s v="Store Pickup"/>
    <s v="Yes"/>
    <s v="Yes"/>
    <n v="28"/>
    <s v="Venmo"/>
    <x v="3"/>
  </r>
  <r>
    <n v="806"/>
    <x v="38"/>
    <s v="Male"/>
    <x v="10"/>
    <x v="0"/>
    <n v="30"/>
    <s v="Connecticut"/>
    <x v="0"/>
    <x v="3"/>
    <x v="2"/>
    <n v="3.7"/>
    <x v="0"/>
    <s v="Next Day Air"/>
    <s v="Yes"/>
    <s v="Yes"/>
    <n v="40"/>
    <s v="Debit Card"/>
    <x v="5"/>
  </r>
  <r>
    <n v="807"/>
    <x v="19"/>
    <s v="Male"/>
    <x v="2"/>
    <x v="0"/>
    <n v="56"/>
    <s v="Florida"/>
    <x v="0"/>
    <x v="4"/>
    <x v="2"/>
    <n v="2.7"/>
    <x v="0"/>
    <s v="Standard"/>
    <s v="Yes"/>
    <s v="Yes"/>
    <n v="46"/>
    <s v="PayPal"/>
    <x v="3"/>
  </r>
  <r>
    <n v="808"/>
    <x v="7"/>
    <s v="Male"/>
    <x v="17"/>
    <x v="0"/>
    <n v="89"/>
    <s v="New York"/>
    <x v="1"/>
    <x v="18"/>
    <x v="0"/>
    <n v="3.3"/>
    <x v="0"/>
    <s v="Express"/>
    <s v="Yes"/>
    <s v="Yes"/>
    <n v="15"/>
    <s v="Credit Card"/>
    <x v="1"/>
  </r>
  <r>
    <n v="809"/>
    <x v="5"/>
    <s v="Male"/>
    <x v="9"/>
    <x v="1"/>
    <n v="96"/>
    <s v="Wisconsin"/>
    <x v="0"/>
    <x v="12"/>
    <x v="3"/>
    <n v="4.5999999999999996"/>
    <x v="0"/>
    <s v="Next Day Air"/>
    <s v="Yes"/>
    <s v="Yes"/>
    <n v="38"/>
    <s v="Cash"/>
    <x v="6"/>
  </r>
  <r>
    <n v="810"/>
    <x v="39"/>
    <s v="Male"/>
    <x v="23"/>
    <x v="1"/>
    <n v="81"/>
    <s v="South Carolina"/>
    <x v="2"/>
    <x v="10"/>
    <x v="3"/>
    <n v="4.9000000000000004"/>
    <x v="0"/>
    <s v="Next Day Air"/>
    <s v="Yes"/>
    <s v="Yes"/>
    <n v="30"/>
    <s v="PayPal"/>
    <x v="4"/>
  </r>
  <r>
    <n v="811"/>
    <x v="16"/>
    <s v="Male"/>
    <x v="18"/>
    <x v="3"/>
    <n v="83"/>
    <s v="South Dakota"/>
    <x v="1"/>
    <x v="12"/>
    <x v="3"/>
    <n v="4.9000000000000004"/>
    <x v="0"/>
    <s v="Store Pickup"/>
    <s v="Yes"/>
    <s v="Yes"/>
    <n v="32"/>
    <s v="Debit Card"/>
    <x v="4"/>
  </r>
  <r>
    <n v="812"/>
    <x v="20"/>
    <s v="Male"/>
    <x v="4"/>
    <x v="1"/>
    <n v="35"/>
    <s v="Illinois"/>
    <x v="2"/>
    <x v="14"/>
    <x v="0"/>
    <n v="2.7"/>
    <x v="0"/>
    <s v="Free Shipping"/>
    <s v="Yes"/>
    <s v="Yes"/>
    <n v="36"/>
    <s v="Venmo"/>
    <x v="3"/>
  </r>
  <r>
    <n v="813"/>
    <x v="14"/>
    <s v="Male"/>
    <x v="23"/>
    <x v="1"/>
    <n v="56"/>
    <s v="Alaska"/>
    <x v="2"/>
    <x v="8"/>
    <x v="2"/>
    <n v="3.2"/>
    <x v="0"/>
    <s v="Standard"/>
    <s v="Yes"/>
    <s v="Yes"/>
    <n v="32"/>
    <s v="Credit Card"/>
    <x v="1"/>
  </r>
  <r>
    <n v="814"/>
    <x v="22"/>
    <s v="Male"/>
    <x v="8"/>
    <x v="3"/>
    <n v="45"/>
    <s v="Montana"/>
    <x v="1"/>
    <x v="8"/>
    <x v="2"/>
    <n v="2.9"/>
    <x v="0"/>
    <s v="Store Pickup"/>
    <s v="Yes"/>
    <s v="Yes"/>
    <n v="14"/>
    <s v="Debit Card"/>
    <x v="2"/>
  </r>
  <r>
    <n v="815"/>
    <x v="18"/>
    <s v="Male"/>
    <x v="5"/>
    <x v="0"/>
    <n v="62"/>
    <s v="Minnesota"/>
    <x v="2"/>
    <x v="6"/>
    <x v="0"/>
    <n v="3.8"/>
    <x v="0"/>
    <s v="Express"/>
    <s v="Yes"/>
    <s v="Yes"/>
    <n v="8"/>
    <s v="PayPal"/>
    <x v="5"/>
  </r>
  <r>
    <n v="816"/>
    <x v="11"/>
    <s v="Male"/>
    <x v="19"/>
    <x v="3"/>
    <n v="84"/>
    <s v="West Virginia"/>
    <x v="0"/>
    <x v="11"/>
    <x v="1"/>
    <n v="3"/>
    <x v="0"/>
    <s v="Next Day Air"/>
    <s v="Yes"/>
    <s v="Yes"/>
    <n v="27"/>
    <s v="Venmo"/>
    <x v="4"/>
  </r>
  <r>
    <n v="817"/>
    <x v="8"/>
    <s v="Male"/>
    <x v="1"/>
    <x v="0"/>
    <n v="24"/>
    <s v="Illinois"/>
    <x v="0"/>
    <x v="17"/>
    <x v="2"/>
    <n v="3.9"/>
    <x v="0"/>
    <s v="Store Pickup"/>
    <s v="Yes"/>
    <s v="Yes"/>
    <n v="24"/>
    <s v="Debit Card"/>
    <x v="5"/>
  </r>
  <r>
    <n v="818"/>
    <x v="15"/>
    <s v="Male"/>
    <x v="8"/>
    <x v="3"/>
    <n v="21"/>
    <s v="Nevada"/>
    <x v="1"/>
    <x v="0"/>
    <x v="1"/>
    <n v="4.7"/>
    <x v="0"/>
    <s v="Store Pickup"/>
    <s v="Yes"/>
    <s v="Yes"/>
    <n v="30"/>
    <s v="PayPal"/>
    <x v="0"/>
  </r>
  <r>
    <n v="819"/>
    <x v="35"/>
    <s v="Male"/>
    <x v="5"/>
    <x v="0"/>
    <n v="91"/>
    <s v="Idaho"/>
    <x v="2"/>
    <x v="15"/>
    <x v="0"/>
    <n v="4.9000000000000004"/>
    <x v="0"/>
    <s v="Store Pickup"/>
    <s v="Yes"/>
    <s v="Yes"/>
    <n v="34"/>
    <s v="Debit Card"/>
    <x v="5"/>
  </r>
  <r>
    <n v="820"/>
    <x v="0"/>
    <s v="Male"/>
    <x v="12"/>
    <x v="3"/>
    <n v="36"/>
    <s v="Colorado"/>
    <x v="1"/>
    <x v="11"/>
    <x v="0"/>
    <n v="4.8"/>
    <x v="0"/>
    <s v="Next Day Air"/>
    <s v="Yes"/>
    <s v="Yes"/>
    <n v="28"/>
    <s v="Debit Card"/>
    <x v="3"/>
  </r>
  <r>
    <n v="821"/>
    <x v="19"/>
    <s v="Male"/>
    <x v="4"/>
    <x v="1"/>
    <n v="39"/>
    <s v="Louisiana"/>
    <x v="2"/>
    <x v="2"/>
    <x v="1"/>
    <n v="2.5"/>
    <x v="0"/>
    <s v="2-Day Shipping"/>
    <s v="Yes"/>
    <s v="Yes"/>
    <n v="27"/>
    <s v="Debit Card"/>
    <x v="5"/>
  </r>
  <r>
    <n v="822"/>
    <x v="46"/>
    <s v="Male"/>
    <x v="15"/>
    <x v="0"/>
    <n v="39"/>
    <s v="Vermont"/>
    <x v="2"/>
    <x v="14"/>
    <x v="1"/>
    <n v="3.9"/>
    <x v="0"/>
    <s v="Standard"/>
    <s v="Yes"/>
    <s v="Yes"/>
    <n v="31"/>
    <s v="Credit Card"/>
    <x v="4"/>
  </r>
  <r>
    <n v="823"/>
    <x v="25"/>
    <s v="Male"/>
    <x v="5"/>
    <x v="0"/>
    <n v="59"/>
    <s v="Mississippi"/>
    <x v="0"/>
    <x v="23"/>
    <x v="0"/>
    <n v="3.4"/>
    <x v="0"/>
    <s v="Standard"/>
    <s v="Yes"/>
    <s v="Yes"/>
    <n v="23"/>
    <s v="Bank Transfer"/>
    <x v="2"/>
  </r>
  <r>
    <n v="824"/>
    <x v="47"/>
    <s v="Male"/>
    <x v="12"/>
    <x v="3"/>
    <n v="27"/>
    <s v="Georgia"/>
    <x v="2"/>
    <x v="14"/>
    <x v="0"/>
    <n v="2.5"/>
    <x v="0"/>
    <s v="Free Shipping"/>
    <s v="Yes"/>
    <s v="Yes"/>
    <n v="11"/>
    <s v="Credit Card"/>
    <x v="3"/>
  </r>
  <r>
    <n v="825"/>
    <x v="12"/>
    <s v="Male"/>
    <x v="0"/>
    <x v="0"/>
    <n v="94"/>
    <s v="Georgia"/>
    <x v="2"/>
    <x v="3"/>
    <x v="1"/>
    <n v="3"/>
    <x v="0"/>
    <s v="Store Pickup"/>
    <s v="Yes"/>
    <s v="Yes"/>
    <n v="48"/>
    <s v="Cash"/>
    <x v="3"/>
  </r>
  <r>
    <n v="826"/>
    <x v="7"/>
    <s v="Male"/>
    <x v="22"/>
    <x v="3"/>
    <n v="94"/>
    <s v="Nebraska"/>
    <x v="3"/>
    <x v="18"/>
    <x v="3"/>
    <n v="3.6"/>
    <x v="0"/>
    <s v="Next Day Air"/>
    <s v="Yes"/>
    <s v="Yes"/>
    <n v="17"/>
    <s v="Cash"/>
    <x v="5"/>
  </r>
  <r>
    <n v="827"/>
    <x v="22"/>
    <s v="Male"/>
    <x v="10"/>
    <x v="0"/>
    <n v="94"/>
    <s v="Massachusetts"/>
    <x v="2"/>
    <x v="7"/>
    <x v="0"/>
    <n v="3.6"/>
    <x v="0"/>
    <s v="Standard"/>
    <s v="Yes"/>
    <s v="Yes"/>
    <n v="36"/>
    <s v="PayPal"/>
    <x v="1"/>
  </r>
  <r>
    <n v="828"/>
    <x v="18"/>
    <s v="Male"/>
    <x v="9"/>
    <x v="1"/>
    <n v="51"/>
    <s v="Colorado"/>
    <x v="1"/>
    <x v="14"/>
    <x v="3"/>
    <n v="4.0999999999999996"/>
    <x v="0"/>
    <s v="Free Shipping"/>
    <s v="Yes"/>
    <s v="Yes"/>
    <n v="33"/>
    <s v="Bank Transfer"/>
    <x v="0"/>
  </r>
  <r>
    <n v="829"/>
    <x v="41"/>
    <s v="Male"/>
    <x v="20"/>
    <x v="0"/>
    <n v="62"/>
    <s v="Nevada"/>
    <x v="2"/>
    <x v="15"/>
    <x v="3"/>
    <n v="3.7"/>
    <x v="0"/>
    <s v="2-Day Shipping"/>
    <s v="Yes"/>
    <s v="Yes"/>
    <n v="27"/>
    <s v="PayPal"/>
    <x v="4"/>
  </r>
  <r>
    <n v="830"/>
    <x v="32"/>
    <s v="Male"/>
    <x v="20"/>
    <x v="0"/>
    <n v="57"/>
    <s v="Idaho"/>
    <x v="1"/>
    <x v="5"/>
    <x v="1"/>
    <n v="3.1"/>
    <x v="0"/>
    <s v="2-Day Shipping"/>
    <s v="Yes"/>
    <s v="Yes"/>
    <n v="14"/>
    <s v="Credit Card"/>
    <x v="0"/>
  </r>
  <r>
    <n v="831"/>
    <x v="38"/>
    <s v="Male"/>
    <x v="6"/>
    <x v="0"/>
    <n v="76"/>
    <s v="Wyoming"/>
    <x v="2"/>
    <x v="1"/>
    <x v="3"/>
    <n v="4.2"/>
    <x v="0"/>
    <s v="Express"/>
    <s v="Yes"/>
    <s v="Yes"/>
    <n v="5"/>
    <s v="Credit Card"/>
    <x v="2"/>
  </r>
  <r>
    <n v="832"/>
    <x v="17"/>
    <s v="Male"/>
    <x v="24"/>
    <x v="3"/>
    <n v="63"/>
    <s v="Washington"/>
    <x v="2"/>
    <x v="16"/>
    <x v="2"/>
    <n v="4.3"/>
    <x v="0"/>
    <s v="Express"/>
    <s v="Yes"/>
    <s v="Yes"/>
    <n v="47"/>
    <s v="Cash"/>
    <x v="6"/>
  </r>
  <r>
    <n v="833"/>
    <x v="44"/>
    <s v="Male"/>
    <x v="14"/>
    <x v="2"/>
    <n v="80"/>
    <s v="California"/>
    <x v="0"/>
    <x v="24"/>
    <x v="3"/>
    <n v="2.5"/>
    <x v="0"/>
    <s v="Express"/>
    <s v="Yes"/>
    <s v="Yes"/>
    <n v="28"/>
    <s v="Cash"/>
    <x v="4"/>
  </r>
  <r>
    <n v="834"/>
    <x v="49"/>
    <s v="Male"/>
    <x v="8"/>
    <x v="3"/>
    <n v="68"/>
    <s v="Oklahoma"/>
    <x v="2"/>
    <x v="7"/>
    <x v="3"/>
    <n v="3.5"/>
    <x v="0"/>
    <s v="Standard"/>
    <s v="Yes"/>
    <s v="Yes"/>
    <n v="11"/>
    <s v="Credit Card"/>
    <x v="2"/>
  </r>
  <r>
    <n v="835"/>
    <x v="16"/>
    <s v="Male"/>
    <x v="21"/>
    <x v="3"/>
    <n v="89"/>
    <s v="Nevada"/>
    <x v="2"/>
    <x v="21"/>
    <x v="2"/>
    <n v="3.1"/>
    <x v="0"/>
    <s v="Free Shipping"/>
    <s v="Yes"/>
    <s v="Yes"/>
    <n v="18"/>
    <s v="Credit Card"/>
    <x v="1"/>
  </r>
  <r>
    <n v="836"/>
    <x v="25"/>
    <s v="Male"/>
    <x v="23"/>
    <x v="1"/>
    <n v="26"/>
    <s v="Maryland"/>
    <x v="0"/>
    <x v="21"/>
    <x v="2"/>
    <n v="2.5"/>
    <x v="0"/>
    <s v="Next Day Air"/>
    <s v="Yes"/>
    <s v="Yes"/>
    <n v="21"/>
    <s v="Debit Card"/>
    <x v="1"/>
  </r>
  <r>
    <n v="837"/>
    <x v="51"/>
    <s v="Male"/>
    <x v="24"/>
    <x v="3"/>
    <n v="90"/>
    <s v="West Virginia"/>
    <x v="0"/>
    <x v="10"/>
    <x v="0"/>
    <n v="3.9"/>
    <x v="0"/>
    <s v="Store Pickup"/>
    <s v="Yes"/>
    <s v="Yes"/>
    <n v="22"/>
    <s v="Cash"/>
    <x v="4"/>
  </r>
  <r>
    <n v="838"/>
    <x v="15"/>
    <s v="Male"/>
    <x v="15"/>
    <x v="0"/>
    <n v="28"/>
    <s v="Illinois"/>
    <x v="0"/>
    <x v="18"/>
    <x v="1"/>
    <n v="4.9000000000000004"/>
    <x v="0"/>
    <s v="Express"/>
    <s v="Yes"/>
    <s v="Yes"/>
    <n v="33"/>
    <s v="Cash"/>
    <x v="6"/>
  </r>
  <r>
    <n v="839"/>
    <x v="23"/>
    <s v="Male"/>
    <x v="7"/>
    <x v="2"/>
    <n v="29"/>
    <s v="Kentucky"/>
    <x v="2"/>
    <x v="0"/>
    <x v="1"/>
    <n v="4.3"/>
    <x v="0"/>
    <s v="Express"/>
    <s v="Yes"/>
    <s v="Yes"/>
    <n v="49"/>
    <s v="Credit Card"/>
    <x v="2"/>
  </r>
  <r>
    <n v="840"/>
    <x v="39"/>
    <s v="Male"/>
    <x v="5"/>
    <x v="0"/>
    <n v="31"/>
    <s v="Illinois"/>
    <x v="0"/>
    <x v="11"/>
    <x v="1"/>
    <n v="2.6"/>
    <x v="0"/>
    <s v="Free Shipping"/>
    <s v="Yes"/>
    <s v="Yes"/>
    <n v="10"/>
    <s v="Debit Card"/>
    <x v="6"/>
  </r>
  <r>
    <n v="841"/>
    <x v="32"/>
    <s v="Male"/>
    <x v="5"/>
    <x v="0"/>
    <n v="24"/>
    <s v="Alabama"/>
    <x v="0"/>
    <x v="11"/>
    <x v="2"/>
    <n v="4.2"/>
    <x v="0"/>
    <s v="2-Day Shipping"/>
    <s v="Yes"/>
    <s v="Yes"/>
    <n v="18"/>
    <s v="PayPal"/>
    <x v="1"/>
  </r>
  <r>
    <n v="842"/>
    <x v="0"/>
    <s v="Male"/>
    <x v="1"/>
    <x v="0"/>
    <n v="88"/>
    <s v="Texas"/>
    <x v="2"/>
    <x v="19"/>
    <x v="2"/>
    <n v="2.6"/>
    <x v="0"/>
    <s v="Store Pickup"/>
    <s v="Yes"/>
    <s v="Yes"/>
    <n v="28"/>
    <s v="PayPal"/>
    <x v="0"/>
  </r>
  <r>
    <n v="843"/>
    <x v="35"/>
    <s v="Male"/>
    <x v="5"/>
    <x v="0"/>
    <n v="87"/>
    <s v="Missouri"/>
    <x v="2"/>
    <x v="10"/>
    <x v="1"/>
    <n v="3.6"/>
    <x v="0"/>
    <s v="Express"/>
    <s v="Yes"/>
    <s v="Yes"/>
    <n v="25"/>
    <s v="PayPal"/>
    <x v="1"/>
  </r>
  <r>
    <n v="844"/>
    <x v="13"/>
    <s v="Male"/>
    <x v="15"/>
    <x v="0"/>
    <n v="80"/>
    <s v="Pennsylvania"/>
    <x v="1"/>
    <x v="19"/>
    <x v="2"/>
    <n v="3.2"/>
    <x v="0"/>
    <s v="Express"/>
    <s v="Yes"/>
    <s v="Yes"/>
    <n v="6"/>
    <s v="PayPal"/>
    <x v="1"/>
  </r>
  <r>
    <n v="845"/>
    <x v="35"/>
    <s v="Male"/>
    <x v="3"/>
    <x v="1"/>
    <n v="48"/>
    <s v="Missouri"/>
    <x v="0"/>
    <x v="7"/>
    <x v="0"/>
    <n v="4.4000000000000004"/>
    <x v="0"/>
    <s v="Express"/>
    <s v="Yes"/>
    <s v="Yes"/>
    <n v="44"/>
    <s v="Venmo"/>
    <x v="4"/>
  </r>
  <r>
    <n v="846"/>
    <x v="18"/>
    <s v="Male"/>
    <x v="22"/>
    <x v="3"/>
    <n v="21"/>
    <s v="Michigan"/>
    <x v="3"/>
    <x v="4"/>
    <x v="0"/>
    <n v="3.7"/>
    <x v="0"/>
    <s v="Standard"/>
    <s v="Yes"/>
    <s v="Yes"/>
    <n v="30"/>
    <s v="Venmo"/>
    <x v="5"/>
  </r>
  <r>
    <n v="847"/>
    <x v="34"/>
    <s v="Male"/>
    <x v="23"/>
    <x v="1"/>
    <n v="72"/>
    <s v="Kentucky"/>
    <x v="2"/>
    <x v="6"/>
    <x v="1"/>
    <n v="3.7"/>
    <x v="0"/>
    <s v="Express"/>
    <s v="Yes"/>
    <s v="Yes"/>
    <n v="42"/>
    <s v="Debit Card"/>
    <x v="3"/>
  </r>
  <r>
    <n v="848"/>
    <x v="10"/>
    <s v="Male"/>
    <x v="15"/>
    <x v="0"/>
    <n v="44"/>
    <s v="New Jersey"/>
    <x v="0"/>
    <x v="24"/>
    <x v="3"/>
    <n v="4.0999999999999996"/>
    <x v="0"/>
    <s v="Standard"/>
    <s v="Yes"/>
    <s v="Yes"/>
    <n v="30"/>
    <s v="PayPal"/>
    <x v="5"/>
  </r>
  <r>
    <n v="849"/>
    <x v="39"/>
    <s v="Male"/>
    <x v="3"/>
    <x v="1"/>
    <n v="73"/>
    <s v="Delaware"/>
    <x v="2"/>
    <x v="12"/>
    <x v="3"/>
    <n v="3.6"/>
    <x v="0"/>
    <s v="Store Pickup"/>
    <s v="Yes"/>
    <s v="Yes"/>
    <n v="33"/>
    <s v="Credit Card"/>
    <x v="4"/>
  </r>
  <r>
    <n v="850"/>
    <x v="51"/>
    <s v="Male"/>
    <x v="2"/>
    <x v="0"/>
    <n v="61"/>
    <s v="Missouri"/>
    <x v="1"/>
    <x v="4"/>
    <x v="1"/>
    <n v="4.3"/>
    <x v="0"/>
    <s v="Express"/>
    <s v="Yes"/>
    <s v="Yes"/>
    <n v="24"/>
    <s v="PayPal"/>
    <x v="3"/>
  </r>
  <r>
    <n v="851"/>
    <x v="33"/>
    <s v="Male"/>
    <x v="9"/>
    <x v="1"/>
    <n v="20"/>
    <s v="Connecticut"/>
    <x v="0"/>
    <x v="2"/>
    <x v="0"/>
    <n v="2.6"/>
    <x v="0"/>
    <s v="Store Pickup"/>
    <s v="Yes"/>
    <s v="Yes"/>
    <n v="13"/>
    <s v="Venmo"/>
    <x v="5"/>
  </r>
  <r>
    <n v="852"/>
    <x v="25"/>
    <s v="Male"/>
    <x v="3"/>
    <x v="1"/>
    <n v="86"/>
    <s v="Massachusetts"/>
    <x v="2"/>
    <x v="16"/>
    <x v="2"/>
    <n v="2.9"/>
    <x v="0"/>
    <s v="Express"/>
    <s v="Yes"/>
    <s v="Yes"/>
    <n v="19"/>
    <s v="Debit Card"/>
    <x v="5"/>
  </r>
  <r>
    <n v="853"/>
    <x v="50"/>
    <s v="Male"/>
    <x v="10"/>
    <x v="0"/>
    <n v="60"/>
    <s v="Florida"/>
    <x v="0"/>
    <x v="22"/>
    <x v="1"/>
    <n v="4.2"/>
    <x v="0"/>
    <s v="Next Day Air"/>
    <s v="Yes"/>
    <s v="Yes"/>
    <n v="23"/>
    <s v="Debit Card"/>
    <x v="6"/>
  </r>
  <r>
    <n v="854"/>
    <x v="46"/>
    <s v="Male"/>
    <x v="19"/>
    <x v="3"/>
    <n v="43"/>
    <s v="Delaware"/>
    <x v="0"/>
    <x v="20"/>
    <x v="0"/>
    <n v="4"/>
    <x v="0"/>
    <s v="Free Shipping"/>
    <s v="Yes"/>
    <s v="Yes"/>
    <n v="35"/>
    <s v="Cash"/>
    <x v="5"/>
  </r>
  <r>
    <n v="855"/>
    <x v="3"/>
    <s v="Male"/>
    <x v="13"/>
    <x v="0"/>
    <n v="44"/>
    <s v="California"/>
    <x v="0"/>
    <x v="24"/>
    <x v="1"/>
    <n v="4.3"/>
    <x v="0"/>
    <s v="Free Shipping"/>
    <s v="Yes"/>
    <s v="Yes"/>
    <n v="22"/>
    <s v="Venmo"/>
    <x v="5"/>
  </r>
  <r>
    <n v="856"/>
    <x v="27"/>
    <s v="Male"/>
    <x v="20"/>
    <x v="0"/>
    <n v="76"/>
    <s v="Oregon"/>
    <x v="0"/>
    <x v="9"/>
    <x v="1"/>
    <n v="3"/>
    <x v="0"/>
    <s v="2-Day Shipping"/>
    <s v="Yes"/>
    <s v="Yes"/>
    <n v="14"/>
    <s v="Credit Card"/>
    <x v="3"/>
  </r>
  <r>
    <n v="857"/>
    <x v="0"/>
    <s v="Male"/>
    <x v="5"/>
    <x v="0"/>
    <n v="33"/>
    <s v="Alaska"/>
    <x v="2"/>
    <x v="9"/>
    <x v="2"/>
    <n v="3.5"/>
    <x v="0"/>
    <s v="Express"/>
    <s v="Yes"/>
    <s v="Yes"/>
    <n v="47"/>
    <s v="Debit Card"/>
    <x v="0"/>
  </r>
  <r>
    <n v="858"/>
    <x v="49"/>
    <s v="Male"/>
    <x v="6"/>
    <x v="0"/>
    <n v="60"/>
    <s v="Missouri"/>
    <x v="0"/>
    <x v="17"/>
    <x v="3"/>
    <n v="3"/>
    <x v="0"/>
    <s v="Standard"/>
    <s v="Yes"/>
    <s v="Yes"/>
    <n v="50"/>
    <s v="Debit Card"/>
    <x v="6"/>
  </r>
  <r>
    <n v="859"/>
    <x v="1"/>
    <s v="Male"/>
    <x v="14"/>
    <x v="2"/>
    <n v="26"/>
    <s v="Oklahoma"/>
    <x v="0"/>
    <x v="8"/>
    <x v="3"/>
    <n v="3.1"/>
    <x v="0"/>
    <s v="Free Shipping"/>
    <s v="Yes"/>
    <s v="Yes"/>
    <n v="33"/>
    <s v="PayPal"/>
    <x v="1"/>
  </r>
  <r>
    <n v="860"/>
    <x v="36"/>
    <s v="Male"/>
    <x v="15"/>
    <x v="0"/>
    <n v="73"/>
    <s v="Wisconsin"/>
    <x v="2"/>
    <x v="11"/>
    <x v="0"/>
    <n v="4"/>
    <x v="0"/>
    <s v="Next Day Air"/>
    <s v="Yes"/>
    <s v="Yes"/>
    <n v="7"/>
    <s v="Debit Card"/>
    <x v="5"/>
  </r>
  <r>
    <n v="861"/>
    <x v="8"/>
    <s v="Male"/>
    <x v="9"/>
    <x v="1"/>
    <n v="87"/>
    <s v="South Carolina"/>
    <x v="2"/>
    <x v="1"/>
    <x v="1"/>
    <n v="4.0999999999999996"/>
    <x v="0"/>
    <s v="Standard"/>
    <s v="Yes"/>
    <s v="Yes"/>
    <n v="3"/>
    <s v="Cash"/>
    <x v="5"/>
  </r>
  <r>
    <n v="862"/>
    <x v="5"/>
    <s v="Male"/>
    <x v="11"/>
    <x v="0"/>
    <n v="100"/>
    <s v="Virginia"/>
    <x v="3"/>
    <x v="14"/>
    <x v="1"/>
    <n v="3.3"/>
    <x v="0"/>
    <s v="2-Day Shipping"/>
    <s v="Yes"/>
    <s v="Yes"/>
    <n v="35"/>
    <s v="Credit Card"/>
    <x v="6"/>
  </r>
  <r>
    <n v="863"/>
    <x v="1"/>
    <s v="Male"/>
    <x v="7"/>
    <x v="2"/>
    <n v="84"/>
    <s v="Arkansas"/>
    <x v="2"/>
    <x v="4"/>
    <x v="0"/>
    <n v="4.9000000000000004"/>
    <x v="0"/>
    <s v="Standard"/>
    <s v="Yes"/>
    <s v="Yes"/>
    <n v="13"/>
    <s v="PayPal"/>
    <x v="0"/>
  </r>
  <r>
    <n v="864"/>
    <x v="34"/>
    <s v="Male"/>
    <x v="4"/>
    <x v="1"/>
    <n v="41"/>
    <s v="Vermont"/>
    <x v="2"/>
    <x v="17"/>
    <x v="2"/>
    <n v="3.9"/>
    <x v="0"/>
    <s v="Standard"/>
    <s v="Yes"/>
    <s v="Yes"/>
    <n v="42"/>
    <s v="PayPal"/>
    <x v="0"/>
  </r>
  <r>
    <n v="865"/>
    <x v="47"/>
    <s v="Male"/>
    <x v="2"/>
    <x v="0"/>
    <n v="59"/>
    <s v="Kentucky"/>
    <x v="1"/>
    <x v="4"/>
    <x v="0"/>
    <n v="3.9"/>
    <x v="0"/>
    <s v="Next Day Air"/>
    <s v="Yes"/>
    <s v="Yes"/>
    <n v="5"/>
    <s v="PayPal"/>
    <x v="2"/>
  </r>
  <r>
    <n v="866"/>
    <x v="14"/>
    <s v="Male"/>
    <x v="0"/>
    <x v="0"/>
    <n v="26"/>
    <s v="Colorado"/>
    <x v="0"/>
    <x v="4"/>
    <x v="0"/>
    <n v="4.8"/>
    <x v="0"/>
    <s v="Store Pickup"/>
    <s v="Yes"/>
    <s v="Yes"/>
    <n v="23"/>
    <s v="Venmo"/>
    <x v="2"/>
  </r>
  <r>
    <n v="867"/>
    <x v="29"/>
    <s v="Male"/>
    <x v="12"/>
    <x v="3"/>
    <n v="69"/>
    <s v="New Mexico"/>
    <x v="2"/>
    <x v="12"/>
    <x v="2"/>
    <n v="2.7"/>
    <x v="0"/>
    <s v="Free Shipping"/>
    <s v="Yes"/>
    <s v="Yes"/>
    <n v="11"/>
    <s v="PayPal"/>
    <x v="4"/>
  </r>
  <r>
    <n v="868"/>
    <x v="43"/>
    <s v="Male"/>
    <x v="14"/>
    <x v="2"/>
    <n v="20"/>
    <s v="Colorado"/>
    <x v="2"/>
    <x v="2"/>
    <x v="1"/>
    <n v="3.1"/>
    <x v="0"/>
    <s v="Free Shipping"/>
    <s v="Yes"/>
    <s v="Yes"/>
    <n v="23"/>
    <s v="Bank Transfer"/>
    <x v="0"/>
  </r>
  <r>
    <n v="869"/>
    <x v="37"/>
    <s v="Male"/>
    <x v="10"/>
    <x v="0"/>
    <n v="83"/>
    <s v="North Carolina"/>
    <x v="2"/>
    <x v="14"/>
    <x v="2"/>
    <n v="3.2"/>
    <x v="0"/>
    <s v="Next Day Air"/>
    <s v="Yes"/>
    <s v="Yes"/>
    <n v="2"/>
    <s v="Credit Card"/>
    <x v="6"/>
  </r>
  <r>
    <n v="870"/>
    <x v="21"/>
    <s v="Male"/>
    <x v="19"/>
    <x v="3"/>
    <n v="54"/>
    <s v="New Hampshire"/>
    <x v="2"/>
    <x v="5"/>
    <x v="1"/>
    <n v="2.7"/>
    <x v="0"/>
    <s v="2-Day Shipping"/>
    <s v="Yes"/>
    <s v="Yes"/>
    <n v="33"/>
    <s v="PayPal"/>
    <x v="1"/>
  </r>
  <r>
    <n v="871"/>
    <x v="17"/>
    <s v="Male"/>
    <x v="15"/>
    <x v="0"/>
    <n v="66"/>
    <s v="West Virginia"/>
    <x v="2"/>
    <x v="24"/>
    <x v="3"/>
    <n v="2.5"/>
    <x v="0"/>
    <s v="Standard"/>
    <s v="Yes"/>
    <s v="Yes"/>
    <n v="6"/>
    <s v="Bank Transfer"/>
    <x v="4"/>
  </r>
  <r>
    <n v="872"/>
    <x v="36"/>
    <s v="Male"/>
    <x v="8"/>
    <x v="3"/>
    <n v="42"/>
    <s v="Hawaii"/>
    <x v="2"/>
    <x v="4"/>
    <x v="1"/>
    <n v="2.6"/>
    <x v="0"/>
    <s v="Next Day Air"/>
    <s v="Yes"/>
    <s v="Yes"/>
    <n v="45"/>
    <s v="Debit Card"/>
    <x v="3"/>
  </r>
  <r>
    <n v="873"/>
    <x v="19"/>
    <s v="Male"/>
    <x v="2"/>
    <x v="0"/>
    <n v="33"/>
    <s v="North Dakota"/>
    <x v="2"/>
    <x v="6"/>
    <x v="1"/>
    <n v="2.9"/>
    <x v="0"/>
    <s v="Standard"/>
    <s v="Yes"/>
    <s v="Yes"/>
    <n v="25"/>
    <s v="Cash"/>
    <x v="3"/>
  </r>
  <r>
    <n v="874"/>
    <x v="47"/>
    <s v="Male"/>
    <x v="23"/>
    <x v="1"/>
    <n v="77"/>
    <s v="Mississippi"/>
    <x v="2"/>
    <x v="6"/>
    <x v="2"/>
    <n v="4.2"/>
    <x v="0"/>
    <s v="Free Shipping"/>
    <s v="Yes"/>
    <s v="Yes"/>
    <n v="24"/>
    <s v="Venmo"/>
    <x v="3"/>
  </r>
  <r>
    <n v="875"/>
    <x v="15"/>
    <s v="Male"/>
    <x v="14"/>
    <x v="2"/>
    <n v="65"/>
    <s v="Maine"/>
    <x v="2"/>
    <x v="23"/>
    <x v="3"/>
    <n v="4.4000000000000004"/>
    <x v="0"/>
    <s v="Free Shipping"/>
    <s v="Yes"/>
    <s v="Yes"/>
    <n v="10"/>
    <s v="Venmo"/>
    <x v="6"/>
  </r>
  <r>
    <n v="876"/>
    <x v="43"/>
    <s v="Male"/>
    <x v="3"/>
    <x v="1"/>
    <n v="39"/>
    <s v="North Dakota"/>
    <x v="0"/>
    <x v="0"/>
    <x v="2"/>
    <n v="4.0999999999999996"/>
    <x v="0"/>
    <s v="Free Shipping"/>
    <s v="Yes"/>
    <s v="Yes"/>
    <n v="7"/>
    <s v="Bank Transfer"/>
    <x v="6"/>
  </r>
  <r>
    <n v="877"/>
    <x v="38"/>
    <s v="Male"/>
    <x v="22"/>
    <x v="3"/>
    <n v="51"/>
    <s v="Nebraska"/>
    <x v="0"/>
    <x v="0"/>
    <x v="2"/>
    <n v="3.8"/>
    <x v="0"/>
    <s v="2-Day Shipping"/>
    <s v="Yes"/>
    <s v="Yes"/>
    <n v="1"/>
    <s v="Debit Card"/>
    <x v="1"/>
  </r>
  <r>
    <n v="878"/>
    <x v="14"/>
    <s v="Male"/>
    <x v="8"/>
    <x v="3"/>
    <n v="65"/>
    <s v="Nebraska"/>
    <x v="2"/>
    <x v="20"/>
    <x v="0"/>
    <n v="4.9000000000000004"/>
    <x v="0"/>
    <s v="Next Day Air"/>
    <s v="Yes"/>
    <s v="Yes"/>
    <n v="45"/>
    <s v="Venmo"/>
    <x v="6"/>
  </r>
  <r>
    <n v="879"/>
    <x v="51"/>
    <s v="Male"/>
    <x v="12"/>
    <x v="3"/>
    <n v="89"/>
    <s v="Tennessee"/>
    <x v="1"/>
    <x v="13"/>
    <x v="2"/>
    <n v="4.9000000000000004"/>
    <x v="0"/>
    <s v="Express"/>
    <s v="Yes"/>
    <s v="Yes"/>
    <n v="37"/>
    <s v="Debit Card"/>
    <x v="1"/>
  </r>
  <r>
    <n v="880"/>
    <x v="46"/>
    <s v="Male"/>
    <x v="11"/>
    <x v="0"/>
    <n v="76"/>
    <s v="Wyoming"/>
    <x v="1"/>
    <x v="12"/>
    <x v="1"/>
    <n v="4.0999999999999996"/>
    <x v="0"/>
    <s v="Free Shipping"/>
    <s v="Yes"/>
    <s v="Yes"/>
    <n v="14"/>
    <s v="PayPal"/>
    <x v="3"/>
  </r>
  <r>
    <n v="881"/>
    <x v="31"/>
    <s v="Male"/>
    <x v="21"/>
    <x v="3"/>
    <n v="75"/>
    <s v="Nevada"/>
    <x v="0"/>
    <x v="16"/>
    <x v="1"/>
    <n v="3.1"/>
    <x v="0"/>
    <s v="Express"/>
    <s v="Yes"/>
    <s v="Yes"/>
    <n v="25"/>
    <s v="Debit Card"/>
    <x v="5"/>
  </r>
  <r>
    <n v="882"/>
    <x v="16"/>
    <s v="Male"/>
    <x v="3"/>
    <x v="1"/>
    <n v="61"/>
    <s v="South Carolina"/>
    <x v="2"/>
    <x v="5"/>
    <x v="2"/>
    <n v="2.7"/>
    <x v="0"/>
    <s v="Next Day Air"/>
    <s v="Yes"/>
    <s v="Yes"/>
    <n v="18"/>
    <s v="Venmo"/>
    <x v="2"/>
  </r>
  <r>
    <n v="883"/>
    <x v="2"/>
    <s v="Male"/>
    <x v="23"/>
    <x v="1"/>
    <n v="35"/>
    <s v="Virginia"/>
    <x v="2"/>
    <x v="17"/>
    <x v="3"/>
    <n v="3.8"/>
    <x v="0"/>
    <s v="Next Day Air"/>
    <s v="Yes"/>
    <s v="Yes"/>
    <n v="37"/>
    <s v="Cash"/>
    <x v="6"/>
  </r>
  <r>
    <n v="884"/>
    <x v="48"/>
    <s v="Male"/>
    <x v="4"/>
    <x v="1"/>
    <n v="37"/>
    <s v="Pennsylvania"/>
    <x v="1"/>
    <x v="9"/>
    <x v="3"/>
    <n v="4.3"/>
    <x v="0"/>
    <s v="Free Shipping"/>
    <s v="Yes"/>
    <s v="Yes"/>
    <n v="30"/>
    <s v="Bank Transfer"/>
    <x v="5"/>
  </r>
  <r>
    <n v="885"/>
    <x v="29"/>
    <s v="Male"/>
    <x v="11"/>
    <x v="0"/>
    <n v="91"/>
    <s v="Hawaii"/>
    <x v="0"/>
    <x v="22"/>
    <x v="0"/>
    <n v="4.0999999999999996"/>
    <x v="0"/>
    <s v="Express"/>
    <s v="Yes"/>
    <s v="Yes"/>
    <n v="34"/>
    <s v="Bank Transfer"/>
    <x v="1"/>
  </r>
  <r>
    <n v="886"/>
    <x v="38"/>
    <s v="Male"/>
    <x v="10"/>
    <x v="0"/>
    <n v="99"/>
    <s v="Ohio"/>
    <x v="0"/>
    <x v="7"/>
    <x v="3"/>
    <n v="4.4000000000000004"/>
    <x v="0"/>
    <s v="Free Shipping"/>
    <s v="Yes"/>
    <s v="Yes"/>
    <n v="49"/>
    <s v="Debit Card"/>
    <x v="6"/>
  </r>
  <r>
    <n v="887"/>
    <x v="1"/>
    <s v="Male"/>
    <x v="6"/>
    <x v="0"/>
    <n v="54"/>
    <s v="Utah"/>
    <x v="1"/>
    <x v="18"/>
    <x v="2"/>
    <n v="3.6"/>
    <x v="0"/>
    <s v="Express"/>
    <s v="Yes"/>
    <s v="Yes"/>
    <n v="48"/>
    <s v="Bank Transfer"/>
    <x v="5"/>
  </r>
  <r>
    <n v="888"/>
    <x v="27"/>
    <s v="Male"/>
    <x v="8"/>
    <x v="3"/>
    <n v="47"/>
    <s v="Minnesota"/>
    <x v="0"/>
    <x v="2"/>
    <x v="0"/>
    <n v="3.3"/>
    <x v="0"/>
    <s v="2-Day Shipping"/>
    <s v="Yes"/>
    <s v="Yes"/>
    <n v="33"/>
    <s v="PayPal"/>
    <x v="0"/>
  </r>
  <r>
    <n v="889"/>
    <x v="34"/>
    <s v="Male"/>
    <x v="18"/>
    <x v="3"/>
    <n v="77"/>
    <s v="New Hampshire"/>
    <x v="1"/>
    <x v="9"/>
    <x v="1"/>
    <n v="3.6"/>
    <x v="0"/>
    <s v="Express"/>
    <s v="Yes"/>
    <s v="Yes"/>
    <n v="44"/>
    <s v="Cash"/>
    <x v="2"/>
  </r>
  <r>
    <n v="890"/>
    <x v="35"/>
    <s v="Male"/>
    <x v="22"/>
    <x v="3"/>
    <n v="84"/>
    <s v="Arizona"/>
    <x v="1"/>
    <x v="8"/>
    <x v="3"/>
    <n v="2.8"/>
    <x v="0"/>
    <s v="Free Shipping"/>
    <s v="Yes"/>
    <s v="Yes"/>
    <n v="50"/>
    <s v="Venmo"/>
    <x v="1"/>
  </r>
  <r>
    <n v="891"/>
    <x v="16"/>
    <s v="Male"/>
    <x v="24"/>
    <x v="3"/>
    <n v="51"/>
    <s v="New York"/>
    <x v="1"/>
    <x v="7"/>
    <x v="1"/>
    <n v="4.3"/>
    <x v="0"/>
    <s v="2-Day Shipping"/>
    <s v="Yes"/>
    <s v="Yes"/>
    <n v="47"/>
    <s v="Credit Card"/>
    <x v="5"/>
  </r>
  <r>
    <n v="892"/>
    <x v="30"/>
    <s v="Male"/>
    <x v="11"/>
    <x v="0"/>
    <n v="26"/>
    <s v="Pennsylvania"/>
    <x v="1"/>
    <x v="12"/>
    <x v="2"/>
    <n v="3.9"/>
    <x v="0"/>
    <s v="Store Pickup"/>
    <s v="Yes"/>
    <s v="Yes"/>
    <n v="24"/>
    <s v="PayPal"/>
    <x v="6"/>
  </r>
  <r>
    <n v="893"/>
    <x v="18"/>
    <s v="Male"/>
    <x v="6"/>
    <x v="0"/>
    <n v="64"/>
    <s v="New Mexico"/>
    <x v="0"/>
    <x v="0"/>
    <x v="2"/>
    <n v="2.7"/>
    <x v="0"/>
    <s v="Free Shipping"/>
    <s v="Yes"/>
    <s v="Yes"/>
    <n v="43"/>
    <s v="Debit Card"/>
    <x v="5"/>
  </r>
  <r>
    <n v="894"/>
    <x v="23"/>
    <s v="Male"/>
    <x v="21"/>
    <x v="3"/>
    <n v="51"/>
    <s v="Nebraska"/>
    <x v="2"/>
    <x v="16"/>
    <x v="1"/>
    <n v="4.7"/>
    <x v="0"/>
    <s v="Express"/>
    <s v="Yes"/>
    <s v="Yes"/>
    <n v="14"/>
    <s v="Venmo"/>
    <x v="5"/>
  </r>
  <r>
    <n v="895"/>
    <x v="42"/>
    <s v="Male"/>
    <x v="15"/>
    <x v="0"/>
    <n v="60"/>
    <s v="Wyoming"/>
    <x v="0"/>
    <x v="7"/>
    <x v="1"/>
    <n v="3.8"/>
    <x v="0"/>
    <s v="Free Shipping"/>
    <s v="Yes"/>
    <s v="Yes"/>
    <n v="3"/>
    <s v="Debit Card"/>
    <x v="3"/>
  </r>
  <r>
    <n v="896"/>
    <x v="37"/>
    <s v="Male"/>
    <x v="19"/>
    <x v="3"/>
    <n v="69"/>
    <s v="Mississippi"/>
    <x v="3"/>
    <x v="8"/>
    <x v="1"/>
    <n v="4.7"/>
    <x v="0"/>
    <s v="Next Day Air"/>
    <s v="Yes"/>
    <s v="Yes"/>
    <n v="33"/>
    <s v="Debit Card"/>
    <x v="3"/>
  </r>
  <r>
    <n v="897"/>
    <x v="28"/>
    <s v="Male"/>
    <x v="16"/>
    <x v="3"/>
    <n v="29"/>
    <s v="Arkansas"/>
    <x v="2"/>
    <x v="12"/>
    <x v="1"/>
    <n v="4.7"/>
    <x v="0"/>
    <s v="Express"/>
    <s v="Yes"/>
    <s v="Yes"/>
    <n v="38"/>
    <s v="Cash"/>
    <x v="0"/>
  </r>
  <r>
    <n v="898"/>
    <x v="26"/>
    <s v="Male"/>
    <x v="5"/>
    <x v="0"/>
    <n v="91"/>
    <s v="Illinois"/>
    <x v="2"/>
    <x v="0"/>
    <x v="1"/>
    <n v="3.4"/>
    <x v="0"/>
    <s v="Express"/>
    <s v="Yes"/>
    <s v="Yes"/>
    <n v="46"/>
    <s v="Venmo"/>
    <x v="1"/>
  </r>
  <r>
    <n v="899"/>
    <x v="22"/>
    <s v="Male"/>
    <x v="22"/>
    <x v="3"/>
    <n v="70"/>
    <s v="Nevada"/>
    <x v="0"/>
    <x v="16"/>
    <x v="1"/>
    <n v="3.5"/>
    <x v="0"/>
    <s v="2-Day Shipping"/>
    <s v="Yes"/>
    <s v="Yes"/>
    <n v="19"/>
    <s v="Bank Transfer"/>
    <x v="6"/>
  </r>
  <r>
    <n v="900"/>
    <x v="13"/>
    <s v="Male"/>
    <x v="1"/>
    <x v="0"/>
    <n v="58"/>
    <s v="Rhode Island"/>
    <x v="2"/>
    <x v="15"/>
    <x v="2"/>
    <n v="4"/>
    <x v="0"/>
    <s v="Standard"/>
    <s v="Yes"/>
    <s v="Yes"/>
    <n v="20"/>
    <s v="PayPal"/>
    <x v="2"/>
  </r>
  <r>
    <n v="901"/>
    <x v="22"/>
    <s v="Male"/>
    <x v="19"/>
    <x v="3"/>
    <n v="98"/>
    <s v="West Virginia"/>
    <x v="0"/>
    <x v="0"/>
    <x v="3"/>
    <n v="3.3"/>
    <x v="0"/>
    <s v="Free Shipping"/>
    <s v="Yes"/>
    <s v="Yes"/>
    <n v="42"/>
    <s v="Bank Transfer"/>
    <x v="3"/>
  </r>
  <r>
    <n v="902"/>
    <x v="52"/>
    <s v="Male"/>
    <x v="18"/>
    <x v="3"/>
    <n v="68"/>
    <s v="Missouri"/>
    <x v="0"/>
    <x v="10"/>
    <x v="2"/>
    <n v="4.7"/>
    <x v="0"/>
    <s v="2-Day Shipping"/>
    <s v="Yes"/>
    <s v="Yes"/>
    <n v="34"/>
    <s v="Cash"/>
    <x v="5"/>
  </r>
  <r>
    <n v="903"/>
    <x v="49"/>
    <s v="Male"/>
    <x v="19"/>
    <x v="3"/>
    <n v="44"/>
    <s v="Kentucky"/>
    <x v="2"/>
    <x v="19"/>
    <x v="2"/>
    <n v="2.8"/>
    <x v="0"/>
    <s v="Next Day Air"/>
    <s v="Yes"/>
    <s v="Yes"/>
    <n v="5"/>
    <s v="Cash"/>
    <x v="5"/>
  </r>
  <r>
    <n v="904"/>
    <x v="42"/>
    <s v="Male"/>
    <x v="14"/>
    <x v="2"/>
    <n v="45"/>
    <s v="Washington"/>
    <x v="2"/>
    <x v="24"/>
    <x v="0"/>
    <n v="3.3"/>
    <x v="0"/>
    <s v="Express"/>
    <s v="Yes"/>
    <s v="Yes"/>
    <n v="3"/>
    <s v="PayPal"/>
    <x v="3"/>
  </r>
  <r>
    <n v="905"/>
    <x v="28"/>
    <s v="Male"/>
    <x v="17"/>
    <x v="0"/>
    <n v="99"/>
    <s v="Alaska"/>
    <x v="0"/>
    <x v="23"/>
    <x v="1"/>
    <n v="2.9"/>
    <x v="0"/>
    <s v="Free Shipping"/>
    <s v="Yes"/>
    <s v="Yes"/>
    <n v="46"/>
    <s v="PayPal"/>
    <x v="6"/>
  </r>
  <r>
    <n v="906"/>
    <x v="5"/>
    <s v="Male"/>
    <x v="10"/>
    <x v="0"/>
    <n v="68"/>
    <s v="Mississippi"/>
    <x v="1"/>
    <x v="17"/>
    <x v="1"/>
    <n v="2.8"/>
    <x v="0"/>
    <s v="Standard"/>
    <s v="Yes"/>
    <s v="Yes"/>
    <n v="16"/>
    <s v="Venmo"/>
    <x v="2"/>
  </r>
  <r>
    <n v="907"/>
    <x v="38"/>
    <s v="Male"/>
    <x v="13"/>
    <x v="0"/>
    <n v="56"/>
    <s v="South Carolina"/>
    <x v="2"/>
    <x v="16"/>
    <x v="1"/>
    <n v="4.2"/>
    <x v="0"/>
    <s v="Standard"/>
    <s v="Yes"/>
    <s v="Yes"/>
    <n v="21"/>
    <s v="Debit Card"/>
    <x v="4"/>
  </r>
  <r>
    <n v="908"/>
    <x v="45"/>
    <s v="Male"/>
    <x v="1"/>
    <x v="0"/>
    <n v="43"/>
    <s v="Missouri"/>
    <x v="0"/>
    <x v="17"/>
    <x v="0"/>
    <n v="4.4000000000000004"/>
    <x v="0"/>
    <s v="Express"/>
    <s v="Yes"/>
    <s v="Yes"/>
    <n v="34"/>
    <s v="Credit Card"/>
    <x v="4"/>
  </r>
  <r>
    <n v="909"/>
    <x v="8"/>
    <s v="Male"/>
    <x v="12"/>
    <x v="3"/>
    <n v="99"/>
    <s v="New Jersey"/>
    <x v="2"/>
    <x v="2"/>
    <x v="0"/>
    <n v="3.6"/>
    <x v="0"/>
    <s v="Free Shipping"/>
    <s v="Yes"/>
    <s v="Yes"/>
    <n v="9"/>
    <s v="PayPal"/>
    <x v="6"/>
  </r>
  <r>
    <n v="910"/>
    <x v="12"/>
    <s v="Male"/>
    <x v="22"/>
    <x v="3"/>
    <n v="56"/>
    <s v="Louisiana"/>
    <x v="0"/>
    <x v="5"/>
    <x v="3"/>
    <n v="2.7"/>
    <x v="0"/>
    <s v="Express"/>
    <s v="Yes"/>
    <s v="Yes"/>
    <n v="36"/>
    <s v="PayPal"/>
    <x v="1"/>
  </r>
  <r>
    <n v="911"/>
    <x v="34"/>
    <s v="Male"/>
    <x v="15"/>
    <x v="0"/>
    <n v="25"/>
    <s v="South Carolina"/>
    <x v="1"/>
    <x v="6"/>
    <x v="1"/>
    <n v="3.4"/>
    <x v="0"/>
    <s v="Express"/>
    <s v="Yes"/>
    <s v="Yes"/>
    <n v="22"/>
    <s v="Credit Card"/>
    <x v="5"/>
  </r>
  <r>
    <n v="912"/>
    <x v="10"/>
    <s v="Male"/>
    <x v="13"/>
    <x v="0"/>
    <n v="74"/>
    <s v="Vermont"/>
    <x v="2"/>
    <x v="13"/>
    <x v="0"/>
    <n v="2.8"/>
    <x v="0"/>
    <s v="2-Day Shipping"/>
    <s v="Yes"/>
    <s v="Yes"/>
    <n v="2"/>
    <s v="Bank Transfer"/>
    <x v="3"/>
  </r>
  <r>
    <n v="913"/>
    <x v="41"/>
    <s v="Male"/>
    <x v="15"/>
    <x v="0"/>
    <n v="56"/>
    <s v="Arkansas"/>
    <x v="2"/>
    <x v="14"/>
    <x v="0"/>
    <n v="3.4"/>
    <x v="0"/>
    <s v="Next Day Air"/>
    <s v="Yes"/>
    <s v="Yes"/>
    <n v="32"/>
    <s v="Bank Transfer"/>
    <x v="5"/>
  </r>
  <r>
    <n v="914"/>
    <x v="43"/>
    <s v="Male"/>
    <x v="4"/>
    <x v="1"/>
    <n v="47"/>
    <s v="Utah"/>
    <x v="2"/>
    <x v="22"/>
    <x v="3"/>
    <n v="2.6"/>
    <x v="0"/>
    <s v="Next Day Air"/>
    <s v="Yes"/>
    <s v="Yes"/>
    <n v="29"/>
    <s v="Cash"/>
    <x v="6"/>
  </r>
  <r>
    <n v="915"/>
    <x v="49"/>
    <s v="Male"/>
    <x v="10"/>
    <x v="0"/>
    <n v="67"/>
    <s v="Washington"/>
    <x v="0"/>
    <x v="7"/>
    <x v="2"/>
    <n v="4.0999999999999996"/>
    <x v="0"/>
    <s v="Standard"/>
    <s v="Yes"/>
    <s v="Yes"/>
    <n v="27"/>
    <s v="Venmo"/>
    <x v="6"/>
  </r>
  <r>
    <n v="916"/>
    <x v="18"/>
    <s v="Male"/>
    <x v="10"/>
    <x v="0"/>
    <n v="22"/>
    <s v="Rhode Island"/>
    <x v="0"/>
    <x v="7"/>
    <x v="0"/>
    <n v="2.9"/>
    <x v="0"/>
    <s v="Store Pickup"/>
    <s v="Yes"/>
    <s v="Yes"/>
    <n v="33"/>
    <s v="Credit Card"/>
    <x v="0"/>
  </r>
  <r>
    <n v="917"/>
    <x v="34"/>
    <s v="Male"/>
    <x v="2"/>
    <x v="0"/>
    <n v="34"/>
    <s v="Illinois"/>
    <x v="1"/>
    <x v="24"/>
    <x v="1"/>
    <n v="2.7"/>
    <x v="0"/>
    <s v="Standard"/>
    <s v="Yes"/>
    <s v="Yes"/>
    <n v="16"/>
    <s v="Venmo"/>
    <x v="5"/>
  </r>
  <r>
    <n v="918"/>
    <x v="28"/>
    <s v="Male"/>
    <x v="1"/>
    <x v="0"/>
    <n v="64"/>
    <s v="Missouri"/>
    <x v="2"/>
    <x v="1"/>
    <x v="1"/>
    <n v="3.7"/>
    <x v="0"/>
    <s v="Standard"/>
    <s v="Yes"/>
    <s v="Yes"/>
    <n v="11"/>
    <s v="Bank Transfer"/>
    <x v="3"/>
  </r>
  <r>
    <n v="919"/>
    <x v="13"/>
    <s v="Male"/>
    <x v="6"/>
    <x v="0"/>
    <n v="42"/>
    <s v="North Carolina"/>
    <x v="2"/>
    <x v="20"/>
    <x v="1"/>
    <n v="4.3"/>
    <x v="0"/>
    <s v="2-Day Shipping"/>
    <s v="Yes"/>
    <s v="Yes"/>
    <n v="11"/>
    <s v="Cash"/>
    <x v="0"/>
  </r>
  <r>
    <n v="920"/>
    <x v="38"/>
    <s v="Male"/>
    <x v="5"/>
    <x v="0"/>
    <n v="82"/>
    <s v="Massachusetts"/>
    <x v="0"/>
    <x v="14"/>
    <x v="0"/>
    <n v="2.6"/>
    <x v="0"/>
    <s v="2-Day Shipping"/>
    <s v="Yes"/>
    <s v="Yes"/>
    <n v="17"/>
    <s v="Debit Card"/>
    <x v="4"/>
  </r>
  <r>
    <n v="921"/>
    <x v="43"/>
    <s v="Male"/>
    <x v="22"/>
    <x v="3"/>
    <n v="81"/>
    <s v="Arkansas"/>
    <x v="3"/>
    <x v="9"/>
    <x v="2"/>
    <n v="4.3"/>
    <x v="0"/>
    <s v="Free Shipping"/>
    <s v="Yes"/>
    <s v="Yes"/>
    <n v="37"/>
    <s v="Cash"/>
    <x v="1"/>
  </r>
  <r>
    <n v="922"/>
    <x v="27"/>
    <s v="Male"/>
    <x v="7"/>
    <x v="2"/>
    <n v="24"/>
    <s v="South Dakota"/>
    <x v="0"/>
    <x v="5"/>
    <x v="2"/>
    <n v="4.0999999999999996"/>
    <x v="0"/>
    <s v="Express"/>
    <s v="Yes"/>
    <s v="Yes"/>
    <n v="18"/>
    <s v="PayPal"/>
    <x v="1"/>
  </r>
  <r>
    <n v="923"/>
    <x v="6"/>
    <s v="Male"/>
    <x v="4"/>
    <x v="1"/>
    <n v="60"/>
    <s v="Georgia"/>
    <x v="2"/>
    <x v="17"/>
    <x v="3"/>
    <n v="4.2"/>
    <x v="0"/>
    <s v="Standard"/>
    <s v="Yes"/>
    <s v="Yes"/>
    <n v="13"/>
    <s v="Credit Card"/>
    <x v="5"/>
  </r>
  <r>
    <n v="924"/>
    <x v="0"/>
    <s v="Male"/>
    <x v="5"/>
    <x v="0"/>
    <n v="24"/>
    <s v="Arkansas"/>
    <x v="2"/>
    <x v="5"/>
    <x v="1"/>
    <n v="4.2"/>
    <x v="0"/>
    <s v="2-Day Shipping"/>
    <s v="Yes"/>
    <s v="Yes"/>
    <n v="7"/>
    <s v="PayPal"/>
    <x v="1"/>
  </r>
  <r>
    <n v="925"/>
    <x v="16"/>
    <s v="Male"/>
    <x v="20"/>
    <x v="0"/>
    <n v="78"/>
    <s v="Kansas"/>
    <x v="3"/>
    <x v="19"/>
    <x v="0"/>
    <n v="3.1"/>
    <x v="0"/>
    <s v="Standard"/>
    <s v="Yes"/>
    <s v="Yes"/>
    <n v="37"/>
    <s v="Cash"/>
    <x v="3"/>
  </r>
  <r>
    <n v="926"/>
    <x v="40"/>
    <s v="Male"/>
    <x v="2"/>
    <x v="0"/>
    <n v="88"/>
    <s v="Arizona"/>
    <x v="0"/>
    <x v="11"/>
    <x v="0"/>
    <n v="4.9000000000000004"/>
    <x v="0"/>
    <s v="Express"/>
    <s v="Yes"/>
    <s v="Yes"/>
    <n v="8"/>
    <s v="Cash"/>
    <x v="5"/>
  </r>
  <r>
    <n v="927"/>
    <x v="22"/>
    <s v="Male"/>
    <x v="2"/>
    <x v="0"/>
    <n v="63"/>
    <s v="Massachusetts"/>
    <x v="3"/>
    <x v="14"/>
    <x v="1"/>
    <n v="4.4000000000000004"/>
    <x v="0"/>
    <s v="Express"/>
    <s v="Yes"/>
    <s v="Yes"/>
    <n v="11"/>
    <s v="Cash"/>
    <x v="4"/>
  </r>
  <r>
    <n v="928"/>
    <x v="48"/>
    <s v="Male"/>
    <x v="4"/>
    <x v="1"/>
    <n v="78"/>
    <s v="New Mexico"/>
    <x v="0"/>
    <x v="13"/>
    <x v="2"/>
    <n v="4.4000000000000004"/>
    <x v="0"/>
    <s v="Standard"/>
    <s v="Yes"/>
    <s v="Yes"/>
    <n v="8"/>
    <s v="Venmo"/>
    <x v="4"/>
  </r>
  <r>
    <n v="929"/>
    <x v="29"/>
    <s v="Male"/>
    <x v="10"/>
    <x v="0"/>
    <n v="37"/>
    <s v="Arkansas"/>
    <x v="3"/>
    <x v="22"/>
    <x v="0"/>
    <n v="3.4"/>
    <x v="0"/>
    <s v="Store Pickup"/>
    <s v="Yes"/>
    <s v="Yes"/>
    <n v="31"/>
    <s v="Cash"/>
    <x v="6"/>
  </r>
  <r>
    <n v="930"/>
    <x v="35"/>
    <s v="Male"/>
    <x v="23"/>
    <x v="1"/>
    <n v="94"/>
    <s v="Nebraska"/>
    <x v="2"/>
    <x v="3"/>
    <x v="3"/>
    <n v="4.5"/>
    <x v="0"/>
    <s v="2-Day Shipping"/>
    <s v="Yes"/>
    <s v="Yes"/>
    <n v="26"/>
    <s v="Debit Card"/>
    <x v="0"/>
  </r>
  <r>
    <n v="931"/>
    <x v="8"/>
    <s v="Male"/>
    <x v="17"/>
    <x v="0"/>
    <n v="78"/>
    <s v="Hawaii"/>
    <x v="0"/>
    <x v="14"/>
    <x v="3"/>
    <n v="4.5"/>
    <x v="0"/>
    <s v="Store Pickup"/>
    <s v="Yes"/>
    <s v="Yes"/>
    <n v="20"/>
    <s v="Credit Card"/>
    <x v="4"/>
  </r>
  <r>
    <n v="932"/>
    <x v="41"/>
    <s v="Male"/>
    <x v="7"/>
    <x v="2"/>
    <n v="36"/>
    <s v="Nebraska"/>
    <x v="2"/>
    <x v="5"/>
    <x v="0"/>
    <n v="4.0999999999999996"/>
    <x v="0"/>
    <s v="Standard"/>
    <s v="Yes"/>
    <s v="Yes"/>
    <n v="24"/>
    <s v="Bank Transfer"/>
    <x v="0"/>
  </r>
  <r>
    <n v="933"/>
    <x v="46"/>
    <s v="Male"/>
    <x v="11"/>
    <x v="0"/>
    <n v="24"/>
    <s v="Indiana"/>
    <x v="0"/>
    <x v="24"/>
    <x v="0"/>
    <n v="3.2"/>
    <x v="0"/>
    <s v="Standard"/>
    <s v="Yes"/>
    <s v="Yes"/>
    <n v="45"/>
    <s v="Debit Card"/>
    <x v="4"/>
  </r>
  <r>
    <n v="934"/>
    <x v="27"/>
    <s v="Male"/>
    <x v="4"/>
    <x v="1"/>
    <n v="84"/>
    <s v="Colorado"/>
    <x v="2"/>
    <x v="23"/>
    <x v="1"/>
    <n v="2.7"/>
    <x v="0"/>
    <s v="Store Pickup"/>
    <s v="Yes"/>
    <s v="Yes"/>
    <n v="33"/>
    <s v="Debit Card"/>
    <x v="5"/>
  </r>
  <r>
    <n v="935"/>
    <x v="4"/>
    <s v="Male"/>
    <x v="2"/>
    <x v="0"/>
    <n v="47"/>
    <s v="Oregon"/>
    <x v="1"/>
    <x v="22"/>
    <x v="1"/>
    <n v="3.7"/>
    <x v="0"/>
    <s v="Express"/>
    <s v="Yes"/>
    <s v="Yes"/>
    <n v="21"/>
    <s v="Bank Transfer"/>
    <x v="5"/>
  </r>
  <r>
    <n v="936"/>
    <x v="44"/>
    <s v="Male"/>
    <x v="15"/>
    <x v="0"/>
    <n v="51"/>
    <s v="Ohio"/>
    <x v="0"/>
    <x v="3"/>
    <x v="3"/>
    <n v="2.6"/>
    <x v="0"/>
    <s v="Store Pickup"/>
    <s v="Yes"/>
    <s v="Yes"/>
    <n v="2"/>
    <s v="Bank Transfer"/>
    <x v="0"/>
  </r>
  <r>
    <n v="937"/>
    <x v="18"/>
    <s v="Male"/>
    <x v="9"/>
    <x v="1"/>
    <n v="84"/>
    <s v="Maine"/>
    <x v="2"/>
    <x v="6"/>
    <x v="2"/>
    <n v="2.7"/>
    <x v="0"/>
    <s v="Free Shipping"/>
    <s v="Yes"/>
    <s v="Yes"/>
    <n v="28"/>
    <s v="Cash"/>
    <x v="1"/>
  </r>
  <r>
    <n v="938"/>
    <x v="45"/>
    <s v="Male"/>
    <x v="6"/>
    <x v="0"/>
    <n v="24"/>
    <s v="Iowa"/>
    <x v="2"/>
    <x v="23"/>
    <x v="2"/>
    <n v="2.7"/>
    <x v="0"/>
    <s v="Express"/>
    <s v="Yes"/>
    <s v="Yes"/>
    <n v="18"/>
    <s v="Venmo"/>
    <x v="3"/>
  </r>
  <r>
    <n v="939"/>
    <x v="24"/>
    <s v="Male"/>
    <x v="0"/>
    <x v="0"/>
    <n v="97"/>
    <s v="Wisconsin"/>
    <x v="1"/>
    <x v="11"/>
    <x v="3"/>
    <n v="4.8"/>
    <x v="0"/>
    <s v="Free Shipping"/>
    <s v="Yes"/>
    <s v="Yes"/>
    <n v="21"/>
    <s v="Debit Card"/>
    <x v="0"/>
  </r>
  <r>
    <n v="940"/>
    <x v="15"/>
    <s v="Male"/>
    <x v="17"/>
    <x v="0"/>
    <n v="89"/>
    <s v="New York"/>
    <x v="0"/>
    <x v="21"/>
    <x v="0"/>
    <n v="4.8"/>
    <x v="0"/>
    <s v="Next Day Air"/>
    <s v="Yes"/>
    <s v="Yes"/>
    <n v="24"/>
    <s v="Credit Card"/>
    <x v="5"/>
  </r>
  <r>
    <n v="941"/>
    <x v="39"/>
    <s v="Male"/>
    <x v="22"/>
    <x v="3"/>
    <n v="44"/>
    <s v="Colorado"/>
    <x v="1"/>
    <x v="1"/>
    <x v="1"/>
    <n v="2.6"/>
    <x v="0"/>
    <s v="Store Pickup"/>
    <s v="Yes"/>
    <s v="Yes"/>
    <n v="15"/>
    <s v="PayPal"/>
    <x v="6"/>
  </r>
  <r>
    <n v="942"/>
    <x v="31"/>
    <s v="Male"/>
    <x v="8"/>
    <x v="3"/>
    <n v="35"/>
    <s v="Illinois"/>
    <x v="0"/>
    <x v="13"/>
    <x v="0"/>
    <n v="4.5"/>
    <x v="0"/>
    <s v="2-Day Shipping"/>
    <s v="Yes"/>
    <s v="Yes"/>
    <n v="38"/>
    <s v="PayPal"/>
    <x v="6"/>
  </r>
  <r>
    <n v="943"/>
    <x v="8"/>
    <s v="Male"/>
    <x v="10"/>
    <x v="0"/>
    <n v="91"/>
    <s v="Arizona"/>
    <x v="2"/>
    <x v="17"/>
    <x v="0"/>
    <n v="3.2"/>
    <x v="0"/>
    <s v="Express"/>
    <s v="Yes"/>
    <s v="Yes"/>
    <n v="38"/>
    <s v="PayPal"/>
    <x v="4"/>
  </r>
  <r>
    <n v="944"/>
    <x v="45"/>
    <s v="Male"/>
    <x v="19"/>
    <x v="3"/>
    <n v="63"/>
    <s v="Oklahoma"/>
    <x v="0"/>
    <x v="17"/>
    <x v="0"/>
    <n v="3.8"/>
    <x v="0"/>
    <s v="Next Day Air"/>
    <s v="Yes"/>
    <s v="Yes"/>
    <n v="13"/>
    <s v="Venmo"/>
    <x v="0"/>
  </r>
  <r>
    <n v="945"/>
    <x v="22"/>
    <s v="Male"/>
    <x v="22"/>
    <x v="3"/>
    <n v="97"/>
    <s v="Indiana"/>
    <x v="1"/>
    <x v="0"/>
    <x v="1"/>
    <n v="4.8"/>
    <x v="0"/>
    <s v="Express"/>
    <s v="Yes"/>
    <s v="Yes"/>
    <n v="39"/>
    <s v="Cash"/>
    <x v="4"/>
  </r>
  <r>
    <n v="946"/>
    <x v="21"/>
    <s v="Male"/>
    <x v="23"/>
    <x v="1"/>
    <n v="38"/>
    <s v="Minnesota"/>
    <x v="2"/>
    <x v="10"/>
    <x v="2"/>
    <n v="4.0999999999999996"/>
    <x v="0"/>
    <s v="Store Pickup"/>
    <s v="Yes"/>
    <s v="Yes"/>
    <n v="8"/>
    <s v="Venmo"/>
    <x v="6"/>
  </r>
  <r>
    <n v="947"/>
    <x v="5"/>
    <s v="Male"/>
    <x v="7"/>
    <x v="2"/>
    <n v="24"/>
    <s v="Pennsylvania"/>
    <x v="3"/>
    <x v="24"/>
    <x v="1"/>
    <n v="2.8"/>
    <x v="0"/>
    <s v="Next Day Air"/>
    <s v="Yes"/>
    <s v="Yes"/>
    <n v="4"/>
    <s v="PayPal"/>
    <x v="3"/>
  </r>
  <r>
    <n v="948"/>
    <x v="9"/>
    <s v="Male"/>
    <x v="0"/>
    <x v="0"/>
    <n v="32"/>
    <s v="Indiana"/>
    <x v="2"/>
    <x v="4"/>
    <x v="0"/>
    <n v="3.9"/>
    <x v="0"/>
    <s v="Store Pickup"/>
    <s v="Yes"/>
    <s v="Yes"/>
    <n v="6"/>
    <s v="Cash"/>
    <x v="6"/>
  </r>
  <r>
    <n v="949"/>
    <x v="34"/>
    <s v="Male"/>
    <x v="19"/>
    <x v="3"/>
    <n v="90"/>
    <s v="Alabama"/>
    <x v="0"/>
    <x v="8"/>
    <x v="2"/>
    <n v="4.9000000000000004"/>
    <x v="0"/>
    <s v="Express"/>
    <s v="Yes"/>
    <s v="Yes"/>
    <n v="11"/>
    <s v="Venmo"/>
    <x v="6"/>
  </r>
  <r>
    <n v="950"/>
    <x v="23"/>
    <s v="Male"/>
    <x v="2"/>
    <x v="0"/>
    <n v="36"/>
    <s v="Montana"/>
    <x v="2"/>
    <x v="8"/>
    <x v="2"/>
    <n v="3.4"/>
    <x v="0"/>
    <s v="Standard"/>
    <s v="Yes"/>
    <s v="Yes"/>
    <n v="49"/>
    <s v="Venmo"/>
    <x v="5"/>
  </r>
  <r>
    <n v="951"/>
    <x v="22"/>
    <s v="Male"/>
    <x v="21"/>
    <x v="3"/>
    <n v="37"/>
    <s v="New Mexico"/>
    <x v="3"/>
    <x v="2"/>
    <x v="0"/>
    <n v="4.0999999999999996"/>
    <x v="0"/>
    <s v="Free Shipping"/>
    <s v="Yes"/>
    <s v="Yes"/>
    <n v="30"/>
    <s v="PayPal"/>
    <x v="3"/>
  </r>
  <r>
    <n v="952"/>
    <x v="36"/>
    <s v="Male"/>
    <x v="10"/>
    <x v="0"/>
    <n v="51"/>
    <s v="Alaska"/>
    <x v="2"/>
    <x v="17"/>
    <x v="2"/>
    <n v="2.9"/>
    <x v="0"/>
    <s v="Express"/>
    <s v="Yes"/>
    <s v="Yes"/>
    <n v="34"/>
    <s v="Bank Transfer"/>
    <x v="5"/>
  </r>
  <r>
    <n v="953"/>
    <x v="24"/>
    <s v="Male"/>
    <x v="19"/>
    <x v="3"/>
    <n v="71"/>
    <s v="Idaho"/>
    <x v="1"/>
    <x v="16"/>
    <x v="3"/>
    <n v="3.1"/>
    <x v="0"/>
    <s v="2-Day Shipping"/>
    <s v="Yes"/>
    <s v="Yes"/>
    <n v="28"/>
    <s v="PayPal"/>
    <x v="5"/>
  </r>
  <r>
    <n v="954"/>
    <x v="33"/>
    <s v="Male"/>
    <x v="12"/>
    <x v="3"/>
    <n v="50"/>
    <s v="Utah"/>
    <x v="1"/>
    <x v="17"/>
    <x v="1"/>
    <n v="3.6"/>
    <x v="0"/>
    <s v="2-Day Shipping"/>
    <s v="Yes"/>
    <s v="Yes"/>
    <n v="36"/>
    <s v="Venmo"/>
    <x v="3"/>
  </r>
  <r>
    <n v="955"/>
    <x v="52"/>
    <s v="Male"/>
    <x v="19"/>
    <x v="3"/>
    <n v="74"/>
    <s v="Louisiana"/>
    <x v="1"/>
    <x v="2"/>
    <x v="3"/>
    <n v="3.5"/>
    <x v="0"/>
    <s v="Standard"/>
    <s v="Yes"/>
    <s v="Yes"/>
    <n v="18"/>
    <s v="Credit Card"/>
    <x v="6"/>
  </r>
  <r>
    <n v="956"/>
    <x v="0"/>
    <s v="Male"/>
    <x v="10"/>
    <x v="0"/>
    <n v="75"/>
    <s v="Mississippi"/>
    <x v="0"/>
    <x v="12"/>
    <x v="2"/>
    <n v="3.4"/>
    <x v="0"/>
    <s v="Free Shipping"/>
    <s v="Yes"/>
    <s v="Yes"/>
    <n v="4"/>
    <s v="PayPal"/>
    <x v="5"/>
  </r>
  <r>
    <n v="957"/>
    <x v="26"/>
    <s v="Male"/>
    <x v="5"/>
    <x v="0"/>
    <n v="99"/>
    <s v="Mississippi"/>
    <x v="3"/>
    <x v="17"/>
    <x v="1"/>
    <n v="2.9"/>
    <x v="0"/>
    <s v="2-Day Shipping"/>
    <s v="Yes"/>
    <s v="Yes"/>
    <n v="42"/>
    <s v="Debit Card"/>
    <x v="3"/>
  </r>
  <r>
    <n v="958"/>
    <x v="21"/>
    <s v="Male"/>
    <x v="18"/>
    <x v="3"/>
    <n v="23"/>
    <s v="Indiana"/>
    <x v="3"/>
    <x v="10"/>
    <x v="1"/>
    <n v="4.7"/>
    <x v="0"/>
    <s v="Store Pickup"/>
    <s v="Yes"/>
    <s v="Yes"/>
    <n v="11"/>
    <s v="Cash"/>
    <x v="3"/>
  </r>
  <r>
    <n v="959"/>
    <x v="27"/>
    <s v="Male"/>
    <x v="4"/>
    <x v="1"/>
    <n v="53"/>
    <s v="Washington"/>
    <x v="3"/>
    <x v="19"/>
    <x v="0"/>
    <n v="4.4000000000000004"/>
    <x v="0"/>
    <s v="Free Shipping"/>
    <s v="Yes"/>
    <s v="Yes"/>
    <n v="31"/>
    <s v="Credit Card"/>
    <x v="4"/>
  </r>
  <r>
    <n v="960"/>
    <x v="24"/>
    <s v="Male"/>
    <x v="11"/>
    <x v="0"/>
    <n v="99"/>
    <s v="Nevada"/>
    <x v="2"/>
    <x v="17"/>
    <x v="1"/>
    <n v="2.6"/>
    <x v="0"/>
    <s v="Standard"/>
    <s v="Yes"/>
    <s v="Yes"/>
    <n v="12"/>
    <s v="Cash"/>
    <x v="0"/>
  </r>
  <r>
    <n v="961"/>
    <x v="20"/>
    <s v="Male"/>
    <x v="16"/>
    <x v="3"/>
    <n v="48"/>
    <s v="Louisiana"/>
    <x v="3"/>
    <x v="21"/>
    <x v="1"/>
    <n v="4.4000000000000004"/>
    <x v="0"/>
    <s v="Standard"/>
    <s v="Yes"/>
    <s v="Yes"/>
    <n v="20"/>
    <s v="Venmo"/>
    <x v="3"/>
  </r>
  <r>
    <n v="962"/>
    <x v="46"/>
    <s v="Male"/>
    <x v="23"/>
    <x v="1"/>
    <n v="72"/>
    <s v="Pennsylvania"/>
    <x v="0"/>
    <x v="8"/>
    <x v="3"/>
    <n v="3.7"/>
    <x v="0"/>
    <s v="Next Day Air"/>
    <s v="Yes"/>
    <s v="Yes"/>
    <n v="37"/>
    <s v="Debit Card"/>
    <x v="3"/>
  </r>
  <r>
    <n v="963"/>
    <x v="26"/>
    <s v="Male"/>
    <x v="12"/>
    <x v="3"/>
    <n v="64"/>
    <s v="Michigan"/>
    <x v="0"/>
    <x v="14"/>
    <x v="1"/>
    <n v="4.4000000000000004"/>
    <x v="0"/>
    <s v="Standard"/>
    <s v="Yes"/>
    <s v="Yes"/>
    <n v="26"/>
    <s v="Debit Card"/>
    <x v="0"/>
  </r>
  <r>
    <n v="964"/>
    <x v="3"/>
    <s v="Male"/>
    <x v="23"/>
    <x v="1"/>
    <n v="63"/>
    <s v="South Carolina"/>
    <x v="0"/>
    <x v="14"/>
    <x v="1"/>
    <n v="2.5"/>
    <x v="0"/>
    <s v="2-Day Shipping"/>
    <s v="Yes"/>
    <s v="Yes"/>
    <n v="14"/>
    <s v="Credit Card"/>
    <x v="1"/>
  </r>
  <r>
    <n v="965"/>
    <x v="32"/>
    <s v="Male"/>
    <x v="3"/>
    <x v="1"/>
    <n v="51"/>
    <s v="Arizona"/>
    <x v="2"/>
    <x v="19"/>
    <x v="1"/>
    <n v="2.6"/>
    <x v="0"/>
    <s v="Next Day Air"/>
    <s v="Yes"/>
    <s v="Yes"/>
    <n v="12"/>
    <s v="Venmo"/>
    <x v="4"/>
  </r>
  <r>
    <n v="966"/>
    <x v="49"/>
    <s v="Male"/>
    <x v="23"/>
    <x v="1"/>
    <n v="55"/>
    <s v="Delaware"/>
    <x v="0"/>
    <x v="13"/>
    <x v="1"/>
    <n v="5"/>
    <x v="0"/>
    <s v="Store Pickup"/>
    <s v="Yes"/>
    <s v="Yes"/>
    <n v="10"/>
    <s v="Credit Card"/>
    <x v="2"/>
  </r>
  <r>
    <n v="967"/>
    <x v="44"/>
    <s v="Male"/>
    <x v="10"/>
    <x v="0"/>
    <n v="55"/>
    <s v="Kentucky"/>
    <x v="2"/>
    <x v="18"/>
    <x v="1"/>
    <n v="4.9000000000000004"/>
    <x v="0"/>
    <s v="Express"/>
    <s v="Yes"/>
    <s v="Yes"/>
    <n v="19"/>
    <s v="Cash"/>
    <x v="2"/>
  </r>
  <r>
    <n v="968"/>
    <x v="7"/>
    <s v="Male"/>
    <x v="15"/>
    <x v="0"/>
    <n v="26"/>
    <s v="Georgia"/>
    <x v="1"/>
    <x v="5"/>
    <x v="2"/>
    <n v="3.7"/>
    <x v="0"/>
    <s v="Store Pickup"/>
    <s v="Yes"/>
    <s v="Yes"/>
    <n v="4"/>
    <s v="Cash"/>
    <x v="1"/>
  </r>
  <r>
    <n v="969"/>
    <x v="9"/>
    <s v="Male"/>
    <x v="6"/>
    <x v="0"/>
    <n v="67"/>
    <s v="North Carolina"/>
    <x v="0"/>
    <x v="0"/>
    <x v="2"/>
    <n v="3.1"/>
    <x v="0"/>
    <s v="Next Day Air"/>
    <s v="Yes"/>
    <s v="Yes"/>
    <n v="48"/>
    <s v="Bank Transfer"/>
    <x v="3"/>
  </r>
  <r>
    <n v="970"/>
    <x v="37"/>
    <s v="Male"/>
    <x v="7"/>
    <x v="2"/>
    <n v="31"/>
    <s v="California"/>
    <x v="1"/>
    <x v="6"/>
    <x v="3"/>
    <n v="3.2"/>
    <x v="0"/>
    <s v="Express"/>
    <s v="Yes"/>
    <s v="Yes"/>
    <n v="37"/>
    <s v="PayPal"/>
    <x v="5"/>
  </r>
  <r>
    <n v="971"/>
    <x v="4"/>
    <s v="Male"/>
    <x v="2"/>
    <x v="0"/>
    <n v="66"/>
    <s v="California"/>
    <x v="1"/>
    <x v="1"/>
    <x v="0"/>
    <n v="4.4000000000000004"/>
    <x v="0"/>
    <s v="Free Shipping"/>
    <s v="Yes"/>
    <s v="Yes"/>
    <n v="4"/>
    <s v="Cash"/>
    <x v="5"/>
  </r>
  <r>
    <n v="972"/>
    <x v="36"/>
    <s v="Male"/>
    <x v="12"/>
    <x v="3"/>
    <n v="67"/>
    <s v="Indiana"/>
    <x v="2"/>
    <x v="17"/>
    <x v="2"/>
    <n v="4.3"/>
    <x v="0"/>
    <s v="Next Day Air"/>
    <s v="Yes"/>
    <s v="Yes"/>
    <n v="15"/>
    <s v="Credit Card"/>
    <x v="1"/>
  </r>
  <r>
    <n v="973"/>
    <x v="12"/>
    <s v="Male"/>
    <x v="4"/>
    <x v="1"/>
    <n v="61"/>
    <s v="Colorado"/>
    <x v="0"/>
    <x v="9"/>
    <x v="0"/>
    <n v="3"/>
    <x v="0"/>
    <s v="Standard"/>
    <s v="Yes"/>
    <s v="Yes"/>
    <n v="33"/>
    <s v="Credit Card"/>
    <x v="1"/>
  </r>
  <r>
    <n v="974"/>
    <x v="52"/>
    <s v="Male"/>
    <x v="14"/>
    <x v="2"/>
    <n v="75"/>
    <s v="Colorado"/>
    <x v="2"/>
    <x v="11"/>
    <x v="3"/>
    <n v="3.5"/>
    <x v="0"/>
    <s v="2-Day Shipping"/>
    <s v="Yes"/>
    <s v="Yes"/>
    <n v="30"/>
    <s v="Bank Transfer"/>
    <x v="3"/>
  </r>
  <r>
    <n v="975"/>
    <x v="28"/>
    <s v="Male"/>
    <x v="11"/>
    <x v="0"/>
    <n v="90"/>
    <s v="North Carolina"/>
    <x v="2"/>
    <x v="19"/>
    <x v="1"/>
    <n v="3.6"/>
    <x v="0"/>
    <s v="2-Day Shipping"/>
    <s v="Yes"/>
    <s v="Yes"/>
    <n v="23"/>
    <s v="Bank Transfer"/>
    <x v="5"/>
  </r>
  <r>
    <n v="976"/>
    <x v="44"/>
    <s v="Male"/>
    <x v="1"/>
    <x v="0"/>
    <n v="40"/>
    <s v="Washington"/>
    <x v="2"/>
    <x v="8"/>
    <x v="2"/>
    <n v="3.8"/>
    <x v="0"/>
    <s v="2-Day Shipping"/>
    <s v="Yes"/>
    <s v="Yes"/>
    <n v="2"/>
    <s v="Bank Transfer"/>
    <x v="1"/>
  </r>
  <r>
    <n v="977"/>
    <x v="50"/>
    <s v="Male"/>
    <x v="17"/>
    <x v="0"/>
    <n v="90"/>
    <s v="Florida"/>
    <x v="2"/>
    <x v="0"/>
    <x v="3"/>
    <n v="3.6"/>
    <x v="0"/>
    <s v="Express"/>
    <s v="Yes"/>
    <s v="Yes"/>
    <n v="50"/>
    <s v="Credit Card"/>
    <x v="6"/>
  </r>
  <r>
    <n v="978"/>
    <x v="30"/>
    <s v="Male"/>
    <x v="22"/>
    <x v="3"/>
    <n v="20"/>
    <s v="Washington"/>
    <x v="2"/>
    <x v="13"/>
    <x v="1"/>
    <n v="4.5999999999999996"/>
    <x v="0"/>
    <s v="Express"/>
    <s v="Yes"/>
    <s v="Yes"/>
    <n v="34"/>
    <s v="Cash"/>
    <x v="4"/>
  </r>
  <r>
    <n v="979"/>
    <x v="19"/>
    <s v="Male"/>
    <x v="24"/>
    <x v="3"/>
    <n v="40"/>
    <s v="Colorado"/>
    <x v="2"/>
    <x v="2"/>
    <x v="2"/>
    <n v="2.5"/>
    <x v="0"/>
    <s v="Standard"/>
    <s v="Yes"/>
    <s v="Yes"/>
    <n v="33"/>
    <s v="Credit Card"/>
    <x v="1"/>
  </r>
  <r>
    <n v="980"/>
    <x v="14"/>
    <s v="Male"/>
    <x v="19"/>
    <x v="3"/>
    <n v="33"/>
    <s v="New Hampshire"/>
    <x v="1"/>
    <x v="18"/>
    <x v="3"/>
    <n v="3.5"/>
    <x v="0"/>
    <s v="Store Pickup"/>
    <s v="Yes"/>
    <s v="Yes"/>
    <n v="34"/>
    <s v="Debit Card"/>
    <x v="5"/>
  </r>
  <r>
    <n v="981"/>
    <x v="19"/>
    <s v="Male"/>
    <x v="23"/>
    <x v="1"/>
    <n v="98"/>
    <s v="Maryland"/>
    <x v="1"/>
    <x v="23"/>
    <x v="1"/>
    <n v="4"/>
    <x v="0"/>
    <s v="Free Shipping"/>
    <s v="Yes"/>
    <s v="Yes"/>
    <n v="39"/>
    <s v="PayPal"/>
    <x v="6"/>
  </r>
  <r>
    <n v="982"/>
    <x v="7"/>
    <s v="Male"/>
    <x v="22"/>
    <x v="3"/>
    <n v="42"/>
    <s v="Maryland"/>
    <x v="2"/>
    <x v="5"/>
    <x v="1"/>
    <n v="3.5"/>
    <x v="0"/>
    <s v="Next Day Air"/>
    <s v="Yes"/>
    <s v="Yes"/>
    <n v="47"/>
    <s v="Credit Card"/>
    <x v="3"/>
  </r>
  <r>
    <n v="983"/>
    <x v="25"/>
    <s v="Male"/>
    <x v="7"/>
    <x v="2"/>
    <n v="62"/>
    <s v="Texas"/>
    <x v="1"/>
    <x v="16"/>
    <x v="2"/>
    <n v="3.2"/>
    <x v="0"/>
    <s v="Standard"/>
    <s v="Yes"/>
    <s v="Yes"/>
    <n v="37"/>
    <s v="PayPal"/>
    <x v="5"/>
  </r>
  <r>
    <n v="984"/>
    <x v="41"/>
    <s v="Male"/>
    <x v="19"/>
    <x v="3"/>
    <n v="45"/>
    <s v="New Mexico"/>
    <x v="0"/>
    <x v="21"/>
    <x v="0"/>
    <n v="3.5"/>
    <x v="0"/>
    <s v="Free Shipping"/>
    <s v="Yes"/>
    <s v="Yes"/>
    <n v="40"/>
    <s v="Venmo"/>
    <x v="4"/>
  </r>
  <r>
    <n v="985"/>
    <x v="8"/>
    <s v="Male"/>
    <x v="9"/>
    <x v="1"/>
    <n v="78"/>
    <s v="Utah"/>
    <x v="2"/>
    <x v="14"/>
    <x v="2"/>
    <n v="3.4"/>
    <x v="0"/>
    <s v="Free Shipping"/>
    <s v="Yes"/>
    <s v="Yes"/>
    <n v="8"/>
    <s v="Credit Card"/>
    <x v="4"/>
  </r>
  <r>
    <n v="986"/>
    <x v="45"/>
    <s v="Male"/>
    <x v="8"/>
    <x v="3"/>
    <n v="80"/>
    <s v="West Virginia"/>
    <x v="2"/>
    <x v="0"/>
    <x v="3"/>
    <n v="5"/>
    <x v="0"/>
    <s v="Express"/>
    <s v="Yes"/>
    <s v="Yes"/>
    <n v="12"/>
    <s v="Bank Transfer"/>
    <x v="2"/>
  </r>
  <r>
    <n v="987"/>
    <x v="22"/>
    <s v="Male"/>
    <x v="18"/>
    <x v="3"/>
    <n v="96"/>
    <s v="Connecticut"/>
    <x v="1"/>
    <x v="15"/>
    <x v="1"/>
    <n v="4.5"/>
    <x v="0"/>
    <s v="Store Pickup"/>
    <s v="Yes"/>
    <s v="Yes"/>
    <n v="36"/>
    <s v="Bank Transfer"/>
    <x v="5"/>
  </r>
  <r>
    <n v="988"/>
    <x v="46"/>
    <s v="Male"/>
    <x v="8"/>
    <x v="3"/>
    <n v="47"/>
    <s v="West Virginia"/>
    <x v="2"/>
    <x v="4"/>
    <x v="2"/>
    <n v="2.8"/>
    <x v="0"/>
    <s v="Express"/>
    <s v="Yes"/>
    <s v="Yes"/>
    <n v="48"/>
    <s v="PayPal"/>
    <x v="1"/>
  </r>
  <r>
    <n v="989"/>
    <x v="2"/>
    <s v="Male"/>
    <x v="13"/>
    <x v="0"/>
    <n v="84"/>
    <s v="Ohio"/>
    <x v="2"/>
    <x v="20"/>
    <x v="0"/>
    <n v="4.9000000000000004"/>
    <x v="0"/>
    <s v="2-Day Shipping"/>
    <s v="Yes"/>
    <s v="Yes"/>
    <n v="47"/>
    <s v="PayPal"/>
    <x v="0"/>
  </r>
  <r>
    <n v="990"/>
    <x v="27"/>
    <s v="Male"/>
    <x v="9"/>
    <x v="1"/>
    <n v="31"/>
    <s v="Texas"/>
    <x v="2"/>
    <x v="19"/>
    <x v="1"/>
    <n v="3.1"/>
    <x v="0"/>
    <s v="Store Pickup"/>
    <s v="Yes"/>
    <s v="Yes"/>
    <n v="2"/>
    <s v="Bank Transfer"/>
    <x v="5"/>
  </r>
  <r>
    <n v="991"/>
    <x v="39"/>
    <s v="Male"/>
    <x v="12"/>
    <x v="3"/>
    <n v="63"/>
    <s v="Washington"/>
    <x v="1"/>
    <x v="22"/>
    <x v="1"/>
    <n v="4.8"/>
    <x v="0"/>
    <s v="Store Pickup"/>
    <s v="Yes"/>
    <s v="Yes"/>
    <n v="24"/>
    <s v="Cash"/>
    <x v="1"/>
  </r>
  <r>
    <n v="992"/>
    <x v="30"/>
    <s v="Male"/>
    <x v="6"/>
    <x v="0"/>
    <n v="97"/>
    <s v="Wisconsin"/>
    <x v="3"/>
    <x v="3"/>
    <x v="1"/>
    <n v="2.7"/>
    <x v="0"/>
    <s v="Standard"/>
    <s v="Yes"/>
    <s v="Yes"/>
    <n v="40"/>
    <s v="Bank Transfer"/>
    <x v="4"/>
  </r>
  <r>
    <n v="993"/>
    <x v="5"/>
    <s v="Male"/>
    <x v="14"/>
    <x v="2"/>
    <n v="99"/>
    <s v="Louisiana"/>
    <x v="2"/>
    <x v="0"/>
    <x v="0"/>
    <n v="4.5999999999999996"/>
    <x v="0"/>
    <s v="Express"/>
    <s v="Yes"/>
    <s v="Yes"/>
    <n v="50"/>
    <s v="Debit Card"/>
    <x v="1"/>
  </r>
  <r>
    <n v="994"/>
    <x v="47"/>
    <s v="Male"/>
    <x v="3"/>
    <x v="1"/>
    <n v="90"/>
    <s v="Iowa"/>
    <x v="2"/>
    <x v="15"/>
    <x v="0"/>
    <n v="4.4000000000000004"/>
    <x v="0"/>
    <s v="Store Pickup"/>
    <s v="Yes"/>
    <s v="Yes"/>
    <n v="25"/>
    <s v="Cash"/>
    <x v="1"/>
  </r>
  <r>
    <n v="995"/>
    <x v="10"/>
    <s v="Male"/>
    <x v="9"/>
    <x v="1"/>
    <n v="68"/>
    <s v="New York"/>
    <x v="0"/>
    <x v="10"/>
    <x v="3"/>
    <n v="3.2"/>
    <x v="0"/>
    <s v="Express"/>
    <s v="Yes"/>
    <s v="Yes"/>
    <n v="20"/>
    <s v="Debit Card"/>
    <x v="5"/>
  </r>
  <r>
    <n v="996"/>
    <x v="42"/>
    <s v="Male"/>
    <x v="16"/>
    <x v="3"/>
    <n v="80"/>
    <s v="Idaho"/>
    <x v="2"/>
    <x v="23"/>
    <x v="1"/>
    <n v="3"/>
    <x v="0"/>
    <s v="2-Day Shipping"/>
    <s v="Yes"/>
    <s v="Yes"/>
    <n v="10"/>
    <s v="Venmo"/>
    <x v="1"/>
  </r>
  <r>
    <n v="997"/>
    <x v="26"/>
    <s v="Male"/>
    <x v="3"/>
    <x v="1"/>
    <n v="91"/>
    <s v="Delaware"/>
    <x v="0"/>
    <x v="1"/>
    <x v="2"/>
    <n v="4.9000000000000004"/>
    <x v="0"/>
    <s v="Standard"/>
    <s v="Yes"/>
    <s v="Yes"/>
    <n v="32"/>
    <s v="Bank Transfer"/>
    <x v="3"/>
  </r>
  <r>
    <n v="998"/>
    <x v="14"/>
    <s v="Male"/>
    <x v="13"/>
    <x v="0"/>
    <n v="30"/>
    <s v="Kentucky"/>
    <x v="2"/>
    <x v="17"/>
    <x v="1"/>
    <n v="3.6"/>
    <x v="0"/>
    <s v="Express"/>
    <s v="Yes"/>
    <s v="Yes"/>
    <n v="31"/>
    <s v="Cash"/>
    <x v="0"/>
  </r>
  <r>
    <n v="999"/>
    <x v="47"/>
    <s v="Male"/>
    <x v="9"/>
    <x v="1"/>
    <n v="90"/>
    <s v="Connecticut"/>
    <x v="2"/>
    <x v="3"/>
    <x v="1"/>
    <n v="3.8"/>
    <x v="0"/>
    <s v="Next Day Air"/>
    <s v="Yes"/>
    <s v="Yes"/>
    <n v="48"/>
    <s v="Bank Transfer"/>
    <x v="4"/>
  </r>
  <r>
    <n v="1000"/>
    <x v="2"/>
    <s v="Male"/>
    <x v="20"/>
    <x v="0"/>
    <n v="28"/>
    <s v="New Mexico"/>
    <x v="0"/>
    <x v="18"/>
    <x v="1"/>
    <n v="2.9"/>
    <x v="0"/>
    <s v="Standard"/>
    <s v="Yes"/>
    <s v="Yes"/>
    <n v="23"/>
    <s v="Debit Card"/>
    <x v="5"/>
  </r>
  <r>
    <n v="1001"/>
    <x v="49"/>
    <s v="Male"/>
    <x v="20"/>
    <x v="0"/>
    <n v="46"/>
    <s v="Georgia"/>
    <x v="2"/>
    <x v="16"/>
    <x v="0"/>
    <n v="3.9"/>
    <x v="0"/>
    <s v="Express"/>
    <s v="Yes"/>
    <s v="Yes"/>
    <n v="1"/>
    <s v="Bank Transfer"/>
    <x v="4"/>
  </r>
  <r>
    <n v="1002"/>
    <x v="12"/>
    <s v="Male"/>
    <x v="10"/>
    <x v="0"/>
    <n v="60"/>
    <s v="Washington"/>
    <x v="2"/>
    <x v="20"/>
    <x v="3"/>
    <n v="3.6"/>
    <x v="0"/>
    <s v="Standard"/>
    <s v="Yes"/>
    <s v="Yes"/>
    <n v="4"/>
    <s v="Debit Card"/>
    <x v="0"/>
  </r>
  <r>
    <n v="1003"/>
    <x v="0"/>
    <s v="Male"/>
    <x v="9"/>
    <x v="1"/>
    <n v="59"/>
    <s v="North Dakota"/>
    <x v="2"/>
    <x v="3"/>
    <x v="1"/>
    <n v="3.5"/>
    <x v="0"/>
    <s v="Store Pickup"/>
    <s v="Yes"/>
    <s v="Yes"/>
    <n v="3"/>
    <s v="Bank Transfer"/>
    <x v="4"/>
  </r>
  <r>
    <n v="1004"/>
    <x v="19"/>
    <s v="Male"/>
    <x v="19"/>
    <x v="3"/>
    <n v="68"/>
    <s v="Ohio"/>
    <x v="2"/>
    <x v="14"/>
    <x v="3"/>
    <n v="4"/>
    <x v="0"/>
    <s v="Store Pickup"/>
    <s v="Yes"/>
    <s v="Yes"/>
    <n v="3"/>
    <s v="Cash"/>
    <x v="4"/>
  </r>
  <r>
    <n v="1005"/>
    <x v="23"/>
    <s v="Male"/>
    <x v="21"/>
    <x v="3"/>
    <n v="79"/>
    <s v="Tennessee"/>
    <x v="2"/>
    <x v="13"/>
    <x v="2"/>
    <n v="4.8"/>
    <x v="0"/>
    <s v="2-Day Shipping"/>
    <s v="Yes"/>
    <s v="Yes"/>
    <n v="44"/>
    <s v="Cash"/>
    <x v="2"/>
  </r>
  <r>
    <n v="1006"/>
    <x v="49"/>
    <s v="Male"/>
    <x v="21"/>
    <x v="3"/>
    <n v="94"/>
    <s v="New York"/>
    <x v="2"/>
    <x v="9"/>
    <x v="0"/>
    <n v="3.9"/>
    <x v="0"/>
    <s v="Store Pickup"/>
    <s v="Yes"/>
    <s v="Yes"/>
    <n v="5"/>
    <s v="Debit Card"/>
    <x v="4"/>
  </r>
  <r>
    <n v="1007"/>
    <x v="3"/>
    <s v="Male"/>
    <x v="13"/>
    <x v="0"/>
    <n v="83"/>
    <s v="Michigan"/>
    <x v="1"/>
    <x v="12"/>
    <x v="2"/>
    <n v="4.5"/>
    <x v="0"/>
    <s v="Next Day Air"/>
    <s v="Yes"/>
    <s v="Yes"/>
    <n v="50"/>
    <s v="Venmo"/>
    <x v="3"/>
  </r>
  <r>
    <n v="1008"/>
    <x v="44"/>
    <s v="Male"/>
    <x v="24"/>
    <x v="3"/>
    <n v="62"/>
    <s v="Georgia"/>
    <x v="3"/>
    <x v="2"/>
    <x v="1"/>
    <n v="4.8"/>
    <x v="0"/>
    <s v="Standard"/>
    <s v="Yes"/>
    <s v="Yes"/>
    <n v="2"/>
    <s v="Credit Card"/>
    <x v="2"/>
  </r>
  <r>
    <n v="1009"/>
    <x v="38"/>
    <s v="Male"/>
    <x v="18"/>
    <x v="3"/>
    <n v="85"/>
    <s v="New Mexico"/>
    <x v="2"/>
    <x v="6"/>
    <x v="1"/>
    <n v="2.6"/>
    <x v="0"/>
    <s v="Store Pickup"/>
    <s v="Yes"/>
    <s v="Yes"/>
    <n v="29"/>
    <s v="PayPal"/>
    <x v="2"/>
  </r>
  <r>
    <n v="1010"/>
    <x v="31"/>
    <s v="Male"/>
    <x v="15"/>
    <x v="0"/>
    <n v="30"/>
    <s v="Louisiana"/>
    <x v="2"/>
    <x v="5"/>
    <x v="2"/>
    <n v="3.1"/>
    <x v="0"/>
    <s v="Express"/>
    <s v="Yes"/>
    <s v="Yes"/>
    <n v="11"/>
    <s v="Venmo"/>
    <x v="2"/>
  </r>
  <r>
    <n v="1011"/>
    <x v="22"/>
    <s v="Male"/>
    <x v="2"/>
    <x v="0"/>
    <n v="24"/>
    <s v="South Dakota"/>
    <x v="3"/>
    <x v="0"/>
    <x v="1"/>
    <n v="4.7"/>
    <x v="0"/>
    <s v="2-Day Shipping"/>
    <s v="Yes"/>
    <s v="Yes"/>
    <n v="37"/>
    <s v="Credit Card"/>
    <x v="0"/>
  </r>
  <r>
    <n v="1012"/>
    <x v="49"/>
    <s v="Male"/>
    <x v="21"/>
    <x v="3"/>
    <n v="25"/>
    <s v="Montana"/>
    <x v="0"/>
    <x v="21"/>
    <x v="1"/>
    <n v="2.9"/>
    <x v="0"/>
    <s v="Next Day Air"/>
    <s v="Yes"/>
    <s v="Yes"/>
    <n v="32"/>
    <s v="Debit Card"/>
    <x v="0"/>
  </r>
  <r>
    <n v="1013"/>
    <x v="48"/>
    <s v="Male"/>
    <x v="3"/>
    <x v="1"/>
    <n v="37"/>
    <s v="New Mexico"/>
    <x v="0"/>
    <x v="11"/>
    <x v="2"/>
    <n v="3.8"/>
    <x v="0"/>
    <s v="Express"/>
    <s v="Yes"/>
    <s v="Yes"/>
    <n v="27"/>
    <s v="Credit Card"/>
    <x v="2"/>
  </r>
  <r>
    <n v="1014"/>
    <x v="35"/>
    <s v="Male"/>
    <x v="22"/>
    <x v="3"/>
    <n v="69"/>
    <s v="South Carolina"/>
    <x v="3"/>
    <x v="14"/>
    <x v="2"/>
    <n v="3.8"/>
    <x v="0"/>
    <s v="2-Day Shipping"/>
    <s v="Yes"/>
    <s v="Yes"/>
    <n v="31"/>
    <s v="Venmo"/>
    <x v="4"/>
  </r>
  <r>
    <n v="1015"/>
    <x v="48"/>
    <s v="Male"/>
    <x v="9"/>
    <x v="1"/>
    <n v="97"/>
    <s v="Ohio"/>
    <x v="2"/>
    <x v="10"/>
    <x v="2"/>
    <n v="3"/>
    <x v="0"/>
    <s v="Standard"/>
    <s v="Yes"/>
    <s v="Yes"/>
    <n v="36"/>
    <s v="Debit Card"/>
    <x v="0"/>
  </r>
  <r>
    <n v="1016"/>
    <x v="33"/>
    <s v="Male"/>
    <x v="24"/>
    <x v="3"/>
    <n v="24"/>
    <s v="North Carolina"/>
    <x v="2"/>
    <x v="17"/>
    <x v="2"/>
    <n v="4.0999999999999996"/>
    <x v="0"/>
    <s v="Standard"/>
    <s v="Yes"/>
    <s v="Yes"/>
    <n v="34"/>
    <s v="Cash"/>
    <x v="1"/>
  </r>
  <r>
    <n v="1017"/>
    <x v="30"/>
    <s v="Male"/>
    <x v="22"/>
    <x v="3"/>
    <n v="30"/>
    <s v="Idaho"/>
    <x v="3"/>
    <x v="24"/>
    <x v="2"/>
    <n v="3.4"/>
    <x v="0"/>
    <s v="Express"/>
    <s v="Yes"/>
    <s v="Yes"/>
    <n v="15"/>
    <s v="Bank Transfer"/>
    <x v="6"/>
  </r>
  <r>
    <n v="1018"/>
    <x v="3"/>
    <s v="Male"/>
    <x v="14"/>
    <x v="2"/>
    <n v="53"/>
    <s v="Oklahoma"/>
    <x v="0"/>
    <x v="20"/>
    <x v="3"/>
    <n v="2.5"/>
    <x v="0"/>
    <s v="Express"/>
    <s v="Yes"/>
    <s v="Yes"/>
    <n v="14"/>
    <s v="Credit Card"/>
    <x v="2"/>
  </r>
  <r>
    <n v="1019"/>
    <x v="2"/>
    <s v="Male"/>
    <x v="10"/>
    <x v="0"/>
    <n v="70"/>
    <s v="Georgia"/>
    <x v="3"/>
    <x v="4"/>
    <x v="1"/>
    <n v="4.9000000000000004"/>
    <x v="0"/>
    <s v="Next Day Air"/>
    <s v="Yes"/>
    <s v="Yes"/>
    <n v="46"/>
    <s v="Cash"/>
    <x v="1"/>
  </r>
  <r>
    <n v="1020"/>
    <x v="45"/>
    <s v="Male"/>
    <x v="5"/>
    <x v="0"/>
    <n v="76"/>
    <s v="Kentucky"/>
    <x v="1"/>
    <x v="19"/>
    <x v="0"/>
    <n v="2.8"/>
    <x v="0"/>
    <s v="Standard"/>
    <s v="Yes"/>
    <s v="Yes"/>
    <n v="33"/>
    <s v="Venmo"/>
    <x v="4"/>
  </r>
  <r>
    <n v="1021"/>
    <x v="41"/>
    <s v="Male"/>
    <x v="18"/>
    <x v="3"/>
    <n v="95"/>
    <s v="Delaware"/>
    <x v="2"/>
    <x v="13"/>
    <x v="3"/>
    <n v="4.5"/>
    <x v="0"/>
    <s v="Express"/>
    <s v="Yes"/>
    <s v="Yes"/>
    <n v="41"/>
    <s v="Debit Card"/>
    <x v="2"/>
  </r>
  <r>
    <n v="1022"/>
    <x v="0"/>
    <s v="Male"/>
    <x v="7"/>
    <x v="2"/>
    <n v="51"/>
    <s v="Massachusetts"/>
    <x v="1"/>
    <x v="12"/>
    <x v="0"/>
    <n v="4.9000000000000004"/>
    <x v="0"/>
    <s v="2-Day Shipping"/>
    <s v="Yes"/>
    <s v="Yes"/>
    <n v="39"/>
    <s v="PayPal"/>
    <x v="1"/>
  </r>
  <r>
    <n v="1023"/>
    <x v="12"/>
    <s v="Male"/>
    <x v="8"/>
    <x v="3"/>
    <n v="41"/>
    <s v="Nebraska"/>
    <x v="2"/>
    <x v="12"/>
    <x v="0"/>
    <n v="4.9000000000000004"/>
    <x v="0"/>
    <s v="Store Pickup"/>
    <s v="Yes"/>
    <s v="Yes"/>
    <n v="7"/>
    <s v="Cash"/>
    <x v="2"/>
  </r>
  <r>
    <n v="1024"/>
    <x v="12"/>
    <s v="Male"/>
    <x v="12"/>
    <x v="3"/>
    <n v="71"/>
    <s v="Maine"/>
    <x v="1"/>
    <x v="2"/>
    <x v="0"/>
    <n v="3.5"/>
    <x v="0"/>
    <s v="Free Shipping"/>
    <s v="Yes"/>
    <s v="Yes"/>
    <n v="29"/>
    <s v="Bank Transfer"/>
    <x v="6"/>
  </r>
  <r>
    <n v="1025"/>
    <x v="48"/>
    <s v="Male"/>
    <x v="17"/>
    <x v="0"/>
    <n v="66"/>
    <s v="Pennsylvania"/>
    <x v="2"/>
    <x v="7"/>
    <x v="2"/>
    <n v="3.5"/>
    <x v="0"/>
    <s v="Free Shipping"/>
    <s v="Yes"/>
    <s v="Yes"/>
    <n v="18"/>
    <s v="Venmo"/>
    <x v="3"/>
  </r>
  <r>
    <n v="1026"/>
    <x v="52"/>
    <s v="Male"/>
    <x v="5"/>
    <x v="0"/>
    <n v="84"/>
    <s v="Nebraska"/>
    <x v="2"/>
    <x v="8"/>
    <x v="0"/>
    <n v="4.9000000000000004"/>
    <x v="0"/>
    <s v="Free Shipping"/>
    <s v="Yes"/>
    <s v="Yes"/>
    <n v="15"/>
    <s v="Credit Card"/>
    <x v="2"/>
  </r>
  <r>
    <n v="1027"/>
    <x v="34"/>
    <s v="Male"/>
    <x v="8"/>
    <x v="3"/>
    <n v="95"/>
    <s v="Virginia"/>
    <x v="0"/>
    <x v="2"/>
    <x v="0"/>
    <n v="3"/>
    <x v="0"/>
    <s v="Express"/>
    <s v="Yes"/>
    <s v="Yes"/>
    <n v="39"/>
    <s v="PayPal"/>
    <x v="4"/>
  </r>
  <r>
    <n v="1028"/>
    <x v="23"/>
    <s v="Male"/>
    <x v="16"/>
    <x v="3"/>
    <n v="90"/>
    <s v="Ohio"/>
    <x v="0"/>
    <x v="11"/>
    <x v="2"/>
    <n v="2.8"/>
    <x v="0"/>
    <s v="Next Day Air"/>
    <s v="Yes"/>
    <s v="Yes"/>
    <n v="11"/>
    <s v="Cash"/>
    <x v="5"/>
  </r>
  <r>
    <n v="1029"/>
    <x v="4"/>
    <s v="Male"/>
    <x v="15"/>
    <x v="0"/>
    <n v="36"/>
    <s v="Nebraska"/>
    <x v="1"/>
    <x v="12"/>
    <x v="2"/>
    <n v="3.7"/>
    <x v="0"/>
    <s v="Standard"/>
    <s v="Yes"/>
    <s v="Yes"/>
    <n v="4"/>
    <s v="Cash"/>
    <x v="0"/>
  </r>
  <r>
    <n v="1030"/>
    <x v="26"/>
    <s v="Male"/>
    <x v="24"/>
    <x v="3"/>
    <n v="22"/>
    <s v="Ohio"/>
    <x v="2"/>
    <x v="7"/>
    <x v="1"/>
    <n v="3.6"/>
    <x v="0"/>
    <s v="2-Day Shipping"/>
    <s v="Yes"/>
    <s v="Yes"/>
    <n v="33"/>
    <s v="Venmo"/>
    <x v="4"/>
  </r>
  <r>
    <n v="1031"/>
    <x v="44"/>
    <s v="Male"/>
    <x v="7"/>
    <x v="2"/>
    <n v="89"/>
    <s v="Kentucky"/>
    <x v="0"/>
    <x v="24"/>
    <x v="0"/>
    <n v="3.3"/>
    <x v="0"/>
    <s v="Next Day Air"/>
    <s v="Yes"/>
    <s v="Yes"/>
    <n v="37"/>
    <s v="Debit Card"/>
    <x v="3"/>
  </r>
  <r>
    <n v="1032"/>
    <x v="40"/>
    <s v="Male"/>
    <x v="3"/>
    <x v="1"/>
    <n v="50"/>
    <s v="Tennessee"/>
    <x v="2"/>
    <x v="11"/>
    <x v="1"/>
    <n v="3.4"/>
    <x v="0"/>
    <s v="Free Shipping"/>
    <s v="Yes"/>
    <s v="Yes"/>
    <n v="32"/>
    <s v="Cash"/>
    <x v="3"/>
  </r>
  <r>
    <n v="1033"/>
    <x v="0"/>
    <s v="Male"/>
    <x v="23"/>
    <x v="1"/>
    <n v="36"/>
    <s v="Maine"/>
    <x v="2"/>
    <x v="12"/>
    <x v="3"/>
    <n v="4"/>
    <x v="0"/>
    <s v="Free Shipping"/>
    <s v="Yes"/>
    <s v="Yes"/>
    <n v="44"/>
    <s v="Credit Card"/>
    <x v="3"/>
  </r>
  <r>
    <n v="1034"/>
    <x v="1"/>
    <s v="Male"/>
    <x v="13"/>
    <x v="0"/>
    <n v="52"/>
    <s v="Montana"/>
    <x v="1"/>
    <x v="5"/>
    <x v="1"/>
    <n v="4.5999999999999996"/>
    <x v="0"/>
    <s v="Free Shipping"/>
    <s v="Yes"/>
    <s v="Yes"/>
    <n v="41"/>
    <s v="Bank Transfer"/>
    <x v="3"/>
  </r>
  <r>
    <n v="1035"/>
    <x v="33"/>
    <s v="Male"/>
    <x v="20"/>
    <x v="0"/>
    <n v="29"/>
    <s v="Maryland"/>
    <x v="2"/>
    <x v="8"/>
    <x v="3"/>
    <n v="4.2"/>
    <x v="0"/>
    <s v="Next Day Air"/>
    <s v="Yes"/>
    <s v="Yes"/>
    <n v="44"/>
    <s v="Bank Transfer"/>
    <x v="1"/>
  </r>
  <r>
    <n v="1036"/>
    <x v="12"/>
    <s v="Male"/>
    <x v="0"/>
    <x v="0"/>
    <n v="89"/>
    <s v="Georgia"/>
    <x v="2"/>
    <x v="18"/>
    <x v="3"/>
    <n v="2.8"/>
    <x v="0"/>
    <s v="Express"/>
    <s v="Yes"/>
    <s v="Yes"/>
    <n v="32"/>
    <s v="Venmo"/>
    <x v="2"/>
  </r>
  <r>
    <n v="1037"/>
    <x v="33"/>
    <s v="Male"/>
    <x v="8"/>
    <x v="3"/>
    <n v="47"/>
    <s v="Hawaii"/>
    <x v="2"/>
    <x v="22"/>
    <x v="3"/>
    <n v="3.7"/>
    <x v="0"/>
    <s v="2-Day Shipping"/>
    <s v="Yes"/>
    <s v="Yes"/>
    <n v="13"/>
    <s v="Bank Transfer"/>
    <x v="5"/>
  </r>
  <r>
    <n v="1038"/>
    <x v="16"/>
    <s v="Male"/>
    <x v="16"/>
    <x v="3"/>
    <n v="25"/>
    <s v="Rhode Island"/>
    <x v="3"/>
    <x v="18"/>
    <x v="1"/>
    <n v="3.4"/>
    <x v="0"/>
    <s v="Standard"/>
    <s v="Yes"/>
    <s v="Yes"/>
    <n v="48"/>
    <s v="Debit Card"/>
    <x v="3"/>
  </r>
  <r>
    <n v="1039"/>
    <x v="38"/>
    <s v="Male"/>
    <x v="13"/>
    <x v="0"/>
    <n v="74"/>
    <s v="Nebraska"/>
    <x v="3"/>
    <x v="17"/>
    <x v="3"/>
    <n v="3"/>
    <x v="0"/>
    <s v="Express"/>
    <s v="Yes"/>
    <s v="Yes"/>
    <n v="3"/>
    <s v="Bank Transfer"/>
    <x v="1"/>
  </r>
  <r>
    <n v="1040"/>
    <x v="26"/>
    <s v="Male"/>
    <x v="22"/>
    <x v="3"/>
    <n v="46"/>
    <s v="Michigan"/>
    <x v="2"/>
    <x v="23"/>
    <x v="3"/>
    <n v="4.8"/>
    <x v="0"/>
    <s v="Standard"/>
    <s v="Yes"/>
    <s v="Yes"/>
    <n v="39"/>
    <s v="Venmo"/>
    <x v="5"/>
  </r>
  <r>
    <n v="1041"/>
    <x v="33"/>
    <s v="Male"/>
    <x v="2"/>
    <x v="0"/>
    <n v="22"/>
    <s v="North Carolina"/>
    <x v="1"/>
    <x v="23"/>
    <x v="3"/>
    <n v="4"/>
    <x v="0"/>
    <s v="Next Day Air"/>
    <s v="Yes"/>
    <s v="Yes"/>
    <n v="7"/>
    <s v="Cash"/>
    <x v="0"/>
  </r>
  <r>
    <n v="1042"/>
    <x v="24"/>
    <s v="Male"/>
    <x v="5"/>
    <x v="0"/>
    <n v="25"/>
    <s v="Minnesota"/>
    <x v="2"/>
    <x v="20"/>
    <x v="2"/>
    <n v="4.9000000000000004"/>
    <x v="0"/>
    <s v="Next Day Air"/>
    <s v="Yes"/>
    <s v="Yes"/>
    <n v="11"/>
    <s v="Cash"/>
    <x v="0"/>
  </r>
  <r>
    <n v="1043"/>
    <x v="0"/>
    <s v="Male"/>
    <x v="22"/>
    <x v="3"/>
    <n v="80"/>
    <s v="Maryland"/>
    <x v="2"/>
    <x v="1"/>
    <x v="1"/>
    <n v="4.9000000000000004"/>
    <x v="0"/>
    <s v="Next Day Air"/>
    <s v="Yes"/>
    <s v="Yes"/>
    <n v="47"/>
    <s v="Credit Card"/>
    <x v="1"/>
  </r>
  <r>
    <n v="1044"/>
    <x v="48"/>
    <s v="Male"/>
    <x v="2"/>
    <x v="0"/>
    <n v="76"/>
    <s v="Hawaii"/>
    <x v="2"/>
    <x v="14"/>
    <x v="1"/>
    <n v="3.3"/>
    <x v="0"/>
    <s v="2-Day Shipping"/>
    <s v="Yes"/>
    <s v="Yes"/>
    <n v="28"/>
    <s v="Debit Card"/>
    <x v="0"/>
  </r>
  <r>
    <n v="1045"/>
    <x v="31"/>
    <s v="Male"/>
    <x v="2"/>
    <x v="0"/>
    <n v="30"/>
    <s v="Oregon"/>
    <x v="0"/>
    <x v="11"/>
    <x v="2"/>
    <n v="4.4000000000000004"/>
    <x v="0"/>
    <s v="Next Day Air"/>
    <s v="Yes"/>
    <s v="Yes"/>
    <n v="17"/>
    <s v="Bank Transfer"/>
    <x v="6"/>
  </r>
  <r>
    <n v="1046"/>
    <x v="22"/>
    <s v="Male"/>
    <x v="1"/>
    <x v="0"/>
    <n v="79"/>
    <s v="New Mexico"/>
    <x v="0"/>
    <x v="13"/>
    <x v="3"/>
    <n v="3.5"/>
    <x v="0"/>
    <s v="2-Day Shipping"/>
    <s v="Yes"/>
    <s v="Yes"/>
    <n v="11"/>
    <s v="PayPal"/>
    <x v="4"/>
  </r>
  <r>
    <n v="1047"/>
    <x v="37"/>
    <s v="Male"/>
    <x v="4"/>
    <x v="1"/>
    <n v="22"/>
    <s v="Illinois"/>
    <x v="2"/>
    <x v="23"/>
    <x v="0"/>
    <n v="4.2"/>
    <x v="0"/>
    <s v="Standard"/>
    <s v="Yes"/>
    <s v="Yes"/>
    <n v="12"/>
    <s v="Venmo"/>
    <x v="2"/>
  </r>
  <r>
    <n v="1048"/>
    <x v="18"/>
    <s v="Male"/>
    <x v="20"/>
    <x v="0"/>
    <n v="36"/>
    <s v="Utah"/>
    <x v="1"/>
    <x v="8"/>
    <x v="3"/>
    <n v="4.2"/>
    <x v="0"/>
    <s v="Standard"/>
    <s v="Yes"/>
    <s v="Yes"/>
    <n v="7"/>
    <s v="Credit Card"/>
    <x v="0"/>
  </r>
  <r>
    <n v="1049"/>
    <x v="11"/>
    <s v="Male"/>
    <x v="20"/>
    <x v="0"/>
    <n v="77"/>
    <s v="Maine"/>
    <x v="0"/>
    <x v="22"/>
    <x v="3"/>
    <n v="2.7"/>
    <x v="0"/>
    <s v="Standard"/>
    <s v="Yes"/>
    <s v="Yes"/>
    <n v="19"/>
    <s v="Venmo"/>
    <x v="0"/>
  </r>
  <r>
    <n v="1050"/>
    <x v="4"/>
    <s v="Male"/>
    <x v="12"/>
    <x v="3"/>
    <n v="33"/>
    <s v="Virginia"/>
    <x v="1"/>
    <x v="7"/>
    <x v="3"/>
    <n v="2.8"/>
    <x v="0"/>
    <s v="Store Pickup"/>
    <s v="Yes"/>
    <s v="Yes"/>
    <n v="24"/>
    <s v="Cash"/>
    <x v="3"/>
  </r>
  <r>
    <n v="1051"/>
    <x v="39"/>
    <s v="Male"/>
    <x v="4"/>
    <x v="1"/>
    <n v="64"/>
    <s v="Florida"/>
    <x v="2"/>
    <x v="19"/>
    <x v="0"/>
    <n v="3.8"/>
    <x v="0"/>
    <s v="Next Day Air"/>
    <s v="Yes"/>
    <s v="Yes"/>
    <n v="19"/>
    <s v="Venmo"/>
    <x v="5"/>
  </r>
  <r>
    <n v="1052"/>
    <x v="4"/>
    <s v="Male"/>
    <x v="20"/>
    <x v="0"/>
    <n v="53"/>
    <s v="Ohio"/>
    <x v="2"/>
    <x v="21"/>
    <x v="3"/>
    <n v="2.6"/>
    <x v="0"/>
    <s v="Free Shipping"/>
    <s v="Yes"/>
    <s v="Yes"/>
    <n v="39"/>
    <s v="PayPal"/>
    <x v="2"/>
  </r>
  <r>
    <n v="1053"/>
    <x v="52"/>
    <s v="Male"/>
    <x v="9"/>
    <x v="1"/>
    <n v="36"/>
    <s v="Virginia"/>
    <x v="3"/>
    <x v="6"/>
    <x v="3"/>
    <n v="3"/>
    <x v="0"/>
    <s v="2-Day Shipping"/>
    <s v="Yes"/>
    <s v="Yes"/>
    <n v="1"/>
    <s v="Credit Card"/>
    <x v="0"/>
  </r>
  <r>
    <n v="1054"/>
    <x v="35"/>
    <s v="Male"/>
    <x v="0"/>
    <x v="0"/>
    <n v="70"/>
    <s v="Kansas"/>
    <x v="2"/>
    <x v="24"/>
    <x v="1"/>
    <n v="3.3"/>
    <x v="1"/>
    <s v="2-Day Shipping"/>
    <s v="Yes"/>
    <s v="Yes"/>
    <n v="10"/>
    <s v="Debit Card"/>
    <x v="4"/>
  </r>
  <r>
    <n v="1055"/>
    <x v="20"/>
    <s v="Male"/>
    <x v="6"/>
    <x v="0"/>
    <n v="96"/>
    <s v="Arkansas"/>
    <x v="0"/>
    <x v="17"/>
    <x v="0"/>
    <n v="4.9000000000000004"/>
    <x v="1"/>
    <s v="Express"/>
    <s v="Yes"/>
    <s v="Yes"/>
    <n v="48"/>
    <s v="PayPal"/>
    <x v="3"/>
  </r>
  <r>
    <n v="1056"/>
    <x v="27"/>
    <s v="Male"/>
    <x v="14"/>
    <x v="2"/>
    <n v="27"/>
    <s v="Massachusetts"/>
    <x v="2"/>
    <x v="20"/>
    <x v="1"/>
    <n v="3.3"/>
    <x v="1"/>
    <s v="Next Day Air"/>
    <s v="Yes"/>
    <s v="Yes"/>
    <n v="24"/>
    <s v="Debit Card"/>
    <x v="2"/>
  </r>
  <r>
    <n v="1057"/>
    <x v="30"/>
    <s v="Male"/>
    <x v="1"/>
    <x v="0"/>
    <n v="64"/>
    <s v="Idaho"/>
    <x v="0"/>
    <x v="13"/>
    <x v="0"/>
    <n v="2.9"/>
    <x v="1"/>
    <s v="2-Day Shipping"/>
    <s v="Yes"/>
    <s v="Yes"/>
    <n v="42"/>
    <s v="Venmo"/>
    <x v="0"/>
  </r>
  <r>
    <n v="1058"/>
    <x v="13"/>
    <s v="Male"/>
    <x v="14"/>
    <x v="2"/>
    <n v="23"/>
    <s v="Wisconsin"/>
    <x v="1"/>
    <x v="1"/>
    <x v="1"/>
    <n v="4.4000000000000004"/>
    <x v="1"/>
    <s v="2-Day Shipping"/>
    <s v="Yes"/>
    <s v="Yes"/>
    <n v="20"/>
    <s v="Credit Card"/>
    <x v="1"/>
  </r>
  <r>
    <n v="1059"/>
    <x v="26"/>
    <s v="Male"/>
    <x v="18"/>
    <x v="3"/>
    <n v="33"/>
    <s v="New Mexico"/>
    <x v="0"/>
    <x v="10"/>
    <x v="2"/>
    <n v="3.1"/>
    <x v="1"/>
    <s v="Next Day Air"/>
    <s v="Yes"/>
    <s v="Yes"/>
    <n v="49"/>
    <s v="Bank Transfer"/>
    <x v="6"/>
  </r>
  <r>
    <n v="1060"/>
    <x v="40"/>
    <s v="Male"/>
    <x v="14"/>
    <x v="2"/>
    <n v="34"/>
    <s v="North Carolina"/>
    <x v="2"/>
    <x v="19"/>
    <x v="0"/>
    <n v="2.5"/>
    <x v="1"/>
    <s v="Standard"/>
    <s v="Yes"/>
    <s v="Yes"/>
    <n v="25"/>
    <s v="Debit Card"/>
    <x v="5"/>
  </r>
  <r>
    <n v="1061"/>
    <x v="7"/>
    <s v="Male"/>
    <x v="1"/>
    <x v="0"/>
    <n v="35"/>
    <s v="Iowa"/>
    <x v="1"/>
    <x v="0"/>
    <x v="2"/>
    <n v="2.6"/>
    <x v="1"/>
    <s v="Next Day Air"/>
    <s v="Yes"/>
    <s v="Yes"/>
    <n v="21"/>
    <s v="Debit Card"/>
    <x v="6"/>
  </r>
  <r>
    <n v="1062"/>
    <x v="24"/>
    <s v="Male"/>
    <x v="7"/>
    <x v="2"/>
    <n v="62"/>
    <s v="Idaho"/>
    <x v="2"/>
    <x v="0"/>
    <x v="2"/>
    <n v="4.4000000000000004"/>
    <x v="1"/>
    <s v="Free Shipping"/>
    <s v="Yes"/>
    <s v="Yes"/>
    <n v="12"/>
    <s v="Venmo"/>
    <x v="6"/>
  </r>
  <r>
    <n v="1063"/>
    <x v="35"/>
    <s v="Male"/>
    <x v="23"/>
    <x v="1"/>
    <n v="75"/>
    <s v="Ohio"/>
    <x v="2"/>
    <x v="18"/>
    <x v="3"/>
    <n v="2.6"/>
    <x v="1"/>
    <s v="Next Day Air"/>
    <s v="Yes"/>
    <s v="Yes"/>
    <n v="21"/>
    <s v="Debit Card"/>
    <x v="6"/>
  </r>
  <r>
    <n v="1064"/>
    <x v="46"/>
    <s v="Male"/>
    <x v="15"/>
    <x v="0"/>
    <n v="29"/>
    <s v="Alabama"/>
    <x v="1"/>
    <x v="21"/>
    <x v="2"/>
    <n v="3.3"/>
    <x v="1"/>
    <s v="Free Shipping"/>
    <s v="Yes"/>
    <s v="Yes"/>
    <n v="35"/>
    <s v="Cash"/>
    <x v="5"/>
  </r>
  <r>
    <n v="1065"/>
    <x v="50"/>
    <s v="Male"/>
    <x v="19"/>
    <x v="3"/>
    <n v="28"/>
    <s v="Wyoming"/>
    <x v="2"/>
    <x v="10"/>
    <x v="1"/>
    <n v="3.5"/>
    <x v="1"/>
    <s v="Express"/>
    <s v="Yes"/>
    <s v="Yes"/>
    <n v="42"/>
    <s v="Credit Card"/>
    <x v="6"/>
  </r>
  <r>
    <n v="1066"/>
    <x v="35"/>
    <s v="Male"/>
    <x v="17"/>
    <x v="0"/>
    <n v="20"/>
    <s v="Alabama"/>
    <x v="3"/>
    <x v="24"/>
    <x v="1"/>
    <n v="4.0999999999999996"/>
    <x v="1"/>
    <s v="Store Pickup"/>
    <s v="Yes"/>
    <s v="Yes"/>
    <n v="3"/>
    <s v="PayPal"/>
    <x v="6"/>
  </r>
  <r>
    <n v="1067"/>
    <x v="34"/>
    <s v="Male"/>
    <x v="7"/>
    <x v="2"/>
    <n v="96"/>
    <s v="Mississippi"/>
    <x v="2"/>
    <x v="16"/>
    <x v="0"/>
    <n v="4"/>
    <x v="1"/>
    <s v="Store Pickup"/>
    <s v="Yes"/>
    <s v="Yes"/>
    <n v="11"/>
    <s v="PayPal"/>
    <x v="4"/>
  </r>
  <r>
    <n v="1068"/>
    <x v="20"/>
    <s v="Male"/>
    <x v="10"/>
    <x v="0"/>
    <n v="43"/>
    <s v="Pennsylvania"/>
    <x v="1"/>
    <x v="15"/>
    <x v="2"/>
    <n v="2.7"/>
    <x v="1"/>
    <s v="2-Day Shipping"/>
    <s v="Yes"/>
    <s v="Yes"/>
    <n v="22"/>
    <s v="PayPal"/>
    <x v="3"/>
  </r>
  <r>
    <n v="1069"/>
    <x v="0"/>
    <s v="Male"/>
    <x v="5"/>
    <x v="0"/>
    <n v="94"/>
    <s v="Wyoming"/>
    <x v="2"/>
    <x v="8"/>
    <x v="3"/>
    <n v="2.5"/>
    <x v="1"/>
    <s v="Standard"/>
    <s v="Yes"/>
    <s v="Yes"/>
    <n v="47"/>
    <s v="Credit Card"/>
    <x v="1"/>
  </r>
  <r>
    <n v="1070"/>
    <x v="21"/>
    <s v="Male"/>
    <x v="11"/>
    <x v="0"/>
    <n v="81"/>
    <s v="Maryland"/>
    <x v="3"/>
    <x v="3"/>
    <x v="3"/>
    <n v="4.3"/>
    <x v="1"/>
    <s v="Next Day Air"/>
    <s v="Yes"/>
    <s v="Yes"/>
    <n v="33"/>
    <s v="Venmo"/>
    <x v="6"/>
  </r>
  <r>
    <n v="1071"/>
    <x v="2"/>
    <s v="Male"/>
    <x v="16"/>
    <x v="3"/>
    <n v="75"/>
    <s v="North Carolina"/>
    <x v="2"/>
    <x v="23"/>
    <x v="2"/>
    <n v="3.3"/>
    <x v="1"/>
    <s v="Free Shipping"/>
    <s v="Yes"/>
    <s v="Yes"/>
    <n v="50"/>
    <s v="Debit Card"/>
    <x v="1"/>
  </r>
  <r>
    <n v="1072"/>
    <x v="12"/>
    <s v="Male"/>
    <x v="19"/>
    <x v="3"/>
    <n v="81"/>
    <s v="Pennsylvania"/>
    <x v="2"/>
    <x v="19"/>
    <x v="2"/>
    <n v="2.6"/>
    <x v="1"/>
    <s v="Express"/>
    <s v="Yes"/>
    <s v="Yes"/>
    <n v="46"/>
    <s v="Credit Card"/>
    <x v="5"/>
  </r>
  <r>
    <n v="1073"/>
    <x v="39"/>
    <s v="Male"/>
    <x v="6"/>
    <x v="0"/>
    <n v="92"/>
    <s v="Idaho"/>
    <x v="0"/>
    <x v="9"/>
    <x v="3"/>
    <n v="3.5"/>
    <x v="1"/>
    <s v="Express"/>
    <s v="Yes"/>
    <s v="Yes"/>
    <n v="34"/>
    <s v="Debit Card"/>
    <x v="0"/>
  </r>
  <r>
    <n v="1074"/>
    <x v="40"/>
    <s v="Male"/>
    <x v="18"/>
    <x v="3"/>
    <n v="96"/>
    <s v="California"/>
    <x v="3"/>
    <x v="7"/>
    <x v="1"/>
    <n v="4"/>
    <x v="1"/>
    <s v="Store Pickup"/>
    <s v="Yes"/>
    <s v="Yes"/>
    <n v="33"/>
    <s v="Credit Card"/>
    <x v="5"/>
  </r>
  <r>
    <n v="1075"/>
    <x v="39"/>
    <s v="Male"/>
    <x v="16"/>
    <x v="3"/>
    <n v="71"/>
    <s v="Tennessee"/>
    <x v="1"/>
    <x v="3"/>
    <x v="3"/>
    <n v="2.6"/>
    <x v="1"/>
    <s v="Standard"/>
    <s v="Yes"/>
    <s v="Yes"/>
    <n v="45"/>
    <s v="Bank Transfer"/>
    <x v="0"/>
  </r>
  <r>
    <n v="1076"/>
    <x v="9"/>
    <s v="Male"/>
    <x v="12"/>
    <x v="3"/>
    <n v="50"/>
    <s v="Missouri"/>
    <x v="0"/>
    <x v="21"/>
    <x v="2"/>
    <n v="4.9000000000000004"/>
    <x v="1"/>
    <s v="Next Day Air"/>
    <s v="Yes"/>
    <s v="Yes"/>
    <n v="32"/>
    <s v="Debit Card"/>
    <x v="4"/>
  </r>
  <r>
    <n v="1077"/>
    <x v="23"/>
    <s v="Male"/>
    <x v="7"/>
    <x v="2"/>
    <n v="72"/>
    <s v="North Dakota"/>
    <x v="0"/>
    <x v="4"/>
    <x v="1"/>
    <n v="2.9"/>
    <x v="1"/>
    <s v="Standard"/>
    <s v="Yes"/>
    <s v="Yes"/>
    <n v="47"/>
    <s v="Venmo"/>
    <x v="4"/>
  </r>
  <r>
    <n v="1078"/>
    <x v="44"/>
    <s v="Male"/>
    <x v="14"/>
    <x v="2"/>
    <n v="28"/>
    <s v="West Virginia"/>
    <x v="2"/>
    <x v="6"/>
    <x v="0"/>
    <n v="3.7"/>
    <x v="1"/>
    <s v="Standard"/>
    <s v="Yes"/>
    <s v="Yes"/>
    <n v="5"/>
    <s v="PayPal"/>
    <x v="3"/>
  </r>
  <r>
    <n v="1079"/>
    <x v="43"/>
    <s v="Male"/>
    <x v="1"/>
    <x v="0"/>
    <n v="59"/>
    <s v="Arizona"/>
    <x v="2"/>
    <x v="5"/>
    <x v="3"/>
    <n v="4.4000000000000004"/>
    <x v="1"/>
    <s v="Express"/>
    <s v="Yes"/>
    <s v="Yes"/>
    <n v="49"/>
    <s v="Credit Card"/>
    <x v="0"/>
  </r>
  <r>
    <n v="1080"/>
    <x v="20"/>
    <s v="Male"/>
    <x v="7"/>
    <x v="2"/>
    <n v="33"/>
    <s v="Oklahoma"/>
    <x v="1"/>
    <x v="24"/>
    <x v="2"/>
    <n v="4.4000000000000004"/>
    <x v="1"/>
    <s v="Free Shipping"/>
    <s v="Yes"/>
    <s v="Yes"/>
    <n v="48"/>
    <s v="Bank Transfer"/>
    <x v="5"/>
  </r>
  <r>
    <n v="1081"/>
    <x v="13"/>
    <s v="Male"/>
    <x v="18"/>
    <x v="3"/>
    <n v="59"/>
    <s v="Pennsylvania"/>
    <x v="0"/>
    <x v="24"/>
    <x v="3"/>
    <n v="3.8"/>
    <x v="1"/>
    <s v="Express"/>
    <s v="Yes"/>
    <s v="Yes"/>
    <n v="22"/>
    <s v="Cash"/>
    <x v="6"/>
  </r>
  <r>
    <n v="1082"/>
    <x v="46"/>
    <s v="Male"/>
    <x v="22"/>
    <x v="3"/>
    <n v="30"/>
    <s v="Idaho"/>
    <x v="3"/>
    <x v="18"/>
    <x v="1"/>
    <n v="4.5"/>
    <x v="1"/>
    <s v="Standard"/>
    <s v="Yes"/>
    <s v="Yes"/>
    <n v="45"/>
    <s v="Credit Card"/>
    <x v="2"/>
  </r>
  <r>
    <n v="1083"/>
    <x v="22"/>
    <s v="Male"/>
    <x v="19"/>
    <x v="3"/>
    <n v="85"/>
    <s v="South Carolina"/>
    <x v="3"/>
    <x v="17"/>
    <x v="0"/>
    <n v="2.6"/>
    <x v="1"/>
    <s v="Next Day Air"/>
    <s v="Yes"/>
    <s v="Yes"/>
    <n v="30"/>
    <s v="Venmo"/>
    <x v="3"/>
  </r>
  <r>
    <n v="1084"/>
    <x v="25"/>
    <s v="Male"/>
    <x v="21"/>
    <x v="3"/>
    <n v="97"/>
    <s v="Washington"/>
    <x v="0"/>
    <x v="11"/>
    <x v="2"/>
    <n v="3.3"/>
    <x v="1"/>
    <s v="Store Pickup"/>
    <s v="Yes"/>
    <s v="Yes"/>
    <n v="43"/>
    <s v="Cash"/>
    <x v="1"/>
  </r>
  <r>
    <n v="1085"/>
    <x v="50"/>
    <s v="Male"/>
    <x v="17"/>
    <x v="0"/>
    <n v="36"/>
    <s v="Arkansas"/>
    <x v="1"/>
    <x v="7"/>
    <x v="3"/>
    <n v="4.0999999999999996"/>
    <x v="1"/>
    <s v="Next Day Air"/>
    <s v="Yes"/>
    <s v="Yes"/>
    <n v="48"/>
    <s v="Cash"/>
    <x v="3"/>
  </r>
  <r>
    <n v="1086"/>
    <x v="15"/>
    <s v="Male"/>
    <x v="16"/>
    <x v="3"/>
    <n v="85"/>
    <s v="Utah"/>
    <x v="2"/>
    <x v="2"/>
    <x v="0"/>
    <n v="3"/>
    <x v="1"/>
    <s v="Store Pickup"/>
    <s v="Yes"/>
    <s v="Yes"/>
    <n v="23"/>
    <s v="Venmo"/>
    <x v="0"/>
  </r>
  <r>
    <n v="1087"/>
    <x v="10"/>
    <s v="Male"/>
    <x v="12"/>
    <x v="3"/>
    <n v="62"/>
    <s v="Alaska"/>
    <x v="2"/>
    <x v="8"/>
    <x v="0"/>
    <n v="3"/>
    <x v="1"/>
    <s v="Free Shipping"/>
    <s v="Yes"/>
    <s v="Yes"/>
    <n v="27"/>
    <s v="PayPal"/>
    <x v="4"/>
  </r>
  <r>
    <n v="1088"/>
    <x v="4"/>
    <s v="Male"/>
    <x v="2"/>
    <x v="0"/>
    <n v="71"/>
    <s v="West Virginia"/>
    <x v="1"/>
    <x v="3"/>
    <x v="0"/>
    <n v="3.4"/>
    <x v="1"/>
    <s v="Next Day Air"/>
    <s v="Yes"/>
    <s v="Yes"/>
    <n v="7"/>
    <s v="Bank Transfer"/>
    <x v="5"/>
  </r>
  <r>
    <n v="1089"/>
    <x v="34"/>
    <s v="Male"/>
    <x v="13"/>
    <x v="0"/>
    <n v="21"/>
    <s v="Louisiana"/>
    <x v="2"/>
    <x v="2"/>
    <x v="0"/>
    <n v="2.7"/>
    <x v="1"/>
    <s v="Free Shipping"/>
    <s v="Yes"/>
    <s v="Yes"/>
    <n v="2"/>
    <s v="PayPal"/>
    <x v="1"/>
  </r>
  <r>
    <n v="1090"/>
    <x v="37"/>
    <s v="Male"/>
    <x v="21"/>
    <x v="3"/>
    <n v="61"/>
    <s v="Arizona"/>
    <x v="2"/>
    <x v="5"/>
    <x v="1"/>
    <n v="3.8"/>
    <x v="1"/>
    <s v="Next Day Air"/>
    <s v="Yes"/>
    <s v="Yes"/>
    <n v="33"/>
    <s v="PayPal"/>
    <x v="4"/>
  </r>
  <r>
    <n v="1091"/>
    <x v="21"/>
    <s v="Male"/>
    <x v="18"/>
    <x v="3"/>
    <n v="58"/>
    <s v="Connecticut"/>
    <x v="2"/>
    <x v="10"/>
    <x v="1"/>
    <n v="4.2"/>
    <x v="1"/>
    <s v="Store Pickup"/>
    <s v="Yes"/>
    <s v="Yes"/>
    <n v="27"/>
    <s v="Cash"/>
    <x v="0"/>
  </r>
  <r>
    <n v="1092"/>
    <x v="42"/>
    <s v="Male"/>
    <x v="1"/>
    <x v="0"/>
    <n v="80"/>
    <s v="North Carolina"/>
    <x v="0"/>
    <x v="12"/>
    <x v="1"/>
    <n v="4.7"/>
    <x v="1"/>
    <s v="Store Pickup"/>
    <s v="Yes"/>
    <s v="Yes"/>
    <n v="6"/>
    <s v="Credit Card"/>
    <x v="0"/>
  </r>
  <r>
    <n v="1093"/>
    <x v="33"/>
    <s v="Male"/>
    <x v="16"/>
    <x v="3"/>
    <n v="50"/>
    <s v="South Dakota"/>
    <x v="0"/>
    <x v="23"/>
    <x v="1"/>
    <n v="4.0999999999999996"/>
    <x v="1"/>
    <s v="2-Day Shipping"/>
    <s v="Yes"/>
    <s v="Yes"/>
    <n v="20"/>
    <s v="Venmo"/>
    <x v="3"/>
  </r>
  <r>
    <n v="1094"/>
    <x v="52"/>
    <s v="Male"/>
    <x v="4"/>
    <x v="1"/>
    <n v="48"/>
    <s v="Delaware"/>
    <x v="1"/>
    <x v="21"/>
    <x v="0"/>
    <n v="4.2"/>
    <x v="1"/>
    <s v="2-Day Shipping"/>
    <s v="Yes"/>
    <s v="Yes"/>
    <n v="46"/>
    <s v="Venmo"/>
    <x v="6"/>
  </r>
  <r>
    <n v="1095"/>
    <x v="15"/>
    <s v="Male"/>
    <x v="16"/>
    <x v="3"/>
    <n v="40"/>
    <s v="Connecticut"/>
    <x v="2"/>
    <x v="13"/>
    <x v="0"/>
    <n v="4.8"/>
    <x v="1"/>
    <s v="Next Day Air"/>
    <s v="Yes"/>
    <s v="Yes"/>
    <n v="25"/>
    <s v="Cash"/>
    <x v="3"/>
  </r>
  <r>
    <n v="1096"/>
    <x v="1"/>
    <s v="Male"/>
    <x v="7"/>
    <x v="2"/>
    <n v="34"/>
    <s v="Tennessee"/>
    <x v="1"/>
    <x v="15"/>
    <x v="2"/>
    <n v="3"/>
    <x v="1"/>
    <s v="Free Shipping"/>
    <s v="Yes"/>
    <s v="Yes"/>
    <n v="30"/>
    <s v="Bank Transfer"/>
    <x v="3"/>
  </r>
  <r>
    <n v="1097"/>
    <x v="9"/>
    <s v="Male"/>
    <x v="7"/>
    <x v="2"/>
    <n v="46"/>
    <s v="New Hampshire"/>
    <x v="1"/>
    <x v="19"/>
    <x v="3"/>
    <n v="2.6"/>
    <x v="1"/>
    <s v="Standard"/>
    <s v="Yes"/>
    <s v="Yes"/>
    <n v="48"/>
    <s v="Credit Card"/>
    <x v="2"/>
  </r>
  <r>
    <n v="1098"/>
    <x v="44"/>
    <s v="Male"/>
    <x v="12"/>
    <x v="3"/>
    <n v="27"/>
    <s v="Vermont"/>
    <x v="2"/>
    <x v="13"/>
    <x v="2"/>
    <n v="3.2"/>
    <x v="1"/>
    <s v="Store Pickup"/>
    <s v="Yes"/>
    <s v="Yes"/>
    <n v="47"/>
    <s v="Bank Transfer"/>
    <x v="1"/>
  </r>
  <r>
    <n v="1099"/>
    <x v="34"/>
    <s v="Male"/>
    <x v="8"/>
    <x v="3"/>
    <n v="98"/>
    <s v="Idaho"/>
    <x v="1"/>
    <x v="2"/>
    <x v="1"/>
    <n v="3.6"/>
    <x v="1"/>
    <s v="Next Day Air"/>
    <s v="Yes"/>
    <s v="Yes"/>
    <n v="27"/>
    <s v="Credit Card"/>
    <x v="1"/>
  </r>
  <r>
    <n v="1100"/>
    <x v="1"/>
    <s v="Male"/>
    <x v="1"/>
    <x v="0"/>
    <n v="73"/>
    <s v="North Carolina"/>
    <x v="2"/>
    <x v="15"/>
    <x v="3"/>
    <n v="2.6"/>
    <x v="1"/>
    <s v="Next Day Air"/>
    <s v="Yes"/>
    <s v="Yes"/>
    <n v="45"/>
    <s v="Bank Transfer"/>
    <x v="0"/>
  </r>
  <r>
    <n v="1101"/>
    <x v="2"/>
    <s v="Male"/>
    <x v="13"/>
    <x v="0"/>
    <n v="28"/>
    <s v="Nevada"/>
    <x v="0"/>
    <x v="9"/>
    <x v="1"/>
    <n v="4.4000000000000004"/>
    <x v="1"/>
    <s v="Express"/>
    <s v="Yes"/>
    <s v="Yes"/>
    <n v="2"/>
    <s v="Credit Card"/>
    <x v="1"/>
  </r>
  <r>
    <n v="1102"/>
    <x v="11"/>
    <s v="Male"/>
    <x v="24"/>
    <x v="3"/>
    <n v="76"/>
    <s v="Delaware"/>
    <x v="3"/>
    <x v="5"/>
    <x v="3"/>
    <n v="3"/>
    <x v="1"/>
    <s v="Free Shipping"/>
    <s v="Yes"/>
    <s v="Yes"/>
    <n v="39"/>
    <s v="Cash"/>
    <x v="0"/>
  </r>
  <r>
    <n v="1103"/>
    <x v="16"/>
    <s v="Male"/>
    <x v="1"/>
    <x v="0"/>
    <n v="83"/>
    <s v="Texas"/>
    <x v="2"/>
    <x v="15"/>
    <x v="3"/>
    <n v="2.9"/>
    <x v="1"/>
    <s v="Express"/>
    <s v="Yes"/>
    <s v="Yes"/>
    <n v="24"/>
    <s v="Cash"/>
    <x v="0"/>
  </r>
  <r>
    <n v="1104"/>
    <x v="25"/>
    <s v="Male"/>
    <x v="15"/>
    <x v="0"/>
    <n v="23"/>
    <s v="Tennessee"/>
    <x v="1"/>
    <x v="4"/>
    <x v="1"/>
    <n v="4.3"/>
    <x v="1"/>
    <s v="Free Shipping"/>
    <s v="Yes"/>
    <s v="Yes"/>
    <n v="8"/>
    <s v="Debit Card"/>
    <x v="4"/>
  </r>
  <r>
    <n v="1105"/>
    <x v="25"/>
    <s v="Male"/>
    <x v="19"/>
    <x v="3"/>
    <n v="28"/>
    <s v="Delaware"/>
    <x v="2"/>
    <x v="19"/>
    <x v="3"/>
    <n v="3.1"/>
    <x v="1"/>
    <s v="Express"/>
    <s v="Yes"/>
    <s v="Yes"/>
    <n v="8"/>
    <s v="Bank Transfer"/>
    <x v="3"/>
  </r>
  <r>
    <n v="1106"/>
    <x v="23"/>
    <s v="Male"/>
    <x v="17"/>
    <x v="0"/>
    <n v="83"/>
    <s v="Massachusetts"/>
    <x v="1"/>
    <x v="8"/>
    <x v="1"/>
    <n v="3"/>
    <x v="1"/>
    <s v="Next Day Air"/>
    <s v="Yes"/>
    <s v="Yes"/>
    <n v="6"/>
    <s v="Venmo"/>
    <x v="6"/>
  </r>
  <r>
    <n v="1107"/>
    <x v="16"/>
    <s v="Male"/>
    <x v="11"/>
    <x v="0"/>
    <n v="96"/>
    <s v="Minnesota"/>
    <x v="0"/>
    <x v="10"/>
    <x v="0"/>
    <n v="3.6"/>
    <x v="1"/>
    <s v="Store Pickup"/>
    <s v="Yes"/>
    <s v="Yes"/>
    <n v="12"/>
    <s v="Venmo"/>
    <x v="0"/>
  </r>
  <r>
    <n v="1108"/>
    <x v="28"/>
    <s v="Male"/>
    <x v="4"/>
    <x v="1"/>
    <n v="62"/>
    <s v="Texas"/>
    <x v="2"/>
    <x v="15"/>
    <x v="3"/>
    <n v="2.8"/>
    <x v="1"/>
    <s v="Store Pickup"/>
    <s v="Yes"/>
    <s v="Yes"/>
    <n v="26"/>
    <s v="Bank Transfer"/>
    <x v="1"/>
  </r>
  <r>
    <n v="1109"/>
    <x v="7"/>
    <s v="Male"/>
    <x v="6"/>
    <x v="0"/>
    <n v="25"/>
    <s v="Nebraska"/>
    <x v="2"/>
    <x v="11"/>
    <x v="3"/>
    <n v="2.8"/>
    <x v="1"/>
    <s v="Standard"/>
    <s v="Yes"/>
    <s v="Yes"/>
    <n v="50"/>
    <s v="Cash"/>
    <x v="0"/>
  </r>
  <r>
    <n v="1110"/>
    <x v="17"/>
    <s v="Male"/>
    <x v="15"/>
    <x v="0"/>
    <n v="97"/>
    <s v="Oklahoma"/>
    <x v="0"/>
    <x v="10"/>
    <x v="0"/>
    <n v="4.9000000000000004"/>
    <x v="1"/>
    <s v="Next Day Air"/>
    <s v="Yes"/>
    <s v="Yes"/>
    <n v="2"/>
    <s v="Venmo"/>
    <x v="1"/>
  </r>
  <r>
    <n v="1111"/>
    <x v="48"/>
    <s v="Male"/>
    <x v="15"/>
    <x v="0"/>
    <n v="61"/>
    <s v="Texas"/>
    <x v="0"/>
    <x v="17"/>
    <x v="3"/>
    <n v="3"/>
    <x v="1"/>
    <s v="Standard"/>
    <s v="Yes"/>
    <s v="Yes"/>
    <n v="31"/>
    <s v="Cash"/>
    <x v="4"/>
  </r>
  <r>
    <n v="1112"/>
    <x v="40"/>
    <s v="Male"/>
    <x v="9"/>
    <x v="1"/>
    <n v="66"/>
    <s v="New York"/>
    <x v="1"/>
    <x v="8"/>
    <x v="2"/>
    <n v="4.0999999999999996"/>
    <x v="1"/>
    <s v="Next Day Air"/>
    <s v="Yes"/>
    <s v="Yes"/>
    <n v="4"/>
    <s v="Credit Card"/>
    <x v="4"/>
  </r>
  <r>
    <n v="1113"/>
    <x v="28"/>
    <s v="Male"/>
    <x v="15"/>
    <x v="0"/>
    <n v="67"/>
    <s v="Washington"/>
    <x v="3"/>
    <x v="6"/>
    <x v="1"/>
    <n v="4.5999999999999996"/>
    <x v="1"/>
    <s v="Free Shipping"/>
    <s v="Yes"/>
    <s v="Yes"/>
    <n v="32"/>
    <s v="PayPal"/>
    <x v="3"/>
  </r>
  <r>
    <n v="1114"/>
    <x v="48"/>
    <s v="Male"/>
    <x v="12"/>
    <x v="3"/>
    <n v="80"/>
    <s v="Maryland"/>
    <x v="2"/>
    <x v="7"/>
    <x v="2"/>
    <n v="4.8"/>
    <x v="1"/>
    <s v="Next Day Air"/>
    <s v="Yes"/>
    <s v="Yes"/>
    <n v="11"/>
    <s v="PayPal"/>
    <x v="4"/>
  </r>
  <r>
    <n v="1115"/>
    <x v="0"/>
    <s v="Male"/>
    <x v="11"/>
    <x v="0"/>
    <n v="25"/>
    <s v="New Hampshire"/>
    <x v="0"/>
    <x v="10"/>
    <x v="3"/>
    <n v="2.6"/>
    <x v="1"/>
    <s v="Next Day Air"/>
    <s v="Yes"/>
    <s v="Yes"/>
    <n v="47"/>
    <s v="Bank Transfer"/>
    <x v="6"/>
  </r>
  <r>
    <n v="1116"/>
    <x v="11"/>
    <s v="Male"/>
    <x v="19"/>
    <x v="3"/>
    <n v="58"/>
    <s v="New York"/>
    <x v="1"/>
    <x v="15"/>
    <x v="3"/>
    <n v="4"/>
    <x v="1"/>
    <s v="2-Day Shipping"/>
    <s v="Yes"/>
    <s v="Yes"/>
    <n v="37"/>
    <s v="Cash"/>
    <x v="1"/>
  </r>
  <r>
    <n v="1117"/>
    <x v="29"/>
    <s v="Male"/>
    <x v="21"/>
    <x v="3"/>
    <n v="96"/>
    <s v="Hawaii"/>
    <x v="2"/>
    <x v="4"/>
    <x v="0"/>
    <n v="4.2"/>
    <x v="1"/>
    <s v="Express"/>
    <s v="Yes"/>
    <s v="Yes"/>
    <n v="39"/>
    <s v="PayPal"/>
    <x v="0"/>
  </r>
  <r>
    <n v="1118"/>
    <x v="15"/>
    <s v="Male"/>
    <x v="12"/>
    <x v="3"/>
    <n v="77"/>
    <s v="California"/>
    <x v="0"/>
    <x v="12"/>
    <x v="1"/>
    <n v="4.5"/>
    <x v="1"/>
    <s v="Store Pickup"/>
    <s v="Yes"/>
    <s v="Yes"/>
    <n v="24"/>
    <s v="Credit Card"/>
    <x v="5"/>
  </r>
  <r>
    <n v="1119"/>
    <x v="34"/>
    <s v="Male"/>
    <x v="22"/>
    <x v="3"/>
    <n v="65"/>
    <s v="Indiana"/>
    <x v="2"/>
    <x v="7"/>
    <x v="2"/>
    <n v="4.9000000000000004"/>
    <x v="1"/>
    <s v="Standard"/>
    <s v="Yes"/>
    <s v="Yes"/>
    <n v="11"/>
    <s v="PayPal"/>
    <x v="6"/>
  </r>
  <r>
    <n v="1120"/>
    <x v="50"/>
    <s v="Male"/>
    <x v="16"/>
    <x v="3"/>
    <n v="36"/>
    <s v="Louisiana"/>
    <x v="2"/>
    <x v="21"/>
    <x v="1"/>
    <n v="3.1"/>
    <x v="1"/>
    <s v="Standard"/>
    <s v="Yes"/>
    <s v="Yes"/>
    <n v="36"/>
    <s v="Credit Card"/>
    <x v="1"/>
  </r>
  <r>
    <n v="1121"/>
    <x v="40"/>
    <s v="Male"/>
    <x v="4"/>
    <x v="1"/>
    <n v="84"/>
    <s v="Pennsylvania"/>
    <x v="2"/>
    <x v="23"/>
    <x v="0"/>
    <n v="4"/>
    <x v="1"/>
    <s v="Next Day Air"/>
    <s v="Yes"/>
    <s v="Yes"/>
    <n v="40"/>
    <s v="Debit Card"/>
    <x v="5"/>
  </r>
  <r>
    <n v="1122"/>
    <x v="6"/>
    <s v="Male"/>
    <x v="17"/>
    <x v="0"/>
    <n v="58"/>
    <s v="Florida"/>
    <x v="3"/>
    <x v="15"/>
    <x v="3"/>
    <n v="3.2"/>
    <x v="1"/>
    <s v="Express"/>
    <s v="Yes"/>
    <s v="Yes"/>
    <n v="25"/>
    <s v="Cash"/>
    <x v="3"/>
  </r>
  <r>
    <n v="1123"/>
    <x v="27"/>
    <s v="Male"/>
    <x v="8"/>
    <x v="3"/>
    <n v="62"/>
    <s v="North Carolina"/>
    <x v="1"/>
    <x v="4"/>
    <x v="1"/>
    <n v="4.3"/>
    <x v="1"/>
    <s v="2-Day Shipping"/>
    <s v="Yes"/>
    <s v="Yes"/>
    <n v="12"/>
    <s v="Credit Card"/>
    <x v="2"/>
  </r>
  <r>
    <n v="1124"/>
    <x v="24"/>
    <s v="Male"/>
    <x v="19"/>
    <x v="3"/>
    <n v="67"/>
    <s v="Massachusetts"/>
    <x v="1"/>
    <x v="7"/>
    <x v="3"/>
    <n v="2.5"/>
    <x v="1"/>
    <s v="Store Pickup"/>
    <s v="Yes"/>
    <s v="Yes"/>
    <n v="38"/>
    <s v="Cash"/>
    <x v="5"/>
  </r>
  <r>
    <n v="1125"/>
    <x v="32"/>
    <s v="Male"/>
    <x v="1"/>
    <x v="0"/>
    <n v="20"/>
    <s v="Iowa"/>
    <x v="2"/>
    <x v="20"/>
    <x v="1"/>
    <n v="4.9000000000000004"/>
    <x v="1"/>
    <s v="Express"/>
    <s v="Yes"/>
    <s v="Yes"/>
    <n v="40"/>
    <s v="Cash"/>
    <x v="3"/>
  </r>
  <r>
    <n v="1126"/>
    <x v="7"/>
    <s v="Male"/>
    <x v="3"/>
    <x v="1"/>
    <n v="90"/>
    <s v="North Dakota"/>
    <x v="2"/>
    <x v="12"/>
    <x v="2"/>
    <n v="2.7"/>
    <x v="1"/>
    <s v="2-Day Shipping"/>
    <s v="Yes"/>
    <s v="Yes"/>
    <n v="10"/>
    <s v="Bank Transfer"/>
    <x v="1"/>
  </r>
  <r>
    <n v="1127"/>
    <x v="51"/>
    <s v="Male"/>
    <x v="18"/>
    <x v="3"/>
    <n v="58"/>
    <s v="Iowa"/>
    <x v="0"/>
    <x v="19"/>
    <x v="0"/>
    <n v="3.4"/>
    <x v="1"/>
    <s v="Standard"/>
    <s v="Yes"/>
    <s v="Yes"/>
    <n v="47"/>
    <s v="Venmo"/>
    <x v="0"/>
  </r>
  <r>
    <n v="1128"/>
    <x v="2"/>
    <s v="Male"/>
    <x v="5"/>
    <x v="0"/>
    <n v="53"/>
    <s v="Delaware"/>
    <x v="3"/>
    <x v="1"/>
    <x v="1"/>
    <n v="4.8"/>
    <x v="1"/>
    <s v="Store Pickup"/>
    <s v="Yes"/>
    <s v="Yes"/>
    <n v="22"/>
    <s v="Debit Card"/>
    <x v="5"/>
  </r>
  <r>
    <n v="1129"/>
    <x v="19"/>
    <s v="Male"/>
    <x v="24"/>
    <x v="3"/>
    <n v="30"/>
    <s v="New York"/>
    <x v="0"/>
    <x v="4"/>
    <x v="0"/>
    <n v="4.7"/>
    <x v="1"/>
    <s v="Next Day Air"/>
    <s v="Yes"/>
    <s v="Yes"/>
    <n v="35"/>
    <s v="Debit Card"/>
    <x v="5"/>
  </r>
  <r>
    <n v="1130"/>
    <x v="43"/>
    <s v="Male"/>
    <x v="15"/>
    <x v="0"/>
    <n v="65"/>
    <s v="New Hampshire"/>
    <x v="3"/>
    <x v="3"/>
    <x v="0"/>
    <n v="4.7"/>
    <x v="1"/>
    <s v="Express"/>
    <s v="Yes"/>
    <s v="Yes"/>
    <n v="46"/>
    <s v="Venmo"/>
    <x v="0"/>
  </r>
  <r>
    <n v="1131"/>
    <x v="29"/>
    <s v="Male"/>
    <x v="16"/>
    <x v="3"/>
    <n v="41"/>
    <s v="Kentucky"/>
    <x v="2"/>
    <x v="12"/>
    <x v="2"/>
    <n v="3.9"/>
    <x v="1"/>
    <s v="Standard"/>
    <s v="Yes"/>
    <s v="Yes"/>
    <n v="30"/>
    <s v="PayPal"/>
    <x v="4"/>
  </r>
  <r>
    <n v="1132"/>
    <x v="29"/>
    <s v="Male"/>
    <x v="5"/>
    <x v="0"/>
    <n v="73"/>
    <s v="Illinois"/>
    <x v="2"/>
    <x v="13"/>
    <x v="1"/>
    <n v="3.7"/>
    <x v="1"/>
    <s v="Express"/>
    <s v="Yes"/>
    <s v="Yes"/>
    <n v="20"/>
    <s v="Bank Transfer"/>
    <x v="5"/>
  </r>
  <r>
    <n v="1133"/>
    <x v="2"/>
    <s v="Male"/>
    <x v="15"/>
    <x v="0"/>
    <n v="98"/>
    <s v="North Carolina"/>
    <x v="1"/>
    <x v="11"/>
    <x v="1"/>
    <n v="4.3"/>
    <x v="1"/>
    <s v="Store Pickup"/>
    <s v="Yes"/>
    <s v="Yes"/>
    <n v="25"/>
    <s v="Cash"/>
    <x v="0"/>
  </r>
  <r>
    <n v="1134"/>
    <x v="24"/>
    <s v="Male"/>
    <x v="9"/>
    <x v="1"/>
    <n v="36"/>
    <s v="Connecticut"/>
    <x v="3"/>
    <x v="23"/>
    <x v="0"/>
    <n v="4.0999999999999996"/>
    <x v="1"/>
    <s v="2-Day Shipping"/>
    <s v="Yes"/>
    <s v="Yes"/>
    <n v="29"/>
    <s v="Cash"/>
    <x v="1"/>
  </r>
  <r>
    <n v="1135"/>
    <x v="46"/>
    <s v="Male"/>
    <x v="17"/>
    <x v="0"/>
    <n v="81"/>
    <s v="Wisconsin"/>
    <x v="2"/>
    <x v="18"/>
    <x v="2"/>
    <n v="4.5999999999999996"/>
    <x v="1"/>
    <s v="Express"/>
    <s v="Yes"/>
    <s v="Yes"/>
    <n v="2"/>
    <s v="Venmo"/>
    <x v="6"/>
  </r>
  <r>
    <n v="1136"/>
    <x v="13"/>
    <s v="Male"/>
    <x v="11"/>
    <x v="0"/>
    <n v="90"/>
    <s v="Massachusetts"/>
    <x v="0"/>
    <x v="15"/>
    <x v="0"/>
    <n v="3.6"/>
    <x v="1"/>
    <s v="2-Day Shipping"/>
    <s v="Yes"/>
    <s v="Yes"/>
    <n v="32"/>
    <s v="Bank Transfer"/>
    <x v="3"/>
  </r>
  <r>
    <n v="1137"/>
    <x v="51"/>
    <s v="Male"/>
    <x v="8"/>
    <x v="3"/>
    <n v="83"/>
    <s v="Illinois"/>
    <x v="1"/>
    <x v="17"/>
    <x v="2"/>
    <n v="4.8"/>
    <x v="1"/>
    <s v="Free Shipping"/>
    <s v="Yes"/>
    <s v="Yes"/>
    <n v="37"/>
    <s v="Cash"/>
    <x v="5"/>
  </r>
  <r>
    <n v="1138"/>
    <x v="5"/>
    <s v="Male"/>
    <x v="5"/>
    <x v="0"/>
    <n v="91"/>
    <s v="New Mexico"/>
    <x v="3"/>
    <x v="6"/>
    <x v="0"/>
    <n v="2.8"/>
    <x v="1"/>
    <s v="2-Day Shipping"/>
    <s v="Yes"/>
    <s v="Yes"/>
    <n v="16"/>
    <s v="Bank Transfer"/>
    <x v="6"/>
  </r>
  <r>
    <n v="1139"/>
    <x v="20"/>
    <s v="Male"/>
    <x v="13"/>
    <x v="0"/>
    <n v="36"/>
    <s v="Iowa"/>
    <x v="2"/>
    <x v="7"/>
    <x v="2"/>
    <n v="4.7"/>
    <x v="1"/>
    <s v="Express"/>
    <s v="Yes"/>
    <s v="Yes"/>
    <n v="32"/>
    <s v="Venmo"/>
    <x v="0"/>
  </r>
  <r>
    <n v="1140"/>
    <x v="44"/>
    <s v="Male"/>
    <x v="7"/>
    <x v="2"/>
    <n v="53"/>
    <s v="Alabama"/>
    <x v="0"/>
    <x v="7"/>
    <x v="1"/>
    <n v="3.9"/>
    <x v="1"/>
    <s v="Standard"/>
    <s v="Yes"/>
    <s v="Yes"/>
    <n v="42"/>
    <s v="Debit Card"/>
    <x v="4"/>
  </r>
  <r>
    <n v="1141"/>
    <x v="18"/>
    <s v="Male"/>
    <x v="2"/>
    <x v="0"/>
    <n v="39"/>
    <s v="Maryland"/>
    <x v="2"/>
    <x v="3"/>
    <x v="0"/>
    <n v="2.6"/>
    <x v="1"/>
    <s v="Store Pickup"/>
    <s v="Yes"/>
    <s v="Yes"/>
    <n v="6"/>
    <s v="Credit Card"/>
    <x v="6"/>
  </r>
  <r>
    <n v="1142"/>
    <x v="31"/>
    <s v="Male"/>
    <x v="24"/>
    <x v="3"/>
    <n v="33"/>
    <s v="Ohio"/>
    <x v="1"/>
    <x v="5"/>
    <x v="0"/>
    <n v="4.7"/>
    <x v="1"/>
    <s v="Next Day Air"/>
    <s v="Yes"/>
    <s v="Yes"/>
    <n v="23"/>
    <s v="PayPal"/>
    <x v="0"/>
  </r>
  <r>
    <n v="1143"/>
    <x v="28"/>
    <s v="Male"/>
    <x v="17"/>
    <x v="0"/>
    <n v="76"/>
    <s v="Ohio"/>
    <x v="0"/>
    <x v="14"/>
    <x v="1"/>
    <n v="3.5"/>
    <x v="1"/>
    <s v="Store Pickup"/>
    <s v="Yes"/>
    <s v="Yes"/>
    <n v="27"/>
    <s v="Venmo"/>
    <x v="4"/>
  </r>
  <r>
    <n v="1144"/>
    <x v="33"/>
    <s v="Male"/>
    <x v="23"/>
    <x v="1"/>
    <n v="23"/>
    <s v="Nevada"/>
    <x v="0"/>
    <x v="11"/>
    <x v="0"/>
    <n v="4.4000000000000004"/>
    <x v="1"/>
    <s v="Standard"/>
    <s v="Yes"/>
    <s v="Yes"/>
    <n v="43"/>
    <s v="PayPal"/>
    <x v="3"/>
  </r>
  <r>
    <n v="1145"/>
    <x v="38"/>
    <s v="Male"/>
    <x v="2"/>
    <x v="0"/>
    <n v="54"/>
    <s v="South Carolina"/>
    <x v="1"/>
    <x v="21"/>
    <x v="3"/>
    <n v="4.4000000000000004"/>
    <x v="1"/>
    <s v="2-Day Shipping"/>
    <s v="Yes"/>
    <s v="Yes"/>
    <n v="25"/>
    <s v="Bank Transfer"/>
    <x v="0"/>
  </r>
  <r>
    <n v="1146"/>
    <x v="18"/>
    <s v="Male"/>
    <x v="4"/>
    <x v="1"/>
    <n v="89"/>
    <s v="Nevada"/>
    <x v="0"/>
    <x v="6"/>
    <x v="2"/>
    <n v="3"/>
    <x v="1"/>
    <s v="Express"/>
    <s v="Yes"/>
    <s v="Yes"/>
    <n v="30"/>
    <s v="Cash"/>
    <x v="6"/>
  </r>
  <r>
    <n v="1147"/>
    <x v="39"/>
    <s v="Male"/>
    <x v="4"/>
    <x v="1"/>
    <n v="38"/>
    <s v="Wisconsin"/>
    <x v="2"/>
    <x v="21"/>
    <x v="2"/>
    <n v="4.2"/>
    <x v="1"/>
    <s v="Standard"/>
    <s v="Yes"/>
    <s v="Yes"/>
    <n v="7"/>
    <s v="Bank Transfer"/>
    <x v="6"/>
  </r>
  <r>
    <n v="1148"/>
    <x v="35"/>
    <s v="Male"/>
    <x v="19"/>
    <x v="3"/>
    <n v="36"/>
    <s v="Tennessee"/>
    <x v="3"/>
    <x v="16"/>
    <x v="0"/>
    <n v="4.3"/>
    <x v="1"/>
    <s v="Next Day Air"/>
    <s v="Yes"/>
    <s v="Yes"/>
    <n v="17"/>
    <s v="Debit Card"/>
    <x v="2"/>
  </r>
  <r>
    <n v="1149"/>
    <x v="50"/>
    <s v="Male"/>
    <x v="13"/>
    <x v="0"/>
    <n v="66"/>
    <s v="Florida"/>
    <x v="2"/>
    <x v="10"/>
    <x v="1"/>
    <n v="2.6"/>
    <x v="1"/>
    <s v="Store Pickup"/>
    <s v="Yes"/>
    <s v="Yes"/>
    <n v="10"/>
    <s v="PayPal"/>
    <x v="0"/>
  </r>
  <r>
    <n v="1150"/>
    <x v="3"/>
    <s v="Male"/>
    <x v="16"/>
    <x v="3"/>
    <n v="42"/>
    <s v="Georgia"/>
    <x v="0"/>
    <x v="17"/>
    <x v="1"/>
    <n v="3.3"/>
    <x v="1"/>
    <s v="Store Pickup"/>
    <s v="Yes"/>
    <s v="Yes"/>
    <n v="40"/>
    <s v="Venmo"/>
    <x v="2"/>
  </r>
  <r>
    <n v="1151"/>
    <x v="26"/>
    <s v="Male"/>
    <x v="16"/>
    <x v="3"/>
    <n v="36"/>
    <s v="Kentucky"/>
    <x v="1"/>
    <x v="16"/>
    <x v="0"/>
    <n v="2.7"/>
    <x v="1"/>
    <s v="Next Day Air"/>
    <s v="Yes"/>
    <s v="Yes"/>
    <n v="50"/>
    <s v="Venmo"/>
    <x v="4"/>
  </r>
  <r>
    <n v="1152"/>
    <x v="38"/>
    <s v="Male"/>
    <x v="0"/>
    <x v="0"/>
    <n v="86"/>
    <s v="Ohio"/>
    <x v="2"/>
    <x v="0"/>
    <x v="1"/>
    <n v="4.2"/>
    <x v="1"/>
    <s v="Express"/>
    <s v="Yes"/>
    <s v="Yes"/>
    <n v="24"/>
    <s v="Credit Card"/>
    <x v="1"/>
  </r>
  <r>
    <n v="1153"/>
    <x v="46"/>
    <s v="Male"/>
    <x v="8"/>
    <x v="3"/>
    <n v="49"/>
    <s v="Connecticut"/>
    <x v="2"/>
    <x v="9"/>
    <x v="3"/>
    <n v="4"/>
    <x v="1"/>
    <s v="Standard"/>
    <s v="Yes"/>
    <s v="Yes"/>
    <n v="8"/>
    <s v="PayPal"/>
    <x v="6"/>
  </r>
  <r>
    <n v="1154"/>
    <x v="7"/>
    <s v="Male"/>
    <x v="5"/>
    <x v="0"/>
    <n v="41"/>
    <s v="Idaho"/>
    <x v="2"/>
    <x v="6"/>
    <x v="2"/>
    <n v="4"/>
    <x v="1"/>
    <s v="Free Shipping"/>
    <s v="Yes"/>
    <s v="Yes"/>
    <n v="6"/>
    <s v="Bank Transfer"/>
    <x v="3"/>
  </r>
  <r>
    <n v="1155"/>
    <x v="34"/>
    <s v="Male"/>
    <x v="10"/>
    <x v="0"/>
    <n v="82"/>
    <s v="Georgia"/>
    <x v="0"/>
    <x v="17"/>
    <x v="1"/>
    <n v="2.9"/>
    <x v="1"/>
    <s v="2-Day Shipping"/>
    <s v="Yes"/>
    <s v="Yes"/>
    <n v="44"/>
    <s v="Credit Card"/>
    <x v="4"/>
  </r>
  <r>
    <n v="1156"/>
    <x v="29"/>
    <s v="Male"/>
    <x v="17"/>
    <x v="0"/>
    <n v="53"/>
    <s v="Tennessee"/>
    <x v="1"/>
    <x v="16"/>
    <x v="3"/>
    <n v="2.6"/>
    <x v="1"/>
    <s v="Express"/>
    <s v="Yes"/>
    <s v="Yes"/>
    <n v="47"/>
    <s v="PayPal"/>
    <x v="3"/>
  </r>
  <r>
    <n v="1157"/>
    <x v="30"/>
    <s v="Male"/>
    <x v="9"/>
    <x v="1"/>
    <n v="21"/>
    <s v="Hawaii"/>
    <x v="2"/>
    <x v="9"/>
    <x v="2"/>
    <n v="4.8"/>
    <x v="1"/>
    <s v="Express"/>
    <s v="Yes"/>
    <s v="Yes"/>
    <n v="6"/>
    <s v="Venmo"/>
    <x v="6"/>
  </r>
  <r>
    <n v="1158"/>
    <x v="43"/>
    <s v="Male"/>
    <x v="22"/>
    <x v="3"/>
    <n v="66"/>
    <s v="Maryland"/>
    <x v="2"/>
    <x v="4"/>
    <x v="3"/>
    <n v="4.4000000000000004"/>
    <x v="1"/>
    <s v="Standard"/>
    <s v="Yes"/>
    <s v="Yes"/>
    <n v="11"/>
    <s v="Cash"/>
    <x v="3"/>
  </r>
  <r>
    <n v="1159"/>
    <x v="28"/>
    <s v="Male"/>
    <x v="22"/>
    <x v="3"/>
    <n v="89"/>
    <s v="Nevada"/>
    <x v="0"/>
    <x v="20"/>
    <x v="2"/>
    <n v="4"/>
    <x v="1"/>
    <s v="2-Day Shipping"/>
    <s v="Yes"/>
    <s v="Yes"/>
    <n v="41"/>
    <s v="Bank Transfer"/>
    <x v="2"/>
  </r>
  <r>
    <n v="1160"/>
    <x v="17"/>
    <s v="Male"/>
    <x v="8"/>
    <x v="3"/>
    <n v="55"/>
    <s v="New Hampshire"/>
    <x v="0"/>
    <x v="24"/>
    <x v="3"/>
    <n v="3.6"/>
    <x v="1"/>
    <s v="2-Day Shipping"/>
    <s v="Yes"/>
    <s v="Yes"/>
    <n v="46"/>
    <s v="Venmo"/>
    <x v="6"/>
  </r>
  <r>
    <n v="1161"/>
    <x v="43"/>
    <s v="Male"/>
    <x v="18"/>
    <x v="3"/>
    <n v="42"/>
    <s v="North Dakota"/>
    <x v="1"/>
    <x v="24"/>
    <x v="2"/>
    <n v="3.2"/>
    <x v="1"/>
    <s v="Next Day Air"/>
    <s v="Yes"/>
    <s v="Yes"/>
    <n v="9"/>
    <s v="Venmo"/>
    <x v="4"/>
  </r>
  <r>
    <n v="1162"/>
    <x v="6"/>
    <s v="Male"/>
    <x v="6"/>
    <x v="0"/>
    <n v="52"/>
    <s v="Oklahoma"/>
    <x v="1"/>
    <x v="20"/>
    <x v="3"/>
    <n v="3.1"/>
    <x v="1"/>
    <s v="2-Day Shipping"/>
    <s v="Yes"/>
    <s v="Yes"/>
    <n v="37"/>
    <s v="PayPal"/>
    <x v="5"/>
  </r>
  <r>
    <n v="1163"/>
    <x v="36"/>
    <s v="Male"/>
    <x v="3"/>
    <x v="1"/>
    <n v="92"/>
    <s v="North Carolina"/>
    <x v="2"/>
    <x v="24"/>
    <x v="0"/>
    <n v="4.2"/>
    <x v="1"/>
    <s v="Express"/>
    <s v="Yes"/>
    <s v="Yes"/>
    <n v="13"/>
    <s v="PayPal"/>
    <x v="1"/>
  </r>
  <r>
    <n v="1164"/>
    <x v="8"/>
    <s v="Male"/>
    <x v="13"/>
    <x v="0"/>
    <n v="56"/>
    <s v="Tennessee"/>
    <x v="0"/>
    <x v="3"/>
    <x v="2"/>
    <n v="3"/>
    <x v="1"/>
    <s v="2-Day Shipping"/>
    <s v="Yes"/>
    <s v="Yes"/>
    <n v="24"/>
    <s v="Debit Card"/>
    <x v="5"/>
  </r>
  <r>
    <n v="1165"/>
    <x v="33"/>
    <s v="Male"/>
    <x v="10"/>
    <x v="0"/>
    <n v="96"/>
    <s v="Montana"/>
    <x v="2"/>
    <x v="14"/>
    <x v="0"/>
    <n v="4.2"/>
    <x v="1"/>
    <s v="Standard"/>
    <s v="Yes"/>
    <s v="Yes"/>
    <n v="47"/>
    <s v="PayPal"/>
    <x v="3"/>
  </r>
  <r>
    <n v="1166"/>
    <x v="47"/>
    <s v="Male"/>
    <x v="17"/>
    <x v="0"/>
    <n v="64"/>
    <s v="Wisconsin"/>
    <x v="2"/>
    <x v="5"/>
    <x v="0"/>
    <n v="2.9"/>
    <x v="1"/>
    <s v="Next Day Air"/>
    <s v="Yes"/>
    <s v="Yes"/>
    <n v="21"/>
    <s v="Venmo"/>
    <x v="6"/>
  </r>
  <r>
    <n v="1167"/>
    <x v="39"/>
    <s v="Male"/>
    <x v="10"/>
    <x v="0"/>
    <n v="48"/>
    <s v="Connecticut"/>
    <x v="1"/>
    <x v="12"/>
    <x v="0"/>
    <n v="3.7"/>
    <x v="1"/>
    <s v="Store Pickup"/>
    <s v="Yes"/>
    <s v="Yes"/>
    <n v="22"/>
    <s v="Venmo"/>
    <x v="0"/>
  </r>
  <r>
    <n v="1168"/>
    <x v="52"/>
    <s v="Male"/>
    <x v="20"/>
    <x v="0"/>
    <n v="83"/>
    <s v="New Jersey"/>
    <x v="3"/>
    <x v="19"/>
    <x v="2"/>
    <n v="3.6"/>
    <x v="1"/>
    <s v="Free Shipping"/>
    <s v="Yes"/>
    <s v="Yes"/>
    <n v="16"/>
    <s v="PayPal"/>
    <x v="3"/>
  </r>
  <r>
    <n v="1169"/>
    <x v="33"/>
    <s v="Male"/>
    <x v="18"/>
    <x v="3"/>
    <n v="91"/>
    <s v="Mississippi"/>
    <x v="0"/>
    <x v="10"/>
    <x v="2"/>
    <n v="3.6"/>
    <x v="1"/>
    <s v="Standard"/>
    <s v="Yes"/>
    <s v="Yes"/>
    <n v="37"/>
    <s v="Debit Card"/>
    <x v="0"/>
  </r>
  <r>
    <n v="1170"/>
    <x v="15"/>
    <s v="Male"/>
    <x v="21"/>
    <x v="3"/>
    <n v="94"/>
    <s v="Wyoming"/>
    <x v="1"/>
    <x v="0"/>
    <x v="3"/>
    <n v="4.5"/>
    <x v="1"/>
    <s v="2-Day Shipping"/>
    <s v="Yes"/>
    <s v="Yes"/>
    <n v="3"/>
    <s v="Cash"/>
    <x v="2"/>
  </r>
  <r>
    <n v="1171"/>
    <x v="9"/>
    <s v="Male"/>
    <x v="11"/>
    <x v="0"/>
    <n v="62"/>
    <s v="Illinois"/>
    <x v="1"/>
    <x v="16"/>
    <x v="1"/>
    <n v="3.2"/>
    <x v="1"/>
    <s v="Express"/>
    <s v="Yes"/>
    <s v="Yes"/>
    <n v="33"/>
    <s v="Cash"/>
    <x v="4"/>
  </r>
  <r>
    <n v="1172"/>
    <x v="38"/>
    <s v="Male"/>
    <x v="20"/>
    <x v="0"/>
    <n v="55"/>
    <s v="Louisiana"/>
    <x v="2"/>
    <x v="12"/>
    <x v="1"/>
    <n v="3.9"/>
    <x v="1"/>
    <s v="Next Day Air"/>
    <s v="Yes"/>
    <s v="Yes"/>
    <n v="15"/>
    <s v="Debit Card"/>
    <x v="2"/>
  </r>
  <r>
    <n v="1173"/>
    <x v="35"/>
    <s v="Male"/>
    <x v="7"/>
    <x v="2"/>
    <n v="68"/>
    <s v="Oregon"/>
    <x v="0"/>
    <x v="15"/>
    <x v="1"/>
    <n v="4.5999999999999996"/>
    <x v="1"/>
    <s v="Store Pickup"/>
    <s v="Yes"/>
    <s v="Yes"/>
    <n v="42"/>
    <s v="Bank Transfer"/>
    <x v="4"/>
  </r>
  <r>
    <n v="1174"/>
    <x v="42"/>
    <s v="Male"/>
    <x v="16"/>
    <x v="3"/>
    <n v="76"/>
    <s v="South Dakota"/>
    <x v="2"/>
    <x v="21"/>
    <x v="0"/>
    <n v="2.5"/>
    <x v="1"/>
    <s v="Express"/>
    <s v="Yes"/>
    <s v="Yes"/>
    <n v="42"/>
    <s v="Cash"/>
    <x v="4"/>
  </r>
  <r>
    <n v="1175"/>
    <x v="32"/>
    <s v="Male"/>
    <x v="21"/>
    <x v="3"/>
    <n v="31"/>
    <s v="Michigan"/>
    <x v="2"/>
    <x v="13"/>
    <x v="0"/>
    <n v="4.3"/>
    <x v="1"/>
    <s v="Express"/>
    <s v="Yes"/>
    <s v="Yes"/>
    <n v="19"/>
    <s v="Bank Transfer"/>
    <x v="4"/>
  </r>
  <r>
    <n v="1176"/>
    <x v="25"/>
    <s v="Male"/>
    <x v="22"/>
    <x v="3"/>
    <n v="81"/>
    <s v="New Jersey"/>
    <x v="2"/>
    <x v="19"/>
    <x v="1"/>
    <n v="4.0999999999999996"/>
    <x v="1"/>
    <s v="Store Pickup"/>
    <s v="Yes"/>
    <s v="Yes"/>
    <n v="26"/>
    <s v="PayPal"/>
    <x v="3"/>
  </r>
  <r>
    <n v="1177"/>
    <x v="24"/>
    <s v="Male"/>
    <x v="10"/>
    <x v="0"/>
    <n v="83"/>
    <s v="Oregon"/>
    <x v="2"/>
    <x v="16"/>
    <x v="0"/>
    <n v="4.5999999999999996"/>
    <x v="1"/>
    <s v="Free Shipping"/>
    <s v="Yes"/>
    <s v="Yes"/>
    <n v="39"/>
    <s v="PayPal"/>
    <x v="3"/>
  </r>
  <r>
    <n v="1178"/>
    <x v="22"/>
    <s v="Male"/>
    <x v="11"/>
    <x v="0"/>
    <n v="21"/>
    <s v="Iowa"/>
    <x v="2"/>
    <x v="13"/>
    <x v="1"/>
    <n v="4.8"/>
    <x v="1"/>
    <s v="Standard"/>
    <s v="Yes"/>
    <s v="Yes"/>
    <n v="24"/>
    <s v="Debit Card"/>
    <x v="5"/>
  </r>
  <r>
    <n v="1179"/>
    <x v="43"/>
    <s v="Male"/>
    <x v="10"/>
    <x v="0"/>
    <n v="22"/>
    <s v="South Carolina"/>
    <x v="2"/>
    <x v="11"/>
    <x v="1"/>
    <n v="4.9000000000000004"/>
    <x v="1"/>
    <s v="Express"/>
    <s v="Yes"/>
    <s v="Yes"/>
    <n v="23"/>
    <s v="Debit Card"/>
    <x v="2"/>
  </r>
  <r>
    <n v="1180"/>
    <x v="30"/>
    <s v="Male"/>
    <x v="17"/>
    <x v="0"/>
    <n v="33"/>
    <s v="Indiana"/>
    <x v="2"/>
    <x v="24"/>
    <x v="2"/>
    <n v="2.8"/>
    <x v="1"/>
    <s v="Free Shipping"/>
    <s v="Yes"/>
    <s v="Yes"/>
    <n v="44"/>
    <s v="Bank Transfer"/>
    <x v="2"/>
  </r>
  <r>
    <n v="1181"/>
    <x v="51"/>
    <s v="Male"/>
    <x v="11"/>
    <x v="0"/>
    <n v="23"/>
    <s v="Oregon"/>
    <x v="1"/>
    <x v="19"/>
    <x v="1"/>
    <n v="4.9000000000000004"/>
    <x v="1"/>
    <s v="Standard"/>
    <s v="Yes"/>
    <s v="Yes"/>
    <n v="34"/>
    <s v="Cash"/>
    <x v="5"/>
  </r>
  <r>
    <n v="1182"/>
    <x v="12"/>
    <s v="Male"/>
    <x v="6"/>
    <x v="0"/>
    <n v="96"/>
    <s v="New York"/>
    <x v="0"/>
    <x v="11"/>
    <x v="2"/>
    <n v="3.5"/>
    <x v="1"/>
    <s v="Free Shipping"/>
    <s v="Yes"/>
    <s v="Yes"/>
    <n v="43"/>
    <s v="Bank Transfer"/>
    <x v="3"/>
  </r>
  <r>
    <n v="1183"/>
    <x v="43"/>
    <s v="Male"/>
    <x v="16"/>
    <x v="3"/>
    <n v="21"/>
    <s v="New Mexico"/>
    <x v="2"/>
    <x v="1"/>
    <x v="1"/>
    <n v="3.8"/>
    <x v="1"/>
    <s v="Express"/>
    <s v="Yes"/>
    <s v="Yes"/>
    <n v="45"/>
    <s v="PayPal"/>
    <x v="3"/>
  </r>
  <r>
    <n v="1184"/>
    <x v="51"/>
    <s v="Male"/>
    <x v="13"/>
    <x v="0"/>
    <n v="39"/>
    <s v="Louisiana"/>
    <x v="2"/>
    <x v="22"/>
    <x v="1"/>
    <n v="4.5"/>
    <x v="1"/>
    <s v="2-Day Shipping"/>
    <s v="Yes"/>
    <s v="Yes"/>
    <n v="4"/>
    <s v="Credit Card"/>
    <x v="1"/>
  </r>
  <r>
    <n v="1185"/>
    <x v="6"/>
    <s v="Male"/>
    <x v="22"/>
    <x v="3"/>
    <n v="73"/>
    <s v="South Carolina"/>
    <x v="1"/>
    <x v="21"/>
    <x v="3"/>
    <n v="3.4"/>
    <x v="1"/>
    <s v="Express"/>
    <s v="Yes"/>
    <s v="Yes"/>
    <n v="19"/>
    <s v="Credit Card"/>
    <x v="2"/>
  </r>
  <r>
    <n v="1186"/>
    <x v="36"/>
    <s v="Male"/>
    <x v="2"/>
    <x v="0"/>
    <n v="64"/>
    <s v="Maine"/>
    <x v="2"/>
    <x v="23"/>
    <x v="1"/>
    <n v="3.9"/>
    <x v="1"/>
    <s v="Standard"/>
    <s v="Yes"/>
    <s v="Yes"/>
    <n v="29"/>
    <s v="Credit Card"/>
    <x v="5"/>
  </r>
  <r>
    <n v="1187"/>
    <x v="6"/>
    <s v="Male"/>
    <x v="2"/>
    <x v="0"/>
    <n v="68"/>
    <s v="Indiana"/>
    <x v="2"/>
    <x v="19"/>
    <x v="2"/>
    <n v="4.0999999999999996"/>
    <x v="1"/>
    <s v="2-Day Shipping"/>
    <s v="Yes"/>
    <s v="Yes"/>
    <n v="27"/>
    <s v="Credit Card"/>
    <x v="2"/>
  </r>
  <r>
    <n v="1188"/>
    <x v="19"/>
    <s v="Male"/>
    <x v="19"/>
    <x v="3"/>
    <n v="89"/>
    <s v="Iowa"/>
    <x v="0"/>
    <x v="1"/>
    <x v="3"/>
    <n v="3"/>
    <x v="1"/>
    <s v="Express"/>
    <s v="Yes"/>
    <s v="Yes"/>
    <n v="37"/>
    <s v="Credit Card"/>
    <x v="6"/>
  </r>
  <r>
    <n v="1189"/>
    <x v="33"/>
    <s v="Male"/>
    <x v="0"/>
    <x v="0"/>
    <n v="29"/>
    <s v="Mississippi"/>
    <x v="2"/>
    <x v="23"/>
    <x v="2"/>
    <n v="3.3"/>
    <x v="1"/>
    <s v="Next Day Air"/>
    <s v="Yes"/>
    <s v="Yes"/>
    <n v="11"/>
    <s v="Credit Card"/>
    <x v="1"/>
  </r>
  <r>
    <n v="1190"/>
    <x v="14"/>
    <s v="Male"/>
    <x v="5"/>
    <x v="0"/>
    <n v="97"/>
    <s v="Arkansas"/>
    <x v="3"/>
    <x v="11"/>
    <x v="2"/>
    <n v="4.9000000000000004"/>
    <x v="1"/>
    <s v="Free Shipping"/>
    <s v="Yes"/>
    <s v="Yes"/>
    <n v="28"/>
    <s v="Debit Card"/>
    <x v="2"/>
  </r>
  <r>
    <n v="1191"/>
    <x v="46"/>
    <s v="Male"/>
    <x v="5"/>
    <x v="0"/>
    <n v="45"/>
    <s v="South Carolina"/>
    <x v="2"/>
    <x v="20"/>
    <x v="0"/>
    <n v="4.3"/>
    <x v="1"/>
    <s v="Next Day Air"/>
    <s v="Yes"/>
    <s v="Yes"/>
    <n v="31"/>
    <s v="Credit Card"/>
    <x v="1"/>
  </r>
  <r>
    <n v="1192"/>
    <x v="50"/>
    <s v="Male"/>
    <x v="17"/>
    <x v="0"/>
    <n v="70"/>
    <s v="Indiana"/>
    <x v="0"/>
    <x v="4"/>
    <x v="0"/>
    <n v="4.0999999999999996"/>
    <x v="1"/>
    <s v="Free Shipping"/>
    <s v="Yes"/>
    <s v="Yes"/>
    <n v="50"/>
    <s v="Venmo"/>
    <x v="3"/>
  </r>
  <r>
    <n v="1193"/>
    <x v="34"/>
    <s v="Male"/>
    <x v="7"/>
    <x v="2"/>
    <n v="56"/>
    <s v="Florida"/>
    <x v="2"/>
    <x v="2"/>
    <x v="2"/>
    <n v="4"/>
    <x v="1"/>
    <s v="2-Day Shipping"/>
    <s v="Yes"/>
    <s v="Yes"/>
    <n v="42"/>
    <s v="Venmo"/>
    <x v="3"/>
  </r>
  <r>
    <n v="1194"/>
    <x v="37"/>
    <s v="Male"/>
    <x v="14"/>
    <x v="2"/>
    <n v="55"/>
    <s v="Alaska"/>
    <x v="0"/>
    <x v="6"/>
    <x v="3"/>
    <n v="5"/>
    <x v="1"/>
    <s v="2-Day Shipping"/>
    <s v="Yes"/>
    <s v="Yes"/>
    <n v="18"/>
    <s v="Credit Card"/>
    <x v="0"/>
  </r>
  <r>
    <n v="1195"/>
    <x v="2"/>
    <s v="Male"/>
    <x v="15"/>
    <x v="0"/>
    <n v="46"/>
    <s v="New York"/>
    <x v="1"/>
    <x v="11"/>
    <x v="0"/>
    <n v="3.1"/>
    <x v="1"/>
    <s v="2-Day Shipping"/>
    <s v="Yes"/>
    <s v="Yes"/>
    <n v="6"/>
    <s v="Credit Card"/>
    <x v="0"/>
  </r>
  <r>
    <n v="1196"/>
    <x v="15"/>
    <s v="Male"/>
    <x v="18"/>
    <x v="3"/>
    <n v="95"/>
    <s v="Texas"/>
    <x v="2"/>
    <x v="3"/>
    <x v="0"/>
    <n v="4"/>
    <x v="1"/>
    <s v="2-Day Shipping"/>
    <s v="Yes"/>
    <s v="Yes"/>
    <n v="33"/>
    <s v="Venmo"/>
    <x v="5"/>
  </r>
  <r>
    <n v="1197"/>
    <x v="11"/>
    <s v="Male"/>
    <x v="22"/>
    <x v="3"/>
    <n v="88"/>
    <s v="North Dakota"/>
    <x v="2"/>
    <x v="1"/>
    <x v="0"/>
    <n v="3.2"/>
    <x v="1"/>
    <s v="2-Day Shipping"/>
    <s v="Yes"/>
    <s v="Yes"/>
    <n v="13"/>
    <s v="Bank Transfer"/>
    <x v="4"/>
  </r>
  <r>
    <n v="1198"/>
    <x v="22"/>
    <s v="Male"/>
    <x v="4"/>
    <x v="1"/>
    <n v="92"/>
    <s v="Vermont"/>
    <x v="0"/>
    <x v="10"/>
    <x v="3"/>
    <n v="3.9"/>
    <x v="1"/>
    <s v="Standard"/>
    <s v="Yes"/>
    <s v="Yes"/>
    <n v="26"/>
    <s v="PayPal"/>
    <x v="2"/>
  </r>
  <r>
    <n v="1199"/>
    <x v="37"/>
    <s v="Male"/>
    <x v="20"/>
    <x v="0"/>
    <n v="49"/>
    <s v="New Jersey"/>
    <x v="2"/>
    <x v="18"/>
    <x v="2"/>
    <n v="3.9"/>
    <x v="1"/>
    <s v="2-Day Shipping"/>
    <s v="Yes"/>
    <s v="Yes"/>
    <n v="17"/>
    <s v="Cash"/>
    <x v="2"/>
  </r>
  <r>
    <n v="1200"/>
    <x v="34"/>
    <s v="Male"/>
    <x v="3"/>
    <x v="1"/>
    <n v="89"/>
    <s v="Maryland"/>
    <x v="2"/>
    <x v="21"/>
    <x v="3"/>
    <n v="4.5"/>
    <x v="1"/>
    <s v="Free Shipping"/>
    <s v="Yes"/>
    <s v="Yes"/>
    <n v="3"/>
    <s v="Debit Card"/>
    <x v="1"/>
  </r>
  <r>
    <n v="1201"/>
    <x v="7"/>
    <s v="Male"/>
    <x v="7"/>
    <x v="2"/>
    <n v="22"/>
    <s v="Connecticut"/>
    <x v="3"/>
    <x v="13"/>
    <x v="0"/>
    <n v="4.4000000000000004"/>
    <x v="1"/>
    <s v="Store Pickup"/>
    <s v="Yes"/>
    <s v="Yes"/>
    <n v="7"/>
    <s v="PayPal"/>
    <x v="1"/>
  </r>
  <r>
    <n v="1202"/>
    <x v="7"/>
    <s v="Male"/>
    <x v="9"/>
    <x v="1"/>
    <n v="61"/>
    <s v="Illinois"/>
    <x v="3"/>
    <x v="13"/>
    <x v="2"/>
    <n v="3.1"/>
    <x v="1"/>
    <s v="2-Day Shipping"/>
    <s v="Yes"/>
    <s v="Yes"/>
    <n v="46"/>
    <s v="Venmo"/>
    <x v="0"/>
  </r>
  <r>
    <n v="1203"/>
    <x v="39"/>
    <s v="Male"/>
    <x v="18"/>
    <x v="3"/>
    <n v="29"/>
    <s v="Maryland"/>
    <x v="1"/>
    <x v="8"/>
    <x v="1"/>
    <n v="2.9"/>
    <x v="1"/>
    <s v="Standard"/>
    <s v="Yes"/>
    <s v="Yes"/>
    <n v="14"/>
    <s v="Venmo"/>
    <x v="6"/>
  </r>
  <r>
    <n v="1204"/>
    <x v="37"/>
    <s v="Male"/>
    <x v="4"/>
    <x v="1"/>
    <n v="82"/>
    <s v="Minnesota"/>
    <x v="2"/>
    <x v="20"/>
    <x v="0"/>
    <n v="3.7"/>
    <x v="1"/>
    <s v="Free Shipping"/>
    <s v="Yes"/>
    <s v="Yes"/>
    <n v="23"/>
    <s v="Bank Transfer"/>
    <x v="2"/>
  </r>
  <r>
    <n v="1205"/>
    <x v="29"/>
    <s v="Male"/>
    <x v="22"/>
    <x v="3"/>
    <n v="94"/>
    <s v="Florida"/>
    <x v="2"/>
    <x v="6"/>
    <x v="1"/>
    <n v="3.2"/>
    <x v="1"/>
    <s v="2-Day Shipping"/>
    <s v="Yes"/>
    <s v="Yes"/>
    <n v="20"/>
    <s v="Credit Card"/>
    <x v="6"/>
  </r>
  <r>
    <n v="1206"/>
    <x v="16"/>
    <s v="Male"/>
    <x v="8"/>
    <x v="3"/>
    <n v="99"/>
    <s v="California"/>
    <x v="2"/>
    <x v="8"/>
    <x v="1"/>
    <n v="3.5"/>
    <x v="1"/>
    <s v="Standard"/>
    <s v="Yes"/>
    <s v="Yes"/>
    <n v="38"/>
    <s v="Bank Transfer"/>
    <x v="0"/>
  </r>
  <r>
    <n v="1207"/>
    <x v="40"/>
    <s v="Male"/>
    <x v="8"/>
    <x v="3"/>
    <n v="59"/>
    <s v="Mississippi"/>
    <x v="1"/>
    <x v="17"/>
    <x v="3"/>
    <n v="3"/>
    <x v="1"/>
    <s v="Free Shipping"/>
    <s v="Yes"/>
    <s v="Yes"/>
    <n v="16"/>
    <s v="Venmo"/>
    <x v="6"/>
  </r>
  <r>
    <n v="1208"/>
    <x v="46"/>
    <s v="Male"/>
    <x v="23"/>
    <x v="1"/>
    <n v="90"/>
    <s v="Washington"/>
    <x v="2"/>
    <x v="3"/>
    <x v="2"/>
    <n v="4.0999999999999996"/>
    <x v="1"/>
    <s v="Next Day Air"/>
    <s v="Yes"/>
    <s v="Yes"/>
    <n v="48"/>
    <s v="Credit Card"/>
    <x v="6"/>
  </r>
  <r>
    <n v="1209"/>
    <x v="30"/>
    <s v="Male"/>
    <x v="23"/>
    <x v="1"/>
    <n v="100"/>
    <s v="Wisconsin"/>
    <x v="1"/>
    <x v="16"/>
    <x v="0"/>
    <n v="2.9"/>
    <x v="1"/>
    <s v="2-Day Shipping"/>
    <s v="Yes"/>
    <s v="Yes"/>
    <n v="8"/>
    <s v="Debit Card"/>
    <x v="2"/>
  </r>
  <r>
    <n v="1210"/>
    <x v="38"/>
    <s v="Male"/>
    <x v="13"/>
    <x v="0"/>
    <n v="62"/>
    <s v="Pennsylvania"/>
    <x v="2"/>
    <x v="24"/>
    <x v="0"/>
    <n v="3.8"/>
    <x v="1"/>
    <s v="Next Day Air"/>
    <s v="Yes"/>
    <s v="Yes"/>
    <n v="16"/>
    <s v="Bank Transfer"/>
    <x v="5"/>
  </r>
  <r>
    <n v="1211"/>
    <x v="50"/>
    <s v="Male"/>
    <x v="12"/>
    <x v="3"/>
    <n v="78"/>
    <s v="Missouri"/>
    <x v="2"/>
    <x v="8"/>
    <x v="3"/>
    <n v="4.0999999999999996"/>
    <x v="1"/>
    <s v="Next Day Air"/>
    <s v="Yes"/>
    <s v="Yes"/>
    <n v="5"/>
    <s v="Cash"/>
    <x v="3"/>
  </r>
  <r>
    <n v="1212"/>
    <x v="51"/>
    <s v="Male"/>
    <x v="15"/>
    <x v="0"/>
    <n v="94"/>
    <s v="Oklahoma"/>
    <x v="2"/>
    <x v="14"/>
    <x v="1"/>
    <n v="4.5999999999999996"/>
    <x v="1"/>
    <s v="Store Pickup"/>
    <s v="Yes"/>
    <s v="Yes"/>
    <n v="14"/>
    <s v="Venmo"/>
    <x v="6"/>
  </r>
  <r>
    <n v="1213"/>
    <x v="45"/>
    <s v="Male"/>
    <x v="9"/>
    <x v="1"/>
    <n v="74"/>
    <s v="Pennsylvania"/>
    <x v="2"/>
    <x v="22"/>
    <x v="2"/>
    <n v="2.5"/>
    <x v="1"/>
    <s v="Free Shipping"/>
    <s v="Yes"/>
    <s v="Yes"/>
    <n v="18"/>
    <s v="Credit Card"/>
    <x v="1"/>
  </r>
  <r>
    <n v="1214"/>
    <x v="33"/>
    <s v="Male"/>
    <x v="8"/>
    <x v="3"/>
    <n v="52"/>
    <s v="Kentucky"/>
    <x v="3"/>
    <x v="13"/>
    <x v="1"/>
    <n v="3.7"/>
    <x v="1"/>
    <s v="Express"/>
    <s v="Yes"/>
    <s v="Yes"/>
    <n v="14"/>
    <s v="Debit Card"/>
    <x v="6"/>
  </r>
  <r>
    <n v="1215"/>
    <x v="11"/>
    <s v="Male"/>
    <x v="14"/>
    <x v="2"/>
    <n v="81"/>
    <s v="Vermont"/>
    <x v="2"/>
    <x v="24"/>
    <x v="3"/>
    <n v="3.8"/>
    <x v="1"/>
    <s v="Free Shipping"/>
    <s v="Yes"/>
    <s v="Yes"/>
    <n v="5"/>
    <s v="Cash"/>
    <x v="6"/>
  </r>
  <r>
    <n v="1216"/>
    <x v="17"/>
    <s v="Male"/>
    <x v="0"/>
    <x v="0"/>
    <n v="20"/>
    <s v="Oregon"/>
    <x v="0"/>
    <x v="6"/>
    <x v="0"/>
    <n v="2.6"/>
    <x v="1"/>
    <s v="2-Day Shipping"/>
    <s v="Yes"/>
    <s v="Yes"/>
    <n v="15"/>
    <s v="Credit Card"/>
    <x v="6"/>
  </r>
  <r>
    <n v="1217"/>
    <x v="46"/>
    <s v="Male"/>
    <x v="13"/>
    <x v="0"/>
    <n v="32"/>
    <s v="Utah"/>
    <x v="3"/>
    <x v="12"/>
    <x v="2"/>
    <n v="3.7"/>
    <x v="1"/>
    <s v="Free Shipping"/>
    <s v="Yes"/>
    <s v="Yes"/>
    <n v="3"/>
    <s v="Venmo"/>
    <x v="6"/>
  </r>
  <r>
    <n v="1218"/>
    <x v="2"/>
    <s v="Male"/>
    <x v="23"/>
    <x v="1"/>
    <n v="63"/>
    <s v="Nebraska"/>
    <x v="3"/>
    <x v="17"/>
    <x v="3"/>
    <n v="2.6"/>
    <x v="1"/>
    <s v="Free Shipping"/>
    <s v="Yes"/>
    <s v="Yes"/>
    <n v="12"/>
    <s v="Cash"/>
    <x v="6"/>
  </r>
  <r>
    <n v="1219"/>
    <x v="0"/>
    <s v="Male"/>
    <x v="23"/>
    <x v="1"/>
    <n v="79"/>
    <s v="Pennsylvania"/>
    <x v="2"/>
    <x v="17"/>
    <x v="1"/>
    <n v="3.1"/>
    <x v="1"/>
    <s v="Store Pickup"/>
    <s v="Yes"/>
    <s v="Yes"/>
    <n v="43"/>
    <s v="Cash"/>
    <x v="6"/>
  </r>
  <r>
    <n v="1220"/>
    <x v="1"/>
    <s v="Male"/>
    <x v="1"/>
    <x v="0"/>
    <n v="23"/>
    <s v="Vermont"/>
    <x v="2"/>
    <x v="9"/>
    <x v="0"/>
    <n v="2.5"/>
    <x v="1"/>
    <s v="Next Day Air"/>
    <s v="Yes"/>
    <s v="Yes"/>
    <n v="35"/>
    <s v="Credit Card"/>
    <x v="4"/>
  </r>
  <r>
    <n v="1221"/>
    <x v="29"/>
    <s v="Male"/>
    <x v="24"/>
    <x v="3"/>
    <n v="64"/>
    <s v="Kentucky"/>
    <x v="2"/>
    <x v="14"/>
    <x v="0"/>
    <n v="4.9000000000000004"/>
    <x v="1"/>
    <s v="Express"/>
    <s v="Yes"/>
    <s v="Yes"/>
    <n v="36"/>
    <s v="Bank Transfer"/>
    <x v="3"/>
  </r>
  <r>
    <n v="1222"/>
    <x v="20"/>
    <s v="Male"/>
    <x v="20"/>
    <x v="0"/>
    <n v="69"/>
    <s v="Iowa"/>
    <x v="2"/>
    <x v="16"/>
    <x v="0"/>
    <n v="4.5"/>
    <x v="1"/>
    <s v="Standard"/>
    <s v="Yes"/>
    <s v="Yes"/>
    <n v="3"/>
    <s v="Cash"/>
    <x v="3"/>
  </r>
  <r>
    <n v="1223"/>
    <x v="44"/>
    <s v="Male"/>
    <x v="2"/>
    <x v="0"/>
    <n v="69"/>
    <s v="Indiana"/>
    <x v="0"/>
    <x v="23"/>
    <x v="3"/>
    <n v="3.4"/>
    <x v="1"/>
    <s v="Store Pickup"/>
    <s v="Yes"/>
    <s v="Yes"/>
    <n v="27"/>
    <s v="Bank Transfer"/>
    <x v="2"/>
  </r>
  <r>
    <n v="1224"/>
    <x v="28"/>
    <s v="Male"/>
    <x v="13"/>
    <x v="0"/>
    <n v="24"/>
    <s v="Kansas"/>
    <x v="0"/>
    <x v="16"/>
    <x v="0"/>
    <n v="3.9"/>
    <x v="1"/>
    <s v="Free Shipping"/>
    <s v="Yes"/>
    <s v="Yes"/>
    <n v="21"/>
    <s v="Bank Transfer"/>
    <x v="1"/>
  </r>
  <r>
    <n v="1225"/>
    <x v="46"/>
    <s v="Male"/>
    <x v="6"/>
    <x v="0"/>
    <n v="50"/>
    <s v="Illinois"/>
    <x v="2"/>
    <x v="22"/>
    <x v="2"/>
    <n v="3.7"/>
    <x v="1"/>
    <s v="Store Pickup"/>
    <s v="Yes"/>
    <s v="Yes"/>
    <n v="18"/>
    <s v="Venmo"/>
    <x v="1"/>
  </r>
  <r>
    <n v="1226"/>
    <x v="48"/>
    <s v="Male"/>
    <x v="24"/>
    <x v="3"/>
    <n v="97"/>
    <s v="North Carolina"/>
    <x v="1"/>
    <x v="2"/>
    <x v="3"/>
    <n v="2.6"/>
    <x v="1"/>
    <s v="Free Shipping"/>
    <s v="Yes"/>
    <s v="Yes"/>
    <n v="16"/>
    <s v="Debit Card"/>
    <x v="1"/>
  </r>
  <r>
    <n v="1227"/>
    <x v="10"/>
    <s v="Male"/>
    <x v="3"/>
    <x v="1"/>
    <n v="91"/>
    <s v="Ohio"/>
    <x v="1"/>
    <x v="17"/>
    <x v="3"/>
    <n v="3.4"/>
    <x v="1"/>
    <s v="Store Pickup"/>
    <s v="Yes"/>
    <s v="Yes"/>
    <n v="18"/>
    <s v="Venmo"/>
    <x v="4"/>
  </r>
  <r>
    <n v="1228"/>
    <x v="7"/>
    <s v="Male"/>
    <x v="0"/>
    <x v="0"/>
    <n v="37"/>
    <s v="Illinois"/>
    <x v="0"/>
    <x v="22"/>
    <x v="1"/>
    <n v="4.9000000000000004"/>
    <x v="1"/>
    <s v="Store Pickup"/>
    <s v="Yes"/>
    <s v="Yes"/>
    <n v="19"/>
    <s v="Bank Transfer"/>
    <x v="4"/>
  </r>
  <r>
    <n v="1229"/>
    <x v="0"/>
    <s v="Male"/>
    <x v="14"/>
    <x v="2"/>
    <n v="55"/>
    <s v="Indiana"/>
    <x v="1"/>
    <x v="22"/>
    <x v="0"/>
    <n v="3.9"/>
    <x v="1"/>
    <s v="Express"/>
    <s v="Yes"/>
    <s v="Yes"/>
    <n v="1"/>
    <s v="Cash"/>
    <x v="2"/>
  </r>
  <r>
    <n v="1230"/>
    <x v="50"/>
    <s v="Male"/>
    <x v="16"/>
    <x v="3"/>
    <n v="52"/>
    <s v="Kansas"/>
    <x v="3"/>
    <x v="1"/>
    <x v="0"/>
    <n v="3.6"/>
    <x v="1"/>
    <s v="Express"/>
    <s v="Yes"/>
    <s v="Yes"/>
    <n v="39"/>
    <s v="Bank Transfer"/>
    <x v="2"/>
  </r>
  <r>
    <n v="1231"/>
    <x v="15"/>
    <s v="Male"/>
    <x v="19"/>
    <x v="3"/>
    <n v="80"/>
    <s v="Illinois"/>
    <x v="0"/>
    <x v="18"/>
    <x v="1"/>
    <n v="4.5999999999999996"/>
    <x v="1"/>
    <s v="Standard"/>
    <s v="Yes"/>
    <s v="Yes"/>
    <n v="49"/>
    <s v="Venmo"/>
    <x v="5"/>
  </r>
  <r>
    <n v="1232"/>
    <x v="17"/>
    <s v="Male"/>
    <x v="20"/>
    <x v="0"/>
    <n v="79"/>
    <s v="Pennsylvania"/>
    <x v="2"/>
    <x v="9"/>
    <x v="1"/>
    <n v="4"/>
    <x v="1"/>
    <s v="2-Day Shipping"/>
    <s v="Yes"/>
    <s v="Yes"/>
    <n v="43"/>
    <s v="Credit Card"/>
    <x v="0"/>
  </r>
  <r>
    <n v="1233"/>
    <x v="9"/>
    <s v="Male"/>
    <x v="8"/>
    <x v="3"/>
    <n v="23"/>
    <s v="New York"/>
    <x v="2"/>
    <x v="4"/>
    <x v="2"/>
    <n v="3.6"/>
    <x v="1"/>
    <s v="Free Shipping"/>
    <s v="Yes"/>
    <s v="Yes"/>
    <n v="31"/>
    <s v="Debit Card"/>
    <x v="6"/>
  </r>
  <r>
    <n v="1234"/>
    <x v="5"/>
    <s v="Male"/>
    <x v="13"/>
    <x v="0"/>
    <n v="73"/>
    <s v="Utah"/>
    <x v="0"/>
    <x v="19"/>
    <x v="0"/>
    <n v="3.5"/>
    <x v="1"/>
    <s v="Next Day Air"/>
    <s v="Yes"/>
    <s v="Yes"/>
    <n v="40"/>
    <s v="Venmo"/>
    <x v="6"/>
  </r>
  <r>
    <n v="1235"/>
    <x v="21"/>
    <s v="Male"/>
    <x v="24"/>
    <x v="3"/>
    <n v="99"/>
    <s v="New Jersey"/>
    <x v="2"/>
    <x v="21"/>
    <x v="3"/>
    <n v="4.0999999999999996"/>
    <x v="1"/>
    <s v="Store Pickup"/>
    <s v="Yes"/>
    <s v="Yes"/>
    <n v="2"/>
    <s v="Bank Transfer"/>
    <x v="4"/>
  </r>
  <r>
    <n v="1236"/>
    <x v="51"/>
    <s v="Male"/>
    <x v="1"/>
    <x v="0"/>
    <n v="22"/>
    <s v="Idaho"/>
    <x v="2"/>
    <x v="16"/>
    <x v="1"/>
    <n v="3"/>
    <x v="1"/>
    <s v="Store Pickup"/>
    <s v="Yes"/>
    <s v="Yes"/>
    <n v="46"/>
    <s v="PayPal"/>
    <x v="6"/>
  </r>
  <r>
    <n v="1237"/>
    <x v="32"/>
    <s v="Male"/>
    <x v="19"/>
    <x v="3"/>
    <n v="68"/>
    <s v="New Mexico"/>
    <x v="2"/>
    <x v="3"/>
    <x v="2"/>
    <n v="4.4000000000000004"/>
    <x v="1"/>
    <s v="Store Pickup"/>
    <s v="Yes"/>
    <s v="Yes"/>
    <n v="35"/>
    <s v="Debit Card"/>
    <x v="6"/>
  </r>
  <r>
    <n v="1238"/>
    <x v="15"/>
    <s v="Male"/>
    <x v="10"/>
    <x v="0"/>
    <n v="92"/>
    <s v="Michigan"/>
    <x v="1"/>
    <x v="4"/>
    <x v="1"/>
    <n v="4.4000000000000004"/>
    <x v="1"/>
    <s v="2-Day Shipping"/>
    <s v="Yes"/>
    <s v="Yes"/>
    <n v="42"/>
    <s v="Credit Card"/>
    <x v="3"/>
  </r>
  <r>
    <n v="1239"/>
    <x v="0"/>
    <s v="Male"/>
    <x v="13"/>
    <x v="0"/>
    <n v="77"/>
    <s v="Wyoming"/>
    <x v="2"/>
    <x v="10"/>
    <x v="0"/>
    <n v="3.7"/>
    <x v="1"/>
    <s v="Express"/>
    <s v="Yes"/>
    <s v="Yes"/>
    <n v="3"/>
    <s v="Venmo"/>
    <x v="0"/>
  </r>
  <r>
    <n v="1240"/>
    <x v="46"/>
    <s v="Male"/>
    <x v="7"/>
    <x v="2"/>
    <n v="37"/>
    <s v="New Jersey"/>
    <x v="3"/>
    <x v="23"/>
    <x v="1"/>
    <n v="4.8"/>
    <x v="1"/>
    <s v="Standard"/>
    <s v="Yes"/>
    <s v="Yes"/>
    <n v="32"/>
    <s v="Debit Card"/>
    <x v="6"/>
  </r>
  <r>
    <n v="1241"/>
    <x v="38"/>
    <s v="Male"/>
    <x v="18"/>
    <x v="3"/>
    <n v="79"/>
    <s v="New Jersey"/>
    <x v="0"/>
    <x v="3"/>
    <x v="0"/>
    <n v="2.9"/>
    <x v="1"/>
    <s v="Store Pickup"/>
    <s v="Yes"/>
    <s v="Yes"/>
    <n v="48"/>
    <s v="Debit Card"/>
    <x v="2"/>
  </r>
  <r>
    <n v="1242"/>
    <x v="44"/>
    <s v="Male"/>
    <x v="15"/>
    <x v="0"/>
    <n v="51"/>
    <s v="Hawaii"/>
    <x v="3"/>
    <x v="6"/>
    <x v="0"/>
    <n v="3.1"/>
    <x v="1"/>
    <s v="Express"/>
    <s v="Yes"/>
    <s v="Yes"/>
    <n v="34"/>
    <s v="Credit Card"/>
    <x v="1"/>
  </r>
  <r>
    <n v="1243"/>
    <x v="19"/>
    <s v="Male"/>
    <x v="20"/>
    <x v="0"/>
    <n v="27"/>
    <s v="Nevada"/>
    <x v="2"/>
    <x v="12"/>
    <x v="2"/>
    <n v="4"/>
    <x v="1"/>
    <s v="Next Day Air"/>
    <s v="Yes"/>
    <s v="Yes"/>
    <n v="15"/>
    <s v="Bank Transfer"/>
    <x v="3"/>
  </r>
  <r>
    <n v="1244"/>
    <x v="15"/>
    <s v="Male"/>
    <x v="0"/>
    <x v="0"/>
    <n v="23"/>
    <s v="New Hampshire"/>
    <x v="1"/>
    <x v="6"/>
    <x v="1"/>
    <n v="3"/>
    <x v="1"/>
    <s v="Store Pickup"/>
    <s v="Yes"/>
    <s v="Yes"/>
    <n v="22"/>
    <s v="Debit Card"/>
    <x v="2"/>
  </r>
  <r>
    <n v="1245"/>
    <x v="27"/>
    <s v="Male"/>
    <x v="20"/>
    <x v="0"/>
    <n v="76"/>
    <s v="Indiana"/>
    <x v="1"/>
    <x v="5"/>
    <x v="2"/>
    <n v="3.9"/>
    <x v="1"/>
    <s v="2-Day Shipping"/>
    <s v="Yes"/>
    <s v="Yes"/>
    <n v="2"/>
    <s v="Cash"/>
    <x v="5"/>
  </r>
  <r>
    <n v="1246"/>
    <x v="32"/>
    <s v="Male"/>
    <x v="10"/>
    <x v="0"/>
    <n v="31"/>
    <s v="New York"/>
    <x v="2"/>
    <x v="10"/>
    <x v="3"/>
    <n v="3.4"/>
    <x v="1"/>
    <s v="Standard"/>
    <s v="Yes"/>
    <s v="Yes"/>
    <n v="30"/>
    <s v="Bank Transfer"/>
    <x v="1"/>
  </r>
  <r>
    <n v="1247"/>
    <x v="7"/>
    <s v="Male"/>
    <x v="15"/>
    <x v="0"/>
    <n v="60"/>
    <s v="Louisiana"/>
    <x v="2"/>
    <x v="4"/>
    <x v="0"/>
    <n v="2.7"/>
    <x v="1"/>
    <s v="Standard"/>
    <s v="Yes"/>
    <s v="Yes"/>
    <n v="27"/>
    <s v="Cash"/>
    <x v="5"/>
  </r>
  <r>
    <n v="1248"/>
    <x v="13"/>
    <s v="Male"/>
    <x v="17"/>
    <x v="0"/>
    <n v="99"/>
    <s v="Virginia"/>
    <x v="2"/>
    <x v="4"/>
    <x v="1"/>
    <n v="3.5"/>
    <x v="1"/>
    <s v="Express"/>
    <s v="Yes"/>
    <s v="Yes"/>
    <n v="18"/>
    <s v="Venmo"/>
    <x v="4"/>
  </r>
  <r>
    <n v="1249"/>
    <x v="46"/>
    <s v="Male"/>
    <x v="19"/>
    <x v="3"/>
    <n v="37"/>
    <s v="Wisconsin"/>
    <x v="3"/>
    <x v="16"/>
    <x v="0"/>
    <n v="3"/>
    <x v="1"/>
    <s v="Free Shipping"/>
    <s v="Yes"/>
    <s v="Yes"/>
    <n v="8"/>
    <s v="Credit Card"/>
    <x v="2"/>
  </r>
  <r>
    <n v="1250"/>
    <x v="46"/>
    <s v="Male"/>
    <x v="23"/>
    <x v="1"/>
    <n v="50"/>
    <s v="Oregon"/>
    <x v="2"/>
    <x v="15"/>
    <x v="0"/>
    <n v="4.5"/>
    <x v="1"/>
    <s v="Express"/>
    <s v="Yes"/>
    <s v="Yes"/>
    <n v="48"/>
    <s v="Venmo"/>
    <x v="0"/>
  </r>
  <r>
    <n v="1251"/>
    <x v="16"/>
    <s v="Male"/>
    <x v="2"/>
    <x v="0"/>
    <n v="26"/>
    <s v="New Hampshire"/>
    <x v="3"/>
    <x v="7"/>
    <x v="0"/>
    <n v="4.0999999999999996"/>
    <x v="1"/>
    <s v="Free Shipping"/>
    <s v="Yes"/>
    <s v="Yes"/>
    <n v="24"/>
    <s v="Cash"/>
    <x v="5"/>
  </r>
  <r>
    <n v="1252"/>
    <x v="19"/>
    <s v="Male"/>
    <x v="6"/>
    <x v="0"/>
    <n v="86"/>
    <s v="Indiana"/>
    <x v="3"/>
    <x v="20"/>
    <x v="1"/>
    <n v="5"/>
    <x v="1"/>
    <s v="Next Day Air"/>
    <s v="Yes"/>
    <s v="Yes"/>
    <n v="43"/>
    <s v="Credit Card"/>
    <x v="5"/>
  </r>
  <r>
    <n v="1253"/>
    <x v="48"/>
    <s v="Male"/>
    <x v="3"/>
    <x v="1"/>
    <n v="41"/>
    <s v="Massachusetts"/>
    <x v="0"/>
    <x v="23"/>
    <x v="3"/>
    <n v="4"/>
    <x v="1"/>
    <s v="Standard"/>
    <s v="Yes"/>
    <s v="Yes"/>
    <n v="8"/>
    <s v="Cash"/>
    <x v="3"/>
  </r>
  <r>
    <n v="1254"/>
    <x v="31"/>
    <s v="Male"/>
    <x v="3"/>
    <x v="1"/>
    <n v="23"/>
    <s v="Montana"/>
    <x v="3"/>
    <x v="16"/>
    <x v="0"/>
    <n v="4.9000000000000004"/>
    <x v="1"/>
    <s v="Express"/>
    <s v="Yes"/>
    <s v="Yes"/>
    <n v="49"/>
    <s v="PayPal"/>
    <x v="2"/>
  </r>
  <r>
    <n v="1255"/>
    <x v="22"/>
    <s v="Male"/>
    <x v="4"/>
    <x v="1"/>
    <n v="56"/>
    <s v="California"/>
    <x v="3"/>
    <x v="13"/>
    <x v="1"/>
    <n v="3.3"/>
    <x v="1"/>
    <s v="2-Day Shipping"/>
    <s v="Yes"/>
    <s v="Yes"/>
    <n v="2"/>
    <s v="Credit Card"/>
    <x v="4"/>
  </r>
  <r>
    <n v="1256"/>
    <x v="11"/>
    <s v="Male"/>
    <x v="19"/>
    <x v="3"/>
    <n v="68"/>
    <s v="Indiana"/>
    <x v="2"/>
    <x v="15"/>
    <x v="3"/>
    <n v="4.0999999999999996"/>
    <x v="1"/>
    <s v="Standard"/>
    <s v="Yes"/>
    <s v="Yes"/>
    <n v="38"/>
    <s v="Cash"/>
    <x v="0"/>
  </r>
  <r>
    <n v="1257"/>
    <x v="4"/>
    <s v="Male"/>
    <x v="7"/>
    <x v="2"/>
    <n v="48"/>
    <s v="West Virginia"/>
    <x v="1"/>
    <x v="8"/>
    <x v="0"/>
    <n v="3.6"/>
    <x v="1"/>
    <s v="Express"/>
    <s v="Yes"/>
    <s v="Yes"/>
    <n v="4"/>
    <s v="Cash"/>
    <x v="0"/>
  </r>
  <r>
    <n v="1258"/>
    <x v="33"/>
    <s v="Male"/>
    <x v="10"/>
    <x v="0"/>
    <n v="67"/>
    <s v="Minnesota"/>
    <x v="0"/>
    <x v="9"/>
    <x v="1"/>
    <n v="3"/>
    <x v="1"/>
    <s v="Free Shipping"/>
    <s v="Yes"/>
    <s v="Yes"/>
    <n v="31"/>
    <s v="Cash"/>
    <x v="6"/>
  </r>
  <r>
    <n v="1259"/>
    <x v="36"/>
    <s v="Male"/>
    <x v="23"/>
    <x v="1"/>
    <n v="87"/>
    <s v="Ohio"/>
    <x v="3"/>
    <x v="9"/>
    <x v="1"/>
    <n v="4.0999999999999996"/>
    <x v="1"/>
    <s v="2-Day Shipping"/>
    <s v="Yes"/>
    <s v="Yes"/>
    <n v="34"/>
    <s v="Debit Card"/>
    <x v="6"/>
  </r>
  <r>
    <n v="1260"/>
    <x v="33"/>
    <s v="Male"/>
    <x v="11"/>
    <x v="0"/>
    <n v="64"/>
    <s v="Minnesota"/>
    <x v="2"/>
    <x v="2"/>
    <x v="3"/>
    <n v="3.9"/>
    <x v="1"/>
    <s v="Standard"/>
    <s v="Yes"/>
    <s v="Yes"/>
    <n v="45"/>
    <s v="Credit Card"/>
    <x v="5"/>
  </r>
  <r>
    <n v="1261"/>
    <x v="6"/>
    <s v="Male"/>
    <x v="5"/>
    <x v="0"/>
    <n v="93"/>
    <s v="Virginia"/>
    <x v="3"/>
    <x v="14"/>
    <x v="1"/>
    <n v="4.0999999999999996"/>
    <x v="1"/>
    <s v="Store Pickup"/>
    <s v="Yes"/>
    <s v="Yes"/>
    <n v="30"/>
    <s v="Debit Card"/>
    <x v="3"/>
  </r>
  <r>
    <n v="1262"/>
    <x v="30"/>
    <s v="Male"/>
    <x v="5"/>
    <x v="0"/>
    <n v="29"/>
    <s v="Connecticut"/>
    <x v="0"/>
    <x v="1"/>
    <x v="2"/>
    <n v="2.8"/>
    <x v="1"/>
    <s v="Next Day Air"/>
    <s v="Yes"/>
    <s v="Yes"/>
    <n v="2"/>
    <s v="Credit Card"/>
    <x v="0"/>
  </r>
  <r>
    <n v="1263"/>
    <x v="26"/>
    <s v="Male"/>
    <x v="23"/>
    <x v="1"/>
    <n v="62"/>
    <s v="Tennessee"/>
    <x v="0"/>
    <x v="18"/>
    <x v="0"/>
    <n v="4.8"/>
    <x v="1"/>
    <s v="Store Pickup"/>
    <s v="Yes"/>
    <s v="Yes"/>
    <n v="44"/>
    <s v="Venmo"/>
    <x v="5"/>
  </r>
  <r>
    <n v="1264"/>
    <x v="38"/>
    <s v="Male"/>
    <x v="15"/>
    <x v="0"/>
    <n v="70"/>
    <s v="Delaware"/>
    <x v="0"/>
    <x v="18"/>
    <x v="0"/>
    <n v="4.5999999999999996"/>
    <x v="1"/>
    <s v="2-Day Shipping"/>
    <s v="Yes"/>
    <s v="Yes"/>
    <n v="1"/>
    <s v="Credit Card"/>
    <x v="4"/>
  </r>
  <r>
    <n v="1265"/>
    <x v="16"/>
    <s v="Male"/>
    <x v="1"/>
    <x v="0"/>
    <n v="92"/>
    <s v="Vermont"/>
    <x v="1"/>
    <x v="24"/>
    <x v="0"/>
    <n v="2.5"/>
    <x v="1"/>
    <s v="Next Day Air"/>
    <s v="Yes"/>
    <s v="Yes"/>
    <n v="1"/>
    <s v="Venmo"/>
    <x v="4"/>
  </r>
  <r>
    <n v="1266"/>
    <x v="45"/>
    <s v="Male"/>
    <x v="5"/>
    <x v="0"/>
    <n v="79"/>
    <s v="Louisiana"/>
    <x v="2"/>
    <x v="12"/>
    <x v="1"/>
    <n v="2.7"/>
    <x v="1"/>
    <s v="Next Day Air"/>
    <s v="Yes"/>
    <s v="Yes"/>
    <n v="27"/>
    <s v="Bank Transfer"/>
    <x v="1"/>
  </r>
  <r>
    <n v="1267"/>
    <x v="30"/>
    <s v="Male"/>
    <x v="0"/>
    <x v="0"/>
    <n v="31"/>
    <s v="North Dakota"/>
    <x v="2"/>
    <x v="15"/>
    <x v="3"/>
    <n v="4"/>
    <x v="1"/>
    <s v="Standard"/>
    <s v="Yes"/>
    <s v="Yes"/>
    <n v="14"/>
    <s v="Debit Card"/>
    <x v="6"/>
  </r>
  <r>
    <n v="1268"/>
    <x v="36"/>
    <s v="Male"/>
    <x v="17"/>
    <x v="0"/>
    <n v="83"/>
    <s v="Oregon"/>
    <x v="1"/>
    <x v="0"/>
    <x v="1"/>
    <n v="2.7"/>
    <x v="1"/>
    <s v="Standard"/>
    <s v="Yes"/>
    <s v="Yes"/>
    <n v="41"/>
    <s v="Cash"/>
    <x v="1"/>
  </r>
  <r>
    <n v="1269"/>
    <x v="51"/>
    <s v="Male"/>
    <x v="14"/>
    <x v="2"/>
    <n v="88"/>
    <s v="Idaho"/>
    <x v="3"/>
    <x v="4"/>
    <x v="0"/>
    <n v="2.9"/>
    <x v="1"/>
    <s v="Next Day Air"/>
    <s v="Yes"/>
    <s v="Yes"/>
    <n v="25"/>
    <s v="Debit Card"/>
    <x v="4"/>
  </r>
  <r>
    <n v="1270"/>
    <x v="49"/>
    <s v="Male"/>
    <x v="16"/>
    <x v="3"/>
    <n v="53"/>
    <s v="Vermont"/>
    <x v="2"/>
    <x v="12"/>
    <x v="1"/>
    <n v="3"/>
    <x v="1"/>
    <s v="Standard"/>
    <s v="Yes"/>
    <s v="Yes"/>
    <n v="47"/>
    <s v="PayPal"/>
    <x v="3"/>
  </r>
  <r>
    <n v="1271"/>
    <x v="29"/>
    <s v="Male"/>
    <x v="15"/>
    <x v="0"/>
    <n v="98"/>
    <s v="West Virginia"/>
    <x v="2"/>
    <x v="14"/>
    <x v="3"/>
    <n v="3.3"/>
    <x v="1"/>
    <s v="Standard"/>
    <s v="Yes"/>
    <s v="Yes"/>
    <n v="20"/>
    <s v="Cash"/>
    <x v="2"/>
  </r>
  <r>
    <n v="1272"/>
    <x v="27"/>
    <s v="Male"/>
    <x v="16"/>
    <x v="3"/>
    <n v="57"/>
    <s v="Kentucky"/>
    <x v="1"/>
    <x v="0"/>
    <x v="1"/>
    <n v="4.3"/>
    <x v="1"/>
    <s v="Store Pickup"/>
    <s v="Yes"/>
    <s v="Yes"/>
    <n v="42"/>
    <s v="PayPal"/>
    <x v="2"/>
  </r>
  <r>
    <n v="1273"/>
    <x v="25"/>
    <s v="Male"/>
    <x v="3"/>
    <x v="1"/>
    <n v="80"/>
    <s v="Wisconsin"/>
    <x v="2"/>
    <x v="20"/>
    <x v="0"/>
    <n v="4.4000000000000004"/>
    <x v="1"/>
    <s v="Express"/>
    <s v="Yes"/>
    <s v="Yes"/>
    <n v="16"/>
    <s v="Bank Transfer"/>
    <x v="5"/>
  </r>
  <r>
    <n v="1274"/>
    <x v="38"/>
    <s v="Male"/>
    <x v="2"/>
    <x v="0"/>
    <n v="29"/>
    <s v="Mississippi"/>
    <x v="0"/>
    <x v="5"/>
    <x v="1"/>
    <n v="4.0999999999999996"/>
    <x v="1"/>
    <s v="Next Day Air"/>
    <s v="Yes"/>
    <s v="Yes"/>
    <n v="32"/>
    <s v="Credit Card"/>
    <x v="6"/>
  </r>
  <r>
    <n v="1275"/>
    <x v="22"/>
    <s v="Male"/>
    <x v="19"/>
    <x v="3"/>
    <n v="73"/>
    <s v="Missouri"/>
    <x v="2"/>
    <x v="8"/>
    <x v="1"/>
    <n v="3.1"/>
    <x v="1"/>
    <s v="2-Day Shipping"/>
    <s v="Yes"/>
    <s v="Yes"/>
    <n v="37"/>
    <s v="PayPal"/>
    <x v="3"/>
  </r>
  <r>
    <n v="1276"/>
    <x v="0"/>
    <s v="Male"/>
    <x v="1"/>
    <x v="0"/>
    <n v="32"/>
    <s v="Arkansas"/>
    <x v="1"/>
    <x v="2"/>
    <x v="3"/>
    <n v="4.5"/>
    <x v="1"/>
    <s v="Standard"/>
    <s v="Yes"/>
    <s v="Yes"/>
    <n v="1"/>
    <s v="PayPal"/>
    <x v="5"/>
  </r>
  <r>
    <n v="1277"/>
    <x v="47"/>
    <s v="Male"/>
    <x v="23"/>
    <x v="1"/>
    <n v="68"/>
    <s v="Wyoming"/>
    <x v="0"/>
    <x v="2"/>
    <x v="1"/>
    <n v="4.8"/>
    <x v="1"/>
    <s v="Next Day Air"/>
    <s v="Yes"/>
    <s v="Yes"/>
    <n v="37"/>
    <s v="Bank Transfer"/>
    <x v="1"/>
  </r>
  <r>
    <n v="1278"/>
    <x v="1"/>
    <s v="Male"/>
    <x v="0"/>
    <x v="0"/>
    <n v="97"/>
    <s v="Rhode Island"/>
    <x v="0"/>
    <x v="14"/>
    <x v="1"/>
    <n v="5"/>
    <x v="1"/>
    <s v="Express"/>
    <s v="Yes"/>
    <s v="Yes"/>
    <n v="5"/>
    <s v="Venmo"/>
    <x v="3"/>
  </r>
  <r>
    <n v="1279"/>
    <x v="48"/>
    <s v="Male"/>
    <x v="6"/>
    <x v="0"/>
    <n v="98"/>
    <s v="Utah"/>
    <x v="2"/>
    <x v="10"/>
    <x v="3"/>
    <n v="2.8"/>
    <x v="1"/>
    <s v="Next Day Air"/>
    <s v="Yes"/>
    <s v="Yes"/>
    <n v="31"/>
    <s v="Venmo"/>
    <x v="0"/>
  </r>
  <r>
    <n v="1280"/>
    <x v="6"/>
    <s v="Male"/>
    <x v="15"/>
    <x v="0"/>
    <n v="56"/>
    <s v="Maryland"/>
    <x v="0"/>
    <x v="4"/>
    <x v="3"/>
    <n v="3.7"/>
    <x v="1"/>
    <s v="Express"/>
    <s v="Yes"/>
    <s v="Yes"/>
    <n v="18"/>
    <s v="Debit Card"/>
    <x v="2"/>
  </r>
  <r>
    <n v="1281"/>
    <x v="11"/>
    <s v="Male"/>
    <x v="13"/>
    <x v="0"/>
    <n v="78"/>
    <s v="Georgia"/>
    <x v="0"/>
    <x v="3"/>
    <x v="0"/>
    <n v="4.4000000000000004"/>
    <x v="1"/>
    <s v="2-Day Shipping"/>
    <s v="Yes"/>
    <s v="Yes"/>
    <n v="39"/>
    <s v="Venmo"/>
    <x v="6"/>
  </r>
  <r>
    <n v="1282"/>
    <x v="26"/>
    <s v="Male"/>
    <x v="22"/>
    <x v="3"/>
    <n v="81"/>
    <s v="New Jersey"/>
    <x v="2"/>
    <x v="8"/>
    <x v="1"/>
    <n v="4.5"/>
    <x v="1"/>
    <s v="Store Pickup"/>
    <s v="Yes"/>
    <s v="Yes"/>
    <n v="8"/>
    <s v="Venmo"/>
    <x v="4"/>
  </r>
  <r>
    <n v="1283"/>
    <x v="41"/>
    <s v="Male"/>
    <x v="5"/>
    <x v="0"/>
    <n v="68"/>
    <s v="New Hampshire"/>
    <x v="0"/>
    <x v="10"/>
    <x v="0"/>
    <n v="3"/>
    <x v="1"/>
    <s v="Free Shipping"/>
    <s v="Yes"/>
    <s v="Yes"/>
    <n v="20"/>
    <s v="Venmo"/>
    <x v="5"/>
  </r>
  <r>
    <n v="1284"/>
    <x v="28"/>
    <s v="Male"/>
    <x v="5"/>
    <x v="0"/>
    <n v="94"/>
    <s v="Oregon"/>
    <x v="2"/>
    <x v="10"/>
    <x v="0"/>
    <n v="3.9"/>
    <x v="1"/>
    <s v="2-Day Shipping"/>
    <s v="Yes"/>
    <s v="Yes"/>
    <n v="23"/>
    <s v="Debit Card"/>
    <x v="6"/>
  </r>
  <r>
    <n v="1285"/>
    <x v="13"/>
    <s v="Male"/>
    <x v="10"/>
    <x v="0"/>
    <n v="93"/>
    <s v="Arkansas"/>
    <x v="2"/>
    <x v="13"/>
    <x v="1"/>
    <n v="3.9"/>
    <x v="1"/>
    <s v="Express"/>
    <s v="Yes"/>
    <s v="Yes"/>
    <n v="38"/>
    <s v="PayPal"/>
    <x v="0"/>
  </r>
  <r>
    <n v="1286"/>
    <x v="14"/>
    <s v="Male"/>
    <x v="24"/>
    <x v="3"/>
    <n v="99"/>
    <s v="North Carolina"/>
    <x v="2"/>
    <x v="4"/>
    <x v="3"/>
    <n v="3.5"/>
    <x v="1"/>
    <s v="Next Day Air"/>
    <s v="Yes"/>
    <s v="Yes"/>
    <n v="45"/>
    <s v="Bank Transfer"/>
    <x v="0"/>
  </r>
  <r>
    <n v="1287"/>
    <x v="37"/>
    <s v="Male"/>
    <x v="24"/>
    <x v="3"/>
    <n v="49"/>
    <s v="West Virginia"/>
    <x v="0"/>
    <x v="22"/>
    <x v="0"/>
    <n v="4.9000000000000004"/>
    <x v="1"/>
    <s v="Next Day Air"/>
    <s v="Yes"/>
    <s v="Yes"/>
    <n v="44"/>
    <s v="Debit Card"/>
    <x v="0"/>
  </r>
  <r>
    <n v="1288"/>
    <x v="41"/>
    <s v="Male"/>
    <x v="2"/>
    <x v="0"/>
    <n v="28"/>
    <s v="Utah"/>
    <x v="3"/>
    <x v="24"/>
    <x v="0"/>
    <n v="3.4"/>
    <x v="1"/>
    <s v="Standard"/>
    <s v="Yes"/>
    <s v="Yes"/>
    <n v="20"/>
    <s v="PayPal"/>
    <x v="5"/>
  </r>
  <r>
    <n v="1289"/>
    <x v="17"/>
    <s v="Male"/>
    <x v="22"/>
    <x v="3"/>
    <n v="93"/>
    <s v="South Dakota"/>
    <x v="3"/>
    <x v="4"/>
    <x v="0"/>
    <n v="4.0999999999999996"/>
    <x v="1"/>
    <s v="Standard"/>
    <s v="Yes"/>
    <s v="Yes"/>
    <n v="34"/>
    <s v="PayPal"/>
    <x v="4"/>
  </r>
  <r>
    <n v="1290"/>
    <x v="25"/>
    <s v="Male"/>
    <x v="14"/>
    <x v="2"/>
    <n v="24"/>
    <s v="New Hampshire"/>
    <x v="2"/>
    <x v="16"/>
    <x v="3"/>
    <n v="2.9"/>
    <x v="1"/>
    <s v="Next Day Air"/>
    <s v="Yes"/>
    <s v="Yes"/>
    <n v="10"/>
    <s v="PayPal"/>
    <x v="1"/>
  </r>
  <r>
    <n v="1291"/>
    <x v="29"/>
    <s v="Male"/>
    <x v="11"/>
    <x v="0"/>
    <n v="35"/>
    <s v="Maryland"/>
    <x v="2"/>
    <x v="21"/>
    <x v="1"/>
    <n v="3.4"/>
    <x v="1"/>
    <s v="Free Shipping"/>
    <s v="Yes"/>
    <s v="Yes"/>
    <n v="3"/>
    <s v="PayPal"/>
    <x v="2"/>
  </r>
  <r>
    <n v="1292"/>
    <x v="28"/>
    <s v="Male"/>
    <x v="3"/>
    <x v="1"/>
    <n v="68"/>
    <s v="South Dakota"/>
    <x v="1"/>
    <x v="19"/>
    <x v="1"/>
    <n v="3.2"/>
    <x v="1"/>
    <s v="2-Day Shipping"/>
    <s v="Yes"/>
    <s v="Yes"/>
    <n v="23"/>
    <s v="Debit Card"/>
    <x v="0"/>
  </r>
  <r>
    <n v="1293"/>
    <x v="8"/>
    <s v="Male"/>
    <x v="22"/>
    <x v="3"/>
    <n v="61"/>
    <s v="Kentucky"/>
    <x v="2"/>
    <x v="1"/>
    <x v="2"/>
    <n v="3.9"/>
    <x v="1"/>
    <s v="Free Shipping"/>
    <s v="Yes"/>
    <s v="Yes"/>
    <n v="42"/>
    <s v="Bank Transfer"/>
    <x v="2"/>
  </r>
  <r>
    <n v="1294"/>
    <x v="51"/>
    <s v="Male"/>
    <x v="1"/>
    <x v="0"/>
    <n v="74"/>
    <s v="Florida"/>
    <x v="3"/>
    <x v="22"/>
    <x v="3"/>
    <n v="4.0999999999999996"/>
    <x v="1"/>
    <s v="Standard"/>
    <s v="Yes"/>
    <s v="Yes"/>
    <n v="30"/>
    <s v="Debit Card"/>
    <x v="2"/>
  </r>
  <r>
    <n v="1295"/>
    <x v="7"/>
    <s v="Male"/>
    <x v="5"/>
    <x v="0"/>
    <n v="64"/>
    <s v="Texas"/>
    <x v="2"/>
    <x v="5"/>
    <x v="2"/>
    <n v="4.5"/>
    <x v="1"/>
    <s v="Standard"/>
    <s v="Yes"/>
    <s v="Yes"/>
    <n v="21"/>
    <s v="Cash"/>
    <x v="6"/>
  </r>
  <r>
    <n v="1296"/>
    <x v="11"/>
    <s v="Male"/>
    <x v="4"/>
    <x v="1"/>
    <n v="60"/>
    <s v="New Mexico"/>
    <x v="2"/>
    <x v="8"/>
    <x v="3"/>
    <n v="2.8"/>
    <x v="1"/>
    <s v="Standard"/>
    <s v="Yes"/>
    <s v="Yes"/>
    <n v="50"/>
    <s v="PayPal"/>
    <x v="1"/>
  </r>
  <r>
    <n v="1297"/>
    <x v="39"/>
    <s v="Male"/>
    <x v="2"/>
    <x v="0"/>
    <n v="29"/>
    <s v="South Dakota"/>
    <x v="1"/>
    <x v="11"/>
    <x v="1"/>
    <n v="2.8"/>
    <x v="1"/>
    <s v="Express"/>
    <s v="Yes"/>
    <s v="Yes"/>
    <n v="16"/>
    <s v="Cash"/>
    <x v="4"/>
  </r>
  <r>
    <n v="1298"/>
    <x v="42"/>
    <s v="Male"/>
    <x v="3"/>
    <x v="1"/>
    <n v="85"/>
    <s v="New Jersey"/>
    <x v="2"/>
    <x v="5"/>
    <x v="2"/>
    <n v="4.5999999999999996"/>
    <x v="1"/>
    <s v="Standard"/>
    <s v="Yes"/>
    <s v="Yes"/>
    <n v="32"/>
    <s v="Venmo"/>
    <x v="2"/>
  </r>
  <r>
    <n v="1299"/>
    <x v="26"/>
    <s v="Male"/>
    <x v="13"/>
    <x v="0"/>
    <n v="81"/>
    <s v="Indiana"/>
    <x v="1"/>
    <x v="21"/>
    <x v="2"/>
    <n v="3"/>
    <x v="1"/>
    <s v="Free Shipping"/>
    <s v="Yes"/>
    <s v="Yes"/>
    <n v="14"/>
    <s v="Bank Transfer"/>
    <x v="0"/>
  </r>
  <r>
    <n v="1300"/>
    <x v="26"/>
    <s v="Male"/>
    <x v="22"/>
    <x v="3"/>
    <n v="23"/>
    <s v="Louisiana"/>
    <x v="0"/>
    <x v="11"/>
    <x v="3"/>
    <n v="3.6"/>
    <x v="1"/>
    <s v="2-Day Shipping"/>
    <s v="Yes"/>
    <s v="Yes"/>
    <n v="42"/>
    <s v="Venmo"/>
    <x v="4"/>
  </r>
  <r>
    <n v="1301"/>
    <x v="29"/>
    <s v="Male"/>
    <x v="17"/>
    <x v="0"/>
    <n v="100"/>
    <s v="West Virginia"/>
    <x v="2"/>
    <x v="4"/>
    <x v="1"/>
    <n v="4.5"/>
    <x v="1"/>
    <s v="Next Day Air"/>
    <s v="Yes"/>
    <s v="Yes"/>
    <n v="47"/>
    <s v="Credit Card"/>
    <x v="6"/>
  </r>
  <r>
    <n v="1302"/>
    <x v="32"/>
    <s v="Male"/>
    <x v="5"/>
    <x v="0"/>
    <n v="54"/>
    <s v="Maine"/>
    <x v="2"/>
    <x v="20"/>
    <x v="3"/>
    <n v="5"/>
    <x v="1"/>
    <s v="Express"/>
    <s v="Yes"/>
    <s v="Yes"/>
    <n v="21"/>
    <s v="Debit Card"/>
    <x v="1"/>
  </r>
  <r>
    <n v="1303"/>
    <x v="51"/>
    <s v="Male"/>
    <x v="4"/>
    <x v="1"/>
    <n v="25"/>
    <s v="Idaho"/>
    <x v="2"/>
    <x v="9"/>
    <x v="3"/>
    <n v="2.9"/>
    <x v="1"/>
    <s v="Next Day Air"/>
    <s v="Yes"/>
    <s v="Yes"/>
    <n v="37"/>
    <s v="Credit Card"/>
    <x v="5"/>
  </r>
  <r>
    <n v="1304"/>
    <x v="50"/>
    <s v="Male"/>
    <x v="0"/>
    <x v="0"/>
    <n v="32"/>
    <s v="New York"/>
    <x v="0"/>
    <x v="5"/>
    <x v="2"/>
    <n v="3.1"/>
    <x v="1"/>
    <s v="Next Day Air"/>
    <s v="Yes"/>
    <s v="Yes"/>
    <n v="10"/>
    <s v="Credit Card"/>
    <x v="2"/>
  </r>
  <r>
    <n v="1305"/>
    <x v="14"/>
    <s v="Male"/>
    <x v="21"/>
    <x v="3"/>
    <n v="63"/>
    <s v="Montana"/>
    <x v="1"/>
    <x v="20"/>
    <x v="1"/>
    <n v="4"/>
    <x v="1"/>
    <s v="2-Day Shipping"/>
    <s v="Yes"/>
    <s v="Yes"/>
    <n v="18"/>
    <s v="PayPal"/>
    <x v="6"/>
  </r>
  <r>
    <n v="1306"/>
    <x v="18"/>
    <s v="Male"/>
    <x v="13"/>
    <x v="0"/>
    <n v="56"/>
    <s v="Mississippi"/>
    <x v="3"/>
    <x v="15"/>
    <x v="1"/>
    <n v="4.5"/>
    <x v="1"/>
    <s v="Express"/>
    <s v="Yes"/>
    <s v="Yes"/>
    <n v="2"/>
    <s v="PayPal"/>
    <x v="6"/>
  </r>
  <r>
    <n v="1307"/>
    <x v="22"/>
    <s v="Male"/>
    <x v="1"/>
    <x v="0"/>
    <n v="33"/>
    <s v="Alaska"/>
    <x v="0"/>
    <x v="18"/>
    <x v="0"/>
    <n v="4.5"/>
    <x v="1"/>
    <s v="Next Day Air"/>
    <s v="Yes"/>
    <s v="Yes"/>
    <n v="40"/>
    <s v="PayPal"/>
    <x v="2"/>
  </r>
  <r>
    <n v="1308"/>
    <x v="51"/>
    <s v="Male"/>
    <x v="7"/>
    <x v="2"/>
    <n v="32"/>
    <s v="Missouri"/>
    <x v="0"/>
    <x v="13"/>
    <x v="2"/>
    <n v="3.1"/>
    <x v="1"/>
    <s v="Express"/>
    <s v="Yes"/>
    <s v="Yes"/>
    <n v="43"/>
    <s v="PayPal"/>
    <x v="2"/>
  </r>
  <r>
    <n v="1309"/>
    <x v="35"/>
    <s v="Male"/>
    <x v="10"/>
    <x v="0"/>
    <n v="38"/>
    <s v="Rhode Island"/>
    <x v="0"/>
    <x v="16"/>
    <x v="2"/>
    <n v="4.4000000000000004"/>
    <x v="1"/>
    <s v="Next Day Air"/>
    <s v="Yes"/>
    <s v="Yes"/>
    <n v="14"/>
    <s v="Credit Card"/>
    <x v="6"/>
  </r>
  <r>
    <n v="1310"/>
    <x v="45"/>
    <s v="Male"/>
    <x v="0"/>
    <x v="0"/>
    <n v="21"/>
    <s v="Hawaii"/>
    <x v="0"/>
    <x v="12"/>
    <x v="2"/>
    <n v="4.7"/>
    <x v="1"/>
    <s v="Store Pickup"/>
    <s v="Yes"/>
    <s v="Yes"/>
    <n v="41"/>
    <s v="Cash"/>
    <x v="3"/>
  </r>
  <r>
    <n v="1311"/>
    <x v="49"/>
    <s v="Male"/>
    <x v="15"/>
    <x v="0"/>
    <n v="59"/>
    <s v="South Carolina"/>
    <x v="0"/>
    <x v="18"/>
    <x v="0"/>
    <n v="3.1"/>
    <x v="1"/>
    <s v="Store Pickup"/>
    <s v="Yes"/>
    <s v="Yes"/>
    <n v="38"/>
    <s v="Credit Card"/>
    <x v="6"/>
  </r>
  <r>
    <n v="1312"/>
    <x v="45"/>
    <s v="Male"/>
    <x v="9"/>
    <x v="1"/>
    <n v="87"/>
    <s v="Tennessee"/>
    <x v="2"/>
    <x v="1"/>
    <x v="3"/>
    <n v="4.2"/>
    <x v="1"/>
    <s v="Express"/>
    <s v="Yes"/>
    <s v="Yes"/>
    <n v="12"/>
    <s v="Venmo"/>
    <x v="2"/>
  </r>
  <r>
    <n v="1313"/>
    <x v="17"/>
    <s v="Male"/>
    <x v="17"/>
    <x v="0"/>
    <n v="79"/>
    <s v="Missouri"/>
    <x v="2"/>
    <x v="10"/>
    <x v="0"/>
    <n v="3"/>
    <x v="1"/>
    <s v="Store Pickup"/>
    <s v="Yes"/>
    <s v="Yes"/>
    <n v="19"/>
    <s v="Bank Transfer"/>
    <x v="5"/>
  </r>
  <r>
    <n v="1314"/>
    <x v="27"/>
    <s v="Male"/>
    <x v="9"/>
    <x v="1"/>
    <n v="28"/>
    <s v="Missouri"/>
    <x v="2"/>
    <x v="12"/>
    <x v="2"/>
    <n v="2.6"/>
    <x v="1"/>
    <s v="Free Shipping"/>
    <s v="Yes"/>
    <s v="Yes"/>
    <n v="23"/>
    <s v="Credit Card"/>
    <x v="4"/>
  </r>
  <r>
    <n v="1315"/>
    <x v="32"/>
    <s v="Male"/>
    <x v="23"/>
    <x v="1"/>
    <n v="67"/>
    <s v="Missouri"/>
    <x v="1"/>
    <x v="23"/>
    <x v="2"/>
    <n v="3.4"/>
    <x v="1"/>
    <s v="Free Shipping"/>
    <s v="Yes"/>
    <s v="Yes"/>
    <n v="49"/>
    <s v="Debit Card"/>
    <x v="2"/>
  </r>
  <r>
    <n v="1316"/>
    <x v="19"/>
    <s v="Male"/>
    <x v="6"/>
    <x v="0"/>
    <n v="75"/>
    <s v="Mississippi"/>
    <x v="0"/>
    <x v="14"/>
    <x v="1"/>
    <n v="4.2"/>
    <x v="1"/>
    <s v="2-Day Shipping"/>
    <s v="Yes"/>
    <s v="Yes"/>
    <n v="29"/>
    <s v="Debit Card"/>
    <x v="3"/>
  </r>
  <r>
    <n v="1317"/>
    <x v="48"/>
    <s v="Male"/>
    <x v="22"/>
    <x v="3"/>
    <n v="32"/>
    <s v="Arkansas"/>
    <x v="1"/>
    <x v="12"/>
    <x v="1"/>
    <n v="4.5999999999999996"/>
    <x v="1"/>
    <s v="Standard"/>
    <s v="Yes"/>
    <s v="Yes"/>
    <n v="14"/>
    <s v="Debit Card"/>
    <x v="4"/>
  </r>
  <r>
    <n v="1318"/>
    <x v="48"/>
    <s v="Male"/>
    <x v="13"/>
    <x v="0"/>
    <n v="43"/>
    <s v="Kentucky"/>
    <x v="2"/>
    <x v="14"/>
    <x v="1"/>
    <n v="2.8"/>
    <x v="1"/>
    <s v="Free Shipping"/>
    <s v="Yes"/>
    <s v="Yes"/>
    <n v="19"/>
    <s v="Cash"/>
    <x v="5"/>
  </r>
  <r>
    <n v="1319"/>
    <x v="16"/>
    <s v="Male"/>
    <x v="6"/>
    <x v="0"/>
    <n v="93"/>
    <s v="Connecticut"/>
    <x v="2"/>
    <x v="1"/>
    <x v="1"/>
    <n v="2.7"/>
    <x v="1"/>
    <s v="Express"/>
    <s v="Yes"/>
    <s v="Yes"/>
    <n v="19"/>
    <s v="Credit Card"/>
    <x v="4"/>
  </r>
  <r>
    <n v="1320"/>
    <x v="13"/>
    <s v="Male"/>
    <x v="12"/>
    <x v="3"/>
    <n v="24"/>
    <s v="Oklahoma"/>
    <x v="2"/>
    <x v="23"/>
    <x v="1"/>
    <n v="4"/>
    <x v="1"/>
    <s v="Standard"/>
    <s v="Yes"/>
    <s v="Yes"/>
    <n v="48"/>
    <s v="Bank Transfer"/>
    <x v="1"/>
  </r>
  <r>
    <n v="1321"/>
    <x v="19"/>
    <s v="Male"/>
    <x v="19"/>
    <x v="3"/>
    <n v="31"/>
    <s v="California"/>
    <x v="3"/>
    <x v="11"/>
    <x v="3"/>
    <n v="3.1"/>
    <x v="1"/>
    <s v="Free Shipping"/>
    <s v="Yes"/>
    <s v="Yes"/>
    <n v="19"/>
    <s v="Debit Card"/>
    <x v="2"/>
  </r>
  <r>
    <n v="1322"/>
    <x v="35"/>
    <s v="Male"/>
    <x v="17"/>
    <x v="0"/>
    <n v="84"/>
    <s v="Missouri"/>
    <x v="0"/>
    <x v="20"/>
    <x v="0"/>
    <n v="3.7"/>
    <x v="1"/>
    <s v="Express"/>
    <s v="Yes"/>
    <s v="Yes"/>
    <n v="45"/>
    <s v="Bank Transfer"/>
    <x v="6"/>
  </r>
  <r>
    <n v="1323"/>
    <x v="51"/>
    <s v="Male"/>
    <x v="13"/>
    <x v="0"/>
    <n v="74"/>
    <s v="Washington"/>
    <x v="2"/>
    <x v="10"/>
    <x v="0"/>
    <n v="4"/>
    <x v="1"/>
    <s v="Next Day Air"/>
    <s v="Yes"/>
    <s v="Yes"/>
    <n v="17"/>
    <s v="Bank Transfer"/>
    <x v="3"/>
  </r>
  <r>
    <n v="1324"/>
    <x v="44"/>
    <s v="Male"/>
    <x v="6"/>
    <x v="0"/>
    <n v="62"/>
    <s v="New York"/>
    <x v="2"/>
    <x v="22"/>
    <x v="1"/>
    <n v="4.5999999999999996"/>
    <x v="1"/>
    <s v="Standard"/>
    <s v="Yes"/>
    <s v="Yes"/>
    <n v="15"/>
    <s v="Debit Card"/>
    <x v="6"/>
  </r>
  <r>
    <n v="1325"/>
    <x v="31"/>
    <s v="Male"/>
    <x v="16"/>
    <x v="3"/>
    <n v="77"/>
    <s v="Indiana"/>
    <x v="1"/>
    <x v="20"/>
    <x v="2"/>
    <n v="3.8"/>
    <x v="1"/>
    <s v="Free Shipping"/>
    <s v="Yes"/>
    <s v="Yes"/>
    <n v="11"/>
    <s v="Credit Card"/>
    <x v="0"/>
  </r>
  <r>
    <n v="1326"/>
    <x v="48"/>
    <s v="Male"/>
    <x v="21"/>
    <x v="3"/>
    <n v="73"/>
    <s v="Oregon"/>
    <x v="0"/>
    <x v="9"/>
    <x v="2"/>
    <n v="3.5"/>
    <x v="1"/>
    <s v="Express"/>
    <s v="Yes"/>
    <s v="Yes"/>
    <n v="1"/>
    <s v="Cash"/>
    <x v="5"/>
  </r>
  <r>
    <n v="1327"/>
    <x v="37"/>
    <s v="Male"/>
    <x v="9"/>
    <x v="1"/>
    <n v="50"/>
    <s v="Texas"/>
    <x v="2"/>
    <x v="21"/>
    <x v="1"/>
    <n v="4.5999999999999996"/>
    <x v="1"/>
    <s v="Free Shipping"/>
    <s v="Yes"/>
    <s v="Yes"/>
    <n v="17"/>
    <s v="Cash"/>
    <x v="5"/>
  </r>
  <r>
    <n v="1328"/>
    <x v="16"/>
    <s v="Male"/>
    <x v="7"/>
    <x v="2"/>
    <n v="40"/>
    <s v="Florida"/>
    <x v="2"/>
    <x v="2"/>
    <x v="0"/>
    <n v="2.8"/>
    <x v="1"/>
    <s v="Standard"/>
    <s v="Yes"/>
    <s v="Yes"/>
    <n v="37"/>
    <s v="Cash"/>
    <x v="1"/>
  </r>
  <r>
    <n v="1329"/>
    <x v="43"/>
    <s v="Male"/>
    <x v="1"/>
    <x v="0"/>
    <n v="97"/>
    <s v="Rhode Island"/>
    <x v="2"/>
    <x v="20"/>
    <x v="0"/>
    <n v="3.7"/>
    <x v="1"/>
    <s v="Standard"/>
    <s v="Yes"/>
    <s v="Yes"/>
    <n v="40"/>
    <s v="Bank Transfer"/>
    <x v="1"/>
  </r>
  <r>
    <n v="1330"/>
    <x v="27"/>
    <s v="Male"/>
    <x v="24"/>
    <x v="3"/>
    <n v="63"/>
    <s v="Texas"/>
    <x v="2"/>
    <x v="21"/>
    <x v="3"/>
    <n v="3.3"/>
    <x v="1"/>
    <s v="Express"/>
    <s v="Yes"/>
    <s v="Yes"/>
    <n v="50"/>
    <s v="PayPal"/>
    <x v="6"/>
  </r>
  <r>
    <n v="1331"/>
    <x v="11"/>
    <s v="Male"/>
    <x v="8"/>
    <x v="3"/>
    <n v="65"/>
    <s v="Vermont"/>
    <x v="2"/>
    <x v="4"/>
    <x v="3"/>
    <n v="2.9"/>
    <x v="1"/>
    <s v="Standard"/>
    <s v="Yes"/>
    <s v="Yes"/>
    <n v="20"/>
    <s v="PayPal"/>
    <x v="4"/>
  </r>
  <r>
    <n v="1332"/>
    <x v="21"/>
    <s v="Male"/>
    <x v="20"/>
    <x v="0"/>
    <n v="91"/>
    <s v="Maryland"/>
    <x v="2"/>
    <x v="12"/>
    <x v="1"/>
    <n v="3.2"/>
    <x v="1"/>
    <s v="Standard"/>
    <s v="Yes"/>
    <s v="Yes"/>
    <n v="8"/>
    <s v="PayPal"/>
    <x v="4"/>
  </r>
  <r>
    <n v="1333"/>
    <x v="17"/>
    <s v="Male"/>
    <x v="15"/>
    <x v="0"/>
    <n v="60"/>
    <s v="Alaska"/>
    <x v="1"/>
    <x v="9"/>
    <x v="1"/>
    <n v="4.3"/>
    <x v="1"/>
    <s v="Store Pickup"/>
    <s v="Yes"/>
    <s v="Yes"/>
    <n v="16"/>
    <s v="Bank Transfer"/>
    <x v="3"/>
  </r>
  <r>
    <n v="1334"/>
    <x v="26"/>
    <s v="Male"/>
    <x v="13"/>
    <x v="0"/>
    <n v="69"/>
    <s v="Idaho"/>
    <x v="2"/>
    <x v="12"/>
    <x v="0"/>
    <n v="2.7"/>
    <x v="1"/>
    <s v="Next Day Air"/>
    <s v="Yes"/>
    <s v="Yes"/>
    <n v="9"/>
    <s v="Bank Transfer"/>
    <x v="3"/>
  </r>
  <r>
    <n v="1335"/>
    <x v="5"/>
    <s v="Male"/>
    <x v="7"/>
    <x v="2"/>
    <n v="52"/>
    <s v="West Virginia"/>
    <x v="1"/>
    <x v="3"/>
    <x v="1"/>
    <n v="4.2"/>
    <x v="1"/>
    <s v="Store Pickup"/>
    <s v="Yes"/>
    <s v="Yes"/>
    <n v="12"/>
    <s v="Venmo"/>
    <x v="5"/>
  </r>
  <r>
    <n v="1336"/>
    <x v="19"/>
    <s v="Male"/>
    <x v="23"/>
    <x v="1"/>
    <n v="49"/>
    <s v="Nevada"/>
    <x v="2"/>
    <x v="12"/>
    <x v="3"/>
    <n v="4.8"/>
    <x v="1"/>
    <s v="2-Day Shipping"/>
    <s v="Yes"/>
    <s v="Yes"/>
    <n v="26"/>
    <s v="Credit Card"/>
    <x v="1"/>
  </r>
  <r>
    <n v="1337"/>
    <x v="51"/>
    <s v="Male"/>
    <x v="4"/>
    <x v="1"/>
    <n v="85"/>
    <s v="Oregon"/>
    <x v="2"/>
    <x v="4"/>
    <x v="1"/>
    <n v="4.8"/>
    <x v="1"/>
    <s v="Store Pickup"/>
    <s v="Yes"/>
    <s v="Yes"/>
    <n v="44"/>
    <s v="Debit Card"/>
    <x v="0"/>
  </r>
  <r>
    <n v="1338"/>
    <x v="43"/>
    <s v="Male"/>
    <x v="1"/>
    <x v="0"/>
    <n v="86"/>
    <s v="Tennessee"/>
    <x v="0"/>
    <x v="5"/>
    <x v="1"/>
    <n v="3.4"/>
    <x v="1"/>
    <s v="Express"/>
    <s v="Yes"/>
    <s v="Yes"/>
    <n v="19"/>
    <s v="Credit Card"/>
    <x v="4"/>
  </r>
  <r>
    <n v="1339"/>
    <x v="19"/>
    <s v="Male"/>
    <x v="8"/>
    <x v="3"/>
    <n v="51"/>
    <s v="Alabama"/>
    <x v="1"/>
    <x v="22"/>
    <x v="0"/>
    <n v="2.6"/>
    <x v="1"/>
    <s v="Standard"/>
    <s v="Yes"/>
    <s v="Yes"/>
    <n v="43"/>
    <s v="PayPal"/>
    <x v="0"/>
  </r>
  <r>
    <n v="1340"/>
    <x v="24"/>
    <s v="Male"/>
    <x v="22"/>
    <x v="3"/>
    <n v="56"/>
    <s v="Indiana"/>
    <x v="0"/>
    <x v="8"/>
    <x v="0"/>
    <n v="5"/>
    <x v="1"/>
    <s v="Next Day Air"/>
    <s v="Yes"/>
    <s v="Yes"/>
    <n v="5"/>
    <s v="Bank Transfer"/>
    <x v="6"/>
  </r>
  <r>
    <n v="1341"/>
    <x v="37"/>
    <s v="Male"/>
    <x v="22"/>
    <x v="3"/>
    <n v="72"/>
    <s v="Idaho"/>
    <x v="2"/>
    <x v="15"/>
    <x v="3"/>
    <n v="4.4000000000000004"/>
    <x v="1"/>
    <s v="Next Day Air"/>
    <s v="Yes"/>
    <s v="Yes"/>
    <n v="5"/>
    <s v="Debit Card"/>
    <x v="6"/>
  </r>
  <r>
    <n v="1342"/>
    <x v="8"/>
    <s v="Male"/>
    <x v="15"/>
    <x v="0"/>
    <n v="27"/>
    <s v="Rhode Island"/>
    <x v="3"/>
    <x v="22"/>
    <x v="3"/>
    <n v="2.9"/>
    <x v="1"/>
    <s v="Standard"/>
    <s v="Yes"/>
    <s v="Yes"/>
    <n v="31"/>
    <s v="Bank Transfer"/>
    <x v="3"/>
  </r>
  <r>
    <n v="1343"/>
    <x v="9"/>
    <s v="Male"/>
    <x v="12"/>
    <x v="3"/>
    <n v="43"/>
    <s v="Arizona"/>
    <x v="3"/>
    <x v="22"/>
    <x v="2"/>
    <n v="3.4"/>
    <x v="1"/>
    <s v="2-Day Shipping"/>
    <s v="Yes"/>
    <s v="Yes"/>
    <n v="11"/>
    <s v="Bank Transfer"/>
    <x v="5"/>
  </r>
  <r>
    <n v="1344"/>
    <x v="33"/>
    <s v="Male"/>
    <x v="4"/>
    <x v="1"/>
    <n v="56"/>
    <s v="Florida"/>
    <x v="2"/>
    <x v="21"/>
    <x v="1"/>
    <n v="3.4"/>
    <x v="1"/>
    <s v="Standard"/>
    <s v="Yes"/>
    <s v="Yes"/>
    <n v="34"/>
    <s v="Bank Transfer"/>
    <x v="5"/>
  </r>
  <r>
    <n v="1345"/>
    <x v="19"/>
    <s v="Male"/>
    <x v="17"/>
    <x v="0"/>
    <n v="37"/>
    <s v="New York"/>
    <x v="1"/>
    <x v="10"/>
    <x v="3"/>
    <n v="4.9000000000000004"/>
    <x v="1"/>
    <s v="Next Day Air"/>
    <s v="Yes"/>
    <s v="Yes"/>
    <n v="14"/>
    <s v="Cash"/>
    <x v="2"/>
  </r>
  <r>
    <n v="1346"/>
    <x v="37"/>
    <s v="Male"/>
    <x v="10"/>
    <x v="0"/>
    <n v="21"/>
    <s v="Nebraska"/>
    <x v="2"/>
    <x v="3"/>
    <x v="3"/>
    <n v="3.6"/>
    <x v="1"/>
    <s v="Standard"/>
    <s v="Yes"/>
    <s v="Yes"/>
    <n v="42"/>
    <s v="Venmo"/>
    <x v="1"/>
  </r>
  <r>
    <n v="1347"/>
    <x v="42"/>
    <s v="Male"/>
    <x v="15"/>
    <x v="0"/>
    <n v="91"/>
    <s v="Mississippi"/>
    <x v="0"/>
    <x v="3"/>
    <x v="0"/>
    <n v="3"/>
    <x v="1"/>
    <s v="Free Shipping"/>
    <s v="Yes"/>
    <s v="Yes"/>
    <n v="15"/>
    <s v="Venmo"/>
    <x v="4"/>
  </r>
  <r>
    <n v="1348"/>
    <x v="42"/>
    <s v="Male"/>
    <x v="1"/>
    <x v="0"/>
    <n v="95"/>
    <s v="Vermont"/>
    <x v="2"/>
    <x v="17"/>
    <x v="2"/>
    <n v="3.9"/>
    <x v="1"/>
    <s v="2-Day Shipping"/>
    <s v="Yes"/>
    <s v="Yes"/>
    <n v="47"/>
    <s v="Bank Transfer"/>
    <x v="5"/>
  </r>
  <r>
    <n v="1349"/>
    <x v="1"/>
    <s v="Male"/>
    <x v="22"/>
    <x v="3"/>
    <n v="54"/>
    <s v="Nebraska"/>
    <x v="3"/>
    <x v="7"/>
    <x v="1"/>
    <n v="3.2"/>
    <x v="1"/>
    <s v="Standard"/>
    <s v="Yes"/>
    <s v="Yes"/>
    <n v="23"/>
    <s v="Credit Card"/>
    <x v="0"/>
  </r>
  <r>
    <n v="1350"/>
    <x v="3"/>
    <s v="Male"/>
    <x v="20"/>
    <x v="0"/>
    <n v="36"/>
    <s v="South Carolina"/>
    <x v="3"/>
    <x v="13"/>
    <x v="1"/>
    <n v="3.2"/>
    <x v="1"/>
    <s v="Next Day Air"/>
    <s v="Yes"/>
    <s v="Yes"/>
    <n v="23"/>
    <s v="Cash"/>
    <x v="4"/>
  </r>
  <r>
    <n v="1351"/>
    <x v="18"/>
    <s v="Male"/>
    <x v="12"/>
    <x v="3"/>
    <n v="71"/>
    <s v="Delaware"/>
    <x v="2"/>
    <x v="20"/>
    <x v="3"/>
    <n v="4.3"/>
    <x v="1"/>
    <s v="Next Day Air"/>
    <s v="Yes"/>
    <s v="Yes"/>
    <n v="1"/>
    <s v="Cash"/>
    <x v="6"/>
  </r>
  <r>
    <n v="1352"/>
    <x v="11"/>
    <s v="Male"/>
    <x v="7"/>
    <x v="2"/>
    <n v="31"/>
    <s v="Vermont"/>
    <x v="0"/>
    <x v="1"/>
    <x v="2"/>
    <n v="2.8"/>
    <x v="1"/>
    <s v="2-Day Shipping"/>
    <s v="Yes"/>
    <s v="Yes"/>
    <n v="28"/>
    <s v="Bank Transfer"/>
    <x v="3"/>
  </r>
  <r>
    <n v="1353"/>
    <x v="13"/>
    <s v="Male"/>
    <x v="19"/>
    <x v="3"/>
    <n v="89"/>
    <s v="Indiana"/>
    <x v="3"/>
    <x v="20"/>
    <x v="1"/>
    <n v="4.5"/>
    <x v="1"/>
    <s v="Next Day Air"/>
    <s v="Yes"/>
    <s v="Yes"/>
    <n v="37"/>
    <s v="Credit Card"/>
    <x v="4"/>
  </r>
  <r>
    <n v="1354"/>
    <x v="31"/>
    <s v="Male"/>
    <x v="13"/>
    <x v="0"/>
    <n v="83"/>
    <s v="Oregon"/>
    <x v="2"/>
    <x v="11"/>
    <x v="0"/>
    <n v="4.0999999999999996"/>
    <x v="1"/>
    <s v="Next Day Air"/>
    <s v="Yes"/>
    <s v="Yes"/>
    <n v="4"/>
    <s v="Cash"/>
    <x v="6"/>
  </r>
  <r>
    <n v="1355"/>
    <x v="14"/>
    <s v="Male"/>
    <x v="21"/>
    <x v="3"/>
    <n v="42"/>
    <s v="Maryland"/>
    <x v="2"/>
    <x v="0"/>
    <x v="1"/>
    <n v="3.6"/>
    <x v="1"/>
    <s v="2-Day Shipping"/>
    <s v="Yes"/>
    <s v="Yes"/>
    <n v="21"/>
    <s v="Bank Transfer"/>
    <x v="3"/>
  </r>
  <r>
    <n v="1356"/>
    <x v="35"/>
    <s v="Male"/>
    <x v="6"/>
    <x v="0"/>
    <n v="91"/>
    <s v="Florida"/>
    <x v="2"/>
    <x v="24"/>
    <x v="2"/>
    <n v="3"/>
    <x v="1"/>
    <s v="2-Day Shipping"/>
    <s v="Yes"/>
    <s v="Yes"/>
    <n v="50"/>
    <s v="PayPal"/>
    <x v="4"/>
  </r>
  <r>
    <n v="1357"/>
    <x v="34"/>
    <s v="Male"/>
    <x v="14"/>
    <x v="2"/>
    <n v="61"/>
    <s v="Indiana"/>
    <x v="2"/>
    <x v="17"/>
    <x v="1"/>
    <n v="4"/>
    <x v="1"/>
    <s v="Free Shipping"/>
    <s v="Yes"/>
    <s v="Yes"/>
    <n v="34"/>
    <s v="Bank Transfer"/>
    <x v="2"/>
  </r>
  <r>
    <n v="1358"/>
    <x v="41"/>
    <s v="Male"/>
    <x v="21"/>
    <x v="3"/>
    <n v="66"/>
    <s v="Texas"/>
    <x v="1"/>
    <x v="16"/>
    <x v="2"/>
    <n v="3.5"/>
    <x v="1"/>
    <s v="Next Day Air"/>
    <s v="Yes"/>
    <s v="Yes"/>
    <n v="20"/>
    <s v="Cash"/>
    <x v="3"/>
  </r>
  <r>
    <n v="1359"/>
    <x v="1"/>
    <s v="Male"/>
    <x v="18"/>
    <x v="3"/>
    <n v="22"/>
    <s v="Nebraska"/>
    <x v="3"/>
    <x v="6"/>
    <x v="1"/>
    <n v="2.5"/>
    <x v="1"/>
    <s v="Store Pickup"/>
    <s v="Yes"/>
    <s v="Yes"/>
    <n v="25"/>
    <s v="Venmo"/>
    <x v="6"/>
  </r>
  <r>
    <n v="1360"/>
    <x v="7"/>
    <s v="Male"/>
    <x v="15"/>
    <x v="0"/>
    <n v="68"/>
    <s v="North Carolina"/>
    <x v="1"/>
    <x v="17"/>
    <x v="0"/>
    <n v="4.3"/>
    <x v="1"/>
    <s v="Store Pickup"/>
    <s v="Yes"/>
    <s v="Yes"/>
    <n v="26"/>
    <s v="Bank Transfer"/>
    <x v="0"/>
  </r>
  <r>
    <n v="1361"/>
    <x v="19"/>
    <s v="Male"/>
    <x v="11"/>
    <x v="0"/>
    <n v="43"/>
    <s v="Alabama"/>
    <x v="0"/>
    <x v="13"/>
    <x v="3"/>
    <n v="2.8"/>
    <x v="1"/>
    <s v="Express"/>
    <s v="Yes"/>
    <s v="Yes"/>
    <n v="4"/>
    <s v="Bank Transfer"/>
    <x v="2"/>
  </r>
  <r>
    <n v="1362"/>
    <x v="34"/>
    <s v="Male"/>
    <x v="10"/>
    <x v="0"/>
    <n v="32"/>
    <s v="Alabama"/>
    <x v="2"/>
    <x v="19"/>
    <x v="3"/>
    <n v="3.7"/>
    <x v="1"/>
    <s v="Next Day Air"/>
    <s v="Yes"/>
    <s v="Yes"/>
    <n v="39"/>
    <s v="Debit Card"/>
    <x v="5"/>
  </r>
  <r>
    <n v="1363"/>
    <x v="38"/>
    <s v="Male"/>
    <x v="7"/>
    <x v="2"/>
    <n v="46"/>
    <s v="Colorado"/>
    <x v="2"/>
    <x v="0"/>
    <x v="3"/>
    <n v="4.3"/>
    <x v="1"/>
    <s v="Express"/>
    <s v="Yes"/>
    <s v="Yes"/>
    <n v="29"/>
    <s v="Cash"/>
    <x v="1"/>
  </r>
  <r>
    <n v="1364"/>
    <x v="24"/>
    <s v="Male"/>
    <x v="0"/>
    <x v="0"/>
    <n v="90"/>
    <s v="Wisconsin"/>
    <x v="0"/>
    <x v="16"/>
    <x v="2"/>
    <n v="4"/>
    <x v="1"/>
    <s v="Express"/>
    <s v="Yes"/>
    <s v="Yes"/>
    <n v="47"/>
    <s v="PayPal"/>
    <x v="3"/>
  </r>
  <r>
    <n v="1365"/>
    <x v="33"/>
    <s v="Male"/>
    <x v="19"/>
    <x v="3"/>
    <n v="75"/>
    <s v="Delaware"/>
    <x v="0"/>
    <x v="22"/>
    <x v="3"/>
    <n v="4.7"/>
    <x v="1"/>
    <s v="Express"/>
    <s v="Yes"/>
    <s v="Yes"/>
    <n v="5"/>
    <s v="Cash"/>
    <x v="6"/>
  </r>
  <r>
    <n v="1366"/>
    <x v="48"/>
    <s v="Male"/>
    <x v="8"/>
    <x v="3"/>
    <n v="69"/>
    <s v="Indiana"/>
    <x v="2"/>
    <x v="23"/>
    <x v="0"/>
    <n v="4.5"/>
    <x v="1"/>
    <s v="Store Pickup"/>
    <s v="Yes"/>
    <s v="Yes"/>
    <n v="18"/>
    <s v="Bank Transfer"/>
    <x v="0"/>
  </r>
  <r>
    <n v="1367"/>
    <x v="4"/>
    <s v="Male"/>
    <x v="22"/>
    <x v="3"/>
    <n v="40"/>
    <s v="Iowa"/>
    <x v="2"/>
    <x v="23"/>
    <x v="3"/>
    <n v="3.1"/>
    <x v="1"/>
    <s v="Free Shipping"/>
    <s v="Yes"/>
    <s v="Yes"/>
    <n v="10"/>
    <s v="Credit Card"/>
    <x v="0"/>
  </r>
  <r>
    <n v="1368"/>
    <x v="52"/>
    <s v="Male"/>
    <x v="22"/>
    <x v="3"/>
    <n v="63"/>
    <s v="Iowa"/>
    <x v="1"/>
    <x v="13"/>
    <x v="3"/>
    <n v="3.8"/>
    <x v="1"/>
    <s v="Express"/>
    <s v="Yes"/>
    <s v="Yes"/>
    <n v="25"/>
    <s v="Cash"/>
    <x v="3"/>
  </r>
  <r>
    <n v="1369"/>
    <x v="3"/>
    <s v="Male"/>
    <x v="5"/>
    <x v="0"/>
    <n v="36"/>
    <s v="Wisconsin"/>
    <x v="0"/>
    <x v="20"/>
    <x v="2"/>
    <n v="4.9000000000000004"/>
    <x v="1"/>
    <s v="Express"/>
    <s v="Yes"/>
    <s v="Yes"/>
    <n v="2"/>
    <s v="Cash"/>
    <x v="1"/>
  </r>
  <r>
    <n v="1370"/>
    <x v="45"/>
    <s v="Male"/>
    <x v="9"/>
    <x v="1"/>
    <n v="75"/>
    <s v="Iowa"/>
    <x v="2"/>
    <x v="14"/>
    <x v="0"/>
    <n v="3.2"/>
    <x v="1"/>
    <s v="Standard"/>
    <s v="Yes"/>
    <s v="Yes"/>
    <n v="48"/>
    <s v="Venmo"/>
    <x v="0"/>
  </r>
  <r>
    <n v="1371"/>
    <x v="7"/>
    <s v="Male"/>
    <x v="18"/>
    <x v="3"/>
    <n v="67"/>
    <s v="Montana"/>
    <x v="0"/>
    <x v="15"/>
    <x v="2"/>
    <n v="2.9"/>
    <x v="1"/>
    <s v="2-Day Shipping"/>
    <s v="Yes"/>
    <s v="Yes"/>
    <n v="41"/>
    <s v="Bank Transfer"/>
    <x v="6"/>
  </r>
  <r>
    <n v="1372"/>
    <x v="37"/>
    <s v="Male"/>
    <x v="13"/>
    <x v="0"/>
    <n v="64"/>
    <s v="Mississippi"/>
    <x v="2"/>
    <x v="4"/>
    <x v="1"/>
    <n v="2.8"/>
    <x v="1"/>
    <s v="Store Pickup"/>
    <s v="Yes"/>
    <s v="Yes"/>
    <n v="42"/>
    <s v="Credit Card"/>
    <x v="5"/>
  </r>
  <r>
    <n v="1373"/>
    <x v="14"/>
    <s v="Male"/>
    <x v="0"/>
    <x v="0"/>
    <n v="61"/>
    <s v="Michigan"/>
    <x v="2"/>
    <x v="0"/>
    <x v="3"/>
    <n v="4"/>
    <x v="1"/>
    <s v="2-Day Shipping"/>
    <s v="Yes"/>
    <s v="Yes"/>
    <n v="44"/>
    <s v="PayPal"/>
    <x v="4"/>
  </r>
  <r>
    <n v="1374"/>
    <x v="20"/>
    <s v="Male"/>
    <x v="24"/>
    <x v="3"/>
    <n v="40"/>
    <s v="Virginia"/>
    <x v="0"/>
    <x v="2"/>
    <x v="0"/>
    <n v="2.6"/>
    <x v="1"/>
    <s v="Store Pickup"/>
    <s v="Yes"/>
    <s v="Yes"/>
    <n v="6"/>
    <s v="Cash"/>
    <x v="3"/>
  </r>
  <r>
    <n v="1375"/>
    <x v="40"/>
    <s v="Male"/>
    <x v="8"/>
    <x v="3"/>
    <n v="97"/>
    <s v="New York"/>
    <x v="2"/>
    <x v="16"/>
    <x v="3"/>
    <n v="2.7"/>
    <x v="1"/>
    <s v="Free Shipping"/>
    <s v="Yes"/>
    <s v="Yes"/>
    <n v="5"/>
    <s v="Bank Transfer"/>
    <x v="3"/>
  </r>
  <r>
    <n v="1376"/>
    <x v="32"/>
    <s v="Male"/>
    <x v="4"/>
    <x v="1"/>
    <n v="31"/>
    <s v="Maine"/>
    <x v="0"/>
    <x v="18"/>
    <x v="1"/>
    <n v="4.0999999999999996"/>
    <x v="1"/>
    <s v="2-Day Shipping"/>
    <s v="Yes"/>
    <s v="Yes"/>
    <n v="8"/>
    <s v="Credit Card"/>
    <x v="2"/>
  </r>
  <r>
    <n v="1377"/>
    <x v="9"/>
    <s v="Male"/>
    <x v="3"/>
    <x v="1"/>
    <n v="65"/>
    <s v="New Jersey"/>
    <x v="0"/>
    <x v="6"/>
    <x v="1"/>
    <n v="5"/>
    <x v="1"/>
    <s v="Free Shipping"/>
    <s v="Yes"/>
    <s v="Yes"/>
    <n v="24"/>
    <s v="PayPal"/>
    <x v="2"/>
  </r>
  <r>
    <n v="1378"/>
    <x v="23"/>
    <s v="Male"/>
    <x v="12"/>
    <x v="3"/>
    <n v="54"/>
    <s v="Maryland"/>
    <x v="0"/>
    <x v="8"/>
    <x v="1"/>
    <n v="3"/>
    <x v="1"/>
    <s v="Next Day Air"/>
    <s v="Yes"/>
    <s v="Yes"/>
    <n v="42"/>
    <s v="Venmo"/>
    <x v="5"/>
  </r>
  <r>
    <n v="1379"/>
    <x v="43"/>
    <s v="Male"/>
    <x v="14"/>
    <x v="2"/>
    <n v="49"/>
    <s v="Kentucky"/>
    <x v="3"/>
    <x v="12"/>
    <x v="3"/>
    <n v="3.6"/>
    <x v="1"/>
    <s v="Free Shipping"/>
    <s v="Yes"/>
    <s v="Yes"/>
    <n v="24"/>
    <s v="Venmo"/>
    <x v="1"/>
  </r>
  <r>
    <n v="1380"/>
    <x v="3"/>
    <s v="Male"/>
    <x v="17"/>
    <x v="0"/>
    <n v="64"/>
    <s v="Minnesota"/>
    <x v="0"/>
    <x v="7"/>
    <x v="3"/>
    <n v="2.8"/>
    <x v="1"/>
    <s v="2-Day Shipping"/>
    <s v="Yes"/>
    <s v="Yes"/>
    <n v="38"/>
    <s v="Venmo"/>
    <x v="4"/>
  </r>
  <r>
    <n v="1381"/>
    <x v="47"/>
    <s v="Male"/>
    <x v="4"/>
    <x v="1"/>
    <n v="35"/>
    <s v="Massachusetts"/>
    <x v="1"/>
    <x v="19"/>
    <x v="0"/>
    <n v="4.5999999999999996"/>
    <x v="1"/>
    <s v="Standard"/>
    <s v="Yes"/>
    <s v="Yes"/>
    <n v="41"/>
    <s v="Cash"/>
    <x v="0"/>
  </r>
  <r>
    <n v="1382"/>
    <x v="11"/>
    <s v="Male"/>
    <x v="9"/>
    <x v="1"/>
    <n v="86"/>
    <s v="Illinois"/>
    <x v="0"/>
    <x v="14"/>
    <x v="0"/>
    <n v="2.9"/>
    <x v="1"/>
    <s v="Standard"/>
    <s v="Yes"/>
    <s v="Yes"/>
    <n v="48"/>
    <s v="Venmo"/>
    <x v="3"/>
  </r>
  <r>
    <n v="1383"/>
    <x v="33"/>
    <s v="Male"/>
    <x v="14"/>
    <x v="2"/>
    <n v="55"/>
    <s v="Michigan"/>
    <x v="0"/>
    <x v="18"/>
    <x v="0"/>
    <n v="4.8"/>
    <x v="1"/>
    <s v="Express"/>
    <s v="Yes"/>
    <s v="Yes"/>
    <n v="16"/>
    <s v="Bank Transfer"/>
    <x v="3"/>
  </r>
  <r>
    <n v="1384"/>
    <x v="24"/>
    <s v="Male"/>
    <x v="18"/>
    <x v="3"/>
    <n v="58"/>
    <s v="Wisconsin"/>
    <x v="2"/>
    <x v="19"/>
    <x v="1"/>
    <n v="3.3"/>
    <x v="1"/>
    <s v="Express"/>
    <s v="Yes"/>
    <s v="Yes"/>
    <n v="4"/>
    <s v="Venmo"/>
    <x v="5"/>
  </r>
  <r>
    <n v="1385"/>
    <x v="5"/>
    <s v="Male"/>
    <x v="4"/>
    <x v="1"/>
    <n v="96"/>
    <s v="Alaska"/>
    <x v="2"/>
    <x v="19"/>
    <x v="3"/>
    <n v="4.5999999999999996"/>
    <x v="1"/>
    <s v="Standard"/>
    <s v="Yes"/>
    <s v="Yes"/>
    <n v="8"/>
    <s v="Bank Transfer"/>
    <x v="1"/>
  </r>
  <r>
    <n v="1386"/>
    <x v="38"/>
    <s v="Male"/>
    <x v="16"/>
    <x v="3"/>
    <n v="64"/>
    <s v="Mississippi"/>
    <x v="2"/>
    <x v="21"/>
    <x v="3"/>
    <n v="2.6"/>
    <x v="1"/>
    <s v="Store Pickup"/>
    <s v="Yes"/>
    <s v="Yes"/>
    <n v="1"/>
    <s v="Bank Transfer"/>
    <x v="4"/>
  </r>
  <r>
    <n v="1387"/>
    <x v="33"/>
    <s v="Male"/>
    <x v="14"/>
    <x v="2"/>
    <n v="56"/>
    <s v="Oregon"/>
    <x v="2"/>
    <x v="5"/>
    <x v="3"/>
    <n v="4"/>
    <x v="1"/>
    <s v="Next Day Air"/>
    <s v="Yes"/>
    <s v="Yes"/>
    <n v="4"/>
    <s v="Debit Card"/>
    <x v="3"/>
  </r>
  <r>
    <n v="1388"/>
    <x v="3"/>
    <s v="Male"/>
    <x v="0"/>
    <x v="0"/>
    <n v="85"/>
    <s v="Maryland"/>
    <x v="2"/>
    <x v="9"/>
    <x v="0"/>
    <n v="3.8"/>
    <x v="1"/>
    <s v="Standard"/>
    <s v="Yes"/>
    <s v="Yes"/>
    <n v="20"/>
    <s v="Credit Card"/>
    <x v="5"/>
  </r>
  <r>
    <n v="1389"/>
    <x v="46"/>
    <s v="Male"/>
    <x v="10"/>
    <x v="0"/>
    <n v="23"/>
    <s v="Arkansas"/>
    <x v="2"/>
    <x v="12"/>
    <x v="1"/>
    <n v="3.9"/>
    <x v="1"/>
    <s v="Express"/>
    <s v="Yes"/>
    <s v="Yes"/>
    <n v="40"/>
    <s v="Cash"/>
    <x v="3"/>
  </r>
  <r>
    <n v="1390"/>
    <x v="35"/>
    <s v="Male"/>
    <x v="18"/>
    <x v="3"/>
    <n v="72"/>
    <s v="Illinois"/>
    <x v="0"/>
    <x v="20"/>
    <x v="3"/>
    <n v="2.6"/>
    <x v="1"/>
    <s v="Store Pickup"/>
    <s v="Yes"/>
    <s v="Yes"/>
    <n v="8"/>
    <s v="Debit Card"/>
    <x v="0"/>
  </r>
  <r>
    <n v="1391"/>
    <x v="15"/>
    <s v="Male"/>
    <x v="19"/>
    <x v="3"/>
    <n v="38"/>
    <s v="Arkansas"/>
    <x v="2"/>
    <x v="1"/>
    <x v="2"/>
    <n v="4.3"/>
    <x v="1"/>
    <s v="Standard"/>
    <s v="Yes"/>
    <s v="Yes"/>
    <n v="42"/>
    <s v="Debit Card"/>
    <x v="1"/>
  </r>
  <r>
    <n v="1392"/>
    <x v="10"/>
    <s v="Male"/>
    <x v="0"/>
    <x v="0"/>
    <n v="29"/>
    <s v="Mississippi"/>
    <x v="1"/>
    <x v="3"/>
    <x v="0"/>
    <n v="3.6"/>
    <x v="1"/>
    <s v="Express"/>
    <s v="Yes"/>
    <s v="Yes"/>
    <n v="38"/>
    <s v="Credit Card"/>
    <x v="2"/>
  </r>
  <r>
    <n v="1393"/>
    <x v="18"/>
    <s v="Male"/>
    <x v="24"/>
    <x v="3"/>
    <n v="46"/>
    <s v="Arkansas"/>
    <x v="2"/>
    <x v="22"/>
    <x v="1"/>
    <n v="4.2"/>
    <x v="1"/>
    <s v="Express"/>
    <s v="Yes"/>
    <s v="Yes"/>
    <n v="34"/>
    <s v="Venmo"/>
    <x v="6"/>
  </r>
  <r>
    <n v="1394"/>
    <x v="5"/>
    <s v="Male"/>
    <x v="24"/>
    <x v="3"/>
    <n v="58"/>
    <s v="Idaho"/>
    <x v="0"/>
    <x v="22"/>
    <x v="1"/>
    <n v="3.9"/>
    <x v="1"/>
    <s v="Express"/>
    <s v="Yes"/>
    <s v="Yes"/>
    <n v="14"/>
    <s v="PayPal"/>
    <x v="0"/>
  </r>
  <r>
    <n v="1395"/>
    <x v="8"/>
    <s v="Male"/>
    <x v="7"/>
    <x v="2"/>
    <n v="43"/>
    <s v="Iowa"/>
    <x v="0"/>
    <x v="23"/>
    <x v="3"/>
    <n v="4.7"/>
    <x v="1"/>
    <s v="Next Day Air"/>
    <s v="Yes"/>
    <s v="Yes"/>
    <n v="39"/>
    <s v="Cash"/>
    <x v="1"/>
  </r>
  <r>
    <n v="1396"/>
    <x v="36"/>
    <s v="Male"/>
    <x v="18"/>
    <x v="3"/>
    <n v="32"/>
    <s v="West Virginia"/>
    <x v="0"/>
    <x v="2"/>
    <x v="1"/>
    <n v="2.8"/>
    <x v="1"/>
    <s v="Next Day Air"/>
    <s v="Yes"/>
    <s v="Yes"/>
    <n v="40"/>
    <s v="PayPal"/>
    <x v="4"/>
  </r>
  <r>
    <n v="1397"/>
    <x v="43"/>
    <s v="Male"/>
    <x v="13"/>
    <x v="0"/>
    <n v="30"/>
    <s v="Wisconsin"/>
    <x v="3"/>
    <x v="12"/>
    <x v="0"/>
    <n v="3"/>
    <x v="1"/>
    <s v="Next Day Air"/>
    <s v="Yes"/>
    <s v="Yes"/>
    <n v="49"/>
    <s v="Debit Card"/>
    <x v="5"/>
  </r>
  <r>
    <n v="1398"/>
    <x v="0"/>
    <s v="Male"/>
    <x v="12"/>
    <x v="3"/>
    <n v="67"/>
    <s v="Massachusetts"/>
    <x v="1"/>
    <x v="23"/>
    <x v="2"/>
    <n v="4.7"/>
    <x v="1"/>
    <s v="Store Pickup"/>
    <s v="Yes"/>
    <s v="Yes"/>
    <n v="33"/>
    <s v="PayPal"/>
    <x v="2"/>
  </r>
  <r>
    <n v="1399"/>
    <x v="11"/>
    <s v="Male"/>
    <x v="10"/>
    <x v="0"/>
    <n v="45"/>
    <s v="Texas"/>
    <x v="2"/>
    <x v="17"/>
    <x v="2"/>
    <n v="2.5"/>
    <x v="1"/>
    <s v="Free Shipping"/>
    <s v="Yes"/>
    <s v="Yes"/>
    <n v="25"/>
    <s v="Credit Card"/>
    <x v="1"/>
  </r>
  <r>
    <n v="1400"/>
    <x v="1"/>
    <s v="Male"/>
    <x v="19"/>
    <x v="3"/>
    <n v="81"/>
    <s v="Nebraska"/>
    <x v="2"/>
    <x v="8"/>
    <x v="0"/>
    <n v="3.1"/>
    <x v="1"/>
    <s v="Store Pickup"/>
    <s v="Yes"/>
    <s v="Yes"/>
    <n v="48"/>
    <s v="Venmo"/>
    <x v="2"/>
  </r>
  <r>
    <n v="1401"/>
    <x v="24"/>
    <s v="Male"/>
    <x v="21"/>
    <x v="3"/>
    <n v="23"/>
    <s v="Nevada"/>
    <x v="2"/>
    <x v="16"/>
    <x v="3"/>
    <n v="3.6"/>
    <x v="1"/>
    <s v="Next Day Air"/>
    <s v="Yes"/>
    <s v="Yes"/>
    <n v="22"/>
    <s v="Credit Card"/>
    <x v="6"/>
  </r>
  <r>
    <n v="1402"/>
    <x v="51"/>
    <s v="Male"/>
    <x v="3"/>
    <x v="1"/>
    <n v="59"/>
    <s v="Indiana"/>
    <x v="2"/>
    <x v="24"/>
    <x v="3"/>
    <n v="3.5"/>
    <x v="1"/>
    <s v="2-Day Shipping"/>
    <s v="Yes"/>
    <s v="Yes"/>
    <n v="1"/>
    <s v="PayPal"/>
    <x v="1"/>
  </r>
  <r>
    <n v="1403"/>
    <x v="46"/>
    <s v="Male"/>
    <x v="12"/>
    <x v="3"/>
    <n v="21"/>
    <s v="North Dakota"/>
    <x v="0"/>
    <x v="3"/>
    <x v="2"/>
    <n v="3.1"/>
    <x v="1"/>
    <s v="Express"/>
    <s v="Yes"/>
    <s v="Yes"/>
    <n v="47"/>
    <s v="PayPal"/>
    <x v="5"/>
  </r>
  <r>
    <n v="1404"/>
    <x v="8"/>
    <s v="Male"/>
    <x v="21"/>
    <x v="3"/>
    <n v="20"/>
    <s v="Georgia"/>
    <x v="2"/>
    <x v="15"/>
    <x v="1"/>
    <n v="3.6"/>
    <x v="1"/>
    <s v="Store Pickup"/>
    <s v="Yes"/>
    <s v="Yes"/>
    <n v="20"/>
    <s v="Credit Card"/>
    <x v="4"/>
  </r>
  <r>
    <n v="1405"/>
    <x v="24"/>
    <s v="Male"/>
    <x v="16"/>
    <x v="3"/>
    <n v="28"/>
    <s v="New Mexico"/>
    <x v="2"/>
    <x v="4"/>
    <x v="0"/>
    <n v="3.5"/>
    <x v="1"/>
    <s v="Next Day Air"/>
    <s v="Yes"/>
    <s v="Yes"/>
    <n v="10"/>
    <s v="Debit Card"/>
    <x v="1"/>
  </r>
  <r>
    <n v="1406"/>
    <x v="23"/>
    <s v="Male"/>
    <x v="20"/>
    <x v="0"/>
    <n v="100"/>
    <s v="New Hampshire"/>
    <x v="2"/>
    <x v="15"/>
    <x v="0"/>
    <n v="2.7"/>
    <x v="1"/>
    <s v="Store Pickup"/>
    <s v="Yes"/>
    <s v="Yes"/>
    <n v="39"/>
    <s v="Credit Card"/>
    <x v="5"/>
  </r>
  <r>
    <n v="1407"/>
    <x v="45"/>
    <s v="Male"/>
    <x v="5"/>
    <x v="0"/>
    <n v="46"/>
    <s v="Washington"/>
    <x v="0"/>
    <x v="2"/>
    <x v="1"/>
    <n v="3.6"/>
    <x v="1"/>
    <s v="Express"/>
    <s v="Yes"/>
    <s v="Yes"/>
    <n v="15"/>
    <s v="Debit Card"/>
    <x v="5"/>
  </r>
  <r>
    <n v="1408"/>
    <x v="19"/>
    <s v="Male"/>
    <x v="8"/>
    <x v="3"/>
    <n v="61"/>
    <s v="Nevada"/>
    <x v="3"/>
    <x v="4"/>
    <x v="1"/>
    <n v="4.5"/>
    <x v="1"/>
    <s v="Express"/>
    <s v="Yes"/>
    <s v="Yes"/>
    <n v="11"/>
    <s v="Credit Card"/>
    <x v="2"/>
  </r>
  <r>
    <n v="1409"/>
    <x v="44"/>
    <s v="Male"/>
    <x v="0"/>
    <x v="0"/>
    <n v="58"/>
    <s v="Maine"/>
    <x v="2"/>
    <x v="22"/>
    <x v="0"/>
    <n v="4.0999999999999996"/>
    <x v="1"/>
    <s v="Free Shipping"/>
    <s v="Yes"/>
    <s v="Yes"/>
    <n v="38"/>
    <s v="Venmo"/>
    <x v="1"/>
  </r>
  <r>
    <n v="1410"/>
    <x v="50"/>
    <s v="Male"/>
    <x v="21"/>
    <x v="3"/>
    <n v="50"/>
    <s v="Idaho"/>
    <x v="2"/>
    <x v="24"/>
    <x v="1"/>
    <n v="4.2"/>
    <x v="1"/>
    <s v="Standard"/>
    <s v="Yes"/>
    <s v="Yes"/>
    <n v="41"/>
    <s v="Cash"/>
    <x v="0"/>
  </r>
  <r>
    <n v="1411"/>
    <x v="12"/>
    <s v="Male"/>
    <x v="19"/>
    <x v="3"/>
    <n v="93"/>
    <s v="Tennessee"/>
    <x v="2"/>
    <x v="7"/>
    <x v="2"/>
    <n v="4"/>
    <x v="1"/>
    <s v="Store Pickup"/>
    <s v="Yes"/>
    <s v="Yes"/>
    <n v="18"/>
    <s v="Debit Card"/>
    <x v="2"/>
  </r>
  <r>
    <n v="1412"/>
    <x v="39"/>
    <s v="Male"/>
    <x v="11"/>
    <x v="0"/>
    <n v="24"/>
    <s v="Louisiana"/>
    <x v="0"/>
    <x v="14"/>
    <x v="2"/>
    <n v="2.8"/>
    <x v="1"/>
    <s v="Store Pickup"/>
    <s v="Yes"/>
    <s v="Yes"/>
    <n v="13"/>
    <s v="Venmo"/>
    <x v="3"/>
  </r>
  <r>
    <n v="1413"/>
    <x v="15"/>
    <s v="Male"/>
    <x v="6"/>
    <x v="0"/>
    <n v="100"/>
    <s v="Michigan"/>
    <x v="2"/>
    <x v="4"/>
    <x v="2"/>
    <n v="2.6"/>
    <x v="1"/>
    <s v="2-Day Shipping"/>
    <s v="Yes"/>
    <s v="Yes"/>
    <n v="43"/>
    <s v="Venmo"/>
    <x v="2"/>
  </r>
  <r>
    <n v="1414"/>
    <x v="47"/>
    <s v="Male"/>
    <x v="0"/>
    <x v="0"/>
    <n v="79"/>
    <s v="New Hampshire"/>
    <x v="1"/>
    <x v="21"/>
    <x v="3"/>
    <n v="2.7"/>
    <x v="1"/>
    <s v="Store Pickup"/>
    <s v="Yes"/>
    <s v="Yes"/>
    <n v="12"/>
    <s v="Bank Transfer"/>
    <x v="3"/>
  </r>
  <r>
    <n v="1415"/>
    <x v="26"/>
    <s v="Male"/>
    <x v="20"/>
    <x v="0"/>
    <n v="51"/>
    <s v="Minnesota"/>
    <x v="2"/>
    <x v="13"/>
    <x v="2"/>
    <n v="4.5"/>
    <x v="1"/>
    <s v="Store Pickup"/>
    <s v="Yes"/>
    <s v="Yes"/>
    <n v="3"/>
    <s v="Credit Card"/>
    <x v="4"/>
  </r>
  <r>
    <n v="1416"/>
    <x v="22"/>
    <s v="Male"/>
    <x v="22"/>
    <x v="3"/>
    <n v="90"/>
    <s v="Illinois"/>
    <x v="2"/>
    <x v="24"/>
    <x v="0"/>
    <n v="3.7"/>
    <x v="1"/>
    <s v="Free Shipping"/>
    <s v="Yes"/>
    <s v="Yes"/>
    <n v="12"/>
    <s v="Credit Card"/>
    <x v="6"/>
  </r>
  <r>
    <n v="1417"/>
    <x v="39"/>
    <s v="Male"/>
    <x v="23"/>
    <x v="1"/>
    <n v="56"/>
    <s v="Idaho"/>
    <x v="0"/>
    <x v="5"/>
    <x v="2"/>
    <n v="3.4"/>
    <x v="1"/>
    <s v="Free Shipping"/>
    <s v="Yes"/>
    <s v="Yes"/>
    <n v="46"/>
    <s v="Cash"/>
    <x v="3"/>
  </r>
  <r>
    <n v="1418"/>
    <x v="46"/>
    <s v="Male"/>
    <x v="6"/>
    <x v="0"/>
    <n v="25"/>
    <s v="Montana"/>
    <x v="1"/>
    <x v="18"/>
    <x v="1"/>
    <n v="4.5999999999999996"/>
    <x v="1"/>
    <s v="Standard"/>
    <s v="Yes"/>
    <s v="Yes"/>
    <n v="21"/>
    <s v="Debit Card"/>
    <x v="0"/>
  </r>
  <r>
    <n v="1419"/>
    <x v="20"/>
    <s v="Male"/>
    <x v="5"/>
    <x v="0"/>
    <n v="75"/>
    <s v="Alabama"/>
    <x v="2"/>
    <x v="10"/>
    <x v="2"/>
    <n v="4.0999999999999996"/>
    <x v="1"/>
    <s v="2-Day Shipping"/>
    <s v="Yes"/>
    <s v="Yes"/>
    <n v="23"/>
    <s v="Venmo"/>
    <x v="6"/>
  </r>
  <r>
    <n v="1420"/>
    <x v="49"/>
    <s v="Male"/>
    <x v="8"/>
    <x v="3"/>
    <n v="75"/>
    <s v="Montana"/>
    <x v="2"/>
    <x v="20"/>
    <x v="2"/>
    <n v="2.6"/>
    <x v="1"/>
    <s v="Free Shipping"/>
    <s v="Yes"/>
    <s v="Yes"/>
    <n v="4"/>
    <s v="Debit Card"/>
    <x v="3"/>
  </r>
  <r>
    <n v="1421"/>
    <x v="40"/>
    <s v="Male"/>
    <x v="2"/>
    <x v="0"/>
    <n v="53"/>
    <s v="California"/>
    <x v="3"/>
    <x v="0"/>
    <x v="2"/>
    <n v="4.5999999999999996"/>
    <x v="1"/>
    <s v="Store Pickup"/>
    <s v="Yes"/>
    <s v="Yes"/>
    <n v="45"/>
    <s v="PayPal"/>
    <x v="6"/>
  </r>
  <r>
    <n v="1422"/>
    <x v="33"/>
    <s v="Male"/>
    <x v="10"/>
    <x v="0"/>
    <n v="100"/>
    <s v="Pennsylvania"/>
    <x v="1"/>
    <x v="9"/>
    <x v="1"/>
    <n v="3"/>
    <x v="1"/>
    <s v="Standard"/>
    <s v="Yes"/>
    <s v="Yes"/>
    <n v="24"/>
    <s v="Bank Transfer"/>
    <x v="0"/>
  </r>
  <r>
    <n v="1423"/>
    <x v="42"/>
    <s v="Male"/>
    <x v="10"/>
    <x v="0"/>
    <n v="27"/>
    <s v="Texas"/>
    <x v="0"/>
    <x v="4"/>
    <x v="3"/>
    <n v="3.4"/>
    <x v="1"/>
    <s v="Free Shipping"/>
    <s v="Yes"/>
    <s v="Yes"/>
    <n v="3"/>
    <s v="PayPal"/>
    <x v="4"/>
  </r>
  <r>
    <n v="1424"/>
    <x v="47"/>
    <s v="Male"/>
    <x v="3"/>
    <x v="1"/>
    <n v="60"/>
    <s v="Michigan"/>
    <x v="1"/>
    <x v="13"/>
    <x v="3"/>
    <n v="3.5"/>
    <x v="1"/>
    <s v="Free Shipping"/>
    <s v="Yes"/>
    <s v="Yes"/>
    <n v="12"/>
    <s v="Venmo"/>
    <x v="6"/>
  </r>
  <r>
    <n v="1425"/>
    <x v="17"/>
    <s v="Male"/>
    <x v="14"/>
    <x v="2"/>
    <n v="23"/>
    <s v="Connecticut"/>
    <x v="1"/>
    <x v="21"/>
    <x v="3"/>
    <n v="3.5"/>
    <x v="1"/>
    <s v="Standard"/>
    <s v="Yes"/>
    <s v="Yes"/>
    <n v="34"/>
    <s v="Bank Transfer"/>
    <x v="6"/>
  </r>
  <r>
    <n v="1426"/>
    <x v="35"/>
    <s v="Male"/>
    <x v="7"/>
    <x v="2"/>
    <n v="40"/>
    <s v="Wyoming"/>
    <x v="1"/>
    <x v="3"/>
    <x v="0"/>
    <n v="3.7"/>
    <x v="1"/>
    <s v="Next Day Air"/>
    <s v="Yes"/>
    <s v="Yes"/>
    <n v="39"/>
    <s v="Credit Card"/>
    <x v="2"/>
  </r>
  <r>
    <n v="1427"/>
    <x v="52"/>
    <s v="Male"/>
    <x v="13"/>
    <x v="0"/>
    <n v="38"/>
    <s v="Michigan"/>
    <x v="2"/>
    <x v="22"/>
    <x v="2"/>
    <n v="4.8"/>
    <x v="1"/>
    <s v="Free Shipping"/>
    <s v="Yes"/>
    <s v="Yes"/>
    <n v="35"/>
    <s v="PayPal"/>
    <x v="6"/>
  </r>
  <r>
    <n v="1428"/>
    <x v="18"/>
    <s v="Male"/>
    <x v="21"/>
    <x v="3"/>
    <n v="90"/>
    <s v="South Dakota"/>
    <x v="1"/>
    <x v="20"/>
    <x v="2"/>
    <n v="4.9000000000000004"/>
    <x v="1"/>
    <s v="Store Pickup"/>
    <s v="Yes"/>
    <s v="Yes"/>
    <n v="8"/>
    <s v="Credit Card"/>
    <x v="2"/>
  </r>
  <r>
    <n v="1429"/>
    <x v="30"/>
    <s v="Male"/>
    <x v="0"/>
    <x v="0"/>
    <n v="97"/>
    <s v="North Dakota"/>
    <x v="1"/>
    <x v="14"/>
    <x v="2"/>
    <n v="4.9000000000000004"/>
    <x v="1"/>
    <s v="Express"/>
    <s v="Yes"/>
    <s v="Yes"/>
    <n v="42"/>
    <s v="PayPal"/>
    <x v="3"/>
  </r>
  <r>
    <n v="1430"/>
    <x v="41"/>
    <s v="Male"/>
    <x v="11"/>
    <x v="0"/>
    <n v="38"/>
    <s v="Maryland"/>
    <x v="0"/>
    <x v="9"/>
    <x v="3"/>
    <n v="4.7"/>
    <x v="1"/>
    <s v="Standard"/>
    <s v="Yes"/>
    <s v="Yes"/>
    <n v="6"/>
    <s v="Credit Card"/>
    <x v="6"/>
  </r>
  <r>
    <n v="1431"/>
    <x v="39"/>
    <s v="Male"/>
    <x v="3"/>
    <x v="1"/>
    <n v="30"/>
    <s v="Michigan"/>
    <x v="1"/>
    <x v="20"/>
    <x v="2"/>
    <n v="4.9000000000000004"/>
    <x v="1"/>
    <s v="Free Shipping"/>
    <s v="Yes"/>
    <s v="Yes"/>
    <n v="3"/>
    <s v="Credit Card"/>
    <x v="0"/>
  </r>
  <r>
    <n v="1432"/>
    <x v="31"/>
    <s v="Male"/>
    <x v="13"/>
    <x v="0"/>
    <n v="88"/>
    <s v="South Dakota"/>
    <x v="2"/>
    <x v="17"/>
    <x v="3"/>
    <n v="2.9"/>
    <x v="1"/>
    <s v="Express"/>
    <s v="Yes"/>
    <s v="Yes"/>
    <n v="29"/>
    <s v="Venmo"/>
    <x v="3"/>
  </r>
  <r>
    <n v="1433"/>
    <x v="50"/>
    <s v="Male"/>
    <x v="19"/>
    <x v="3"/>
    <n v="33"/>
    <s v="Florida"/>
    <x v="0"/>
    <x v="13"/>
    <x v="0"/>
    <n v="4.4000000000000004"/>
    <x v="1"/>
    <s v="Express"/>
    <s v="Yes"/>
    <s v="Yes"/>
    <n v="32"/>
    <s v="Debit Card"/>
    <x v="3"/>
  </r>
  <r>
    <n v="1434"/>
    <x v="27"/>
    <s v="Male"/>
    <x v="15"/>
    <x v="0"/>
    <n v="60"/>
    <s v="Minnesota"/>
    <x v="0"/>
    <x v="22"/>
    <x v="0"/>
    <n v="3.2"/>
    <x v="1"/>
    <s v="Next Day Air"/>
    <s v="Yes"/>
    <s v="Yes"/>
    <n v="45"/>
    <s v="Debit Card"/>
    <x v="1"/>
  </r>
  <r>
    <n v="1435"/>
    <x v="35"/>
    <s v="Male"/>
    <x v="1"/>
    <x v="0"/>
    <n v="64"/>
    <s v="New York"/>
    <x v="0"/>
    <x v="1"/>
    <x v="2"/>
    <n v="4.5999999999999996"/>
    <x v="1"/>
    <s v="Free Shipping"/>
    <s v="Yes"/>
    <s v="Yes"/>
    <n v="21"/>
    <s v="Debit Card"/>
    <x v="4"/>
  </r>
  <r>
    <n v="1436"/>
    <x v="4"/>
    <s v="Male"/>
    <x v="18"/>
    <x v="3"/>
    <n v="95"/>
    <s v="Oregon"/>
    <x v="3"/>
    <x v="13"/>
    <x v="3"/>
    <n v="4"/>
    <x v="1"/>
    <s v="Standard"/>
    <s v="Yes"/>
    <s v="Yes"/>
    <n v="41"/>
    <s v="Cash"/>
    <x v="1"/>
  </r>
  <r>
    <n v="1437"/>
    <x v="25"/>
    <s v="Male"/>
    <x v="4"/>
    <x v="1"/>
    <n v="83"/>
    <s v="Minnesota"/>
    <x v="2"/>
    <x v="0"/>
    <x v="0"/>
    <n v="3.7"/>
    <x v="1"/>
    <s v="Free Shipping"/>
    <s v="Yes"/>
    <s v="Yes"/>
    <n v="23"/>
    <s v="PayPal"/>
    <x v="0"/>
  </r>
  <r>
    <n v="1438"/>
    <x v="28"/>
    <s v="Male"/>
    <x v="23"/>
    <x v="1"/>
    <n v="97"/>
    <s v="Montana"/>
    <x v="3"/>
    <x v="20"/>
    <x v="0"/>
    <n v="4.2"/>
    <x v="1"/>
    <s v="Free Shipping"/>
    <s v="Yes"/>
    <s v="Yes"/>
    <n v="14"/>
    <s v="Cash"/>
    <x v="2"/>
  </r>
  <r>
    <n v="1439"/>
    <x v="44"/>
    <s v="Male"/>
    <x v="7"/>
    <x v="2"/>
    <n v="38"/>
    <s v="Washington"/>
    <x v="2"/>
    <x v="17"/>
    <x v="1"/>
    <n v="2.9"/>
    <x v="1"/>
    <s v="Standard"/>
    <s v="Yes"/>
    <s v="Yes"/>
    <n v="24"/>
    <s v="Debit Card"/>
    <x v="5"/>
  </r>
  <r>
    <n v="1440"/>
    <x v="15"/>
    <s v="Male"/>
    <x v="23"/>
    <x v="1"/>
    <n v="48"/>
    <s v="New Mexico"/>
    <x v="2"/>
    <x v="23"/>
    <x v="2"/>
    <n v="4.8"/>
    <x v="1"/>
    <s v="Next Day Air"/>
    <s v="Yes"/>
    <s v="Yes"/>
    <n v="25"/>
    <s v="Cash"/>
    <x v="0"/>
  </r>
  <r>
    <n v="1441"/>
    <x v="7"/>
    <s v="Male"/>
    <x v="3"/>
    <x v="1"/>
    <n v="76"/>
    <s v="Arizona"/>
    <x v="2"/>
    <x v="6"/>
    <x v="1"/>
    <n v="4.4000000000000004"/>
    <x v="1"/>
    <s v="Standard"/>
    <s v="Yes"/>
    <s v="Yes"/>
    <n v="13"/>
    <s v="Venmo"/>
    <x v="5"/>
  </r>
  <r>
    <n v="1442"/>
    <x v="50"/>
    <s v="Male"/>
    <x v="13"/>
    <x v="0"/>
    <n v="25"/>
    <s v="Nebraska"/>
    <x v="1"/>
    <x v="2"/>
    <x v="2"/>
    <n v="3.4"/>
    <x v="1"/>
    <s v="Free Shipping"/>
    <s v="Yes"/>
    <s v="Yes"/>
    <n v="3"/>
    <s v="Venmo"/>
    <x v="6"/>
  </r>
  <r>
    <n v="1443"/>
    <x v="10"/>
    <s v="Male"/>
    <x v="15"/>
    <x v="0"/>
    <n v="92"/>
    <s v="Idaho"/>
    <x v="1"/>
    <x v="10"/>
    <x v="1"/>
    <n v="2.8"/>
    <x v="1"/>
    <s v="2-Day Shipping"/>
    <s v="Yes"/>
    <s v="Yes"/>
    <n v="42"/>
    <s v="Credit Card"/>
    <x v="2"/>
  </r>
  <r>
    <n v="1444"/>
    <x v="44"/>
    <s v="Male"/>
    <x v="3"/>
    <x v="1"/>
    <n v="47"/>
    <s v="Idaho"/>
    <x v="0"/>
    <x v="11"/>
    <x v="3"/>
    <n v="4.2"/>
    <x v="1"/>
    <s v="Next Day Air"/>
    <s v="Yes"/>
    <s v="Yes"/>
    <n v="2"/>
    <s v="Cash"/>
    <x v="5"/>
  </r>
  <r>
    <n v="1445"/>
    <x v="45"/>
    <s v="Male"/>
    <x v="1"/>
    <x v="0"/>
    <n v="36"/>
    <s v="Vermont"/>
    <x v="0"/>
    <x v="6"/>
    <x v="3"/>
    <n v="3.8"/>
    <x v="1"/>
    <s v="Express"/>
    <s v="Yes"/>
    <s v="Yes"/>
    <n v="26"/>
    <s v="Cash"/>
    <x v="3"/>
  </r>
  <r>
    <n v="1446"/>
    <x v="14"/>
    <s v="Male"/>
    <x v="22"/>
    <x v="3"/>
    <n v="51"/>
    <s v="Arkansas"/>
    <x v="2"/>
    <x v="9"/>
    <x v="3"/>
    <n v="3.1"/>
    <x v="1"/>
    <s v="2-Day Shipping"/>
    <s v="Yes"/>
    <s v="Yes"/>
    <n v="24"/>
    <s v="Credit Card"/>
    <x v="2"/>
  </r>
  <r>
    <n v="1447"/>
    <x v="6"/>
    <s v="Male"/>
    <x v="2"/>
    <x v="0"/>
    <n v="35"/>
    <s v="Wyoming"/>
    <x v="3"/>
    <x v="16"/>
    <x v="2"/>
    <n v="3.2"/>
    <x v="1"/>
    <s v="Express"/>
    <s v="Yes"/>
    <s v="Yes"/>
    <n v="6"/>
    <s v="Credit Card"/>
    <x v="3"/>
  </r>
  <r>
    <n v="1448"/>
    <x v="51"/>
    <s v="Male"/>
    <x v="15"/>
    <x v="0"/>
    <n v="57"/>
    <s v="New Mexico"/>
    <x v="1"/>
    <x v="19"/>
    <x v="2"/>
    <n v="3"/>
    <x v="1"/>
    <s v="Next Day Air"/>
    <s v="Yes"/>
    <s v="Yes"/>
    <n v="25"/>
    <s v="PayPal"/>
    <x v="5"/>
  </r>
  <r>
    <n v="1449"/>
    <x v="14"/>
    <s v="Male"/>
    <x v="23"/>
    <x v="1"/>
    <n v="95"/>
    <s v="West Virginia"/>
    <x v="2"/>
    <x v="13"/>
    <x v="2"/>
    <n v="3.6"/>
    <x v="1"/>
    <s v="Free Shipping"/>
    <s v="Yes"/>
    <s v="Yes"/>
    <n v="11"/>
    <s v="Credit Card"/>
    <x v="6"/>
  </r>
  <r>
    <n v="1450"/>
    <x v="20"/>
    <s v="Male"/>
    <x v="20"/>
    <x v="0"/>
    <n v="41"/>
    <s v="New York"/>
    <x v="0"/>
    <x v="12"/>
    <x v="0"/>
    <n v="2.5"/>
    <x v="1"/>
    <s v="Store Pickup"/>
    <s v="Yes"/>
    <s v="Yes"/>
    <n v="20"/>
    <s v="Cash"/>
    <x v="6"/>
  </r>
  <r>
    <n v="1451"/>
    <x v="15"/>
    <s v="Male"/>
    <x v="10"/>
    <x v="0"/>
    <n v="44"/>
    <s v="Illinois"/>
    <x v="1"/>
    <x v="11"/>
    <x v="0"/>
    <n v="3.4"/>
    <x v="1"/>
    <s v="Free Shipping"/>
    <s v="Yes"/>
    <s v="Yes"/>
    <n v="25"/>
    <s v="Cash"/>
    <x v="3"/>
  </r>
  <r>
    <n v="1452"/>
    <x v="22"/>
    <s v="Male"/>
    <x v="14"/>
    <x v="2"/>
    <n v="34"/>
    <s v="Utah"/>
    <x v="2"/>
    <x v="1"/>
    <x v="3"/>
    <n v="2.5"/>
    <x v="1"/>
    <s v="Next Day Air"/>
    <s v="Yes"/>
    <s v="Yes"/>
    <n v="35"/>
    <s v="PayPal"/>
    <x v="3"/>
  </r>
  <r>
    <n v="1453"/>
    <x v="52"/>
    <s v="Male"/>
    <x v="14"/>
    <x v="2"/>
    <n v="25"/>
    <s v="Colorado"/>
    <x v="0"/>
    <x v="24"/>
    <x v="1"/>
    <n v="4.7"/>
    <x v="1"/>
    <s v="2-Day Shipping"/>
    <s v="Yes"/>
    <s v="Yes"/>
    <n v="11"/>
    <s v="Bank Transfer"/>
    <x v="3"/>
  </r>
  <r>
    <n v="1454"/>
    <x v="24"/>
    <s v="Male"/>
    <x v="23"/>
    <x v="1"/>
    <n v="93"/>
    <s v="Virginia"/>
    <x v="1"/>
    <x v="11"/>
    <x v="0"/>
    <n v="3.2"/>
    <x v="1"/>
    <s v="2-Day Shipping"/>
    <s v="Yes"/>
    <s v="Yes"/>
    <n v="41"/>
    <s v="Bank Transfer"/>
    <x v="0"/>
  </r>
  <r>
    <n v="1455"/>
    <x v="17"/>
    <s v="Male"/>
    <x v="4"/>
    <x v="1"/>
    <n v="50"/>
    <s v="Georgia"/>
    <x v="0"/>
    <x v="1"/>
    <x v="0"/>
    <n v="2.9"/>
    <x v="1"/>
    <s v="Free Shipping"/>
    <s v="Yes"/>
    <s v="Yes"/>
    <n v="17"/>
    <s v="Credit Card"/>
    <x v="2"/>
  </r>
  <r>
    <n v="1456"/>
    <x v="52"/>
    <s v="Male"/>
    <x v="13"/>
    <x v="0"/>
    <n v="79"/>
    <s v="Alabama"/>
    <x v="0"/>
    <x v="5"/>
    <x v="3"/>
    <n v="4.9000000000000004"/>
    <x v="1"/>
    <s v="Express"/>
    <s v="Yes"/>
    <s v="Yes"/>
    <n v="1"/>
    <s v="PayPal"/>
    <x v="6"/>
  </r>
  <r>
    <n v="1457"/>
    <x v="35"/>
    <s v="Male"/>
    <x v="7"/>
    <x v="2"/>
    <n v="100"/>
    <s v="Montana"/>
    <x v="1"/>
    <x v="8"/>
    <x v="1"/>
    <n v="2.7"/>
    <x v="1"/>
    <s v="Store Pickup"/>
    <s v="Yes"/>
    <s v="Yes"/>
    <n v="30"/>
    <s v="PayPal"/>
    <x v="6"/>
  </r>
  <r>
    <n v="1458"/>
    <x v="44"/>
    <s v="Male"/>
    <x v="5"/>
    <x v="0"/>
    <n v="57"/>
    <s v="Pennsylvania"/>
    <x v="1"/>
    <x v="0"/>
    <x v="1"/>
    <n v="4.7"/>
    <x v="1"/>
    <s v="Express"/>
    <s v="Yes"/>
    <s v="Yes"/>
    <n v="47"/>
    <s v="Venmo"/>
    <x v="0"/>
  </r>
  <r>
    <n v="1459"/>
    <x v="25"/>
    <s v="Male"/>
    <x v="1"/>
    <x v="0"/>
    <n v="28"/>
    <s v="Missouri"/>
    <x v="2"/>
    <x v="15"/>
    <x v="1"/>
    <n v="2.9"/>
    <x v="1"/>
    <s v="2-Day Shipping"/>
    <s v="Yes"/>
    <s v="Yes"/>
    <n v="34"/>
    <s v="Venmo"/>
    <x v="1"/>
  </r>
  <r>
    <n v="1460"/>
    <x v="30"/>
    <s v="Male"/>
    <x v="9"/>
    <x v="1"/>
    <n v="35"/>
    <s v="Maine"/>
    <x v="0"/>
    <x v="22"/>
    <x v="0"/>
    <n v="4.8"/>
    <x v="1"/>
    <s v="Express"/>
    <s v="Yes"/>
    <s v="Yes"/>
    <n v="18"/>
    <s v="Venmo"/>
    <x v="0"/>
  </r>
  <r>
    <n v="1461"/>
    <x v="27"/>
    <s v="Male"/>
    <x v="23"/>
    <x v="1"/>
    <n v="85"/>
    <s v="Pennsylvania"/>
    <x v="0"/>
    <x v="10"/>
    <x v="3"/>
    <n v="4.5999999999999996"/>
    <x v="1"/>
    <s v="Standard"/>
    <s v="Yes"/>
    <s v="Yes"/>
    <n v="33"/>
    <s v="Venmo"/>
    <x v="4"/>
  </r>
  <r>
    <n v="1462"/>
    <x v="22"/>
    <s v="Male"/>
    <x v="12"/>
    <x v="3"/>
    <n v="95"/>
    <s v="Oregon"/>
    <x v="1"/>
    <x v="16"/>
    <x v="2"/>
    <n v="5"/>
    <x v="1"/>
    <s v="2-Day Shipping"/>
    <s v="Yes"/>
    <s v="Yes"/>
    <n v="42"/>
    <s v="Venmo"/>
    <x v="3"/>
  </r>
  <r>
    <n v="1463"/>
    <x v="21"/>
    <s v="Male"/>
    <x v="4"/>
    <x v="1"/>
    <n v="90"/>
    <s v="Utah"/>
    <x v="1"/>
    <x v="4"/>
    <x v="2"/>
    <n v="4.8"/>
    <x v="1"/>
    <s v="2-Day Shipping"/>
    <s v="Yes"/>
    <s v="Yes"/>
    <n v="2"/>
    <s v="Venmo"/>
    <x v="3"/>
  </r>
  <r>
    <n v="1464"/>
    <x v="22"/>
    <s v="Male"/>
    <x v="16"/>
    <x v="3"/>
    <n v="49"/>
    <s v="Oklahoma"/>
    <x v="2"/>
    <x v="19"/>
    <x v="2"/>
    <n v="4.9000000000000004"/>
    <x v="1"/>
    <s v="Store Pickup"/>
    <s v="Yes"/>
    <s v="Yes"/>
    <n v="1"/>
    <s v="Bank Transfer"/>
    <x v="5"/>
  </r>
  <r>
    <n v="1465"/>
    <x v="23"/>
    <s v="Male"/>
    <x v="22"/>
    <x v="3"/>
    <n v="92"/>
    <s v="Montana"/>
    <x v="2"/>
    <x v="15"/>
    <x v="0"/>
    <n v="4.5999999999999996"/>
    <x v="1"/>
    <s v="2-Day Shipping"/>
    <s v="Yes"/>
    <s v="Yes"/>
    <n v="23"/>
    <s v="Bank Transfer"/>
    <x v="3"/>
  </r>
  <r>
    <n v="1466"/>
    <x v="5"/>
    <s v="Male"/>
    <x v="24"/>
    <x v="3"/>
    <n v="72"/>
    <s v="Nebraska"/>
    <x v="3"/>
    <x v="10"/>
    <x v="0"/>
    <n v="3.9"/>
    <x v="1"/>
    <s v="Store Pickup"/>
    <s v="Yes"/>
    <s v="Yes"/>
    <n v="42"/>
    <s v="Cash"/>
    <x v="4"/>
  </r>
  <r>
    <n v="1467"/>
    <x v="44"/>
    <s v="Male"/>
    <x v="6"/>
    <x v="0"/>
    <n v="71"/>
    <s v="Alabama"/>
    <x v="2"/>
    <x v="14"/>
    <x v="2"/>
    <n v="4.5"/>
    <x v="1"/>
    <s v="Store Pickup"/>
    <s v="Yes"/>
    <s v="Yes"/>
    <n v="3"/>
    <s v="PayPal"/>
    <x v="2"/>
  </r>
  <r>
    <n v="1468"/>
    <x v="11"/>
    <s v="Male"/>
    <x v="16"/>
    <x v="3"/>
    <n v="27"/>
    <s v="Ohio"/>
    <x v="3"/>
    <x v="8"/>
    <x v="0"/>
    <n v="4.7"/>
    <x v="1"/>
    <s v="Store Pickup"/>
    <s v="Yes"/>
    <s v="Yes"/>
    <n v="16"/>
    <s v="Debit Card"/>
    <x v="0"/>
  </r>
  <r>
    <n v="1469"/>
    <x v="32"/>
    <s v="Male"/>
    <x v="24"/>
    <x v="3"/>
    <n v="39"/>
    <s v="Arkansas"/>
    <x v="1"/>
    <x v="5"/>
    <x v="3"/>
    <n v="3.9"/>
    <x v="1"/>
    <s v="Express"/>
    <s v="Yes"/>
    <s v="Yes"/>
    <n v="46"/>
    <s v="Cash"/>
    <x v="0"/>
  </r>
  <r>
    <n v="1470"/>
    <x v="48"/>
    <s v="Male"/>
    <x v="16"/>
    <x v="3"/>
    <n v="98"/>
    <s v="Mississippi"/>
    <x v="2"/>
    <x v="7"/>
    <x v="0"/>
    <n v="4.4000000000000004"/>
    <x v="1"/>
    <s v="Standard"/>
    <s v="Yes"/>
    <s v="Yes"/>
    <n v="31"/>
    <s v="PayPal"/>
    <x v="6"/>
  </r>
  <r>
    <n v="1471"/>
    <x v="49"/>
    <s v="Male"/>
    <x v="3"/>
    <x v="1"/>
    <n v="27"/>
    <s v="California"/>
    <x v="2"/>
    <x v="5"/>
    <x v="1"/>
    <n v="3.9"/>
    <x v="1"/>
    <s v="Next Day Air"/>
    <s v="Yes"/>
    <s v="Yes"/>
    <n v="15"/>
    <s v="Cash"/>
    <x v="6"/>
  </r>
  <r>
    <n v="1472"/>
    <x v="18"/>
    <s v="Male"/>
    <x v="16"/>
    <x v="3"/>
    <n v="71"/>
    <s v="Alaska"/>
    <x v="1"/>
    <x v="0"/>
    <x v="1"/>
    <n v="2.8"/>
    <x v="1"/>
    <s v="2-Day Shipping"/>
    <s v="Yes"/>
    <s v="Yes"/>
    <n v="48"/>
    <s v="Venmo"/>
    <x v="6"/>
  </r>
  <r>
    <n v="1473"/>
    <x v="31"/>
    <s v="Male"/>
    <x v="19"/>
    <x v="3"/>
    <n v="24"/>
    <s v="Indiana"/>
    <x v="0"/>
    <x v="2"/>
    <x v="1"/>
    <n v="3.5"/>
    <x v="1"/>
    <s v="Store Pickup"/>
    <s v="Yes"/>
    <s v="Yes"/>
    <n v="11"/>
    <s v="Cash"/>
    <x v="1"/>
  </r>
  <r>
    <n v="1474"/>
    <x v="28"/>
    <s v="Male"/>
    <x v="6"/>
    <x v="0"/>
    <n v="63"/>
    <s v="Wisconsin"/>
    <x v="2"/>
    <x v="10"/>
    <x v="3"/>
    <n v="4.3"/>
    <x v="1"/>
    <s v="Express"/>
    <s v="Yes"/>
    <s v="Yes"/>
    <n v="20"/>
    <s v="Credit Card"/>
    <x v="6"/>
  </r>
  <r>
    <n v="1475"/>
    <x v="18"/>
    <s v="Male"/>
    <x v="1"/>
    <x v="0"/>
    <n v="72"/>
    <s v="New Jersey"/>
    <x v="1"/>
    <x v="6"/>
    <x v="3"/>
    <n v="3.9"/>
    <x v="1"/>
    <s v="Next Day Air"/>
    <s v="Yes"/>
    <s v="Yes"/>
    <n v="6"/>
    <s v="Credit Card"/>
    <x v="5"/>
  </r>
  <r>
    <n v="1476"/>
    <x v="42"/>
    <s v="Male"/>
    <x v="0"/>
    <x v="0"/>
    <n v="61"/>
    <s v="Rhode Island"/>
    <x v="2"/>
    <x v="11"/>
    <x v="1"/>
    <n v="4"/>
    <x v="1"/>
    <s v="Express"/>
    <s v="Yes"/>
    <s v="Yes"/>
    <n v="24"/>
    <s v="Cash"/>
    <x v="5"/>
  </r>
  <r>
    <n v="1477"/>
    <x v="31"/>
    <s v="Male"/>
    <x v="19"/>
    <x v="3"/>
    <n v="56"/>
    <s v="Wyoming"/>
    <x v="2"/>
    <x v="23"/>
    <x v="3"/>
    <n v="4.0999999999999996"/>
    <x v="1"/>
    <s v="Next Day Air"/>
    <s v="Yes"/>
    <s v="Yes"/>
    <n v="18"/>
    <s v="Credit Card"/>
    <x v="5"/>
  </r>
  <r>
    <n v="1478"/>
    <x v="41"/>
    <s v="Male"/>
    <x v="22"/>
    <x v="3"/>
    <n v="32"/>
    <s v="Oregon"/>
    <x v="3"/>
    <x v="5"/>
    <x v="2"/>
    <n v="4.3"/>
    <x v="1"/>
    <s v="Standard"/>
    <s v="Yes"/>
    <s v="Yes"/>
    <n v="1"/>
    <s v="PayPal"/>
    <x v="6"/>
  </r>
  <r>
    <n v="1479"/>
    <x v="48"/>
    <s v="Male"/>
    <x v="24"/>
    <x v="3"/>
    <n v="23"/>
    <s v="Washington"/>
    <x v="2"/>
    <x v="24"/>
    <x v="2"/>
    <n v="4.2"/>
    <x v="1"/>
    <s v="Free Shipping"/>
    <s v="Yes"/>
    <s v="Yes"/>
    <n v="13"/>
    <s v="Venmo"/>
    <x v="4"/>
  </r>
  <r>
    <n v="1480"/>
    <x v="39"/>
    <s v="Male"/>
    <x v="7"/>
    <x v="2"/>
    <n v="100"/>
    <s v="Washington"/>
    <x v="0"/>
    <x v="13"/>
    <x v="1"/>
    <n v="4"/>
    <x v="1"/>
    <s v="Standard"/>
    <s v="Yes"/>
    <s v="Yes"/>
    <n v="2"/>
    <s v="Bank Transfer"/>
    <x v="1"/>
  </r>
  <r>
    <n v="1481"/>
    <x v="31"/>
    <s v="Male"/>
    <x v="16"/>
    <x v="3"/>
    <n v="74"/>
    <s v="New Hampshire"/>
    <x v="2"/>
    <x v="9"/>
    <x v="3"/>
    <n v="3.6"/>
    <x v="1"/>
    <s v="Express"/>
    <s v="Yes"/>
    <s v="Yes"/>
    <n v="26"/>
    <s v="Cash"/>
    <x v="3"/>
  </r>
  <r>
    <n v="1482"/>
    <x v="14"/>
    <s v="Male"/>
    <x v="11"/>
    <x v="0"/>
    <n v="33"/>
    <s v="Maryland"/>
    <x v="1"/>
    <x v="0"/>
    <x v="1"/>
    <n v="3.3"/>
    <x v="1"/>
    <s v="Standard"/>
    <s v="Yes"/>
    <s v="Yes"/>
    <n v="31"/>
    <s v="PayPal"/>
    <x v="3"/>
  </r>
  <r>
    <n v="1483"/>
    <x v="48"/>
    <s v="Male"/>
    <x v="24"/>
    <x v="3"/>
    <n v="67"/>
    <s v="Wisconsin"/>
    <x v="1"/>
    <x v="23"/>
    <x v="1"/>
    <n v="4.0999999999999996"/>
    <x v="1"/>
    <s v="2-Day Shipping"/>
    <s v="Yes"/>
    <s v="Yes"/>
    <n v="43"/>
    <s v="Bank Transfer"/>
    <x v="1"/>
  </r>
  <r>
    <n v="1484"/>
    <x v="31"/>
    <s v="Male"/>
    <x v="16"/>
    <x v="3"/>
    <n v="61"/>
    <s v="Massachusetts"/>
    <x v="1"/>
    <x v="22"/>
    <x v="2"/>
    <n v="4.7"/>
    <x v="1"/>
    <s v="Next Day Air"/>
    <s v="Yes"/>
    <s v="Yes"/>
    <n v="12"/>
    <s v="Debit Card"/>
    <x v="4"/>
  </r>
  <r>
    <n v="1485"/>
    <x v="34"/>
    <s v="Male"/>
    <x v="6"/>
    <x v="0"/>
    <n v="46"/>
    <s v="Nebraska"/>
    <x v="2"/>
    <x v="11"/>
    <x v="2"/>
    <n v="4.4000000000000004"/>
    <x v="1"/>
    <s v="Store Pickup"/>
    <s v="Yes"/>
    <s v="Yes"/>
    <n v="22"/>
    <s v="Venmo"/>
    <x v="6"/>
  </r>
  <r>
    <n v="1486"/>
    <x v="40"/>
    <s v="Male"/>
    <x v="24"/>
    <x v="3"/>
    <n v="56"/>
    <s v="Nebraska"/>
    <x v="0"/>
    <x v="16"/>
    <x v="1"/>
    <n v="3.4"/>
    <x v="1"/>
    <s v="Standard"/>
    <s v="Yes"/>
    <s v="Yes"/>
    <n v="3"/>
    <s v="Cash"/>
    <x v="0"/>
  </r>
  <r>
    <n v="1487"/>
    <x v="15"/>
    <s v="Male"/>
    <x v="4"/>
    <x v="1"/>
    <n v="73"/>
    <s v="Idaho"/>
    <x v="1"/>
    <x v="22"/>
    <x v="1"/>
    <n v="5"/>
    <x v="1"/>
    <s v="Free Shipping"/>
    <s v="Yes"/>
    <s v="Yes"/>
    <n v="23"/>
    <s v="Venmo"/>
    <x v="6"/>
  </r>
  <r>
    <n v="1488"/>
    <x v="37"/>
    <s v="Male"/>
    <x v="11"/>
    <x v="0"/>
    <n v="44"/>
    <s v="Arizona"/>
    <x v="0"/>
    <x v="13"/>
    <x v="2"/>
    <n v="4.5999999999999996"/>
    <x v="1"/>
    <s v="Store Pickup"/>
    <s v="Yes"/>
    <s v="Yes"/>
    <n v="26"/>
    <s v="PayPal"/>
    <x v="2"/>
  </r>
  <r>
    <n v="1489"/>
    <x v="51"/>
    <s v="Male"/>
    <x v="19"/>
    <x v="3"/>
    <n v="44"/>
    <s v="Hawaii"/>
    <x v="0"/>
    <x v="6"/>
    <x v="0"/>
    <n v="4"/>
    <x v="1"/>
    <s v="Standard"/>
    <s v="Yes"/>
    <s v="Yes"/>
    <n v="37"/>
    <s v="Credit Card"/>
    <x v="1"/>
  </r>
  <r>
    <n v="1490"/>
    <x v="41"/>
    <s v="Male"/>
    <x v="16"/>
    <x v="3"/>
    <n v="26"/>
    <s v="Missouri"/>
    <x v="3"/>
    <x v="23"/>
    <x v="2"/>
    <n v="4.0999999999999996"/>
    <x v="1"/>
    <s v="Next Day Air"/>
    <s v="Yes"/>
    <s v="Yes"/>
    <n v="42"/>
    <s v="Venmo"/>
    <x v="3"/>
  </r>
  <r>
    <n v="1491"/>
    <x v="17"/>
    <s v="Male"/>
    <x v="4"/>
    <x v="1"/>
    <n v="52"/>
    <s v="Louisiana"/>
    <x v="0"/>
    <x v="8"/>
    <x v="1"/>
    <n v="4.9000000000000004"/>
    <x v="1"/>
    <s v="Express"/>
    <s v="Yes"/>
    <s v="Yes"/>
    <n v="15"/>
    <s v="Venmo"/>
    <x v="4"/>
  </r>
  <r>
    <n v="1492"/>
    <x v="7"/>
    <s v="Male"/>
    <x v="5"/>
    <x v="0"/>
    <n v="54"/>
    <s v="Arkansas"/>
    <x v="1"/>
    <x v="13"/>
    <x v="2"/>
    <n v="2.7"/>
    <x v="1"/>
    <s v="Free Shipping"/>
    <s v="Yes"/>
    <s v="Yes"/>
    <n v="10"/>
    <s v="Bank Transfer"/>
    <x v="3"/>
  </r>
  <r>
    <n v="1493"/>
    <x v="46"/>
    <s v="Male"/>
    <x v="14"/>
    <x v="2"/>
    <n v="38"/>
    <s v="North Carolina"/>
    <x v="2"/>
    <x v="1"/>
    <x v="2"/>
    <n v="4.5"/>
    <x v="1"/>
    <s v="Free Shipping"/>
    <s v="Yes"/>
    <s v="Yes"/>
    <n v="3"/>
    <s v="Venmo"/>
    <x v="3"/>
  </r>
  <r>
    <n v="1494"/>
    <x v="27"/>
    <s v="Male"/>
    <x v="22"/>
    <x v="3"/>
    <n v="44"/>
    <s v="North Dakota"/>
    <x v="1"/>
    <x v="9"/>
    <x v="3"/>
    <n v="2.7"/>
    <x v="1"/>
    <s v="Standard"/>
    <s v="Yes"/>
    <s v="Yes"/>
    <n v="44"/>
    <s v="Credit Card"/>
    <x v="3"/>
  </r>
  <r>
    <n v="1495"/>
    <x v="49"/>
    <s v="Male"/>
    <x v="17"/>
    <x v="0"/>
    <n v="76"/>
    <s v="Montana"/>
    <x v="2"/>
    <x v="0"/>
    <x v="1"/>
    <n v="3"/>
    <x v="1"/>
    <s v="Next Day Air"/>
    <s v="Yes"/>
    <s v="Yes"/>
    <n v="23"/>
    <s v="Bank Transfer"/>
    <x v="0"/>
  </r>
  <r>
    <n v="1496"/>
    <x v="4"/>
    <s v="Male"/>
    <x v="16"/>
    <x v="3"/>
    <n v="23"/>
    <s v="Rhode Island"/>
    <x v="2"/>
    <x v="18"/>
    <x v="0"/>
    <n v="4.5"/>
    <x v="1"/>
    <s v="Next Day Air"/>
    <s v="Yes"/>
    <s v="Yes"/>
    <n v="6"/>
    <s v="PayPal"/>
    <x v="1"/>
  </r>
  <r>
    <n v="1497"/>
    <x v="6"/>
    <s v="Male"/>
    <x v="17"/>
    <x v="0"/>
    <n v="98"/>
    <s v="Idaho"/>
    <x v="2"/>
    <x v="7"/>
    <x v="0"/>
    <n v="5"/>
    <x v="1"/>
    <s v="Standard"/>
    <s v="Yes"/>
    <s v="Yes"/>
    <n v="9"/>
    <s v="Venmo"/>
    <x v="4"/>
  </r>
  <r>
    <n v="1498"/>
    <x v="28"/>
    <s v="Male"/>
    <x v="14"/>
    <x v="2"/>
    <n v="33"/>
    <s v="Michigan"/>
    <x v="1"/>
    <x v="23"/>
    <x v="1"/>
    <n v="3.8"/>
    <x v="1"/>
    <s v="2-Day Shipping"/>
    <s v="Yes"/>
    <s v="Yes"/>
    <n v="16"/>
    <s v="Debit Card"/>
    <x v="6"/>
  </r>
  <r>
    <n v="1499"/>
    <x v="35"/>
    <s v="Male"/>
    <x v="1"/>
    <x v="0"/>
    <n v="32"/>
    <s v="Illinois"/>
    <x v="2"/>
    <x v="11"/>
    <x v="2"/>
    <n v="3.1"/>
    <x v="1"/>
    <s v="Standard"/>
    <s v="Yes"/>
    <s v="Yes"/>
    <n v="46"/>
    <s v="Venmo"/>
    <x v="0"/>
  </r>
  <r>
    <n v="1500"/>
    <x v="1"/>
    <s v="Male"/>
    <x v="23"/>
    <x v="1"/>
    <n v="85"/>
    <s v="Georgia"/>
    <x v="1"/>
    <x v="8"/>
    <x v="3"/>
    <n v="3.4"/>
    <x v="1"/>
    <s v="Free Shipping"/>
    <s v="Yes"/>
    <s v="Yes"/>
    <n v="24"/>
    <s v="Credit Card"/>
    <x v="6"/>
  </r>
  <r>
    <n v="1501"/>
    <x v="6"/>
    <s v="Male"/>
    <x v="2"/>
    <x v="0"/>
    <n v="69"/>
    <s v="Alabama"/>
    <x v="0"/>
    <x v="1"/>
    <x v="2"/>
    <n v="4.8"/>
    <x v="1"/>
    <s v="Next Day Air"/>
    <s v="Yes"/>
    <s v="Yes"/>
    <n v="22"/>
    <s v="Debit Card"/>
    <x v="5"/>
  </r>
  <r>
    <n v="1502"/>
    <x v="43"/>
    <s v="Male"/>
    <x v="2"/>
    <x v="0"/>
    <n v="55"/>
    <s v="Alaska"/>
    <x v="3"/>
    <x v="5"/>
    <x v="1"/>
    <n v="2.7"/>
    <x v="1"/>
    <s v="Standard"/>
    <s v="Yes"/>
    <s v="Yes"/>
    <n v="13"/>
    <s v="Debit Card"/>
    <x v="6"/>
  </r>
  <r>
    <n v="1503"/>
    <x v="43"/>
    <s v="Male"/>
    <x v="13"/>
    <x v="0"/>
    <n v="66"/>
    <s v="Massachusetts"/>
    <x v="2"/>
    <x v="13"/>
    <x v="2"/>
    <n v="3.2"/>
    <x v="1"/>
    <s v="Store Pickup"/>
    <s v="Yes"/>
    <s v="Yes"/>
    <n v="20"/>
    <s v="Cash"/>
    <x v="0"/>
  </r>
  <r>
    <n v="1504"/>
    <x v="2"/>
    <s v="Male"/>
    <x v="14"/>
    <x v="2"/>
    <n v="30"/>
    <s v="Michigan"/>
    <x v="2"/>
    <x v="1"/>
    <x v="3"/>
    <n v="3.9"/>
    <x v="1"/>
    <s v="2-Day Shipping"/>
    <s v="Yes"/>
    <s v="Yes"/>
    <n v="46"/>
    <s v="Cash"/>
    <x v="3"/>
  </r>
  <r>
    <n v="1505"/>
    <x v="52"/>
    <s v="Male"/>
    <x v="14"/>
    <x v="2"/>
    <n v="80"/>
    <s v="Alaska"/>
    <x v="2"/>
    <x v="11"/>
    <x v="0"/>
    <n v="4.2"/>
    <x v="1"/>
    <s v="Next Day Air"/>
    <s v="Yes"/>
    <s v="Yes"/>
    <n v="10"/>
    <s v="Bank Transfer"/>
    <x v="5"/>
  </r>
  <r>
    <n v="1506"/>
    <x v="5"/>
    <s v="Male"/>
    <x v="22"/>
    <x v="3"/>
    <n v="20"/>
    <s v="North Dakota"/>
    <x v="2"/>
    <x v="11"/>
    <x v="2"/>
    <n v="3"/>
    <x v="1"/>
    <s v="Express"/>
    <s v="Yes"/>
    <s v="Yes"/>
    <n v="39"/>
    <s v="Cash"/>
    <x v="5"/>
  </r>
  <r>
    <n v="1507"/>
    <x v="25"/>
    <s v="Male"/>
    <x v="5"/>
    <x v="0"/>
    <n v="30"/>
    <s v="South Carolina"/>
    <x v="0"/>
    <x v="19"/>
    <x v="3"/>
    <n v="3"/>
    <x v="1"/>
    <s v="2-Day Shipping"/>
    <s v="Yes"/>
    <s v="Yes"/>
    <n v="44"/>
    <s v="PayPal"/>
    <x v="3"/>
  </r>
  <r>
    <n v="1508"/>
    <x v="17"/>
    <s v="Male"/>
    <x v="10"/>
    <x v="0"/>
    <n v="86"/>
    <s v="Pennsylvania"/>
    <x v="1"/>
    <x v="1"/>
    <x v="0"/>
    <n v="3.7"/>
    <x v="1"/>
    <s v="2-Day Shipping"/>
    <s v="Yes"/>
    <s v="Yes"/>
    <n v="7"/>
    <s v="Venmo"/>
    <x v="2"/>
  </r>
  <r>
    <n v="1509"/>
    <x v="25"/>
    <s v="Male"/>
    <x v="0"/>
    <x v="0"/>
    <n v="84"/>
    <s v="Colorado"/>
    <x v="0"/>
    <x v="19"/>
    <x v="1"/>
    <n v="4.4000000000000004"/>
    <x v="1"/>
    <s v="Store Pickup"/>
    <s v="Yes"/>
    <s v="Yes"/>
    <n v="3"/>
    <s v="Cash"/>
    <x v="6"/>
  </r>
  <r>
    <n v="1510"/>
    <x v="30"/>
    <s v="Male"/>
    <x v="10"/>
    <x v="0"/>
    <n v="54"/>
    <s v="New Hampshire"/>
    <x v="3"/>
    <x v="3"/>
    <x v="2"/>
    <n v="4.5999999999999996"/>
    <x v="1"/>
    <s v="Free Shipping"/>
    <s v="Yes"/>
    <s v="Yes"/>
    <n v="44"/>
    <s v="Debit Card"/>
    <x v="2"/>
  </r>
  <r>
    <n v="1511"/>
    <x v="0"/>
    <s v="Male"/>
    <x v="0"/>
    <x v="0"/>
    <n v="30"/>
    <s v="Maryland"/>
    <x v="3"/>
    <x v="0"/>
    <x v="3"/>
    <n v="3"/>
    <x v="1"/>
    <s v="Free Shipping"/>
    <s v="Yes"/>
    <s v="Yes"/>
    <n v="31"/>
    <s v="Venmo"/>
    <x v="2"/>
  </r>
  <r>
    <n v="1512"/>
    <x v="50"/>
    <s v="Male"/>
    <x v="10"/>
    <x v="0"/>
    <n v="91"/>
    <s v="Georgia"/>
    <x v="2"/>
    <x v="10"/>
    <x v="0"/>
    <n v="3.6"/>
    <x v="1"/>
    <s v="Express"/>
    <s v="Yes"/>
    <s v="Yes"/>
    <n v="48"/>
    <s v="Credit Card"/>
    <x v="1"/>
  </r>
  <r>
    <n v="1513"/>
    <x v="52"/>
    <s v="Male"/>
    <x v="4"/>
    <x v="1"/>
    <n v="23"/>
    <s v="Wisconsin"/>
    <x v="0"/>
    <x v="5"/>
    <x v="0"/>
    <n v="3.9"/>
    <x v="1"/>
    <s v="Standard"/>
    <s v="Yes"/>
    <s v="Yes"/>
    <n v="18"/>
    <s v="PayPal"/>
    <x v="4"/>
  </r>
  <r>
    <n v="1514"/>
    <x v="40"/>
    <s v="Male"/>
    <x v="20"/>
    <x v="0"/>
    <n v="35"/>
    <s v="Texas"/>
    <x v="2"/>
    <x v="16"/>
    <x v="1"/>
    <n v="4.0999999999999996"/>
    <x v="1"/>
    <s v="Free Shipping"/>
    <s v="Yes"/>
    <s v="Yes"/>
    <n v="27"/>
    <s v="Cash"/>
    <x v="5"/>
  </r>
  <r>
    <n v="1515"/>
    <x v="8"/>
    <s v="Male"/>
    <x v="9"/>
    <x v="1"/>
    <n v="90"/>
    <s v="Utah"/>
    <x v="0"/>
    <x v="18"/>
    <x v="0"/>
    <n v="3.9"/>
    <x v="1"/>
    <s v="2-Day Shipping"/>
    <s v="Yes"/>
    <s v="Yes"/>
    <n v="1"/>
    <s v="Venmo"/>
    <x v="1"/>
  </r>
  <r>
    <n v="1516"/>
    <x v="31"/>
    <s v="Male"/>
    <x v="2"/>
    <x v="0"/>
    <n v="93"/>
    <s v="Indiana"/>
    <x v="1"/>
    <x v="2"/>
    <x v="3"/>
    <n v="3.9"/>
    <x v="1"/>
    <s v="2-Day Shipping"/>
    <s v="Yes"/>
    <s v="Yes"/>
    <n v="34"/>
    <s v="Cash"/>
    <x v="1"/>
  </r>
  <r>
    <n v="1517"/>
    <x v="30"/>
    <s v="Male"/>
    <x v="2"/>
    <x v="0"/>
    <n v="68"/>
    <s v="Nevada"/>
    <x v="0"/>
    <x v="21"/>
    <x v="0"/>
    <n v="4.5"/>
    <x v="1"/>
    <s v="Express"/>
    <s v="Yes"/>
    <s v="Yes"/>
    <n v="5"/>
    <s v="Bank Transfer"/>
    <x v="4"/>
  </r>
  <r>
    <n v="1518"/>
    <x v="9"/>
    <s v="Male"/>
    <x v="24"/>
    <x v="3"/>
    <n v="41"/>
    <s v="New Hampshire"/>
    <x v="2"/>
    <x v="10"/>
    <x v="1"/>
    <n v="3.4"/>
    <x v="1"/>
    <s v="Standard"/>
    <s v="Yes"/>
    <s v="Yes"/>
    <n v="12"/>
    <s v="Cash"/>
    <x v="3"/>
  </r>
  <r>
    <n v="1519"/>
    <x v="33"/>
    <s v="Male"/>
    <x v="22"/>
    <x v="3"/>
    <n v="73"/>
    <s v="New York"/>
    <x v="2"/>
    <x v="22"/>
    <x v="0"/>
    <n v="4.0999999999999996"/>
    <x v="1"/>
    <s v="Next Day Air"/>
    <s v="Yes"/>
    <s v="Yes"/>
    <n v="14"/>
    <s v="Venmo"/>
    <x v="0"/>
  </r>
  <r>
    <n v="1520"/>
    <x v="2"/>
    <s v="Male"/>
    <x v="12"/>
    <x v="3"/>
    <n v="73"/>
    <s v="Texas"/>
    <x v="0"/>
    <x v="17"/>
    <x v="3"/>
    <n v="4.9000000000000004"/>
    <x v="1"/>
    <s v="Next Day Air"/>
    <s v="Yes"/>
    <s v="Yes"/>
    <n v="40"/>
    <s v="PayPal"/>
    <x v="1"/>
  </r>
  <r>
    <n v="1521"/>
    <x v="3"/>
    <s v="Male"/>
    <x v="19"/>
    <x v="3"/>
    <n v="66"/>
    <s v="Iowa"/>
    <x v="2"/>
    <x v="18"/>
    <x v="2"/>
    <n v="4.4000000000000004"/>
    <x v="1"/>
    <s v="2-Day Shipping"/>
    <s v="Yes"/>
    <s v="Yes"/>
    <n v="39"/>
    <s v="Cash"/>
    <x v="3"/>
  </r>
  <r>
    <n v="1522"/>
    <x v="26"/>
    <s v="Male"/>
    <x v="21"/>
    <x v="3"/>
    <n v="59"/>
    <s v="Washington"/>
    <x v="2"/>
    <x v="3"/>
    <x v="2"/>
    <n v="2.7"/>
    <x v="1"/>
    <s v="2-Day Shipping"/>
    <s v="Yes"/>
    <s v="Yes"/>
    <n v="50"/>
    <s v="Bank Transfer"/>
    <x v="1"/>
  </r>
  <r>
    <n v="1523"/>
    <x v="21"/>
    <s v="Male"/>
    <x v="6"/>
    <x v="0"/>
    <n v="72"/>
    <s v="Tennessee"/>
    <x v="0"/>
    <x v="22"/>
    <x v="1"/>
    <n v="4.8"/>
    <x v="1"/>
    <s v="Free Shipping"/>
    <s v="Yes"/>
    <s v="Yes"/>
    <n v="5"/>
    <s v="Debit Card"/>
    <x v="5"/>
  </r>
  <r>
    <n v="1524"/>
    <x v="22"/>
    <s v="Male"/>
    <x v="20"/>
    <x v="0"/>
    <n v="88"/>
    <s v="Georgia"/>
    <x v="2"/>
    <x v="3"/>
    <x v="2"/>
    <n v="3.3"/>
    <x v="1"/>
    <s v="2-Day Shipping"/>
    <s v="Yes"/>
    <s v="Yes"/>
    <n v="35"/>
    <s v="Debit Card"/>
    <x v="2"/>
  </r>
  <r>
    <n v="1525"/>
    <x v="40"/>
    <s v="Male"/>
    <x v="20"/>
    <x v="0"/>
    <n v="76"/>
    <s v="Massachusetts"/>
    <x v="0"/>
    <x v="6"/>
    <x v="2"/>
    <n v="4.4000000000000004"/>
    <x v="1"/>
    <s v="Free Shipping"/>
    <s v="Yes"/>
    <s v="Yes"/>
    <n v="6"/>
    <s v="Cash"/>
    <x v="4"/>
  </r>
  <r>
    <n v="1526"/>
    <x v="26"/>
    <s v="Male"/>
    <x v="22"/>
    <x v="3"/>
    <n v="31"/>
    <s v="Oregon"/>
    <x v="2"/>
    <x v="21"/>
    <x v="0"/>
    <n v="4.5999999999999996"/>
    <x v="1"/>
    <s v="2-Day Shipping"/>
    <s v="Yes"/>
    <s v="Yes"/>
    <n v="22"/>
    <s v="Cash"/>
    <x v="0"/>
  </r>
  <r>
    <n v="1527"/>
    <x v="38"/>
    <s v="Male"/>
    <x v="14"/>
    <x v="2"/>
    <n v="22"/>
    <s v="Oklahoma"/>
    <x v="0"/>
    <x v="3"/>
    <x v="2"/>
    <n v="3.1"/>
    <x v="1"/>
    <s v="Next Day Air"/>
    <s v="Yes"/>
    <s v="Yes"/>
    <n v="27"/>
    <s v="PayPal"/>
    <x v="5"/>
  </r>
  <r>
    <n v="1528"/>
    <x v="8"/>
    <s v="Male"/>
    <x v="19"/>
    <x v="3"/>
    <n v="75"/>
    <s v="Wisconsin"/>
    <x v="0"/>
    <x v="16"/>
    <x v="3"/>
    <n v="4.5"/>
    <x v="1"/>
    <s v="2-Day Shipping"/>
    <s v="Yes"/>
    <s v="Yes"/>
    <n v="33"/>
    <s v="Debit Card"/>
    <x v="0"/>
  </r>
  <r>
    <n v="1529"/>
    <x v="28"/>
    <s v="Male"/>
    <x v="17"/>
    <x v="0"/>
    <n v="75"/>
    <s v="Oregon"/>
    <x v="1"/>
    <x v="16"/>
    <x v="1"/>
    <n v="4"/>
    <x v="1"/>
    <s v="Store Pickup"/>
    <s v="Yes"/>
    <s v="Yes"/>
    <n v="47"/>
    <s v="Venmo"/>
    <x v="4"/>
  </r>
  <r>
    <n v="1530"/>
    <x v="30"/>
    <s v="Male"/>
    <x v="21"/>
    <x v="3"/>
    <n v="63"/>
    <s v="Georgia"/>
    <x v="2"/>
    <x v="12"/>
    <x v="0"/>
    <n v="3.1"/>
    <x v="1"/>
    <s v="Free Shipping"/>
    <s v="Yes"/>
    <s v="Yes"/>
    <n v="48"/>
    <s v="Credit Card"/>
    <x v="4"/>
  </r>
  <r>
    <n v="1531"/>
    <x v="35"/>
    <s v="Male"/>
    <x v="7"/>
    <x v="2"/>
    <n v="21"/>
    <s v="New Mexico"/>
    <x v="2"/>
    <x v="11"/>
    <x v="1"/>
    <n v="3.9"/>
    <x v="1"/>
    <s v="Next Day Air"/>
    <s v="Yes"/>
    <s v="Yes"/>
    <n v="22"/>
    <s v="Bank Transfer"/>
    <x v="3"/>
  </r>
  <r>
    <n v="1532"/>
    <x v="6"/>
    <s v="Male"/>
    <x v="21"/>
    <x v="3"/>
    <n v="83"/>
    <s v="Mississippi"/>
    <x v="1"/>
    <x v="10"/>
    <x v="1"/>
    <n v="4.5"/>
    <x v="1"/>
    <s v="Next Day Air"/>
    <s v="Yes"/>
    <s v="Yes"/>
    <n v="8"/>
    <s v="PayPal"/>
    <x v="4"/>
  </r>
  <r>
    <n v="1533"/>
    <x v="33"/>
    <s v="Male"/>
    <x v="14"/>
    <x v="2"/>
    <n v="46"/>
    <s v="Wisconsin"/>
    <x v="1"/>
    <x v="5"/>
    <x v="0"/>
    <n v="4.4000000000000004"/>
    <x v="1"/>
    <s v="Next Day Air"/>
    <s v="Yes"/>
    <s v="Yes"/>
    <n v="5"/>
    <s v="PayPal"/>
    <x v="6"/>
  </r>
  <r>
    <n v="1534"/>
    <x v="2"/>
    <s v="Male"/>
    <x v="9"/>
    <x v="1"/>
    <n v="59"/>
    <s v="New Hampshire"/>
    <x v="2"/>
    <x v="9"/>
    <x v="2"/>
    <n v="3.6"/>
    <x v="1"/>
    <s v="2-Day Shipping"/>
    <s v="Yes"/>
    <s v="Yes"/>
    <n v="16"/>
    <s v="Bank Transfer"/>
    <x v="3"/>
  </r>
  <r>
    <n v="1535"/>
    <x v="0"/>
    <s v="Male"/>
    <x v="0"/>
    <x v="0"/>
    <n v="66"/>
    <s v="Wyoming"/>
    <x v="2"/>
    <x v="14"/>
    <x v="2"/>
    <n v="3.4"/>
    <x v="1"/>
    <s v="Free Shipping"/>
    <s v="Yes"/>
    <s v="Yes"/>
    <n v="26"/>
    <s v="Venmo"/>
    <x v="0"/>
  </r>
  <r>
    <n v="1536"/>
    <x v="24"/>
    <s v="Male"/>
    <x v="3"/>
    <x v="1"/>
    <n v="74"/>
    <s v="West Virginia"/>
    <x v="1"/>
    <x v="2"/>
    <x v="3"/>
    <n v="4"/>
    <x v="1"/>
    <s v="2-Day Shipping"/>
    <s v="Yes"/>
    <s v="Yes"/>
    <n v="8"/>
    <s v="Venmo"/>
    <x v="5"/>
  </r>
  <r>
    <n v="1537"/>
    <x v="20"/>
    <s v="Male"/>
    <x v="12"/>
    <x v="3"/>
    <n v="82"/>
    <s v="Michigan"/>
    <x v="2"/>
    <x v="21"/>
    <x v="2"/>
    <n v="2.6"/>
    <x v="1"/>
    <s v="Store Pickup"/>
    <s v="Yes"/>
    <s v="Yes"/>
    <n v="17"/>
    <s v="Cash"/>
    <x v="3"/>
  </r>
  <r>
    <n v="1538"/>
    <x v="33"/>
    <s v="Male"/>
    <x v="9"/>
    <x v="1"/>
    <n v="89"/>
    <s v="Alaska"/>
    <x v="0"/>
    <x v="13"/>
    <x v="1"/>
    <n v="3.2"/>
    <x v="1"/>
    <s v="Next Day Air"/>
    <s v="Yes"/>
    <s v="Yes"/>
    <n v="50"/>
    <s v="Venmo"/>
    <x v="2"/>
  </r>
  <r>
    <n v="1539"/>
    <x v="19"/>
    <s v="Male"/>
    <x v="10"/>
    <x v="0"/>
    <n v="65"/>
    <s v="Illinois"/>
    <x v="0"/>
    <x v="4"/>
    <x v="3"/>
    <n v="3.2"/>
    <x v="1"/>
    <s v="Standard"/>
    <s v="Yes"/>
    <s v="Yes"/>
    <n v="22"/>
    <s v="Venmo"/>
    <x v="4"/>
  </r>
  <r>
    <n v="1540"/>
    <x v="45"/>
    <s v="Male"/>
    <x v="22"/>
    <x v="3"/>
    <n v="55"/>
    <s v="Hawaii"/>
    <x v="2"/>
    <x v="2"/>
    <x v="1"/>
    <n v="5"/>
    <x v="1"/>
    <s v="2-Day Shipping"/>
    <s v="Yes"/>
    <s v="Yes"/>
    <n v="19"/>
    <s v="Cash"/>
    <x v="6"/>
  </r>
  <r>
    <n v="1541"/>
    <x v="48"/>
    <s v="Male"/>
    <x v="6"/>
    <x v="0"/>
    <n v="95"/>
    <s v="Colorado"/>
    <x v="2"/>
    <x v="16"/>
    <x v="0"/>
    <n v="2.9"/>
    <x v="1"/>
    <s v="Next Day Air"/>
    <s v="Yes"/>
    <s v="Yes"/>
    <n v="14"/>
    <s v="Bank Transfer"/>
    <x v="5"/>
  </r>
  <r>
    <n v="1542"/>
    <x v="41"/>
    <s v="Male"/>
    <x v="8"/>
    <x v="3"/>
    <n v="77"/>
    <s v="Illinois"/>
    <x v="1"/>
    <x v="21"/>
    <x v="0"/>
    <n v="2.9"/>
    <x v="1"/>
    <s v="Store Pickup"/>
    <s v="Yes"/>
    <s v="Yes"/>
    <n v="35"/>
    <s v="Cash"/>
    <x v="4"/>
  </r>
  <r>
    <n v="1543"/>
    <x v="35"/>
    <s v="Male"/>
    <x v="0"/>
    <x v="0"/>
    <n v="44"/>
    <s v="Hawaii"/>
    <x v="2"/>
    <x v="1"/>
    <x v="0"/>
    <n v="3.5"/>
    <x v="1"/>
    <s v="Next Day Air"/>
    <s v="Yes"/>
    <s v="Yes"/>
    <n v="43"/>
    <s v="PayPal"/>
    <x v="1"/>
  </r>
  <r>
    <n v="1544"/>
    <x v="19"/>
    <s v="Male"/>
    <x v="2"/>
    <x v="0"/>
    <n v="89"/>
    <s v="Wisconsin"/>
    <x v="2"/>
    <x v="21"/>
    <x v="3"/>
    <n v="4"/>
    <x v="1"/>
    <s v="Standard"/>
    <s v="Yes"/>
    <s v="Yes"/>
    <n v="24"/>
    <s v="Venmo"/>
    <x v="2"/>
  </r>
  <r>
    <n v="1545"/>
    <x v="11"/>
    <s v="Male"/>
    <x v="16"/>
    <x v="3"/>
    <n v="24"/>
    <s v="Arkansas"/>
    <x v="2"/>
    <x v="1"/>
    <x v="1"/>
    <n v="3.9"/>
    <x v="1"/>
    <s v="Standard"/>
    <s v="Yes"/>
    <s v="Yes"/>
    <n v="17"/>
    <s v="Debit Card"/>
    <x v="4"/>
  </r>
  <r>
    <n v="1546"/>
    <x v="39"/>
    <s v="Male"/>
    <x v="22"/>
    <x v="3"/>
    <n v="43"/>
    <s v="Delaware"/>
    <x v="2"/>
    <x v="13"/>
    <x v="0"/>
    <n v="4.9000000000000004"/>
    <x v="1"/>
    <s v="Store Pickup"/>
    <s v="Yes"/>
    <s v="Yes"/>
    <n v="49"/>
    <s v="Bank Transfer"/>
    <x v="2"/>
  </r>
  <r>
    <n v="1547"/>
    <x v="52"/>
    <s v="Male"/>
    <x v="4"/>
    <x v="1"/>
    <n v="51"/>
    <s v="Oregon"/>
    <x v="3"/>
    <x v="7"/>
    <x v="2"/>
    <n v="3.8"/>
    <x v="1"/>
    <s v="Express"/>
    <s v="Yes"/>
    <s v="Yes"/>
    <n v="17"/>
    <s v="Bank Transfer"/>
    <x v="2"/>
  </r>
  <r>
    <n v="1548"/>
    <x v="5"/>
    <s v="Male"/>
    <x v="19"/>
    <x v="3"/>
    <n v="46"/>
    <s v="South Carolina"/>
    <x v="0"/>
    <x v="11"/>
    <x v="2"/>
    <n v="3.5"/>
    <x v="1"/>
    <s v="Standard"/>
    <s v="Yes"/>
    <s v="Yes"/>
    <n v="40"/>
    <s v="Cash"/>
    <x v="3"/>
  </r>
  <r>
    <n v="1549"/>
    <x v="28"/>
    <s v="Male"/>
    <x v="10"/>
    <x v="0"/>
    <n v="32"/>
    <s v="Maryland"/>
    <x v="2"/>
    <x v="5"/>
    <x v="2"/>
    <n v="3.7"/>
    <x v="1"/>
    <s v="Store Pickup"/>
    <s v="Yes"/>
    <s v="Yes"/>
    <n v="43"/>
    <s v="Bank Transfer"/>
    <x v="1"/>
  </r>
  <r>
    <n v="1550"/>
    <x v="1"/>
    <s v="Male"/>
    <x v="4"/>
    <x v="1"/>
    <n v="55"/>
    <s v="Kansas"/>
    <x v="2"/>
    <x v="13"/>
    <x v="1"/>
    <n v="2.9"/>
    <x v="1"/>
    <s v="2-Day Shipping"/>
    <s v="Yes"/>
    <s v="Yes"/>
    <n v="19"/>
    <s v="Debit Card"/>
    <x v="6"/>
  </r>
  <r>
    <n v="1551"/>
    <x v="17"/>
    <s v="Male"/>
    <x v="12"/>
    <x v="3"/>
    <n v="26"/>
    <s v="Arkansas"/>
    <x v="1"/>
    <x v="13"/>
    <x v="2"/>
    <n v="2.8"/>
    <x v="1"/>
    <s v="Free Shipping"/>
    <s v="Yes"/>
    <s v="Yes"/>
    <n v="40"/>
    <s v="Bank Transfer"/>
    <x v="3"/>
  </r>
  <r>
    <n v="1552"/>
    <x v="14"/>
    <s v="Male"/>
    <x v="8"/>
    <x v="3"/>
    <n v="29"/>
    <s v="Minnesota"/>
    <x v="2"/>
    <x v="8"/>
    <x v="2"/>
    <n v="3.7"/>
    <x v="1"/>
    <s v="2-Day Shipping"/>
    <s v="Yes"/>
    <s v="Yes"/>
    <n v="13"/>
    <s v="Credit Card"/>
    <x v="5"/>
  </r>
  <r>
    <n v="1553"/>
    <x v="22"/>
    <s v="Male"/>
    <x v="0"/>
    <x v="0"/>
    <n v="49"/>
    <s v="New Mexico"/>
    <x v="0"/>
    <x v="7"/>
    <x v="1"/>
    <n v="3"/>
    <x v="1"/>
    <s v="Express"/>
    <s v="Yes"/>
    <s v="Yes"/>
    <n v="20"/>
    <s v="Credit Card"/>
    <x v="5"/>
  </r>
  <r>
    <n v="1554"/>
    <x v="7"/>
    <s v="Male"/>
    <x v="0"/>
    <x v="0"/>
    <n v="45"/>
    <s v="Delaware"/>
    <x v="2"/>
    <x v="21"/>
    <x v="1"/>
    <n v="4.8"/>
    <x v="1"/>
    <s v="Free Shipping"/>
    <s v="Yes"/>
    <s v="Yes"/>
    <n v="21"/>
    <s v="Debit Card"/>
    <x v="3"/>
  </r>
  <r>
    <n v="1555"/>
    <x v="14"/>
    <s v="Male"/>
    <x v="6"/>
    <x v="0"/>
    <n v="48"/>
    <s v="Utah"/>
    <x v="1"/>
    <x v="12"/>
    <x v="0"/>
    <n v="2.7"/>
    <x v="1"/>
    <s v="Standard"/>
    <s v="Yes"/>
    <s v="Yes"/>
    <n v="18"/>
    <s v="Cash"/>
    <x v="4"/>
  </r>
  <r>
    <n v="1556"/>
    <x v="49"/>
    <s v="Male"/>
    <x v="6"/>
    <x v="0"/>
    <n v="47"/>
    <s v="Ohio"/>
    <x v="1"/>
    <x v="17"/>
    <x v="0"/>
    <n v="4.5"/>
    <x v="1"/>
    <s v="Free Shipping"/>
    <s v="Yes"/>
    <s v="Yes"/>
    <n v="44"/>
    <s v="Cash"/>
    <x v="3"/>
  </r>
  <r>
    <n v="1557"/>
    <x v="49"/>
    <s v="Male"/>
    <x v="15"/>
    <x v="0"/>
    <n v="57"/>
    <s v="Alabama"/>
    <x v="2"/>
    <x v="9"/>
    <x v="3"/>
    <n v="2.7"/>
    <x v="1"/>
    <s v="Standard"/>
    <s v="Yes"/>
    <s v="Yes"/>
    <n v="26"/>
    <s v="Credit Card"/>
    <x v="3"/>
  </r>
  <r>
    <n v="1558"/>
    <x v="7"/>
    <s v="Male"/>
    <x v="21"/>
    <x v="3"/>
    <n v="34"/>
    <s v="South Dakota"/>
    <x v="0"/>
    <x v="23"/>
    <x v="3"/>
    <n v="3.5"/>
    <x v="1"/>
    <s v="Next Day Air"/>
    <s v="Yes"/>
    <s v="Yes"/>
    <n v="34"/>
    <s v="PayPal"/>
    <x v="3"/>
  </r>
  <r>
    <n v="1559"/>
    <x v="25"/>
    <s v="Male"/>
    <x v="12"/>
    <x v="3"/>
    <n v="75"/>
    <s v="New Mexico"/>
    <x v="3"/>
    <x v="11"/>
    <x v="3"/>
    <n v="3.5"/>
    <x v="1"/>
    <s v="Express"/>
    <s v="Yes"/>
    <s v="Yes"/>
    <n v="24"/>
    <s v="Credit Card"/>
    <x v="6"/>
  </r>
  <r>
    <n v="1560"/>
    <x v="49"/>
    <s v="Male"/>
    <x v="18"/>
    <x v="3"/>
    <n v="94"/>
    <s v="Oregon"/>
    <x v="0"/>
    <x v="19"/>
    <x v="3"/>
    <n v="4.5"/>
    <x v="1"/>
    <s v="Store Pickup"/>
    <s v="Yes"/>
    <s v="Yes"/>
    <n v="23"/>
    <s v="PayPal"/>
    <x v="0"/>
  </r>
  <r>
    <n v="1561"/>
    <x v="9"/>
    <s v="Male"/>
    <x v="19"/>
    <x v="3"/>
    <n v="84"/>
    <s v="Oregon"/>
    <x v="2"/>
    <x v="11"/>
    <x v="0"/>
    <n v="3.8"/>
    <x v="1"/>
    <s v="Free Shipping"/>
    <s v="Yes"/>
    <s v="Yes"/>
    <n v="3"/>
    <s v="Debit Card"/>
    <x v="1"/>
  </r>
  <r>
    <n v="1562"/>
    <x v="2"/>
    <s v="Male"/>
    <x v="18"/>
    <x v="3"/>
    <n v="38"/>
    <s v="Mississippi"/>
    <x v="2"/>
    <x v="21"/>
    <x v="2"/>
    <n v="3.8"/>
    <x v="1"/>
    <s v="Standard"/>
    <s v="Yes"/>
    <s v="Yes"/>
    <n v="2"/>
    <s v="Bank Transfer"/>
    <x v="3"/>
  </r>
  <r>
    <n v="1563"/>
    <x v="43"/>
    <s v="Male"/>
    <x v="18"/>
    <x v="3"/>
    <n v="75"/>
    <s v="Alabama"/>
    <x v="2"/>
    <x v="7"/>
    <x v="0"/>
    <n v="3.2"/>
    <x v="1"/>
    <s v="Next Day Air"/>
    <s v="Yes"/>
    <s v="Yes"/>
    <n v="23"/>
    <s v="Venmo"/>
    <x v="4"/>
  </r>
  <r>
    <n v="1564"/>
    <x v="33"/>
    <s v="Male"/>
    <x v="13"/>
    <x v="0"/>
    <n v="44"/>
    <s v="Kansas"/>
    <x v="2"/>
    <x v="11"/>
    <x v="3"/>
    <n v="4.3"/>
    <x v="1"/>
    <s v="Next Day Air"/>
    <s v="Yes"/>
    <s v="Yes"/>
    <n v="8"/>
    <s v="Cash"/>
    <x v="1"/>
  </r>
  <r>
    <n v="1565"/>
    <x v="40"/>
    <s v="Male"/>
    <x v="21"/>
    <x v="3"/>
    <n v="33"/>
    <s v="California"/>
    <x v="3"/>
    <x v="2"/>
    <x v="2"/>
    <n v="4.5"/>
    <x v="1"/>
    <s v="Next Day Air"/>
    <s v="Yes"/>
    <s v="Yes"/>
    <n v="30"/>
    <s v="Debit Card"/>
    <x v="6"/>
  </r>
  <r>
    <n v="1566"/>
    <x v="44"/>
    <s v="Male"/>
    <x v="12"/>
    <x v="3"/>
    <n v="93"/>
    <s v="Idaho"/>
    <x v="0"/>
    <x v="15"/>
    <x v="3"/>
    <n v="4.2"/>
    <x v="1"/>
    <s v="Free Shipping"/>
    <s v="Yes"/>
    <s v="Yes"/>
    <n v="48"/>
    <s v="PayPal"/>
    <x v="2"/>
  </r>
  <r>
    <n v="1567"/>
    <x v="39"/>
    <s v="Male"/>
    <x v="4"/>
    <x v="1"/>
    <n v="99"/>
    <s v="Wyoming"/>
    <x v="1"/>
    <x v="14"/>
    <x v="0"/>
    <n v="3"/>
    <x v="1"/>
    <s v="Free Shipping"/>
    <s v="Yes"/>
    <s v="Yes"/>
    <n v="21"/>
    <s v="Cash"/>
    <x v="4"/>
  </r>
  <r>
    <n v="1568"/>
    <x v="11"/>
    <s v="Male"/>
    <x v="21"/>
    <x v="3"/>
    <n v="33"/>
    <s v="Minnesota"/>
    <x v="2"/>
    <x v="2"/>
    <x v="1"/>
    <n v="4.0999999999999996"/>
    <x v="1"/>
    <s v="Standard"/>
    <s v="Yes"/>
    <s v="Yes"/>
    <n v="9"/>
    <s v="Cash"/>
    <x v="5"/>
  </r>
  <r>
    <n v="1569"/>
    <x v="47"/>
    <s v="Male"/>
    <x v="4"/>
    <x v="1"/>
    <n v="76"/>
    <s v="Washington"/>
    <x v="0"/>
    <x v="22"/>
    <x v="1"/>
    <n v="4.5999999999999996"/>
    <x v="1"/>
    <s v="Store Pickup"/>
    <s v="Yes"/>
    <s v="Yes"/>
    <n v="8"/>
    <s v="Debit Card"/>
    <x v="5"/>
  </r>
  <r>
    <n v="1570"/>
    <x v="30"/>
    <s v="Male"/>
    <x v="11"/>
    <x v="0"/>
    <n v="63"/>
    <s v="Hawaii"/>
    <x v="2"/>
    <x v="20"/>
    <x v="2"/>
    <n v="2.9"/>
    <x v="1"/>
    <s v="Standard"/>
    <s v="Yes"/>
    <s v="Yes"/>
    <n v="29"/>
    <s v="Debit Card"/>
    <x v="1"/>
  </r>
  <r>
    <n v="1571"/>
    <x v="11"/>
    <s v="Male"/>
    <x v="13"/>
    <x v="0"/>
    <n v="41"/>
    <s v="Missouri"/>
    <x v="0"/>
    <x v="18"/>
    <x v="0"/>
    <n v="4.8"/>
    <x v="1"/>
    <s v="Next Day Air"/>
    <s v="Yes"/>
    <s v="Yes"/>
    <n v="3"/>
    <s v="Bank Transfer"/>
    <x v="6"/>
  </r>
  <r>
    <n v="1572"/>
    <x v="48"/>
    <s v="Male"/>
    <x v="16"/>
    <x v="3"/>
    <n v="88"/>
    <s v="Colorado"/>
    <x v="0"/>
    <x v="5"/>
    <x v="0"/>
    <n v="4.5"/>
    <x v="1"/>
    <s v="Next Day Air"/>
    <s v="Yes"/>
    <s v="Yes"/>
    <n v="11"/>
    <s v="Bank Transfer"/>
    <x v="0"/>
  </r>
  <r>
    <n v="1573"/>
    <x v="43"/>
    <s v="Male"/>
    <x v="11"/>
    <x v="0"/>
    <n v="92"/>
    <s v="Washington"/>
    <x v="0"/>
    <x v="3"/>
    <x v="2"/>
    <n v="3.4"/>
    <x v="1"/>
    <s v="2-Day Shipping"/>
    <s v="Yes"/>
    <s v="Yes"/>
    <n v="16"/>
    <s v="Debit Card"/>
    <x v="5"/>
  </r>
  <r>
    <n v="1574"/>
    <x v="24"/>
    <s v="Male"/>
    <x v="17"/>
    <x v="0"/>
    <n v="31"/>
    <s v="North Dakota"/>
    <x v="0"/>
    <x v="21"/>
    <x v="2"/>
    <n v="4.3"/>
    <x v="1"/>
    <s v="2-Day Shipping"/>
    <s v="Yes"/>
    <s v="Yes"/>
    <n v="25"/>
    <s v="Debit Card"/>
    <x v="1"/>
  </r>
  <r>
    <n v="1575"/>
    <x v="20"/>
    <s v="Male"/>
    <x v="11"/>
    <x v="0"/>
    <n v="25"/>
    <s v="Minnesota"/>
    <x v="1"/>
    <x v="23"/>
    <x v="1"/>
    <n v="4.2"/>
    <x v="1"/>
    <s v="Free Shipping"/>
    <s v="Yes"/>
    <s v="Yes"/>
    <n v="32"/>
    <s v="PayPal"/>
    <x v="4"/>
  </r>
  <r>
    <n v="1576"/>
    <x v="16"/>
    <s v="Male"/>
    <x v="5"/>
    <x v="0"/>
    <n v="28"/>
    <s v="California"/>
    <x v="2"/>
    <x v="2"/>
    <x v="1"/>
    <n v="3.6"/>
    <x v="1"/>
    <s v="Next Day Air"/>
    <s v="Yes"/>
    <s v="Yes"/>
    <n v="28"/>
    <s v="Cash"/>
    <x v="0"/>
  </r>
  <r>
    <n v="1577"/>
    <x v="19"/>
    <s v="Male"/>
    <x v="10"/>
    <x v="0"/>
    <n v="75"/>
    <s v="Michigan"/>
    <x v="2"/>
    <x v="3"/>
    <x v="1"/>
    <n v="3.7"/>
    <x v="1"/>
    <s v="2-Day Shipping"/>
    <s v="Yes"/>
    <s v="Yes"/>
    <n v="36"/>
    <s v="PayPal"/>
    <x v="5"/>
  </r>
  <r>
    <n v="1578"/>
    <x v="33"/>
    <s v="Male"/>
    <x v="23"/>
    <x v="1"/>
    <n v="34"/>
    <s v="Delaware"/>
    <x v="1"/>
    <x v="8"/>
    <x v="1"/>
    <n v="4"/>
    <x v="1"/>
    <s v="Standard"/>
    <s v="Yes"/>
    <s v="Yes"/>
    <n v="7"/>
    <s v="Venmo"/>
    <x v="0"/>
  </r>
  <r>
    <n v="1579"/>
    <x v="46"/>
    <s v="Male"/>
    <x v="13"/>
    <x v="0"/>
    <n v="97"/>
    <s v="California"/>
    <x v="1"/>
    <x v="1"/>
    <x v="0"/>
    <n v="4.9000000000000004"/>
    <x v="1"/>
    <s v="2-Day Shipping"/>
    <s v="Yes"/>
    <s v="Yes"/>
    <n v="2"/>
    <s v="PayPal"/>
    <x v="3"/>
  </r>
  <r>
    <n v="1580"/>
    <x v="25"/>
    <s v="Male"/>
    <x v="14"/>
    <x v="2"/>
    <n v="80"/>
    <s v="Oklahoma"/>
    <x v="2"/>
    <x v="10"/>
    <x v="2"/>
    <n v="3.1"/>
    <x v="1"/>
    <s v="Free Shipping"/>
    <s v="Yes"/>
    <s v="Yes"/>
    <n v="6"/>
    <s v="Bank Transfer"/>
    <x v="5"/>
  </r>
  <r>
    <n v="1581"/>
    <x v="13"/>
    <s v="Male"/>
    <x v="4"/>
    <x v="1"/>
    <n v="71"/>
    <s v="North Dakota"/>
    <x v="0"/>
    <x v="17"/>
    <x v="2"/>
    <n v="3.7"/>
    <x v="1"/>
    <s v="Standard"/>
    <s v="Yes"/>
    <s v="Yes"/>
    <n v="30"/>
    <s v="Cash"/>
    <x v="2"/>
  </r>
  <r>
    <n v="1582"/>
    <x v="28"/>
    <s v="Male"/>
    <x v="16"/>
    <x v="3"/>
    <n v="77"/>
    <s v="Ohio"/>
    <x v="0"/>
    <x v="11"/>
    <x v="3"/>
    <n v="4.2"/>
    <x v="1"/>
    <s v="Free Shipping"/>
    <s v="Yes"/>
    <s v="Yes"/>
    <n v="46"/>
    <s v="Cash"/>
    <x v="3"/>
  </r>
  <r>
    <n v="1583"/>
    <x v="48"/>
    <s v="Male"/>
    <x v="22"/>
    <x v="3"/>
    <n v="41"/>
    <s v="Hawaii"/>
    <x v="0"/>
    <x v="16"/>
    <x v="1"/>
    <n v="2.5"/>
    <x v="1"/>
    <s v="Next Day Air"/>
    <s v="Yes"/>
    <s v="Yes"/>
    <n v="39"/>
    <s v="Cash"/>
    <x v="5"/>
  </r>
  <r>
    <n v="1584"/>
    <x v="43"/>
    <s v="Male"/>
    <x v="18"/>
    <x v="3"/>
    <n v="92"/>
    <s v="Maryland"/>
    <x v="3"/>
    <x v="22"/>
    <x v="2"/>
    <n v="4.3"/>
    <x v="1"/>
    <s v="Next Day Air"/>
    <s v="Yes"/>
    <s v="Yes"/>
    <n v="8"/>
    <s v="Venmo"/>
    <x v="2"/>
  </r>
  <r>
    <n v="1585"/>
    <x v="38"/>
    <s v="Male"/>
    <x v="0"/>
    <x v="0"/>
    <n v="95"/>
    <s v="Hawaii"/>
    <x v="1"/>
    <x v="5"/>
    <x v="1"/>
    <n v="3.1"/>
    <x v="1"/>
    <s v="Store Pickup"/>
    <s v="Yes"/>
    <s v="Yes"/>
    <n v="46"/>
    <s v="Credit Card"/>
    <x v="3"/>
  </r>
  <r>
    <n v="1586"/>
    <x v="43"/>
    <s v="Male"/>
    <x v="1"/>
    <x v="0"/>
    <n v="25"/>
    <s v="Alabama"/>
    <x v="2"/>
    <x v="4"/>
    <x v="3"/>
    <n v="3"/>
    <x v="1"/>
    <s v="Next Day Air"/>
    <s v="Yes"/>
    <s v="Yes"/>
    <n v="40"/>
    <s v="Debit Card"/>
    <x v="0"/>
  </r>
  <r>
    <n v="1587"/>
    <x v="15"/>
    <s v="Male"/>
    <x v="23"/>
    <x v="1"/>
    <n v="77"/>
    <s v="Oklahoma"/>
    <x v="2"/>
    <x v="7"/>
    <x v="3"/>
    <n v="4"/>
    <x v="1"/>
    <s v="Express"/>
    <s v="Yes"/>
    <s v="Yes"/>
    <n v="21"/>
    <s v="Bank Transfer"/>
    <x v="1"/>
  </r>
  <r>
    <n v="1588"/>
    <x v="38"/>
    <s v="Male"/>
    <x v="20"/>
    <x v="0"/>
    <n v="99"/>
    <s v="Alabama"/>
    <x v="2"/>
    <x v="19"/>
    <x v="2"/>
    <n v="3.5"/>
    <x v="1"/>
    <s v="Free Shipping"/>
    <s v="Yes"/>
    <s v="Yes"/>
    <n v="33"/>
    <s v="Credit Card"/>
    <x v="0"/>
  </r>
  <r>
    <n v="1589"/>
    <x v="39"/>
    <s v="Male"/>
    <x v="22"/>
    <x v="3"/>
    <n v="24"/>
    <s v="Vermont"/>
    <x v="0"/>
    <x v="17"/>
    <x v="0"/>
    <n v="3.2"/>
    <x v="1"/>
    <s v="Next Day Air"/>
    <s v="Yes"/>
    <s v="Yes"/>
    <n v="3"/>
    <s v="Venmo"/>
    <x v="5"/>
  </r>
  <r>
    <n v="1590"/>
    <x v="32"/>
    <s v="Male"/>
    <x v="4"/>
    <x v="1"/>
    <n v="72"/>
    <s v="Ohio"/>
    <x v="2"/>
    <x v="5"/>
    <x v="2"/>
    <n v="2.7"/>
    <x v="1"/>
    <s v="Store Pickup"/>
    <s v="Yes"/>
    <s v="Yes"/>
    <n v="48"/>
    <s v="Cash"/>
    <x v="1"/>
  </r>
  <r>
    <n v="1591"/>
    <x v="22"/>
    <s v="Male"/>
    <x v="2"/>
    <x v="0"/>
    <n v="80"/>
    <s v="Wisconsin"/>
    <x v="1"/>
    <x v="6"/>
    <x v="0"/>
    <n v="3"/>
    <x v="1"/>
    <s v="Free Shipping"/>
    <s v="Yes"/>
    <s v="Yes"/>
    <n v="8"/>
    <s v="PayPal"/>
    <x v="2"/>
  </r>
  <r>
    <n v="1592"/>
    <x v="20"/>
    <s v="Male"/>
    <x v="11"/>
    <x v="0"/>
    <n v="100"/>
    <s v="South Dakota"/>
    <x v="0"/>
    <x v="9"/>
    <x v="0"/>
    <n v="2.9"/>
    <x v="1"/>
    <s v="Next Day Air"/>
    <s v="Yes"/>
    <s v="Yes"/>
    <n v="24"/>
    <s v="PayPal"/>
    <x v="2"/>
  </r>
  <r>
    <n v="1593"/>
    <x v="19"/>
    <s v="Male"/>
    <x v="9"/>
    <x v="1"/>
    <n v="83"/>
    <s v="Iowa"/>
    <x v="2"/>
    <x v="17"/>
    <x v="2"/>
    <n v="3.3"/>
    <x v="1"/>
    <s v="Free Shipping"/>
    <s v="Yes"/>
    <s v="Yes"/>
    <n v="10"/>
    <s v="Bank Transfer"/>
    <x v="6"/>
  </r>
  <r>
    <n v="1594"/>
    <x v="12"/>
    <s v="Male"/>
    <x v="10"/>
    <x v="0"/>
    <n v="95"/>
    <s v="Maryland"/>
    <x v="2"/>
    <x v="13"/>
    <x v="1"/>
    <n v="4.9000000000000004"/>
    <x v="1"/>
    <s v="2-Day Shipping"/>
    <s v="Yes"/>
    <s v="Yes"/>
    <n v="25"/>
    <s v="Bank Transfer"/>
    <x v="5"/>
  </r>
  <r>
    <n v="1595"/>
    <x v="37"/>
    <s v="Male"/>
    <x v="8"/>
    <x v="3"/>
    <n v="41"/>
    <s v="Colorado"/>
    <x v="3"/>
    <x v="4"/>
    <x v="2"/>
    <n v="3.7"/>
    <x v="1"/>
    <s v="Store Pickup"/>
    <s v="Yes"/>
    <s v="Yes"/>
    <n v="3"/>
    <s v="Cash"/>
    <x v="0"/>
  </r>
  <r>
    <n v="1596"/>
    <x v="50"/>
    <s v="Male"/>
    <x v="21"/>
    <x v="3"/>
    <n v="35"/>
    <s v="Wisconsin"/>
    <x v="1"/>
    <x v="23"/>
    <x v="1"/>
    <n v="3.5"/>
    <x v="1"/>
    <s v="Standard"/>
    <s v="Yes"/>
    <s v="Yes"/>
    <n v="45"/>
    <s v="Debit Card"/>
    <x v="0"/>
  </r>
  <r>
    <n v="1597"/>
    <x v="32"/>
    <s v="Male"/>
    <x v="16"/>
    <x v="3"/>
    <n v="30"/>
    <s v="Mississippi"/>
    <x v="1"/>
    <x v="6"/>
    <x v="3"/>
    <n v="4.7"/>
    <x v="1"/>
    <s v="Store Pickup"/>
    <s v="Yes"/>
    <s v="Yes"/>
    <n v="15"/>
    <s v="Debit Card"/>
    <x v="5"/>
  </r>
  <r>
    <n v="1598"/>
    <x v="49"/>
    <s v="Male"/>
    <x v="19"/>
    <x v="3"/>
    <n v="21"/>
    <s v="Mississippi"/>
    <x v="3"/>
    <x v="1"/>
    <x v="0"/>
    <n v="2.6"/>
    <x v="1"/>
    <s v="Store Pickup"/>
    <s v="Yes"/>
    <s v="Yes"/>
    <n v="34"/>
    <s v="Bank Transfer"/>
    <x v="3"/>
  </r>
  <r>
    <n v="1599"/>
    <x v="36"/>
    <s v="Male"/>
    <x v="16"/>
    <x v="3"/>
    <n v="85"/>
    <s v="California"/>
    <x v="2"/>
    <x v="11"/>
    <x v="3"/>
    <n v="4.0999999999999996"/>
    <x v="1"/>
    <s v="Express"/>
    <s v="Yes"/>
    <s v="Yes"/>
    <n v="21"/>
    <s v="Venmo"/>
    <x v="4"/>
  </r>
  <r>
    <n v="1600"/>
    <x v="39"/>
    <s v="Male"/>
    <x v="5"/>
    <x v="0"/>
    <n v="54"/>
    <s v="Delaware"/>
    <x v="2"/>
    <x v="20"/>
    <x v="0"/>
    <n v="2.8"/>
    <x v="1"/>
    <s v="2-Day Shipping"/>
    <s v="Yes"/>
    <s v="Yes"/>
    <n v="22"/>
    <s v="Debit Card"/>
    <x v="4"/>
  </r>
  <r>
    <n v="1601"/>
    <x v="30"/>
    <s v="Male"/>
    <x v="23"/>
    <x v="1"/>
    <n v="26"/>
    <s v="Montana"/>
    <x v="1"/>
    <x v="22"/>
    <x v="1"/>
    <n v="4.7"/>
    <x v="1"/>
    <s v="Next Day Air"/>
    <s v="Yes"/>
    <s v="Yes"/>
    <n v="24"/>
    <s v="PayPal"/>
    <x v="1"/>
  </r>
  <r>
    <n v="1602"/>
    <x v="13"/>
    <s v="Male"/>
    <x v="5"/>
    <x v="0"/>
    <n v="59"/>
    <s v="Indiana"/>
    <x v="3"/>
    <x v="16"/>
    <x v="1"/>
    <n v="2.9"/>
    <x v="1"/>
    <s v="Store Pickup"/>
    <s v="Yes"/>
    <s v="Yes"/>
    <n v="33"/>
    <s v="Credit Card"/>
    <x v="5"/>
  </r>
  <r>
    <n v="1603"/>
    <x v="22"/>
    <s v="Male"/>
    <x v="12"/>
    <x v="3"/>
    <n v="48"/>
    <s v="West Virginia"/>
    <x v="1"/>
    <x v="4"/>
    <x v="0"/>
    <n v="2.8"/>
    <x v="1"/>
    <s v="Free Shipping"/>
    <s v="Yes"/>
    <s v="Yes"/>
    <n v="13"/>
    <s v="Venmo"/>
    <x v="0"/>
  </r>
  <r>
    <n v="1604"/>
    <x v="51"/>
    <s v="Male"/>
    <x v="6"/>
    <x v="0"/>
    <n v="98"/>
    <s v="Iowa"/>
    <x v="0"/>
    <x v="13"/>
    <x v="2"/>
    <n v="4.3"/>
    <x v="1"/>
    <s v="Next Day Air"/>
    <s v="Yes"/>
    <s v="Yes"/>
    <n v="17"/>
    <s v="Debit Card"/>
    <x v="4"/>
  </r>
  <r>
    <n v="1605"/>
    <x v="20"/>
    <s v="Male"/>
    <x v="1"/>
    <x v="0"/>
    <n v="92"/>
    <s v="Maine"/>
    <x v="2"/>
    <x v="3"/>
    <x v="2"/>
    <n v="4.8"/>
    <x v="1"/>
    <s v="2-Day Shipping"/>
    <s v="Yes"/>
    <s v="Yes"/>
    <n v="25"/>
    <s v="Credit Card"/>
    <x v="6"/>
  </r>
  <r>
    <n v="1606"/>
    <x v="27"/>
    <s v="Male"/>
    <x v="22"/>
    <x v="3"/>
    <n v="46"/>
    <s v="Connecticut"/>
    <x v="2"/>
    <x v="12"/>
    <x v="0"/>
    <n v="3.4"/>
    <x v="1"/>
    <s v="Next Day Air"/>
    <s v="Yes"/>
    <s v="Yes"/>
    <n v="15"/>
    <s v="Credit Card"/>
    <x v="4"/>
  </r>
  <r>
    <n v="1607"/>
    <x v="0"/>
    <s v="Male"/>
    <x v="17"/>
    <x v="0"/>
    <n v="21"/>
    <s v="Kansas"/>
    <x v="1"/>
    <x v="3"/>
    <x v="1"/>
    <n v="4.3"/>
    <x v="1"/>
    <s v="Standard"/>
    <s v="Yes"/>
    <s v="Yes"/>
    <n v="4"/>
    <s v="PayPal"/>
    <x v="0"/>
  </r>
  <r>
    <n v="1608"/>
    <x v="34"/>
    <s v="Male"/>
    <x v="6"/>
    <x v="0"/>
    <n v="72"/>
    <s v="Vermont"/>
    <x v="1"/>
    <x v="0"/>
    <x v="3"/>
    <n v="2.7"/>
    <x v="1"/>
    <s v="Free Shipping"/>
    <s v="Yes"/>
    <s v="Yes"/>
    <n v="43"/>
    <s v="Debit Card"/>
    <x v="3"/>
  </r>
  <r>
    <n v="1609"/>
    <x v="8"/>
    <s v="Male"/>
    <x v="3"/>
    <x v="1"/>
    <n v="58"/>
    <s v="Nebraska"/>
    <x v="3"/>
    <x v="17"/>
    <x v="3"/>
    <n v="4.5999999999999996"/>
    <x v="1"/>
    <s v="Next Day Air"/>
    <s v="Yes"/>
    <s v="Yes"/>
    <n v="12"/>
    <s v="Bank Transfer"/>
    <x v="4"/>
  </r>
  <r>
    <n v="1610"/>
    <x v="23"/>
    <s v="Male"/>
    <x v="5"/>
    <x v="0"/>
    <n v="93"/>
    <s v="Nevada"/>
    <x v="1"/>
    <x v="18"/>
    <x v="3"/>
    <n v="4.0999999999999996"/>
    <x v="1"/>
    <s v="Standard"/>
    <s v="Yes"/>
    <s v="Yes"/>
    <n v="3"/>
    <s v="Venmo"/>
    <x v="5"/>
  </r>
  <r>
    <n v="1611"/>
    <x v="30"/>
    <s v="Male"/>
    <x v="20"/>
    <x v="0"/>
    <n v="31"/>
    <s v="Tennessee"/>
    <x v="0"/>
    <x v="7"/>
    <x v="1"/>
    <n v="3.4"/>
    <x v="1"/>
    <s v="2-Day Shipping"/>
    <s v="Yes"/>
    <s v="Yes"/>
    <n v="1"/>
    <s v="PayPal"/>
    <x v="2"/>
  </r>
  <r>
    <n v="1612"/>
    <x v="38"/>
    <s v="Male"/>
    <x v="13"/>
    <x v="0"/>
    <n v="26"/>
    <s v="Arkansas"/>
    <x v="0"/>
    <x v="22"/>
    <x v="0"/>
    <n v="4.5"/>
    <x v="1"/>
    <s v="Next Day Air"/>
    <s v="Yes"/>
    <s v="Yes"/>
    <n v="6"/>
    <s v="Debit Card"/>
    <x v="5"/>
  </r>
  <r>
    <n v="1613"/>
    <x v="20"/>
    <s v="Male"/>
    <x v="11"/>
    <x v="0"/>
    <n v="68"/>
    <s v="Wisconsin"/>
    <x v="2"/>
    <x v="21"/>
    <x v="2"/>
    <n v="4.4000000000000004"/>
    <x v="1"/>
    <s v="Standard"/>
    <s v="Yes"/>
    <s v="Yes"/>
    <n v="26"/>
    <s v="Venmo"/>
    <x v="5"/>
  </r>
  <r>
    <n v="1614"/>
    <x v="8"/>
    <s v="Male"/>
    <x v="16"/>
    <x v="3"/>
    <n v="31"/>
    <s v="Illinois"/>
    <x v="1"/>
    <x v="13"/>
    <x v="2"/>
    <n v="4"/>
    <x v="1"/>
    <s v="Next Day Air"/>
    <s v="Yes"/>
    <s v="Yes"/>
    <n v="6"/>
    <s v="Credit Card"/>
    <x v="0"/>
  </r>
  <r>
    <n v="1615"/>
    <x v="11"/>
    <s v="Male"/>
    <x v="17"/>
    <x v="0"/>
    <n v="41"/>
    <s v="Kansas"/>
    <x v="1"/>
    <x v="0"/>
    <x v="2"/>
    <n v="3.4"/>
    <x v="1"/>
    <s v="Free Shipping"/>
    <s v="Yes"/>
    <s v="Yes"/>
    <n v="22"/>
    <s v="Cash"/>
    <x v="4"/>
  </r>
  <r>
    <n v="1616"/>
    <x v="14"/>
    <s v="Male"/>
    <x v="16"/>
    <x v="3"/>
    <n v="62"/>
    <s v="New York"/>
    <x v="2"/>
    <x v="21"/>
    <x v="3"/>
    <n v="3.2"/>
    <x v="1"/>
    <s v="Standard"/>
    <s v="Yes"/>
    <s v="Yes"/>
    <n v="45"/>
    <s v="Cash"/>
    <x v="4"/>
  </r>
  <r>
    <n v="1617"/>
    <x v="8"/>
    <s v="Male"/>
    <x v="19"/>
    <x v="3"/>
    <n v="41"/>
    <s v="Colorado"/>
    <x v="2"/>
    <x v="14"/>
    <x v="1"/>
    <n v="3.4"/>
    <x v="1"/>
    <s v="Standard"/>
    <s v="Yes"/>
    <s v="Yes"/>
    <n v="50"/>
    <s v="Cash"/>
    <x v="3"/>
  </r>
  <r>
    <n v="1618"/>
    <x v="49"/>
    <s v="Male"/>
    <x v="0"/>
    <x v="0"/>
    <n v="64"/>
    <s v="Wisconsin"/>
    <x v="2"/>
    <x v="15"/>
    <x v="0"/>
    <n v="4.3"/>
    <x v="1"/>
    <s v="Standard"/>
    <s v="Yes"/>
    <s v="Yes"/>
    <n v="50"/>
    <s v="Credit Card"/>
    <x v="0"/>
  </r>
  <r>
    <n v="1619"/>
    <x v="6"/>
    <s v="Male"/>
    <x v="3"/>
    <x v="1"/>
    <n v="72"/>
    <s v="Michigan"/>
    <x v="0"/>
    <x v="7"/>
    <x v="2"/>
    <n v="5"/>
    <x v="1"/>
    <s v="Standard"/>
    <s v="Yes"/>
    <s v="Yes"/>
    <n v="39"/>
    <s v="Debit Card"/>
    <x v="3"/>
  </r>
  <r>
    <n v="1620"/>
    <x v="9"/>
    <s v="Male"/>
    <x v="8"/>
    <x v="3"/>
    <n v="78"/>
    <s v="Hawaii"/>
    <x v="0"/>
    <x v="19"/>
    <x v="0"/>
    <n v="3.5"/>
    <x v="1"/>
    <s v="Store Pickup"/>
    <s v="Yes"/>
    <s v="Yes"/>
    <n v="50"/>
    <s v="Venmo"/>
    <x v="4"/>
  </r>
  <r>
    <n v="1621"/>
    <x v="15"/>
    <s v="Male"/>
    <x v="19"/>
    <x v="3"/>
    <n v="47"/>
    <s v="Virginia"/>
    <x v="2"/>
    <x v="4"/>
    <x v="0"/>
    <n v="3.1"/>
    <x v="1"/>
    <s v="2-Day Shipping"/>
    <s v="Yes"/>
    <s v="Yes"/>
    <n v="27"/>
    <s v="PayPal"/>
    <x v="6"/>
  </r>
  <r>
    <n v="1622"/>
    <x v="33"/>
    <s v="Male"/>
    <x v="18"/>
    <x v="3"/>
    <n v="46"/>
    <s v="Ohio"/>
    <x v="0"/>
    <x v="0"/>
    <x v="2"/>
    <n v="3.9"/>
    <x v="1"/>
    <s v="2-Day Shipping"/>
    <s v="Yes"/>
    <s v="Yes"/>
    <n v="38"/>
    <s v="Debit Card"/>
    <x v="0"/>
  </r>
  <r>
    <n v="1623"/>
    <x v="18"/>
    <s v="Male"/>
    <x v="6"/>
    <x v="0"/>
    <n v="43"/>
    <s v="Missouri"/>
    <x v="1"/>
    <x v="18"/>
    <x v="0"/>
    <n v="4"/>
    <x v="1"/>
    <s v="Store Pickup"/>
    <s v="Yes"/>
    <s v="Yes"/>
    <n v="37"/>
    <s v="Bank Transfer"/>
    <x v="6"/>
  </r>
  <r>
    <n v="1624"/>
    <x v="14"/>
    <s v="Male"/>
    <x v="21"/>
    <x v="3"/>
    <n v="58"/>
    <s v="Indiana"/>
    <x v="2"/>
    <x v="17"/>
    <x v="2"/>
    <n v="3.5"/>
    <x v="1"/>
    <s v="Next Day Air"/>
    <s v="Yes"/>
    <s v="Yes"/>
    <n v="50"/>
    <s v="Debit Card"/>
    <x v="2"/>
  </r>
  <r>
    <n v="1625"/>
    <x v="21"/>
    <s v="Male"/>
    <x v="1"/>
    <x v="0"/>
    <n v="32"/>
    <s v="Florida"/>
    <x v="2"/>
    <x v="3"/>
    <x v="0"/>
    <n v="3.6"/>
    <x v="1"/>
    <s v="Free Shipping"/>
    <s v="Yes"/>
    <s v="Yes"/>
    <n v="40"/>
    <s v="PayPal"/>
    <x v="6"/>
  </r>
  <r>
    <n v="1626"/>
    <x v="50"/>
    <s v="Male"/>
    <x v="11"/>
    <x v="0"/>
    <n v="45"/>
    <s v="Minnesota"/>
    <x v="0"/>
    <x v="19"/>
    <x v="0"/>
    <n v="3"/>
    <x v="1"/>
    <s v="Next Day Air"/>
    <s v="Yes"/>
    <s v="Yes"/>
    <n v="3"/>
    <s v="PayPal"/>
    <x v="4"/>
  </r>
  <r>
    <n v="1627"/>
    <x v="45"/>
    <s v="Male"/>
    <x v="4"/>
    <x v="1"/>
    <n v="35"/>
    <s v="Nevada"/>
    <x v="0"/>
    <x v="20"/>
    <x v="2"/>
    <n v="2.6"/>
    <x v="1"/>
    <s v="Next Day Air"/>
    <s v="Yes"/>
    <s v="Yes"/>
    <n v="45"/>
    <s v="Credit Card"/>
    <x v="4"/>
  </r>
  <r>
    <n v="1628"/>
    <x v="28"/>
    <s v="Male"/>
    <x v="12"/>
    <x v="3"/>
    <n v="21"/>
    <s v="Maine"/>
    <x v="2"/>
    <x v="8"/>
    <x v="0"/>
    <n v="2.9"/>
    <x v="1"/>
    <s v="Next Day Air"/>
    <s v="Yes"/>
    <s v="Yes"/>
    <n v="8"/>
    <s v="Credit Card"/>
    <x v="2"/>
  </r>
  <r>
    <n v="1629"/>
    <x v="4"/>
    <s v="Male"/>
    <x v="10"/>
    <x v="0"/>
    <n v="64"/>
    <s v="Massachusetts"/>
    <x v="1"/>
    <x v="11"/>
    <x v="0"/>
    <n v="3.1"/>
    <x v="1"/>
    <s v="Next Day Air"/>
    <s v="Yes"/>
    <s v="Yes"/>
    <n v="7"/>
    <s v="Cash"/>
    <x v="5"/>
  </r>
  <r>
    <n v="1630"/>
    <x v="25"/>
    <s v="Male"/>
    <x v="0"/>
    <x v="0"/>
    <n v="88"/>
    <s v="North Dakota"/>
    <x v="1"/>
    <x v="5"/>
    <x v="1"/>
    <n v="3.3"/>
    <x v="1"/>
    <s v="Next Day Air"/>
    <s v="Yes"/>
    <s v="Yes"/>
    <n v="13"/>
    <s v="Venmo"/>
    <x v="3"/>
  </r>
  <r>
    <n v="1631"/>
    <x v="6"/>
    <s v="Male"/>
    <x v="9"/>
    <x v="1"/>
    <n v="48"/>
    <s v="New Jersey"/>
    <x v="2"/>
    <x v="9"/>
    <x v="2"/>
    <n v="2.9"/>
    <x v="1"/>
    <s v="Store Pickup"/>
    <s v="Yes"/>
    <s v="Yes"/>
    <n v="29"/>
    <s v="Venmo"/>
    <x v="6"/>
  </r>
  <r>
    <n v="1632"/>
    <x v="13"/>
    <s v="Male"/>
    <x v="1"/>
    <x v="0"/>
    <n v="36"/>
    <s v="Indiana"/>
    <x v="0"/>
    <x v="10"/>
    <x v="2"/>
    <n v="3.9"/>
    <x v="1"/>
    <s v="2-Day Shipping"/>
    <s v="Yes"/>
    <s v="Yes"/>
    <n v="7"/>
    <s v="Bank Transfer"/>
    <x v="0"/>
  </r>
  <r>
    <n v="1633"/>
    <x v="25"/>
    <s v="Male"/>
    <x v="24"/>
    <x v="3"/>
    <n v="28"/>
    <s v="Oregon"/>
    <x v="1"/>
    <x v="3"/>
    <x v="2"/>
    <n v="4.7"/>
    <x v="1"/>
    <s v="2-Day Shipping"/>
    <s v="Yes"/>
    <s v="Yes"/>
    <n v="50"/>
    <s v="Debit Card"/>
    <x v="6"/>
  </r>
  <r>
    <n v="1634"/>
    <x v="22"/>
    <s v="Male"/>
    <x v="20"/>
    <x v="0"/>
    <n v="80"/>
    <s v="North Dakota"/>
    <x v="2"/>
    <x v="15"/>
    <x v="1"/>
    <n v="4.4000000000000004"/>
    <x v="1"/>
    <s v="2-Day Shipping"/>
    <s v="Yes"/>
    <s v="Yes"/>
    <n v="33"/>
    <s v="Debit Card"/>
    <x v="4"/>
  </r>
  <r>
    <n v="1635"/>
    <x v="48"/>
    <s v="Male"/>
    <x v="7"/>
    <x v="2"/>
    <n v="23"/>
    <s v="South Carolina"/>
    <x v="1"/>
    <x v="20"/>
    <x v="2"/>
    <n v="3.6"/>
    <x v="1"/>
    <s v="Store Pickup"/>
    <s v="Yes"/>
    <s v="Yes"/>
    <n v="30"/>
    <s v="Cash"/>
    <x v="6"/>
  </r>
  <r>
    <n v="1636"/>
    <x v="33"/>
    <s v="Male"/>
    <x v="12"/>
    <x v="3"/>
    <n v="24"/>
    <s v="North Carolina"/>
    <x v="0"/>
    <x v="10"/>
    <x v="2"/>
    <n v="3.2"/>
    <x v="1"/>
    <s v="Standard"/>
    <s v="Yes"/>
    <s v="Yes"/>
    <n v="40"/>
    <s v="Cash"/>
    <x v="2"/>
  </r>
  <r>
    <n v="1637"/>
    <x v="44"/>
    <s v="Male"/>
    <x v="23"/>
    <x v="1"/>
    <n v="22"/>
    <s v="North Dakota"/>
    <x v="0"/>
    <x v="14"/>
    <x v="3"/>
    <n v="4"/>
    <x v="1"/>
    <s v="Free Shipping"/>
    <s v="Yes"/>
    <s v="Yes"/>
    <n v="49"/>
    <s v="Cash"/>
    <x v="0"/>
  </r>
  <r>
    <n v="1638"/>
    <x v="25"/>
    <s v="Male"/>
    <x v="10"/>
    <x v="0"/>
    <n v="21"/>
    <s v="Massachusetts"/>
    <x v="2"/>
    <x v="15"/>
    <x v="1"/>
    <n v="3.5"/>
    <x v="1"/>
    <s v="Next Day Air"/>
    <s v="Yes"/>
    <s v="Yes"/>
    <n v="32"/>
    <s v="Venmo"/>
    <x v="0"/>
  </r>
  <r>
    <n v="1639"/>
    <x v="33"/>
    <s v="Male"/>
    <x v="14"/>
    <x v="2"/>
    <n v="51"/>
    <s v="Tennessee"/>
    <x v="2"/>
    <x v="13"/>
    <x v="1"/>
    <n v="4.5999999999999996"/>
    <x v="1"/>
    <s v="Free Shipping"/>
    <s v="Yes"/>
    <s v="Yes"/>
    <n v="18"/>
    <s v="Venmo"/>
    <x v="1"/>
  </r>
  <r>
    <n v="1640"/>
    <x v="38"/>
    <s v="Male"/>
    <x v="24"/>
    <x v="3"/>
    <n v="65"/>
    <s v="Missouri"/>
    <x v="0"/>
    <x v="24"/>
    <x v="2"/>
    <n v="3.3"/>
    <x v="1"/>
    <s v="Free Shipping"/>
    <s v="Yes"/>
    <s v="Yes"/>
    <n v="50"/>
    <s v="PayPal"/>
    <x v="2"/>
  </r>
  <r>
    <n v="1641"/>
    <x v="13"/>
    <s v="Male"/>
    <x v="18"/>
    <x v="3"/>
    <n v="51"/>
    <s v="Tennessee"/>
    <x v="1"/>
    <x v="23"/>
    <x v="1"/>
    <n v="4"/>
    <x v="1"/>
    <s v="2-Day Shipping"/>
    <s v="Yes"/>
    <s v="Yes"/>
    <n v="13"/>
    <s v="PayPal"/>
    <x v="1"/>
  </r>
  <r>
    <n v="1642"/>
    <x v="2"/>
    <s v="Male"/>
    <x v="15"/>
    <x v="0"/>
    <n v="32"/>
    <s v="Colorado"/>
    <x v="0"/>
    <x v="10"/>
    <x v="2"/>
    <n v="3.4"/>
    <x v="1"/>
    <s v="Free Shipping"/>
    <s v="Yes"/>
    <s v="Yes"/>
    <n v="1"/>
    <s v="Bank Transfer"/>
    <x v="6"/>
  </r>
  <r>
    <n v="1643"/>
    <x v="20"/>
    <s v="Male"/>
    <x v="7"/>
    <x v="2"/>
    <n v="70"/>
    <s v="Mississippi"/>
    <x v="2"/>
    <x v="19"/>
    <x v="1"/>
    <n v="4.2"/>
    <x v="1"/>
    <s v="Store Pickup"/>
    <s v="Yes"/>
    <s v="Yes"/>
    <n v="16"/>
    <s v="PayPal"/>
    <x v="0"/>
  </r>
  <r>
    <n v="1644"/>
    <x v="21"/>
    <s v="Male"/>
    <x v="18"/>
    <x v="3"/>
    <n v="77"/>
    <s v="Ohio"/>
    <x v="0"/>
    <x v="6"/>
    <x v="2"/>
    <n v="3.9"/>
    <x v="1"/>
    <s v="2-Day Shipping"/>
    <s v="Yes"/>
    <s v="Yes"/>
    <n v="6"/>
    <s v="PayPal"/>
    <x v="5"/>
  </r>
  <r>
    <n v="1645"/>
    <x v="33"/>
    <s v="Male"/>
    <x v="7"/>
    <x v="2"/>
    <n v="90"/>
    <s v="North Carolina"/>
    <x v="1"/>
    <x v="19"/>
    <x v="2"/>
    <n v="3.9"/>
    <x v="1"/>
    <s v="Next Day Air"/>
    <s v="Yes"/>
    <s v="Yes"/>
    <n v="21"/>
    <s v="Debit Card"/>
    <x v="5"/>
  </r>
  <r>
    <n v="1646"/>
    <x v="10"/>
    <s v="Male"/>
    <x v="18"/>
    <x v="3"/>
    <n v="36"/>
    <s v="Ohio"/>
    <x v="0"/>
    <x v="14"/>
    <x v="2"/>
    <n v="2.8"/>
    <x v="1"/>
    <s v="Standard"/>
    <s v="Yes"/>
    <s v="Yes"/>
    <n v="36"/>
    <s v="Venmo"/>
    <x v="6"/>
  </r>
  <r>
    <n v="1647"/>
    <x v="44"/>
    <s v="Male"/>
    <x v="8"/>
    <x v="3"/>
    <n v="77"/>
    <s v="Nebraska"/>
    <x v="1"/>
    <x v="5"/>
    <x v="2"/>
    <n v="3.7"/>
    <x v="1"/>
    <s v="Standard"/>
    <s v="Yes"/>
    <s v="Yes"/>
    <n v="20"/>
    <s v="Bank Transfer"/>
    <x v="6"/>
  </r>
  <r>
    <n v="1648"/>
    <x v="50"/>
    <s v="Male"/>
    <x v="23"/>
    <x v="1"/>
    <n v="78"/>
    <s v="Hawaii"/>
    <x v="2"/>
    <x v="7"/>
    <x v="2"/>
    <n v="4.9000000000000004"/>
    <x v="1"/>
    <s v="Store Pickup"/>
    <s v="Yes"/>
    <s v="Yes"/>
    <n v="8"/>
    <s v="Debit Card"/>
    <x v="3"/>
  </r>
  <r>
    <n v="1649"/>
    <x v="24"/>
    <s v="Male"/>
    <x v="13"/>
    <x v="0"/>
    <n v="69"/>
    <s v="Oklahoma"/>
    <x v="2"/>
    <x v="0"/>
    <x v="2"/>
    <n v="2.6"/>
    <x v="1"/>
    <s v="Express"/>
    <s v="Yes"/>
    <s v="Yes"/>
    <n v="22"/>
    <s v="Credit Card"/>
    <x v="5"/>
  </r>
  <r>
    <n v="1650"/>
    <x v="44"/>
    <s v="Male"/>
    <x v="17"/>
    <x v="0"/>
    <n v="63"/>
    <s v="Wisconsin"/>
    <x v="2"/>
    <x v="3"/>
    <x v="2"/>
    <n v="4.9000000000000004"/>
    <x v="1"/>
    <s v="Free Shipping"/>
    <s v="Yes"/>
    <s v="Yes"/>
    <n v="3"/>
    <s v="Credit Card"/>
    <x v="3"/>
  </r>
  <r>
    <n v="1651"/>
    <x v="52"/>
    <s v="Male"/>
    <x v="18"/>
    <x v="3"/>
    <n v="36"/>
    <s v="Arkansas"/>
    <x v="2"/>
    <x v="5"/>
    <x v="0"/>
    <n v="3.4"/>
    <x v="1"/>
    <s v="Next Day Air"/>
    <s v="Yes"/>
    <s v="Yes"/>
    <n v="46"/>
    <s v="Credit Card"/>
    <x v="0"/>
  </r>
  <r>
    <n v="1652"/>
    <x v="35"/>
    <s v="Male"/>
    <x v="7"/>
    <x v="2"/>
    <n v="80"/>
    <s v="Texas"/>
    <x v="2"/>
    <x v="24"/>
    <x v="0"/>
    <n v="3.9"/>
    <x v="1"/>
    <s v="Standard"/>
    <s v="Yes"/>
    <s v="Yes"/>
    <n v="42"/>
    <s v="Debit Card"/>
    <x v="5"/>
  </r>
  <r>
    <n v="1653"/>
    <x v="13"/>
    <s v="Male"/>
    <x v="1"/>
    <x v="0"/>
    <n v="35"/>
    <s v="New Mexico"/>
    <x v="2"/>
    <x v="20"/>
    <x v="2"/>
    <n v="4"/>
    <x v="1"/>
    <s v="Next Day Air"/>
    <s v="Yes"/>
    <s v="Yes"/>
    <n v="1"/>
    <s v="Bank Transfer"/>
    <x v="0"/>
  </r>
  <r>
    <n v="1654"/>
    <x v="18"/>
    <s v="Male"/>
    <x v="22"/>
    <x v="3"/>
    <n v="93"/>
    <s v="Colorado"/>
    <x v="0"/>
    <x v="5"/>
    <x v="0"/>
    <n v="3"/>
    <x v="1"/>
    <s v="2-Day Shipping"/>
    <s v="Yes"/>
    <s v="Yes"/>
    <n v="29"/>
    <s v="Debit Card"/>
    <x v="4"/>
  </r>
  <r>
    <n v="1655"/>
    <x v="49"/>
    <s v="Male"/>
    <x v="22"/>
    <x v="3"/>
    <n v="25"/>
    <s v="Indiana"/>
    <x v="0"/>
    <x v="0"/>
    <x v="1"/>
    <n v="2.6"/>
    <x v="1"/>
    <s v="Store Pickup"/>
    <s v="Yes"/>
    <s v="Yes"/>
    <n v="14"/>
    <s v="Credit Card"/>
    <x v="3"/>
  </r>
  <r>
    <n v="1656"/>
    <x v="43"/>
    <s v="Male"/>
    <x v="1"/>
    <x v="0"/>
    <n v="81"/>
    <s v="Arizona"/>
    <x v="0"/>
    <x v="9"/>
    <x v="1"/>
    <n v="3.2"/>
    <x v="1"/>
    <s v="Next Day Air"/>
    <s v="Yes"/>
    <s v="Yes"/>
    <n v="4"/>
    <s v="PayPal"/>
    <x v="5"/>
  </r>
  <r>
    <n v="1657"/>
    <x v="3"/>
    <s v="Male"/>
    <x v="0"/>
    <x v="0"/>
    <n v="42"/>
    <s v="Indiana"/>
    <x v="0"/>
    <x v="18"/>
    <x v="1"/>
    <n v="2.6"/>
    <x v="1"/>
    <s v="2-Day Shipping"/>
    <s v="Yes"/>
    <s v="Yes"/>
    <n v="41"/>
    <s v="PayPal"/>
    <x v="6"/>
  </r>
  <r>
    <n v="1658"/>
    <x v="28"/>
    <s v="Male"/>
    <x v="11"/>
    <x v="0"/>
    <n v="36"/>
    <s v="Indiana"/>
    <x v="0"/>
    <x v="2"/>
    <x v="1"/>
    <n v="3.2"/>
    <x v="1"/>
    <s v="Store Pickup"/>
    <s v="Yes"/>
    <s v="Yes"/>
    <n v="4"/>
    <s v="Debit Card"/>
    <x v="4"/>
  </r>
  <r>
    <n v="1659"/>
    <x v="45"/>
    <s v="Male"/>
    <x v="16"/>
    <x v="3"/>
    <n v="66"/>
    <s v="Alaska"/>
    <x v="1"/>
    <x v="6"/>
    <x v="1"/>
    <n v="4.0999999999999996"/>
    <x v="1"/>
    <s v="Store Pickup"/>
    <s v="Yes"/>
    <s v="Yes"/>
    <n v="47"/>
    <s v="Cash"/>
    <x v="1"/>
  </r>
  <r>
    <n v="1660"/>
    <x v="10"/>
    <s v="Male"/>
    <x v="24"/>
    <x v="3"/>
    <n v="37"/>
    <s v="Utah"/>
    <x v="2"/>
    <x v="13"/>
    <x v="3"/>
    <n v="3.9"/>
    <x v="1"/>
    <s v="Next Day Air"/>
    <s v="Yes"/>
    <s v="Yes"/>
    <n v="44"/>
    <s v="Venmo"/>
    <x v="2"/>
  </r>
  <r>
    <n v="1661"/>
    <x v="35"/>
    <s v="Male"/>
    <x v="17"/>
    <x v="0"/>
    <n v="45"/>
    <s v="Louisiana"/>
    <x v="0"/>
    <x v="22"/>
    <x v="0"/>
    <n v="4.0999999999999996"/>
    <x v="1"/>
    <s v="Standard"/>
    <s v="Yes"/>
    <s v="Yes"/>
    <n v="37"/>
    <s v="Venmo"/>
    <x v="5"/>
  </r>
  <r>
    <n v="1662"/>
    <x v="14"/>
    <s v="Male"/>
    <x v="24"/>
    <x v="3"/>
    <n v="86"/>
    <s v="Iowa"/>
    <x v="1"/>
    <x v="19"/>
    <x v="2"/>
    <n v="2.7"/>
    <x v="1"/>
    <s v="2-Day Shipping"/>
    <s v="Yes"/>
    <s v="Yes"/>
    <n v="21"/>
    <s v="Debit Card"/>
    <x v="3"/>
  </r>
  <r>
    <n v="1663"/>
    <x v="6"/>
    <s v="Male"/>
    <x v="12"/>
    <x v="3"/>
    <n v="24"/>
    <s v="New Mexico"/>
    <x v="2"/>
    <x v="8"/>
    <x v="0"/>
    <n v="4.5999999999999996"/>
    <x v="1"/>
    <s v="Free Shipping"/>
    <s v="Yes"/>
    <s v="Yes"/>
    <n v="46"/>
    <s v="Debit Card"/>
    <x v="0"/>
  </r>
  <r>
    <n v="1664"/>
    <x v="49"/>
    <s v="Male"/>
    <x v="5"/>
    <x v="0"/>
    <n v="22"/>
    <s v="Maine"/>
    <x v="3"/>
    <x v="9"/>
    <x v="2"/>
    <n v="3.5"/>
    <x v="1"/>
    <s v="Standard"/>
    <s v="Yes"/>
    <s v="Yes"/>
    <n v="1"/>
    <s v="Cash"/>
    <x v="4"/>
  </r>
  <r>
    <n v="1665"/>
    <x v="1"/>
    <s v="Male"/>
    <x v="8"/>
    <x v="3"/>
    <n v="53"/>
    <s v="Minnesota"/>
    <x v="2"/>
    <x v="7"/>
    <x v="1"/>
    <n v="5"/>
    <x v="1"/>
    <s v="Next Day Air"/>
    <s v="Yes"/>
    <s v="Yes"/>
    <n v="35"/>
    <s v="PayPal"/>
    <x v="1"/>
  </r>
  <r>
    <n v="1666"/>
    <x v="37"/>
    <s v="Male"/>
    <x v="14"/>
    <x v="2"/>
    <n v="41"/>
    <s v="New Mexico"/>
    <x v="0"/>
    <x v="6"/>
    <x v="3"/>
    <n v="3.4"/>
    <x v="1"/>
    <s v="Next Day Air"/>
    <s v="Yes"/>
    <s v="Yes"/>
    <n v="49"/>
    <s v="Venmo"/>
    <x v="5"/>
  </r>
  <r>
    <n v="1667"/>
    <x v="47"/>
    <s v="Male"/>
    <x v="11"/>
    <x v="0"/>
    <n v="64"/>
    <s v="Arkansas"/>
    <x v="2"/>
    <x v="24"/>
    <x v="2"/>
    <n v="3.1"/>
    <x v="1"/>
    <s v="Store Pickup"/>
    <s v="Yes"/>
    <s v="Yes"/>
    <n v="47"/>
    <s v="PayPal"/>
    <x v="2"/>
  </r>
  <r>
    <n v="1668"/>
    <x v="47"/>
    <s v="Male"/>
    <x v="8"/>
    <x v="3"/>
    <n v="40"/>
    <s v="Oklahoma"/>
    <x v="0"/>
    <x v="18"/>
    <x v="0"/>
    <n v="3.4"/>
    <x v="1"/>
    <s v="2-Day Shipping"/>
    <s v="Yes"/>
    <s v="Yes"/>
    <n v="24"/>
    <s v="Bank Transfer"/>
    <x v="6"/>
  </r>
  <r>
    <n v="1669"/>
    <x v="17"/>
    <s v="Male"/>
    <x v="0"/>
    <x v="0"/>
    <n v="33"/>
    <s v="Utah"/>
    <x v="0"/>
    <x v="4"/>
    <x v="2"/>
    <n v="4"/>
    <x v="1"/>
    <s v="Standard"/>
    <s v="Yes"/>
    <s v="Yes"/>
    <n v="28"/>
    <s v="Debit Card"/>
    <x v="0"/>
  </r>
  <r>
    <n v="1670"/>
    <x v="32"/>
    <s v="Male"/>
    <x v="17"/>
    <x v="0"/>
    <n v="59"/>
    <s v="Wisconsin"/>
    <x v="0"/>
    <x v="1"/>
    <x v="0"/>
    <n v="2.7"/>
    <x v="1"/>
    <s v="Store Pickup"/>
    <s v="Yes"/>
    <s v="Yes"/>
    <n v="22"/>
    <s v="Bank Transfer"/>
    <x v="3"/>
  </r>
  <r>
    <n v="1671"/>
    <x v="40"/>
    <s v="Male"/>
    <x v="13"/>
    <x v="0"/>
    <n v="73"/>
    <s v="Utah"/>
    <x v="0"/>
    <x v="17"/>
    <x v="3"/>
    <n v="3.6"/>
    <x v="1"/>
    <s v="Free Shipping"/>
    <s v="Yes"/>
    <s v="Yes"/>
    <n v="20"/>
    <s v="Cash"/>
    <x v="1"/>
  </r>
  <r>
    <n v="1672"/>
    <x v="18"/>
    <s v="Male"/>
    <x v="15"/>
    <x v="0"/>
    <n v="22"/>
    <s v="Utah"/>
    <x v="2"/>
    <x v="8"/>
    <x v="0"/>
    <n v="4"/>
    <x v="1"/>
    <s v="Free Shipping"/>
    <s v="Yes"/>
    <s v="Yes"/>
    <n v="25"/>
    <s v="Bank Transfer"/>
    <x v="1"/>
  </r>
  <r>
    <n v="1673"/>
    <x v="20"/>
    <s v="Male"/>
    <x v="23"/>
    <x v="1"/>
    <n v="73"/>
    <s v="South Carolina"/>
    <x v="0"/>
    <x v="9"/>
    <x v="3"/>
    <n v="3.8"/>
    <x v="1"/>
    <s v="Free Shipping"/>
    <s v="Yes"/>
    <s v="Yes"/>
    <n v="15"/>
    <s v="Venmo"/>
    <x v="3"/>
  </r>
  <r>
    <n v="1674"/>
    <x v="3"/>
    <s v="Male"/>
    <x v="0"/>
    <x v="0"/>
    <n v="62"/>
    <s v="Hawaii"/>
    <x v="2"/>
    <x v="10"/>
    <x v="3"/>
    <n v="3.4"/>
    <x v="1"/>
    <s v="Next Day Air"/>
    <s v="Yes"/>
    <s v="Yes"/>
    <n v="49"/>
    <s v="Venmo"/>
    <x v="4"/>
  </r>
  <r>
    <n v="1675"/>
    <x v="25"/>
    <s v="Male"/>
    <x v="7"/>
    <x v="2"/>
    <n v="56"/>
    <s v="Alaska"/>
    <x v="2"/>
    <x v="15"/>
    <x v="0"/>
    <n v="3.2"/>
    <x v="1"/>
    <s v="Free Shipping"/>
    <s v="Yes"/>
    <s v="Yes"/>
    <n v="10"/>
    <s v="Debit Card"/>
    <x v="0"/>
  </r>
  <r>
    <n v="1676"/>
    <x v="25"/>
    <s v="Male"/>
    <x v="13"/>
    <x v="0"/>
    <n v="90"/>
    <s v="Colorado"/>
    <x v="2"/>
    <x v="19"/>
    <x v="1"/>
    <n v="4.7"/>
    <x v="1"/>
    <s v="Next Day Air"/>
    <s v="Yes"/>
    <s v="Yes"/>
    <n v="21"/>
    <s v="Credit Card"/>
    <x v="2"/>
  </r>
  <r>
    <n v="1677"/>
    <x v="7"/>
    <s v="Male"/>
    <x v="12"/>
    <x v="3"/>
    <n v="44"/>
    <s v="West Virginia"/>
    <x v="2"/>
    <x v="17"/>
    <x v="0"/>
    <n v="3.1"/>
    <x v="1"/>
    <s v="Next Day Air"/>
    <s v="Yes"/>
    <s v="Yes"/>
    <n v="34"/>
    <s v="Bank Transfer"/>
    <x v="1"/>
  </r>
  <r>
    <n v="1678"/>
    <x v="13"/>
    <s v="Male"/>
    <x v="2"/>
    <x v="0"/>
    <n v="35"/>
    <s v="Oregon"/>
    <x v="0"/>
    <x v="5"/>
    <x v="2"/>
    <n v="3.3"/>
    <x v="1"/>
    <s v="Next Day Air"/>
    <s v="No"/>
    <s v="No"/>
    <n v="41"/>
    <s v="Debit Card"/>
    <x v="1"/>
  </r>
  <r>
    <n v="1679"/>
    <x v="38"/>
    <s v="Male"/>
    <x v="13"/>
    <x v="0"/>
    <n v="71"/>
    <s v="Ohio"/>
    <x v="1"/>
    <x v="23"/>
    <x v="2"/>
    <n v="4.8"/>
    <x v="1"/>
    <s v="2-Day Shipping"/>
    <s v="No"/>
    <s v="No"/>
    <n v="30"/>
    <s v="Venmo"/>
    <x v="0"/>
  </r>
  <r>
    <n v="1680"/>
    <x v="52"/>
    <s v="Male"/>
    <x v="10"/>
    <x v="0"/>
    <n v="52"/>
    <s v="Massachusetts"/>
    <x v="1"/>
    <x v="13"/>
    <x v="3"/>
    <n v="4.5"/>
    <x v="1"/>
    <s v="Next Day Air"/>
    <s v="No"/>
    <s v="No"/>
    <n v="24"/>
    <s v="Debit Card"/>
    <x v="4"/>
  </r>
  <r>
    <n v="1681"/>
    <x v="12"/>
    <s v="Male"/>
    <x v="9"/>
    <x v="1"/>
    <n v="37"/>
    <s v="Louisiana"/>
    <x v="2"/>
    <x v="8"/>
    <x v="2"/>
    <n v="3.4"/>
    <x v="1"/>
    <s v="Store Pickup"/>
    <s v="No"/>
    <s v="No"/>
    <n v="6"/>
    <s v="Credit Card"/>
    <x v="2"/>
  </r>
  <r>
    <n v="1682"/>
    <x v="41"/>
    <s v="Male"/>
    <x v="4"/>
    <x v="1"/>
    <n v="95"/>
    <s v="Virginia"/>
    <x v="0"/>
    <x v="14"/>
    <x v="0"/>
    <n v="3.7"/>
    <x v="1"/>
    <s v="2-Day Shipping"/>
    <s v="No"/>
    <s v="No"/>
    <n v="14"/>
    <s v="Credit Card"/>
    <x v="4"/>
  </r>
  <r>
    <n v="1683"/>
    <x v="13"/>
    <s v="Male"/>
    <x v="20"/>
    <x v="0"/>
    <n v="97"/>
    <s v="New York"/>
    <x v="2"/>
    <x v="22"/>
    <x v="3"/>
    <n v="4.9000000000000004"/>
    <x v="1"/>
    <s v="2-Day Shipping"/>
    <s v="No"/>
    <s v="No"/>
    <n v="37"/>
    <s v="Credit Card"/>
    <x v="4"/>
  </r>
  <r>
    <n v="1684"/>
    <x v="51"/>
    <s v="Male"/>
    <x v="7"/>
    <x v="2"/>
    <n v="57"/>
    <s v="Arkansas"/>
    <x v="1"/>
    <x v="12"/>
    <x v="1"/>
    <n v="3.5"/>
    <x v="1"/>
    <s v="Next Day Air"/>
    <s v="No"/>
    <s v="No"/>
    <n v="37"/>
    <s v="Venmo"/>
    <x v="3"/>
  </r>
  <r>
    <n v="1685"/>
    <x v="11"/>
    <s v="Male"/>
    <x v="5"/>
    <x v="0"/>
    <n v="93"/>
    <s v="New Mexico"/>
    <x v="2"/>
    <x v="21"/>
    <x v="1"/>
    <n v="4.5999999999999996"/>
    <x v="1"/>
    <s v="Standard"/>
    <s v="No"/>
    <s v="No"/>
    <n v="28"/>
    <s v="PayPal"/>
    <x v="1"/>
  </r>
  <r>
    <n v="1686"/>
    <x v="23"/>
    <s v="Male"/>
    <x v="0"/>
    <x v="0"/>
    <n v="48"/>
    <s v="Minnesota"/>
    <x v="2"/>
    <x v="6"/>
    <x v="0"/>
    <n v="4.5999999999999996"/>
    <x v="1"/>
    <s v="Standard"/>
    <s v="No"/>
    <s v="No"/>
    <n v="43"/>
    <s v="PayPal"/>
    <x v="4"/>
  </r>
  <r>
    <n v="1687"/>
    <x v="40"/>
    <s v="Male"/>
    <x v="24"/>
    <x v="3"/>
    <n v="75"/>
    <s v="Illinois"/>
    <x v="0"/>
    <x v="16"/>
    <x v="3"/>
    <n v="4.2"/>
    <x v="1"/>
    <s v="Store Pickup"/>
    <s v="No"/>
    <s v="No"/>
    <n v="25"/>
    <s v="Cash"/>
    <x v="2"/>
  </r>
  <r>
    <n v="1688"/>
    <x v="29"/>
    <s v="Male"/>
    <x v="11"/>
    <x v="0"/>
    <n v="70"/>
    <s v="Georgia"/>
    <x v="1"/>
    <x v="23"/>
    <x v="0"/>
    <n v="3.7"/>
    <x v="1"/>
    <s v="Free Shipping"/>
    <s v="No"/>
    <s v="No"/>
    <n v="4"/>
    <s v="PayPal"/>
    <x v="2"/>
  </r>
  <r>
    <n v="1689"/>
    <x v="48"/>
    <s v="Male"/>
    <x v="8"/>
    <x v="3"/>
    <n v="26"/>
    <s v="Mississippi"/>
    <x v="1"/>
    <x v="15"/>
    <x v="0"/>
    <n v="3"/>
    <x v="1"/>
    <s v="Next Day Air"/>
    <s v="No"/>
    <s v="No"/>
    <n v="13"/>
    <s v="Venmo"/>
    <x v="0"/>
  </r>
  <r>
    <n v="1690"/>
    <x v="45"/>
    <s v="Male"/>
    <x v="5"/>
    <x v="0"/>
    <n v="73"/>
    <s v="North Carolina"/>
    <x v="0"/>
    <x v="2"/>
    <x v="0"/>
    <n v="4.5999999999999996"/>
    <x v="1"/>
    <s v="Store Pickup"/>
    <s v="No"/>
    <s v="No"/>
    <n v="32"/>
    <s v="Bank Transfer"/>
    <x v="5"/>
  </r>
  <r>
    <n v="1691"/>
    <x v="37"/>
    <s v="Male"/>
    <x v="7"/>
    <x v="2"/>
    <n v="30"/>
    <s v="Nevada"/>
    <x v="2"/>
    <x v="13"/>
    <x v="2"/>
    <n v="3.2"/>
    <x v="1"/>
    <s v="Free Shipping"/>
    <s v="No"/>
    <s v="No"/>
    <n v="1"/>
    <s v="Cash"/>
    <x v="2"/>
  </r>
  <r>
    <n v="1692"/>
    <x v="14"/>
    <s v="Male"/>
    <x v="9"/>
    <x v="1"/>
    <n v="61"/>
    <s v="Connecticut"/>
    <x v="0"/>
    <x v="24"/>
    <x v="2"/>
    <n v="3.5"/>
    <x v="1"/>
    <s v="Next Day Air"/>
    <s v="No"/>
    <s v="No"/>
    <n v="4"/>
    <s v="Cash"/>
    <x v="2"/>
  </r>
  <r>
    <n v="1693"/>
    <x v="19"/>
    <s v="Male"/>
    <x v="8"/>
    <x v="3"/>
    <n v="75"/>
    <s v="Utah"/>
    <x v="2"/>
    <x v="19"/>
    <x v="0"/>
    <n v="2.6"/>
    <x v="1"/>
    <s v="Standard"/>
    <s v="No"/>
    <s v="No"/>
    <n v="33"/>
    <s v="Cash"/>
    <x v="4"/>
  </r>
  <r>
    <n v="1694"/>
    <x v="6"/>
    <s v="Male"/>
    <x v="14"/>
    <x v="2"/>
    <n v="88"/>
    <s v="Tennessee"/>
    <x v="3"/>
    <x v="8"/>
    <x v="3"/>
    <n v="4.9000000000000004"/>
    <x v="1"/>
    <s v="Standard"/>
    <s v="No"/>
    <s v="No"/>
    <n v="45"/>
    <s v="Bank Transfer"/>
    <x v="0"/>
  </r>
  <r>
    <n v="1695"/>
    <x v="30"/>
    <s v="Male"/>
    <x v="5"/>
    <x v="0"/>
    <n v="67"/>
    <s v="Mississippi"/>
    <x v="2"/>
    <x v="2"/>
    <x v="2"/>
    <n v="2.7"/>
    <x v="1"/>
    <s v="Express"/>
    <s v="No"/>
    <s v="No"/>
    <n v="20"/>
    <s v="Debit Card"/>
    <x v="0"/>
  </r>
  <r>
    <n v="1696"/>
    <x v="22"/>
    <s v="Male"/>
    <x v="19"/>
    <x v="3"/>
    <n v="95"/>
    <s v="Nebraska"/>
    <x v="1"/>
    <x v="22"/>
    <x v="3"/>
    <n v="4.7"/>
    <x v="1"/>
    <s v="2-Day Shipping"/>
    <s v="No"/>
    <s v="No"/>
    <n v="1"/>
    <s v="PayPal"/>
    <x v="0"/>
  </r>
  <r>
    <n v="1697"/>
    <x v="18"/>
    <s v="Male"/>
    <x v="12"/>
    <x v="3"/>
    <n v="69"/>
    <s v="West Virginia"/>
    <x v="1"/>
    <x v="2"/>
    <x v="1"/>
    <n v="4"/>
    <x v="1"/>
    <s v="Free Shipping"/>
    <s v="No"/>
    <s v="No"/>
    <n v="7"/>
    <s v="Credit Card"/>
    <x v="4"/>
  </r>
  <r>
    <n v="1698"/>
    <x v="24"/>
    <s v="Male"/>
    <x v="5"/>
    <x v="0"/>
    <n v="87"/>
    <s v="South Carolina"/>
    <x v="0"/>
    <x v="12"/>
    <x v="3"/>
    <n v="3.5"/>
    <x v="1"/>
    <s v="Next Day Air"/>
    <s v="No"/>
    <s v="No"/>
    <n v="48"/>
    <s v="Credit Card"/>
    <x v="6"/>
  </r>
  <r>
    <n v="1699"/>
    <x v="15"/>
    <s v="Male"/>
    <x v="22"/>
    <x v="3"/>
    <n v="41"/>
    <s v="Iowa"/>
    <x v="3"/>
    <x v="2"/>
    <x v="0"/>
    <n v="4.8"/>
    <x v="1"/>
    <s v="Standard"/>
    <s v="No"/>
    <s v="No"/>
    <n v="46"/>
    <s v="Bank Transfer"/>
    <x v="3"/>
  </r>
  <r>
    <n v="1700"/>
    <x v="30"/>
    <s v="Male"/>
    <x v="1"/>
    <x v="0"/>
    <n v="67"/>
    <s v="North Dakota"/>
    <x v="0"/>
    <x v="11"/>
    <x v="1"/>
    <n v="4"/>
    <x v="1"/>
    <s v="Free Shipping"/>
    <s v="No"/>
    <s v="No"/>
    <n v="34"/>
    <s v="Debit Card"/>
    <x v="2"/>
  </r>
  <r>
    <n v="1701"/>
    <x v="46"/>
    <s v="Male"/>
    <x v="15"/>
    <x v="0"/>
    <n v="70"/>
    <s v="West Virginia"/>
    <x v="0"/>
    <x v="13"/>
    <x v="3"/>
    <n v="4.0999999999999996"/>
    <x v="1"/>
    <s v="Express"/>
    <s v="No"/>
    <s v="No"/>
    <n v="36"/>
    <s v="Bank Transfer"/>
    <x v="5"/>
  </r>
  <r>
    <n v="1702"/>
    <x v="28"/>
    <s v="Male"/>
    <x v="8"/>
    <x v="3"/>
    <n v="41"/>
    <s v="Mississippi"/>
    <x v="3"/>
    <x v="24"/>
    <x v="0"/>
    <n v="3.8"/>
    <x v="1"/>
    <s v="Next Day Air"/>
    <s v="No"/>
    <s v="No"/>
    <n v="44"/>
    <s v="Debit Card"/>
    <x v="6"/>
  </r>
  <r>
    <n v="1703"/>
    <x v="22"/>
    <s v="Male"/>
    <x v="2"/>
    <x v="0"/>
    <n v="83"/>
    <s v="Alabama"/>
    <x v="3"/>
    <x v="22"/>
    <x v="2"/>
    <n v="5"/>
    <x v="1"/>
    <s v="Express"/>
    <s v="No"/>
    <s v="No"/>
    <n v="48"/>
    <s v="Bank Transfer"/>
    <x v="1"/>
  </r>
  <r>
    <n v="1704"/>
    <x v="31"/>
    <s v="Male"/>
    <x v="21"/>
    <x v="3"/>
    <n v="22"/>
    <s v="California"/>
    <x v="2"/>
    <x v="13"/>
    <x v="1"/>
    <n v="4"/>
    <x v="1"/>
    <s v="Next Day Air"/>
    <s v="No"/>
    <s v="No"/>
    <n v="12"/>
    <s v="Bank Transfer"/>
    <x v="2"/>
  </r>
  <r>
    <n v="1705"/>
    <x v="19"/>
    <s v="Male"/>
    <x v="4"/>
    <x v="1"/>
    <n v="20"/>
    <s v="Idaho"/>
    <x v="2"/>
    <x v="12"/>
    <x v="2"/>
    <n v="3.9"/>
    <x v="1"/>
    <s v="Store Pickup"/>
    <s v="No"/>
    <s v="No"/>
    <n v="19"/>
    <s v="Cash"/>
    <x v="6"/>
  </r>
  <r>
    <n v="1706"/>
    <x v="31"/>
    <s v="Male"/>
    <x v="16"/>
    <x v="3"/>
    <n v="29"/>
    <s v="South Dakota"/>
    <x v="0"/>
    <x v="17"/>
    <x v="2"/>
    <n v="3.4"/>
    <x v="1"/>
    <s v="2-Day Shipping"/>
    <s v="No"/>
    <s v="No"/>
    <n v="49"/>
    <s v="Venmo"/>
    <x v="4"/>
  </r>
  <r>
    <n v="1707"/>
    <x v="43"/>
    <s v="Male"/>
    <x v="12"/>
    <x v="3"/>
    <n v="87"/>
    <s v="North Dakota"/>
    <x v="2"/>
    <x v="18"/>
    <x v="1"/>
    <n v="3"/>
    <x v="1"/>
    <s v="Standard"/>
    <s v="No"/>
    <s v="No"/>
    <n v="25"/>
    <s v="Venmo"/>
    <x v="0"/>
  </r>
  <r>
    <n v="1708"/>
    <x v="15"/>
    <s v="Male"/>
    <x v="6"/>
    <x v="0"/>
    <n v="81"/>
    <s v="Nevada"/>
    <x v="0"/>
    <x v="1"/>
    <x v="3"/>
    <n v="4.9000000000000004"/>
    <x v="1"/>
    <s v="2-Day Shipping"/>
    <s v="No"/>
    <s v="No"/>
    <n v="25"/>
    <s v="Cash"/>
    <x v="4"/>
  </r>
  <r>
    <n v="1709"/>
    <x v="25"/>
    <s v="Male"/>
    <x v="23"/>
    <x v="1"/>
    <n v="58"/>
    <s v="Florida"/>
    <x v="0"/>
    <x v="17"/>
    <x v="1"/>
    <n v="3.2"/>
    <x v="1"/>
    <s v="Express"/>
    <s v="No"/>
    <s v="No"/>
    <n v="1"/>
    <s v="Credit Card"/>
    <x v="3"/>
  </r>
  <r>
    <n v="1710"/>
    <x v="4"/>
    <s v="Male"/>
    <x v="11"/>
    <x v="0"/>
    <n v="83"/>
    <s v="Indiana"/>
    <x v="2"/>
    <x v="6"/>
    <x v="0"/>
    <n v="3.8"/>
    <x v="1"/>
    <s v="Standard"/>
    <s v="No"/>
    <s v="No"/>
    <n v="19"/>
    <s v="Bank Transfer"/>
    <x v="2"/>
  </r>
  <r>
    <n v="1711"/>
    <x v="1"/>
    <s v="Male"/>
    <x v="13"/>
    <x v="0"/>
    <n v="59"/>
    <s v="Arkansas"/>
    <x v="3"/>
    <x v="20"/>
    <x v="3"/>
    <n v="3.8"/>
    <x v="1"/>
    <s v="Store Pickup"/>
    <s v="No"/>
    <s v="No"/>
    <n v="7"/>
    <s v="Credit Card"/>
    <x v="3"/>
  </r>
  <r>
    <n v="1712"/>
    <x v="3"/>
    <s v="Male"/>
    <x v="17"/>
    <x v="0"/>
    <n v="93"/>
    <s v="North Carolina"/>
    <x v="2"/>
    <x v="12"/>
    <x v="1"/>
    <n v="4.7"/>
    <x v="1"/>
    <s v="Express"/>
    <s v="No"/>
    <s v="No"/>
    <n v="19"/>
    <s v="Credit Card"/>
    <x v="5"/>
  </r>
  <r>
    <n v="1713"/>
    <x v="13"/>
    <s v="Male"/>
    <x v="17"/>
    <x v="0"/>
    <n v="87"/>
    <s v="Illinois"/>
    <x v="1"/>
    <x v="19"/>
    <x v="3"/>
    <n v="3.8"/>
    <x v="1"/>
    <s v="2-Day Shipping"/>
    <s v="No"/>
    <s v="No"/>
    <n v="9"/>
    <s v="Cash"/>
    <x v="0"/>
  </r>
  <r>
    <n v="1714"/>
    <x v="34"/>
    <s v="Male"/>
    <x v="14"/>
    <x v="2"/>
    <n v="22"/>
    <s v="Missouri"/>
    <x v="2"/>
    <x v="6"/>
    <x v="0"/>
    <n v="4.5999999999999996"/>
    <x v="1"/>
    <s v="Free Shipping"/>
    <s v="No"/>
    <s v="No"/>
    <n v="37"/>
    <s v="PayPal"/>
    <x v="3"/>
  </r>
  <r>
    <n v="1715"/>
    <x v="11"/>
    <s v="Male"/>
    <x v="2"/>
    <x v="0"/>
    <n v="71"/>
    <s v="South Dakota"/>
    <x v="1"/>
    <x v="4"/>
    <x v="2"/>
    <n v="4.4000000000000004"/>
    <x v="1"/>
    <s v="Standard"/>
    <s v="No"/>
    <s v="No"/>
    <n v="15"/>
    <s v="Cash"/>
    <x v="5"/>
  </r>
  <r>
    <n v="1716"/>
    <x v="51"/>
    <s v="Male"/>
    <x v="10"/>
    <x v="0"/>
    <n v="69"/>
    <s v="Idaho"/>
    <x v="3"/>
    <x v="0"/>
    <x v="1"/>
    <n v="3.4"/>
    <x v="1"/>
    <s v="2-Day Shipping"/>
    <s v="No"/>
    <s v="No"/>
    <n v="30"/>
    <s v="PayPal"/>
    <x v="4"/>
  </r>
  <r>
    <n v="1717"/>
    <x v="28"/>
    <s v="Male"/>
    <x v="0"/>
    <x v="0"/>
    <n v="47"/>
    <s v="Connecticut"/>
    <x v="2"/>
    <x v="17"/>
    <x v="0"/>
    <n v="4.7"/>
    <x v="1"/>
    <s v="Standard"/>
    <s v="No"/>
    <s v="No"/>
    <n v="30"/>
    <s v="Cash"/>
    <x v="6"/>
  </r>
  <r>
    <n v="1718"/>
    <x v="26"/>
    <s v="Male"/>
    <x v="15"/>
    <x v="0"/>
    <n v="50"/>
    <s v="Hawaii"/>
    <x v="0"/>
    <x v="20"/>
    <x v="2"/>
    <n v="2.9"/>
    <x v="1"/>
    <s v="Express"/>
    <s v="No"/>
    <s v="No"/>
    <n v="16"/>
    <s v="Debit Card"/>
    <x v="4"/>
  </r>
  <r>
    <n v="1719"/>
    <x v="22"/>
    <s v="Male"/>
    <x v="17"/>
    <x v="0"/>
    <n v="96"/>
    <s v="Maryland"/>
    <x v="0"/>
    <x v="6"/>
    <x v="0"/>
    <n v="3.4"/>
    <x v="1"/>
    <s v="2-Day Shipping"/>
    <s v="No"/>
    <s v="No"/>
    <n v="14"/>
    <s v="PayPal"/>
    <x v="6"/>
  </r>
  <r>
    <n v="1720"/>
    <x v="4"/>
    <s v="Male"/>
    <x v="1"/>
    <x v="0"/>
    <n v="39"/>
    <s v="Maryland"/>
    <x v="2"/>
    <x v="3"/>
    <x v="0"/>
    <n v="3.2"/>
    <x v="1"/>
    <s v="Free Shipping"/>
    <s v="No"/>
    <s v="No"/>
    <n v="8"/>
    <s v="Venmo"/>
    <x v="3"/>
  </r>
  <r>
    <n v="1721"/>
    <x v="15"/>
    <s v="Male"/>
    <x v="6"/>
    <x v="0"/>
    <n v="84"/>
    <s v="Massachusetts"/>
    <x v="1"/>
    <x v="19"/>
    <x v="0"/>
    <n v="2.8"/>
    <x v="1"/>
    <s v="Express"/>
    <s v="No"/>
    <s v="No"/>
    <n v="40"/>
    <s v="Debit Card"/>
    <x v="4"/>
  </r>
  <r>
    <n v="1722"/>
    <x v="50"/>
    <s v="Male"/>
    <x v="16"/>
    <x v="3"/>
    <n v="28"/>
    <s v="Delaware"/>
    <x v="1"/>
    <x v="23"/>
    <x v="1"/>
    <n v="4.3"/>
    <x v="1"/>
    <s v="Free Shipping"/>
    <s v="No"/>
    <s v="No"/>
    <n v="24"/>
    <s v="Credit Card"/>
    <x v="5"/>
  </r>
  <r>
    <n v="1723"/>
    <x v="5"/>
    <s v="Male"/>
    <x v="17"/>
    <x v="0"/>
    <n v="51"/>
    <s v="Massachusetts"/>
    <x v="0"/>
    <x v="10"/>
    <x v="2"/>
    <n v="3.3"/>
    <x v="1"/>
    <s v="Standard"/>
    <s v="No"/>
    <s v="No"/>
    <n v="14"/>
    <s v="Cash"/>
    <x v="0"/>
  </r>
  <r>
    <n v="1724"/>
    <x v="27"/>
    <s v="Male"/>
    <x v="18"/>
    <x v="3"/>
    <n v="20"/>
    <s v="New York"/>
    <x v="3"/>
    <x v="9"/>
    <x v="1"/>
    <n v="3.3"/>
    <x v="1"/>
    <s v="Standard"/>
    <s v="No"/>
    <s v="No"/>
    <n v="39"/>
    <s v="PayPal"/>
    <x v="2"/>
  </r>
  <r>
    <n v="1725"/>
    <x v="32"/>
    <s v="Male"/>
    <x v="9"/>
    <x v="1"/>
    <n v="72"/>
    <s v="Delaware"/>
    <x v="1"/>
    <x v="11"/>
    <x v="0"/>
    <n v="3.3"/>
    <x v="1"/>
    <s v="Free Shipping"/>
    <s v="No"/>
    <s v="No"/>
    <n v="21"/>
    <s v="PayPal"/>
    <x v="1"/>
  </r>
  <r>
    <n v="1726"/>
    <x v="4"/>
    <s v="Male"/>
    <x v="12"/>
    <x v="3"/>
    <n v="33"/>
    <s v="Massachusetts"/>
    <x v="2"/>
    <x v="21"/>
    <x v="1"/>
    <n v="3"/>
    <x v="1"/>
    <s v="Next Day Air"/>
    <s v="No"/>
    <s v="No"/>
    <n v="32"/>
    <s v="Venmo"/>
    <x v="3"/>
  </r>
  <r>
    <n v="1727"/>
    <x v="9"/>
    <s v="Male"/>
    <x v="7"/>
    <x v="2"/>
    <n v="28"/>
    <s v="Indiana"/>
    <x v="1"/>
    <x v="8"/>
    <x v="2"/>
    <n v="2.8"/>
    <x v="1"/>
    <s v="Express"/>
    <s v="No"/>
    <s v="No"/>
    <n v="45"/>
    <s v="Debit Card"/>
    <x v="1"/>
  </r>
  <r>
    <n v="1728"/>
    <x v="34"/>
    <s v="Male"/>
    <x v="0"/>
    <x v="0"/>
    <n v="53"/>
    <s v="Virginia"/>
    <x v="1"/>
    <x v="10"/>
    <x v="1"/>
    <n v="4"/>
    <x v="1"/>
    <s v="Express"/>
    <s v="No"/>
    <s v="No"/>
    <n v="19"/>
    <s v="PayPal"/>
    <x v="5"/>
  </r>
  <r>
    <n v="1729"/>
    <x v="51"/>
    <s v="Male"/>
    <x v="2"/>
    <x v="0"/>
    <n v="48"/>
    <s v="Wyoming"/>
    <x v="0"/>
    <x v="13"/>
    <x v="3"/>
    <n v="4.3"/>
    <x v="1"/>
    <s v="Express"/>
    <s v="No"/>
    <s v="No"/>
    <n v="1"/>
    <s v="Debit Card"/>
    <x v="6"/>
  </r>
  <r>
    <n v="1730"/>
    <x v="36"/>
    <s v="Male"/>
    <x v="6"/>
    <x v="0"/>
    <n v="21"/>
    <s v="Illinois"/>
    <x v="2"/>
    <x v="18"/>
    <x v="0"/>
    <n v="3.8"/>
    <x v="1"/>
    <s v="Store Pickup"/>
    <s v="No"/>
    <s v="No"/>
    <n v="12"/>
    <s v="Venmo"/>
    <x v="0"/>
  </r>
  <r>
    <n v="1731"/>
    <x v="51"/>
    <s v="Male"/>
    <x v="5"/>
    <x v="0"/>
    <n v="22"/>
    <s v="Alabama"/>
    <x v="1"/>
    <x v="5"/>
    <x v="3"/>
    <n v="4.2"/>
    <x v="1"/>
    <s v="Free Shipping"/>
    <s v="No"/>
    <s v="No"/>
    <n v="26"/>
    <s v="Credit Card"/>
    <x v="1"/>
  </r>
  <r>
    <n v="1732"/>
    <x v="3"/>
    <s v="Male"/>
    <x v="21"/>
    <x v="3"/>
    <n v="87"/>
    <s v="Idaho"/>
    <x v="2"/>
    <x v="0"/>
    <x v="3"/>
    <n v="3.1"/>
    <x v="1"/>
    <s v="Next Day Air"/>
    <s v="No"/>
    <s v="No"/>
    <n v="12"/>
    <s v="Cash"/>
    <x v="5"/>
  </r>
  <r>
    <n v="1733"/>
    <x v="4"/>
    <s v="Male"/>
    <x v="22"/>
    <x v="3"/>
    <n v="50"/>
    <s v="Rhode Island"/>
    <x v="1"/>
    <x v="4"/>
    <x v="0"/>
    <n v="2.6"/>
    <x v="1"/>
    <s v="Free Shipping"/>
    <s v="No"/>
    <s v="No"/>
    <n v="36"/>
    <s v="Cash"/>
    <x v="6"/>
  </r>
  <r>
    <n v="1734"/>
    <x v="29"/>
    <s v="Male"/>
    <x v="0"/>
    <x v="0"/>
    <n v="85"/>
    <s v="New York"/>
    <x v="0"/>
    <x v="13"/>
    <x v="2"/>
    <n v="3.4"/>
    <x v="1"/>
    <s v="Express"/>
    <s v="No"/>
    <s v="No"/>
    <n v="22"/>
    <s v="Credit Card"/>
    <x v="2"/>
  </r>
  <r>
    <n v="1735"/>
    <x v="18"/>
    <s v="Male"/>
    <x v="2"/>
    <x v="0"/>
    <n v="98"/>
    <s v="Missouri"/>
    <x v="0"/>
    <x v="18"/>
    <x v="1"/>
    <n v="3.1"/>
    <x v="1"/>
    <s v="Next Day Air"/>
    <s v="No"/>
    <s v="No"/>
    <n v="16"/>
    <s v="PayPal"/>
    <x v="3"/>
  </r>
  <r>
    <n v="1736"/>
    <x v="44"/>
    <s v="Male"/>
    <x v="10"/>
    <x v="0"/>
    <n v="34"/>
    <s v="Texas"/>
    <x v="2"/>
    <x v="7"/>
    <x v="0"/>
    <n v="3.6"/>
    <x v="1"/>
    <s v="Express"/>
    <s v="No"/>
    <s v="No"/>
    <n v="31"/>
    <s v="Venmo"/>
    <x v="2"/>
  </r>
  <r>
    <n v="1737"/>
    <x v="9"/>
    <s v="Male"/>
    <x v="6"/>
    <x v="0"/>
    <n v="61"/>
    <s v="Tennessee"/>
    <x v="2"/>
    <x v="7"/>
    <x v="2"/>
    <n v="2.6"/>
    <x v="1"/>
    <s v="2-Day Shipping"/>
    <s v="No"/>
    <s v="No"/>
    <n v="43"/>
    <s v="Cash"/>
    <x v="3"/>
  </r>
  <r>
    <n v="1738"/>
    <x v="32"/>
    <s v="Male"/>
    <x v="16"/>
    <x v="3"/>
    <n v="98"/>
    <s v="Ohio"/>
    <x v="0"/>
    <x v="0"/>
    <x v="2"/>
    <n v="4.2"/>
    <x v="1"/>
    <s v="Store Pickup"/>
    <s v="No"/>
    <s v="No"/>
    <n v="50"/>
    <s v="Venmo"/>
    <x v="4"/>
  </r>
  <r>
    <n v="1739"/>
    <x v="52"/>
    <s v="Male"/>
    <x v="8"/>
    <x v="3"/>
    <n v="61"/>
    <s v="Tennessee"/>
    <x v="2"/>
    <x v="14"/>
    <x v="1"/>
    <n v="2.9"/>
    <x v="1"/>
    <s v="2-Day Shipping"/>
    <s v="No"/>
    <s v="No"/>
    <n v="37"/>
    <s v="Credit Card"/>
    <x v="1"/>
  </r>
  <r>
    <n v="1740"/>
    <x v="3"/>
    <s v="Male"/>
    <x v="16"/>
    <x v="3"/>
    <n v="98"/>
    <s v="Minnesota"/>
    <x v="0"/>
    <x v="5"/>
    <x v="0"/>
    <n v="4.2"/>
    <x v="1"/>
    <s v="Express"/>
    <s v="No"/>
    <s v="No"/>
    <n v="23"/>
    <s v="Cash"/>
    <x v="1"/>
  </r>
  <r>
    <n v="1741"/>
    <x v="28"/>
    <s v="Male"/>
    <x v="13"/>
    <x v="0"/>
    <n v="21"/>
    <s v="Wisconsin"/>
    <x v="0"/>
    <x v="4"/>
    <x v="3"/>
    <n v="3.3"/>
    <x v="1"/>
    <s v="Next Day Air"/>
    <s v="No"/>
    <s v="No"/>
    <n v="10"/>
    <s v="Bank Transfer"/>
    <x v="6"/>
  </r>
  <r>
    <n v="1742"/>
    <x v="38"/>
    <s v="Male"/>
    <x v="13"/>
    <x v="0"/>
    <n v="51"/>
    <s v="Delaware"/>
    <x v="3"/>
    <x v="11"/>
    <x v="0"/>
    <n v="3.6"/>
    <x v="1"/>
    <s v="Next Day Air"/>
    <s v="No"/>
    <s v="No"/>
    <n v="20"/>
    <s v="Bank Transfer"/>
    <x v="5"/>
  </r>
  <r>
    <n v="1743"/>
    <x v="47"/>
    <s v="Male"/>
    <x v="3"/>
    <x v="1"/>
    <n v="80"/>
    <s v="Kansas"/>
    <x v="3"/>
    <x v="3"/>
    <x v="1"/>
    <n v="4.3"/>
    <x v="1"/>
    <s v="Express"/>
    <s v="No"/>
    <s v="No"/>
    <n v="18"/>
    <s v="Venmo"/>
    <x v="6"/>
  </r>
  <r>
    <n v="1744"/>
    <x v="51"/>
    <s v="Male"/>
    <x v="11"/>
    <x v="0"/>
    <n v="72"/>
    <s v="Missouri"/>
    <x v="3"/>
    <x v="18"/>
    <x v="0"/>
    <n v="3.3"/>
    <x v="1"/>
    <s v="Standard"/>
    <s v="No"/>
    <s v="No"/>
    <n v="3"/>
    <s v="Bank Transfer"/>
    <x v="1"/>
  </r>
  <r>
    <n v="1745"/>
    <x v="9"/>
    <s v="Male"/>
    <x v="12"/>
    <x v="3"/>
    <n v="63"/>
    <s v="Michigan"/>
    <x v="0"/>
    <x v="11"/>
    <x v="0"/>
    <n v="3"/>
    <x v="1"/>
    <s v="Standard"/>
    <s v="No"/>
    <s v="No"/>
    <n v="23"/>
    <s v="PayPal"/>
    <x v="1"/>
  </r>
  <r>
    <n v="1746"/>
    <x v="37"/>
    <s v="Male"/>
    <x v="11"/>
    <x v="0"/>
    <n v="27"/>
    <s v="West Virginia"/>
    <x v="0"/>
    <x v="16"/>
    <x v="0"/>
    <n v="3.6"/>
    <x v="1"/>
    <s v="Store Pickup"/>
    <s v="No"/>
    <s v="No"/>
    <n v="27"/>
    <s v="Cash"/>
    <x v="1"/>
  </r>
  <r>
    <n v="1747"/>
    <x v="13"/>
    <s v="Male"/>
    <x v="8"/>
    <x v="3"/>
    <n v="44"/>
    <s v="Alabama"/>
    <x v="0"/>
    <x v="18"/>
    <x v="2"/>
    <n v="3.1"/>
    <x v="1"/>
    <s v="Store Pickup"/>
    <s v="No"/>
    <s v="No"/>
    <n v="44"/>
    <s v="Bank Transfer"/>
    <x v="0"/>
  </r>
  <r>
    <n v="1748"/>
    <x v="12"/>
    <s v="Male"/>
    <x v="7"/>
    <x v="2"/>
    <n v="23"/>
    <s v="New Hampshire"/>
    <x v="2"/>
    <x v="22"/>
    <x v="0"/>
    <n v="2.9"/>
    <x v="1"/>
    <s v="Express"/>
    <s v="No"/>
    <s v="No"/>
    <n v="41"/>
    <s v="Venmo"/>
    <x v="3"/>
  </r>
  <r>
    <n v="1749"/>
    <x v="50"/>
    <s v="Male"/>
    <x v="11"/>
    <x v="0"/>
    <n v="93"/>
    <s v="Montana"/>
    <x v="0"/>
    <x v="11"/>
    <x v="0"/>
    <n v="3.9"/>
    <x v="1"/>
    <s v="2-Day Shipping"/>
    <s v="No"/>
    <s v="No"/>
    <n v="41"/>
    <s v="Bank Transfer"/>
    <x v="2"/>
  </r>
  <r>
    <n v="1750"/>
    <x v="49"/>
    <s v="Male"/>
    <x v="15"/>
    <x v="0"/>
    <n v="70"/>
    <s v="Wyoming"/>
    <x v="0"/>
    <x v="6"/>
    <x v="3"/>
    <n v="3.2"/>
    <x v="1"/>
    <s v="2-Day Shipping"/>
    <s v="No"/>
    <s v="No"/>
    <n v="36"/>
    <s v="Debit Card"/>
    <x v="6"/>
  </r>
  <r>
    <n v="1751"/>
    <x v="18"/>
    <s v="Male"/>
    <x v="12"/>
    <x v="3"/>
    <n v="85"/>
    <s v="Missouri"/>
    <x v="2"/>
    <x v="3"/>
    <x v="3"/>
    <n v="3.1"/>
    <x v="1"/>
    <s v="Express"/>
    <s v="No"/>
    <s v="No"/>
    <n v="38"/>
    <s v="Venmo"/>
    <x v="6"/>
  </r>
  <r>
    <n v="1752"/>
    <x v="9"/>
    <s v="Male"/>
    <x v="1"/>
    <x v="0"/>
    <n v="40"/>
    <s v="Ohio"/>
    <x v="2"/>
    <x v="5"/>
    <x v="0"/>
    <n v="3.2"/>
    <x v="1"/>
    <s v="2-Day Shipping"/>
    <s v="No"/>
    <s v="No"/>
    <n v="34"/>
    <s v="Cash"/>
    <x v="2"/>
  </r>
  <r>
    <n v="1753"/>
    <x v="50"/>
    <s v="Male"/>
    <x v="23"/>
    <x v="1"/>
    <n v="29"/>
    <s v="South Dakota"/>
    <x v="0"/>
    <x v="24"/>
    <x v="0"/>
    <n v="3.3"/>
    <x v="1"/>
    <s v="Store Pickup"/>
    <s v="No"/>
    <s v="No"/>
    <n v="14"/>
    <s v="Venmo"/>
    <x v="3"/>
  </r>
  <r>
    <n v="1754"/>
    <x v="15"/>
    <s v="Male"/>
    <x v="11"/>
    <x v="0"/>
    <n v="27"/>
    <s v="Colorado"/>
    <x v="0"/>
    <x v="13"/>
    <x v="3"/>
    <n v="4.8"/>
    <x v="1"/>
    <s v="Next Day Air"/>
    <s v="No"/>
    <s v="No"/>
    <n v="23"/>
    <s v="Credit Card"/>
    <x v="0"/>
  </r>
  <r>
    <n v="1755"/>
    <x v="17"/>
    <s v="Male"/>
    <x v="10"/>
    <x v="0"/>
    <n v="93"/>
    <s v="Massachusetts"/>
    <x v="1"/>
    <x v="19"/>
    <x v="3"/>
    <n v="3.8"/>
    <x v="1"/>
    <s v="2-Day Shipping"/>
    <s v="No"/>
    <s v="No"/>
    <n v="18"/>
    <s v="Credit Card"/>
    <x v="0"/>
  </r>
  <r>
    <n v="1756"/>
    <x v="19"/>
    <s v="Male"/>
    <x v="22"/>
    <x v="3"/>
    <n v="20"/>
    <s v="Delaware"/>
    <x v="3"/>
    <x v="4"/>
    <x v="1"/>
    <n v="4.5999999999999996"/>
    <x v="1"/>
    <s v="Next Day Air"/>
    <s v="No"/>
    <s v="No"/>
    <n v="45"/>
    <s v="Cash"/>
    <x v="5"/>
  </r>
  <r>
    <n v="1757"/>
    <x v="34"/>
    <s v="Male"/>
    <x v="16"/>
    <x v="3"/>
    <n v="55"/>
    <s v="New Hampshire"/>
    <x v="1"/>
    <x v="17"/>
    <x v="3"/>
    <n v="2.8"/>
    <x v="1"/>
    <s v="Free Shipping"/>
    <s v="No"/>
    <s v="No"/>
    <n v="14"/>
    <s v="Bank Transfer"/>
    <x v="1"/>
  </r>
  <r>
    <n v="1758"/>
    <x v="1"/>
    <s v="Male"/>
    <x v="10"/>
    <x v="0"/>
    <n v="94"/>
    <s v="Michigan"/>
    <x v="0"/>
    <x v="22"/>
    <x v="3"/>
    <n v="3.6"/>
    <x v="1"/>
    <s v="Standard"/>
    <s v="No"/>
    <s v="No"/>
    <n v="48"/>
    <s v="Debit Card"/>
    <x v="2"/>
  </r>
  <r>
    <n v="1759"/>
    <x v="7"/>
    <s v="Male"/>
    <x v="19"/>
    <x v="3"/>
    <n v="56"/>
    <s v="Pennsylvania"/>
    <x v="2"/>
    <x v="5"/>
    <x v="0"/>
    <n v="4.3"/>
    <x v="1"/>
    <s v="Free Shipping"/>
    <s v="No"/>
    <s v="No"/>
    <n v="17"/>
    <s v="Venmo"/>
    <x v="4"/>
  </r>
  <r>
    <n v="1760"/>
    <x v="33"/>
    <s v="Male"/>
    <x v="1"/>
    <x v="0"/>
    <n v="58"/>
    <s v="Louisiana"/>
    <x v="0"/>
    <x v="14"/>
    <x v="1"/>
    <n v="4"/>
    <x v="1"/>
    <s v="Next Day Air"/>
    <s v="No"/>
    <s v="No"/>
    <n v="1"/>
    <s v="PayPal"/>
    <x v="1"/>
  </r>
  <r>
    <n v="1761"/>
    <x v="30"/>
    <s v="Male"/>
    <x v="11"/>
    <x v="0"/>
    <n v="44"/>
    <s v="Minnesota"/>
    <x v="3"/>
    <x v="15"/>
    <x v="1"/>
    <n v="3.5"/>
    <x v="1"/>
    <s v="Standard"/>
    <s v="No"/>
    <s v="No"/>
    <n v="39"/>
    <s v="PayPal"/>
    <x v="1"/>
  </r>
  <r>
    <n v="1762"/>
    <x v="3"/>
    <s v="Male"/>
    <x v="15"/>
    <x v="0"/>
    <n v="95"/>
    <s v="Hawaii"/>
    <x v="1"/>
    <x v="14"/>
    <x v="3"/>
    <n v="4.9000000000000004"/>
    <x v="1"/>
    <s v="2-Day Shipping"/>
    <s v="No"/>
    <s v="No"/>
    <n v="24"/>
    <s v="Cash"/>
    <x v="1"/>
  </r>
  <r>
    <n v="1763"/>
    <x v="24"/>
    <s v="Male"/>
    <x v="3"/>
    <x v="1"/>
    <n v="42"/>
    <s v="Idaho"/>
    <x v="2"/>
    <x v="18"/>
    <x v="2"/>
    <n v="3.1"/>
    <x v="1"/>
    <s v="Express"/>
    <s v="No"/>
    <s v="No"/>
    <n v="41"/>
    <s v="Bank Transfer"/>
    <x v="0"/>
  </r>
  <r>
    <n v="1764"/>
    <x v="43"/>
    <s v="Male"/>
    <x v="16"/>
    <x v="3"/>
    <n v="93"/>
    <s v="Vermont"/>
    <x v="2"/>
    <x v="12"/>
    <x v="0"/>
    <n v="3.9"/>
    <x v="1"/>
    <s v="Store Pickup"/>
    <s v="No"/>
    <s v="No"/>
    <n v="28"/>
    <s v="PayPal"/>
    <x v="2"/>
  </r>
  <r>
    <n v="1765"/>
    <x v="12"/>
    <s v="Male"/>
    <x v="10"/>
    <x v="0"/>
    <n v="56"/>
    <s v="Delaware"/>
    <x v="2"/>
    <x v="4"/>
    <x v="2"/>
    <n v="3"/>
    <x v="1"/>
    <s v="Store Pickup"/>
    <s v="No"/>
    <s v="No"/>
    <n v="34"/>
    <s v="Venmo"/>
    <x v="3"/>
  </r>
  <r>
    <n v="1766"/>
    <x v="33"/>
    <s v="Male"/>
    <x v="15"/>
    <x v="0"/>
    <n v="88"/>
    <s v="New Mexico"/>
    <x v="2"/>
    <x v="20"/>
    <x v="1"/>
    <n v="4.0999999999999996"/>
    <x v="1"/>
    <s v="2-Day Shipping"/>
    <s v="No"/>
    <s v="No"/>
    <n v="41"/>
    <s v="Venmo"/>
    <x v="3"/>
  </r>
  <r>
    <n v="1767"/>
    <x v="52"/>
    <s v="Male"/>
    <x v="1"/>
    <x v="0"/>
    <n v="54"/>
    <s v="Alaska"/>
    <x v="1"/>
    <x v="17"/>
    <x v="0"/>
    <n v="4.3"/>
    <x v="1"/>
    <s v="2-Day Shipping"/>
    <s v="No"/>
    <s v="No"/>
    <n v="27"/>
    <s v="Cash"/>
    <x v="4"/>
  </r>
  <r>
    <n v="1768"/>
    <x v="28"/>
    <s v="Male"/>
    <x v="16"/>
    <x v="3"/>
    <n v="89"/>
    <s v="Minnesota"/>
    <x v="0"/>
    <x v="12"/>
    <x v="3"/>
    <n v="3.8"/>
    <x v="1"/>
    <s v="2-Day Shipping"/>
    <s v="No"/>
    <s v="No"/>
    <n v="46"/>
    <s v="Debit Card"/>
    <x v="0"/>
  </r>
  <r>
    <n v="1769"/>
    <x v="15"/>
    <s v="Male"/>
    <x v="3"/>
    <x v="1"/>
    <n v="45"/>
    <s v="Nebraska"/>
    <x v="2"/>
    <x v="21"/>
    <x v="2"/>
    <n v="3.9"/>
    <x v="1"/>
    <s v="2-Day Shipping"/>
    <s v="No"/>
    <s v="No"/>
    <n v="2"/>
    <s v="PayPal"/>
    <x v="6"/>
  </r>
  <r>
    <n v="1770"/>
    <x v="45"/>
    <s v="Male"/>
    <x v="20"/>
    <x v="0"/>
    <n v="75"/>
    <s v="Alaska"/>
    <x v="0"/>
    <x v="18"/>
    <x v="0"/>
    <n v="4.3"/>
    <x v="1"/>
    <s v="Free Shipping"/>
    <s v="No"/>
    <s v="No"/>
    <n v="45"/>
    <s v="Cash"/>
    <x v="5"/>
  </r>
  <r>
    <n v="1771"/>
    <x v="10"/>
    <s v="Male"/>
    <x v="21"/>
    <x v="3"/>
    <n v="22"/>
    <s v="Michigan"/>
    <x v="2"/>
    <x v="6"/>
    <x v="3"/>
    <n v="4.3"/>
    <x v="1"/>
    <s v="Express"/>
    <s v="No"/>
    <s v="No"/>
    <n v="34"/>
    <s v="Bank Transfer"/>
    <x v="1"/>
  </r>
  <r>
    <n v="1772"/>
    <x v="5"/>
    <s v="Male"/>
    <x v="5"/>
    <x v="0"/>
    <n v="82"/>
    <s v="Indiana"/>
    <x v="3"/>
    <x v="2"/>
    <x v="3"/>
    <n v="4.7"/>
    <x v="1"/>
    <s v="Store Pickup"/>
    <s v="No"/>
    <s v="No"/>
    <n v="9"/>
    <s v="Credit Card"/>
    <x v="2"/>
  </r>
  <r>
    <n v="1773"/>
    <x v="44"/>
    <s v="Male"/>
    <x v="9"/>
    <x v="1"/>
    <n v="34"/>
    <s v="Hawaii"/>
    <x v="2"/>
    <x v="9"/>
    <x v="2"/>
    <n v="3.1"/>
    <x v="1"/>
    <s v="2-Day Shipping"/>
    <s v="No"/>
    <s v="No"/>
    <n v="1"/>
    <s v="Bank Transfer"/>
    <x v="2"/>
  </r>
  <r>
    <n v="1774"/>
    <x v="3"/>
    <s v="Male"/>
    <x v="7"/>
    <x v="2"/>
    <n v="92"/>
    <s v="West Virginia"/>
    <x v="2"/>
    <x v="24"/>
    <x v="2"/>
    <n v="2.7"/>
    <x v="1"/>
    <s v="Free Shipping"/>
    <s v="No"/>
    <s v="No"/>
    <n v="17"/>
    <s v="PayPal"/>
    <x v="2"/>
  </r>
  <r>
    <n v="1775"/>
    <x v="5"/>
    <s v="Male"/>
    <x v="1"/>
    <x v="0"/>
    <n v="78"/>
    <s v="New York"/>
    <x v="2"/>
    <x v="12"/>
    <x v="1"/>
    <n v="3.7"/>
    <x v="1"/>
    <s v="Express"/>
    <s v="No"/>
    <s v="No"/>
    <n v="6"/>
    <s v="PayPal"/>
    <x v="1"/>
  </r>
  <r>
    <n v="1776"/>
    <x v="20"/>
    <s v="Male"/>
    <x v="14"/>
    <x v="2"/>
    <n v="47"/>
    <s v="Iowa"/>
    <x v="2"/>
    <x v="10"/>
    <x v="1"/>
    <n v="3.3"/>
    <x v="1"/>
    <s v="2-Day Shipping"/>
    <s v="No"/>
    <s v="No"/>
    <n v="12"/>
    <s v="Cash"/>
    <x v="4"/>
  </r>
  <r>
    <n v="1777"/>
    <x v="19"/>
    <s v="Male"/>
    <x v="14"/>
    <x v="2"/>
    <n v="64"/>
    <s v="Arizona"/>
    <x v="0"/>
    <x v="17"/>
    <x v="2"/>
    <n v="3.4"/>
    <x v="1"/>
    <s v="Free Shipping"/>
    <s v="No"/>
    <s v="No"/>
    <n v="10"/>
    <s v="Venmo"/>
    <x v="6"/>
  </r>
  <r>
    <n v="1778"/>
    <x v="20"/>
    <s v="Male"/>
    <x v="4"/>
    <x v="1"/>
    <n v="44"/>
    <s v="Minnesota"/>
    <x v="0"/>
    <x v="7"/>
    <x v="0"/>
    <n v="4.7"/>
    <x v="1"/>
    <s v="Free Shipping"/>
    <s v="No"/>
    <s v="No"/>
    <n v="4"/>
    <s v="Cash"/>
    <x v="0"/>
  </r>
  <r>
    <n v="1779"/>
    <x v="34"/>
    <s v="Male"/>
    <x v="22"/>
    <x v="3"/>
    <n v="94"/>
    <s v="Texas"/>
    <x v="2"/>
    <x v="16"/>
    <x v="0"/>
    <n v="4.9000000000000004"/>
    <x v="1"/>
    <s v="Store Pickup"/>
    <s v="No"/>
    <s v="No"/>
    <n v="8"/>
    <s v="Debit Card"/>
    <x v="4"/>
  </r>
  <r>
    <n v="1780"/>
    <x v="26"/>
    <s v="Male"/>
    <x v="18"/>
    <x v="3"/>
    <n v="62"/>
    <s v="Virginia"/>
    <x v="2"/>
    <x v="4"/>
    <x v="0"/>
    <n v="4.3"/>
    <x v="1"/>
    <s v="Free Shipping"/>
    <s v="No"/>
    <s v="No"/>
    <n v="41"/>
    <s v="Venmo"/>
    <x v="1"/>
  </r>
  <r>
    <n v="1781"/>
    <x v="29"/>
    <s v="Male"/>
    <x v="16"/>
    <x v="3"/>
    <n v="81"/>
    <s v="North Dakota"/>
    <x v="1"/>
    <x v="0"/>
    <x v="2"/>
    <n v="4.2"/>
    <x v="1"/>
    <s v="Next Day Air"/>
    <s v="No"/>
    <s v="No"/>
    <n v="49"/>
    <s v="Credit Card"/>
    <x v="1"/>
  </r>
  <r>
    <n v="1782"/>
    <x v="18"/>
    <s v="Male"/>
    <x v="17"/>
    <x v="0"/>
    <n v="33"/>
    <s v="Iowa"/>
    <x v="2"/>
    <x v="6"/>
    <x v="3"/>
    <n v="3.7"/>
    <x v="1"/>
    <s v="Express"/>
    <s v="No"/>
    <s v="No"/>
    <n v="49"/>
    <s v="Bank Transfer"/>
    <x v="3"/>
  </r>
  <r>
    <n v="1783"/>
    <x v="16"/>
    <s v="Male"/>
    <x v="13"/>
    <x v="0"/>
    <n v="88"/>
    <s v="Utah"/>
    <x v="2"/>
    <x v="12"/>
    <x v="3"/>
    <n v="2.7"/>
    <x v="1"/>
    <s v="Next Day Air"/>
    <s v="No"/>
    <s v="No"/>
    <n v="40"/>
    <s v="Bank Transfer"/>
    <x v="0"/>
  </r>
  <r>
    <n v="1784"/>
    <x v="32"/>
    <s v="Male"/>
    <x v="8"/>
    <x v="3"/>
    <n v="49"/>
    <s v="Ohio"/>
    <x v="0"/>
    <x v="12"/>
    <x v="0"/>
    <n v="3.3"/>
    <x v="1"/>
    <s v="Free Shipping"/>
    <s v="No"/>
    <s v="No"/>
    <n v="30"/>
    <s v="Credit Card"/>
    <x v="5"/>
  </r>
  <r>
    <n v="1785"/>
    <x v="45"/>
    <s v="Male"/>
    <x v="21"/>
    <x v="3"/>
    <n v="31"/>
    <s v="Louisiana"/>
    <x v="0"/>
    <x v="22"/>
    <x v="2"/>
    <n v="4.8"/>
    <x v="1"/>
    <s v="Standard"/>
    <s v="No"/>
    <s v="No"/>
    <n v="4"/>
    <s v="Debit Card"/>
    <x v="3"/>
  </r>
  <r>
    <n v="1786"/>
    <x v="36"/>
    <s v="Male"/>
    <x v="24"/>
    <x v="3"/>
    <n v="29"/>
    <s v="Iowa"/>
    <x v="1"/>
    <x v="15"/>
    <x v="3"/>
    <n v="4.0999999999999996"/>
    <x v="1"/>
    <s v="Next Day Air"/>
    <s v="No"/>
    <s v="No"/>
    <n v="22"/>
    <s v="Venmo"/>
    <x v="5"/>
  </r>
  <r>
    <n v="1787"/>
    <x v="4"/>
    <s v="Male"/>
    <x v="14"/>
    <x v="2"/>
    <n v="34"/>
    <s v="Maryland"/>
    <x v="2"/>
    <x v="18"/>
    <x v="1"/>
    <n v="4.5999999999999996"/>
    <x v="1"/>
    <s v="2-Day Shipping"/>
    <s v="No"/>
    <s v="No"/>
    <n v="22"/>
    <s v="Venmo"/>
    <x v="5"/>
  </r>
  <r>
    <n v="1788"/>
    <x v="30"/>
    <s v="Male"/>
    <x v="1"/>
    <x v="0"/>
    <n v="38"/>
    <s v="Montana"/>
    <x v="0"/>
    <x v="9"/>
    <x v="3"/>
    <n v="4.9000000000000004"/>
    <x v="1"/>
    <s v="2-Day Shipping"/>
    <s v="No"/>
    <s v="No"/>
    <n v="10"/>
    <s v="Bank Transfer"/>
    <x v="3"/>
  </r>
  <r>
    <n v="1789"/>
    <x v="17"/>
    <s v="Male"/>
    <x v="0"/>
    <x v="0"/>
    <n v="41"/>
    <s v="Illinois"/>
    <x v="0"/>
    <x v="6"/>
    <x v="2"/>
    <n v="3.1"/>
    <x v="1"/>
    <s v="Store Pickup"/>
    <s v="No"/>
    <s v="No"/>
    <n v="23"/>
    <s v="Cash"/>
    <x v="4"/>
  </r>
  <r>
    <n v="1790"/>
    <x v="16"/>
    <s v="Male"/>
    <x v="0"/>
    <x v="0"/>
    <n v="34"/>
    <s v="Arizona"/>
    <x v="0"/>
    <x v="15"/>
    <x v="1"/>
    <n v="3"/>
    <x v="1"/>
    <s v="2-Day Shipping"/>
    <s v="No"/>
    <s v="No"/>
    <n v="43"/>
    <s v="Debit Card"/>
    <x v="3"/>
  </r>
  <r>
    <n v="1791"/>
    <x v="2"/>
    <s v="Male"/>
    <x v="24"/>
    <x v="3"/>
    <n v="26"/>
    <s v="North Carolina"/>
    <x v="1"/>
    <x v="10"/>
    <x v="2"/>
    <n v="3.7"/>
    <x v="1"/>
    <s v="Store Pickup"/>
    <s v="No"/>
    <s v="No"/>
    <n v="31"/>
    <s v="PayPal"/>
    <x v="4"/>
  </r>
  <r>
    <n v="1792"/>
    <x v="46"/>
    <s v="Male"/>
    <x v="2"/>
    <x v="0"/>
    <n v="98"/>
    <s v="Montana"/>
    <x v="1"/>
    <x v="7"/>
    <x v="0"/>
    <n v="4"/>
    <x v="1"/>
    <s v="Store Pickup"/>
    <s v="No"/>
    <s v="No"/>
    <n v="38"/>
    <s v="Cash"/>
    <x v="2"/>
  </r>
  <r>
    <n v="1793"/>
    <x v="21"/>
    <s v="Male"/>
    <x v="4"/>
    <x v="1"/>
    <n v="59"/>
    <s v="Iowa"/>
    <x v="2"/>
    <x v="15"/>
    <x v="3"/>
    <n v="3"/>
    <x v="1"/>
    <s v="Express"/>
    <s v="No"/>
    <s v="No"/>
    <n v="22"/>
    <s v="Debit Card"/>
    <x v="6"/>
  </r>
  <r>
    <n v="1794"/>
    <x v="13"/>
    <s v="Male"/>
    <x v="19"/>
    <x v="3"/>
    <n v="92"/>
    <s v="Iowa"/>
    <x v="1"/>
    <x v="3"/>
    <x v="3"/>
    <n v="3.8"/>
    <x v="1"/>
    <s v="Store Pickup"/>
    <s v="No"/>
    <s v="No"/>
    <n v="45"/>
    <s v="Cash"/>
    <x v="6"/>
  </r>
  <r>
    <n v="1795"/>
    <x v="52"/>
    <s v="Male"/>
    <x v="21"/>
    <x v="3"/>
    <n v="40"/>
    <s v="Ohio"/>
    <x v="0"/>
    <x v="21"/>
    <x v="1"/>
    <n v="3.7"/>
    <x v="1"/>
    <s v="Express"/>
    <s v="No"/>
    <s v="No"/>
    <n v="21"/>
    <s v="Debit Card"/>
    <x v="0"/>
  </r>
  <r>
    <n v="1796"/>
    <x v="33"/>
    <s v="Male"/>
    <x v="2"/>
    <x v="0"/>
    <n v="20"/>
    <s v="Wisconsin"/>
    <x v="1"/>
    <x v="10"/>
    <x v="3"/>
    <n v="4"/>
    <x v="1"/>
    <s v="2-Day Shipping"/>
    <s v="No"/>
    <s v="No"/>
    <n v="9"/>
    <s v="Debit Card"/>
    <x v="0"/>
  </r>
  <r>
    <n v="1797"/>
    <x v="46"/>
    <s v="Male"/>
    <x v="11"/>
    <x v="0"/>
    <n v="35"/>
    <s v="South Carolina"/>
    <x v="1"/>
    <x v="18"/>
    <x v="1"/>
    <n v="3.1"/>
    <x v="1"/>
    <s v="Store Pickup"/>
    <s v="No"/>
    <s v="No"/>
    <n v="34"/>
    <s v="Venmo"/>
    <x v="1"/>
  </r>
  <r>
    <n v="1798"/>
    <x v="46"/>
    <s v="Male"/>
    <x v="22"/>
    <x v="3"/>
    <n v="35"/>
    <s v="Oregon"/>
    <x v="0"/>
    <x v="1"/>
    <x v="1"/>
    <n v="3.9"/>
    <x v="1"/>
    <s v="2-Day Shipping"/>
    <s v="No"/>
    <s v="No"/>
    <n v="26"/>
    <s v="Venmo"/>
    <x v="1"/>
  </r>
  <r>
    <n v="1799"/>
    <x v="37"/>
    <s v="Male"/>
    <x v="10"/>
    <x v="0"/>
    <n v="82"/>
    <s v="North Dakota"/>
    <x v="0"/>
    <x v="23"/>
    <x v="0"/>
    <n v="3.7"/>
    <x v="1"/>
    <s v="Express"/>
    <s v="No"/>
    <s v="No"/>
    <n v="1"/>
    <s v="Cash"/>
    <x v="1"/>
  </r>
  <r>
    <n v="1800"/>
    <x v="45"/>
    <s v="Male"/>
    <x v="15"/>
    <x v="0"/>
    <n v="48"/>
    <s v="California"/>
    <x v="2"/>
    <x v="4"/>
    <x v="3"/>
    <n v="3.9"/>
    <x v="1"/>
    <s v="Express"/>
    <s v="No"/>
    <s v="No"/>
    <n v="47"/>
    <s v="Venmo"/>
    <x v="1"/>
  </r>
  <r>
    <n v="1801"/>
    <x v="40"/>
    <s v="Male"/>
    <x v="7"/>
    <x v="2"/>
    <n v="58"/>
    <s v="Mississippi"/>
    <x v="3"/>
    <x v="21"/>
    <x v="0"/>
    <n v="2.7"/>
    <x v="1"/>
    <s v="Express"/>
    <s v="No"/>
    <s v="No"/>
    <n v="30"/>
    <s v="Credit Card"/>
    <x v="1"/>
  </r>
  <r>
    <n v="1802"/>
    <x v="23"/>
    <s v="Male"/>
    <x v="1"/>
    <x v="0"/>
    <n v="57"/>
    <s v="New Jersey"/>
    <x v="2"/>
    <x v="2"/>
    <x v="1"/>
    <n v="3.9"/>
    <x v="1"/>
    <s v="Express"/>
    <s v="No"/>
    <s v="No"/>
    <n v="48"/>
    <s v="Debit Card"/>
    <x v="0"/>
  </r>
  <r>
    <n v="1803"/>
    <x v="9"/>
    <s v="Male"/>
    <x v="6"/>
    <x v="0"/>
    <n v="96"/>
    <s v="Rhode Island"/>
    <x v="0"/>
    <x v="2"/>
    <x v="0"/>
    <n v="2.6"/>
    <x v="1"/>
    <s v="Store Pickup"/>
    <s v="No"/>
    <s v="No"/>
    <n v="31"/>
    <s v="Venmo"/>
    <x v="4"/>
  </r>
  <r>
    <n v="1804"/>
    <x v="52"/>
    <s v="Male"/>
    <x v="4"/>
    <x v="1"/>
    <n v="97"/>
    <s v="New Hampshire"/>
    <x v="1"/>
    <x v="0"/>
    <x v="2"/>
    <n v="3.5"/>
    <x v="1"/>
    <s v="Free Shipping"/>
    <s v="No"/>
    <s v="No"/>
    <n v="33"/>
    <s v="Venmo"/>
    <x v="0"/>
  </r>
  <r>
    <n v="1805"/>
    <x v="11"/>
    <s v="Male"/>
    <x v="1"/>
    <x v="0"/>
    <n v="42"/>
    <s v="Louisiana"/>
    <x v="0"/>
    <x v="15"/>
    <x v="0"/>
    <n v="4.4000000000000004"/>
    <x v="1"/>
    <s v="Next Day Air"/>
    <s v="No"/>
    <s v="No"/>
    <n v="39"/>
    <s v="Credit Card"/>
    <x v="1"/>
  </r>
  <r>
    <n v="1806"/>
    <x v="38"/>
    <s v="Male"/>
    <x v="17"/>
    <x v="0"/>
    <n v="62"/>
    <s v="Arizona"/>
    <x v="0"/>
    <x v="9"/>
    <x v="1"/>
    <n v="4.9000000000000004"/>
    <x v="1"/>
    <s v="Store Pickup"/>
    <s v="No"/>
    <s v="No"/>
    <n v="46"/>
    <s v="Debit Card"/>
    <x v="1"/>
  </r>
  <r>
    <n v="1807"/>
    <x v="44"/>
    <s v="Male"/>
    <x v="8"/>
    <x v="3"/>
    <n v="67"/>
    <s v="Rhode Island"/>
    <x v="2"/>
    <x v="14"/>
    <x v="3"/>
    <n v="3.9"/>
    <x v="1"/>
    <s v="Standard"/>
    <s v="No"/>
    <s v="No"/>
    <n v="24"/>
    <s v="Venmo"/>
    <x v="2"/>
  </r>
  <r>
    <n v="1808"/>
    <x v="50"/>
    <s v="Male"/>
    <x v="4"/>
    <x v="1"/>
    <n v="46"/>
    <s v="Vermont"/>
    <x v="0"/>
    <x v="9"/>
    <x v="2"/>
    <n v="3.5"/>
    <x v="1"/>
    <s v="Standard"/>
    <s v="No"/>
    <s v="No"/>
    <n v="37"/>
    <s v="Venmo"/>
    <x v="0"/>
  </r>
  <r>
    <n v="1809"/>
    <x v="29"/>
    <s v="Male"/>
    <x v="14"/>
    <x v="2"/>
    <n v="71"/>
    <s v="Tennessee"/>
    <x v="2"/>
    <x v="12"/>
    <x v="1"/>
    <n v="4.3"/>
    <x v="1"/>
    <s v="Next Day Air"/>
    <s v="No"/>
    <s v="No"/>
    <n v="7"/>
    <s v="Debit Card"/>
    <x v="5"/>
  </r>
  <r>
    <n v="1810"/>
    <x v="44"/>
    <s v="Male"/>
    <x v="21"/>
    <x v="3"/>
    <n v="99"/>
    <s v="Alaska"/>
    <x v="1"/>
    <x v="24"/>
    <x v="3"/>
    <n v="3.4"/>
    <x v="1"/>
    <s v="Free Shipping"/>
    <s v="No"/>
    <s v="No"/>
    <n v="6"/>
    <s v="Debit Card"/>
    <x v="0"/>
  </r>
  <r>
    <n v="1811"/>
    <x v="38"/>
    <s v="Male"/>
    <x v="2"/>
    <x v="0"/>
    <n v="28"/>
    <s v="Maryland"/>
    <x v="2"/>
    <x v="23"/>
    <x v="3"/>
    <n v="2.7"/>
    <x v="1"/>
    <s v="Standard"/>
    <s v="No"/>
    <s v="No"/>
    <n v="16"/>
    <s v="Cash"/>
    <x v="4"/>
  </r>
  <r>
    <n v="1812"/>
    <x v="32"/>
    <s v="Male"/>
    <x v="22"/>
    <x v="3"/>
    <n v="77"/>
    <s v="Wisconsin"/>
    <x v="0"/>
    <x v="24"/>
    <x v="2"/>
    <n v="3.6"/>
    <x v="1"/>
    <s v="Standard"/>
    <s v="No"/>
    <s v="No"/>
    <n v="33"/>
    <s v="Bank Transfer"/>
    <x v="2"/>
  </r>
  <r>
    <n v="1813"/>
    <x v="2"/>
    <s v="Male"/>
    <x v="23"/>
    <x v="1"/>
    <n v="63"/>
    <s v="Nevada"/>
    <x v="1"/>
    <x v="24"/>
    <x v="2"/>
    <n v="4.9000000000000004"/>
    <x v="1"/>
    <s v="Express"/>
    <s v="No"/>
    <s v="No"/>
    <n v="18"/>
    <s v="PayPal"/>
    <x v="4"/>
  </r>
  <r>
    <n v="1814"/>
    <x v="37"/>
    <s v="Male"/>
    <x v="6"/>
    <x v="0"/>
    <n v="62"/>
    <s v="Illinois"/>
    <x v="2"/>
    <x v="8"/>
    <x v="1"/>
    <n v="3.5"/>
    <x v="1"/>
    <s v="Free Shipping"/>
    <s v="No"/>
    <s v="No"/>
    <n v="24"/>
    <s v="PayPal"/>
    <x v="1"/>
  </r>
  <r>
    <n v="1815"/>
    <x v="45"/>
    <s v="Male"/>
    <x v="2"/>
    <x v="0"/>
    <n v="92"/>
    <s v="Montana"/>
    <x v="2"/>
    <x v="3"/>
    <x v="2"/>
    <n v="3.8"/>
    <x v="1"/>
    <s v="Free Shipping"/>
    <s v="No"/>
    <s v="No"/>
    <n v="24"/>
    <s v="Cash"/>
    <x v="3"/>
  </r>
  <r>
    <n v="1816"/>
    <x v="47"/>
    <s v="Male"/>
    <x v="9"/>
    <x v="1"/>
    <n v="72"/>
    <s v="New Mexico"/>
    <x v="0"/>
    <x v="3"/>
    <x v="0"/>
    <n v="4.5"/>
    <x v="1"/>
    <s v="2-Day Shipping"/>
    <s v="No"/>
    <s v="No"/>
    <n v="48"/>
    <s v="Credit Card"/>
    <x v="6"/>
  </r>
  <r>
    <n v="1817"/>
    <x v="8"/>
    <s v="Male"/>
    <x v="19"/>
    <x v="3"/>
    <n v="79"/>
    <s v="Virginia"/>
    <x v="2"/>
    <x v="7"/>
    <x v="2"/>
    <n v="4"/>
    <x v="1"/>
    <s v="Express"/>
    <s v="No"/>
    <s v="No"/>
    <n v="4"/>
    <s v="Cash"/>
    <x v="1"/>
  </r>
  <r>
    <n v="1818"/>
    <x v="45"/>
    <s v="Male"/>
    <x v="17"/>
    <x v="0"/>
    <n v="27"/>
    <s v="Delaware"/>
    <x v="2"/>
    <x v="3"/>
    <x v="2"/>
    <n v="4.7"/>
    <x v="1"/>
    <s v="Free Shipping"/>
    <s v="No"/>
    <s v="No"/>
    <n v="20"/>
    <s v="Cash"/>
    <x v="1"/>
  </r>
  <r>
    <n v="1819"/>
    <x v="44"/>
    <s v="Male"/>
    <x v="12"/>
    <x v="3"/>
    <n v="39"/>
    <s v="North Carolina"/>
    <x v="2"/>
    <x v="3"/>
    <x v="3"/>
    <n v="3.8"/>
    <x v="1"/>
    <s v="Express"/>
    <s v="No"/>
    <s v="No"/>
    <n v="47"/>
    <s v="Debit Card"/>
    <x v="6"/>
  </r>
  <r>
    <n v="1820"/>
    <x v="47"/>
    <s v="Male"/>
    <x v="20"/>
    <x v="0"/>
    <n v="86"/>
    <s v="Nevada"/>
    <x v="1"/>
    <x v="15"/>
    <x v="1"/>
    <n v="4.5"/>
    <x v="1"/>
    <s v="Next Day Air"/>
    <s v="No"/>
    <s v="No"/>
    <n v="50"/>
    <s v="Cash"/>
    <x v="3"/>
  </r>
  <r>
    <n v="1821"/>
    <x v="1"/>
    <s v="Male"/>
    <x v="5"/>
    <x v="0"/>
    <n v="94"/>
    <s v="Washington"/>
    <x v="3"/>
    <x v="9"/>
    <x v="3"/>
    <n v="5"/>
    <x v="1"/>
    <s v="Express"/>
    <s v="No"/>
    <s v="No"/>
    <n v="31"/>
    <s v="PayPal"/>
    <x v="5"/>
  </r>
  <r>
    <n v="1822"/>
    <x v="9"/>
    <s v="Male"/>
    <x v="6"/>
    <x v="0"/>
    <n v="53"/>
    <s v="Maine"/>
    <x v="2"/>
    <x v="11"/>
    <x v="1"/>
    <n v="2.8"/>
    <x v="1"/>
    <s v="Express"/>
    <s v="No"/>
    <s v="No"/>
    <n v="29"/>
    <s v="PayPal"/>
    <x v="3"/>
  </r>
  <r>
    <n v="1823"/>
    <x v="17"/>
    <s v="Male"/>
    <x v="5"/>
    <x v="0"/>
    <n v="85"/>
    <s v="Connecticut"/>
    <x v="1"/>
    <x v="17"/>
    <x v="2"/>
    <n v="4.4000000000000004"/>
    <x v="1"/>
    <s v="Standard"/>
    <s v="No"/>
    <s v="No"/>
    <n v="4"/>
    <s v="Cash"/>
    <x v="2"/>
  </r>
  <r>
    <n v="1824"/>
    <x v="46"/>
    <s v="Male"/>
    <x v="20"/>
    <x v="0"/>
    <n v="50"/>
    <s v="Louisiana"/>
    <x v="0"/>
    <x v="6"/>
    <x v="3"/>
    <n v="4.7"/>
    <x v="1"/>
    <s v="Free Shipping"/>
    <s v="No"/>
    <s v="No"/>
    <n v="40"/>
    <s v="Bank Transfer"/>
    <x v="4"/>
  </r>
  <r>
    <n v="1825"/>
    <x v="44"/>
    <s v="Male"/>
    <x v="13"/>
    <x v="0"/>
    <n v="47"/>
    <s v="Illinois"/>
    <x v="3"/>
    <x v="23"/>
    <x v="0"/>
    <n v="3.8"/>
    <x v="1"/>
    <s v="Express"/>
    <s v="No"/>
    <s v="No"/>
    <n v="31"/>
    <s v="Cash"/>
    <x v="5"/>
  </r>
  <r>
    <n v="1826"/>
    <x v="51"/>
    <s v="Male"/>
    <x v="23"/>
    <x v="1"/>
    <n v="75"/>
    <s v="South Dakota"/>
    <x v="2"/>
    <x v="6"/>
    <x v="0"/>
    <n v="4.9000000000000004"/>
    <x v="1"/>
    <s v="Next Day Air"/>
    <s v="No"/>
    <s v="No"/>
    <n v="41"/>
    <s v="Credit Card"/>
    <x v="1"/>
  </r>
  <r>
    <n v="1827"/>
    <x v="4"/>
    <s v="Male"/>
    <x v="17"/>
    <x v="0"/>
    <n v="60"/>
    <s v="Indiana"/>
    <x v="2"/>
    <x v="2"/>
    <x v="0"/>
    <n v="4.2"/>
    <x v="1"/>
    <s v="Express"/>
    <s v="No"/>
    <s v="No"/>
    <n v="44"/>
    <s v="Debit Card"/>
    <x v="2"/>
  </r>
  <r>
    <n v="1828"/>
    <x v="30"/>
    <s v="Male"/>
    <x v="17"/>
    <x v="0"/>
    <n v="36"/>
    <s v="Vermont"/>
    <x v="1"/>
    <x v="6"/>
    <x v="1"/>
    <n v="4.9000000000000004"/>
    <x v="1"/>
    <s v="2-Day Shipping"/>
    <s v="No"/>
    <s v="No"/>
    <n v="31"/>
    <s v="Bank Transfer"/>
    <x v="1"/>
  </r>
  <r>
    <n v="1829"/>
    <x v="23"/>
    <s v="Male"/>
    <x v="7"/>
    <x v="2"/>
    <n v="80"/>
    <s v="New Hampshire"/>
    <x v="0"/>
    <x v="0"/>
    <x v="1"/>
    <n v="3.9"/>
    <x v="1"/>
    <s v="Express"/>
    <s v="No"/>
    <s v="No"/>
    <n v="45"/>
    <s v="Cash"/>
    <x v="6"/>
  </r>
  <r>
    <n v="1830"/>
    <x v="11"/>
    <s v="Male"/>
    <x v="19"/>
    <x v="3"/>
    <n v="96"/>
    <s v="Oregon"/>
    <x v="2"/>
    <x v="3"/>
    <x v="1"/>
    <n v="4.9000000000000004"/>
    <x v="1"/>
    <s v="2-Day Shipping"/>
    <s v="No"/>
    <s v="No"/>
    <n v="50"/>
    <s v="Credit Card"/>
    <x v="3"/>
  </r>
  <r>
    <n v="1831"/>
    <x v="2"/>
    <s v="Male"/>
    <x v="12"/>
    <x v="3"/>
    <n v="80"/>
    <s v="Kansas"/>
    <x v="2"/>
    <x v="24"/>
    <x v="0"/>
    <n v="4.8"/>
    <x v="1"/>
    <s v="Express"/>
    <s v="No"/>
    <s v="No"/>
    <n v="7"/>
    <s v="Venmo"/>
    <x v="2"/>
  </r>
  <r>
    <n v="1832"/>
    <x v="46"/>
    <s v="Male"/>
    <x v="0"/>
    <x v="0"/>
    <n v="71"/>
    <s v="Maine"/>
    <x v="2"/>
    <x v="17"/>
    <x v="2"/>
    <n v="3.3"/>
    <x v="1"/>
    <s v="Free Shipping"/>
    <s v="No"/>
    <s v="No"/>
    <n v="5"/>
    <s v="Bank Transfer"/>
    <x v="6"/>
  </r>
  <r>
    <n v="1833"/>
    <x v="28"/>
    <s v="Male"/>
    <x v="16"/>
    <x v="3"/>
    <n v="29"/>
    <s v="Louisiana"/>
    <x v="2"/>
    <x v="24"/>
    <x v="3"/>
    <n v="4.5999999999999996"/>
    <x v="1"/>
    <s v="Free Shipping"/>
    <s v="No"/>
    <s v="No"/>
    <n v="48"/>
    <s v="Cash"/>
    <x v="5"/>
  </r>
  <r>
    <n v="1834"/>
    <x v="50"/>
    <s v="Male"/>
    <x v="16"/>
    <x v="3"/>
    <n v="53"/>
    <s v="Louisiana"/>
    <x v="2"/>
    <x v="22"/>
    <x v="1"/>
    <n v="4.5"/>
    <x v="1"/>
    <s v="2-Day Shipping"/>
    <s v="No"/>
    <s v="No"/>
    <n v="19"/>
    <s v="PayPal"/>
    <x v="0"/>
  </r>
  <r>
    <n v="1835"/>
    <x v="34"/>
    <s v="Male"/>
    <x v="11"/>
    <x v="0"/>
    <n v="35"/>
    <s v="Indiana"/>
    <x v="2"/>
    <x v="4"/>
    <x v="2"/>
    <n v="4.0999999999999996"/>
    <x v="1"/>
    <s v="2-Day Shipping"/>
    <s v="No"/>
    <s v="No"/>
    <n v="39"/>
    <s v="Venmo"/>
    <x v="0"/>
  </r>
  <r>
    <n v="1836"/>
    <x v="13"/>
    <s v="Male"/>
    <x v="18"/>
    <x v="3"/>
    <n v="75"/>
    <s v="Kentucky"/>
    <x v="2"/>
    <x v="12"/>
    <x v="3"/>
    <n v="3.2"/>
    <x v="1"/>
    <s v="2-Day Shipping"/>
    <s v="No"/>
    <s v="No"/>
    <n v="45"/>
    <s v="Credit Card"/>
    <x v="3"/>
  </r>
  <r>
    <n v="1837"/>
    <x v="17"/>
    <s v="Male"/>
    <x v="13"/>
    <x v="0"/>
    <n v="52"/>
    <s v="South Carolina"/>
    <x v="2"/>
    <x v="11"/>
    <x v="3"/>
    <n v="4.2"/>
    <x v="1"/>
    <s v="2-Day Shipping"/>
    <s v="No"/>
    <s v="No"/>
    <n v="35"/>
    <s v="Credit Card"/>
    <x v="5"/>
  </r>
  <r>
    <n v="1838"/>
    <x v="38"/>
    <s v="Male"/>
    <x v="19"/>
    <x v="3"/>
    <n v="77"/>
    <s v="Montana"/>
    <x v="2"/>
    <x v="19"/>
    <x v="0"/>
    <n v="4.8"/>
    <x v="1"/>
    <s v="Free Shipping"/>
    <s v="No"/>
    <s v="No"/>
    <n v="8"/>
    <s v="Venmo"/>
    <x v="5"/>
  </r>
  <r>
    <n v="1839"/>
    <x v="43"/>
    <s v="Male"/>
    <x v="24"/>
    <x v="3"/>
    <n v="24"/>
    <s v="Vermont"/>
    <x v="0"/>
    <x v="24"/>
    <x v="3"/>
    <n v="4.0999999999999996"/>
    <x v="1"/>
    <s v="Next Day Air"/>
    <s v="No"/>
    <s v="No"/>
    <n v="11"/>
    <s v="Credit Card"/>
    <x v="3"/>
  </r>
  <r>
    <n v="1840"/>
    <x v="45"/>
    <s v="Male"/>
    <x v="5"/>
    <x v="0"/>
    <n v="78"/>
    <s v="Mississippi"/>
    <x v="3"/>
    <x v="7"/>
    <x v="0"/>
    <n v="3.7"/>
    <x v="1"/>
    <s v="Store Pickup"/>
    <s v="No"/>
    <s v="No"/>
    <n v="32"/>
    <s v="Cash"/>
    <x v="2"/>
  </r>
  <r>
    <n v="1841"/>
    <x v="32"/>
    <s v="Male"/>
    <x v="3"/>
    <x v="1"/>
    <n v="98"/>
    <s v="Wyoming"/>
    <x v="2"/>
    <x v="9"/>
    <x v="0"/>
    <n v="2.6"/>
    <x v="1"/>
    <s v="Store Pickup"/>
    <s v="No"/>
    <s v="No"/>
    <n v="46"/>
    <s v="Bank Transfer"/>
    <x v="6"/>
  </r>
  <r>
    <n v="1842"/>
    <x v="18"/>
    <s v="Male"/>
    <x v="20"/>
    <x v="0"/>
    <n v="57"/>
    <s v="Vermont"/>
    <x v="0"/>
    <x v="24"/>
    <x v="0"/>
    <n v="3"/>
    <x v="1"/>
    <s v="Standard"/>
    <s v="No"/>
    <s v="No"/>
    <n v="7"/>
    <s v="PayPal"/>
    <x v="6"/>
  </r>
  <r>
    <n v="1843"/>
    <x v="12"/>
    <s v="Male"/>
    <x v="8"/>
    <x v="3"/>
    <n v="78"/>
    <s v="Alabama"/>
    <x v="2"/>
    <x v="13"/>
    <x v="2"/>
    <n v="4.4000000000000004"/>
    <x v="1"/>
    <s v="Express"/>
    <s v="No"/>
    <s v="No"/>
    <n v="1"/>
    <s v="Debit Card"/>
    <x v="2"/>
  </r>
  <r>
    <n v="1844"/>
    <x v="24"/>
    <s v="Male"/>
    <x v="14"/>
    <x v="2"/>
    <n v="76"/>
    <s v="Kentucky"/>
    <x v="2"/>
    <x v="4"/>
    <x v="3"/>
    <n v="4.7"/>
    <x v="1"/>
    <s v="Next Day Air"/>
    <s v="No"/>
    <s v="No"/>
    <n v="32"/>
    <s v="Credit Card"/>
    <x v="5"/>
  </r>
  <r>
    <n v="1845"/>
    <x v="52"/>
    <s v="Male"/>
    <x v="6"/>
    <x v="0"/>
    <n v="26"/>
    <s v="South Dakota"/>
    <x v="2"/>
    <x v="7"/>
    <x v="1"/>
    <n v="2.7"/>
    <x v="1"/>
    <s v="2-Day Shipping"/>
    <s v="No"/>
    <s v="No"/>
    <n v="31"/>
    <s v="Credit Card"/>
    <x v="2"/>
  </r>
  <r>
    <n v="1846"/>
    <x v="47"/>
    <s v="Male"/>
    <x v="3"/>
    <x v="1"/>
    <n v="78"/>
    <s v="Delaware"/>
    <x v="2"/>
    <x v="20"/>
    <x v="0"/>
    <n v="2.8"/>
    <x v="1"/>
    <s v="2-Day Shipping"/>
    <s v="No"/>
    <s v="No"/>
    <n v="39"/>
    <s v="Bank Transfer"/>
    <x v="3"/>
  </r>
  <r>
    <n v="1847"/>
    <x v="33"/>
    <s v="Male"/>
    <x v="18"/>
    <x v="3"/>
    <n v="53"/>
    <s v="Wisconsin"/>
    <x v="2"/>
    <x v="22"/>
    <x v="2"/>
    <n v="2.9"/>
    <x v="1"/>
    <s v="Standard"/>
    <s v="No"/>
    <s v="No"/>
    <n v="9"/>
    <s v="Venmo"/>
    <x v="3"/>
  </r>
  <r>
    <n v="1848"/>
    <x v="5"/>
    <s v="Male"/>
    <x v="3"/>
    <x v="1"/>
    <n v="100"/>
    <s v="Arizona"/>
    <x v="3"/>
    <x v="17"/>
    <x v="2"/>
    <n v="4.4000000000000004"/>
    <x v="1"/>
    <s v="Free Shipping"/>
    <s v="No"/>
    <s v="No"/>
    <n v="49"/>
    <s v="Credit Card"/>
    <x v="1"/>
  </r>
  <r>
    <n v="1849"/>
    <x v="1"/>
    <s v="Male"/>
    <x v="2"/>
    <x v="0"/>
    <n v="73"/>
    <s v="Maine"/>
    <x v="3"/>
    <x v="22"/>
    <x v="0"/>
    <n v="2.7"/>
    <x v="1"/>
    <s v="Express"/>
    <s v="No"/>
    <s v="No"/>
    <n v="34"/>
    <s v="Cash"/>
    <x v="6"/>
  </r>
  <r>
    <n v="1850"/>
    <x v="11"/>
    <s v="Male"/>
    <x v="11"/>
    <x v="0"/>
    <n v="40"/>
    <s v="New Mexico"/>
    <x v="2"/>
    <x v="1"/>
    <x v="0"/>
    <n v="4.5"/>
    <x v="1"/>
    <s v="Store Pickup"/>
    <s v="No"/>
    <s v="No"/>
    <n v="35"/>
    <s v="Bank Transfer"/>
    <x v="5"/>
  </r>
  <r>
    <n v="1851"/>
    <x v="47"/>
    <s v="Male"/>
    <x v="24"/>
    <x v="3"/>
    <n v="76"/>
    <s v="Wyoming"/>
    <x v="1"/>
    <x v="13"/>
    <x v="0"/>
    <n v="2.8"/>
    <x v="1"/>
    <s v="Store Pickup"/>
    <s v="No"/>
    <s v="No"/>
    <n v="50"/>
    <s v="Debit Card"/>
    <x v="1"/>
  </r>
  <r>
    <n v="1852"/>
    <x v="48"/>
    <s v="Male"/>
    <x v="11"/>
    <x v="0"/>
    <n v="80"/>
    <s v="Delaware"/>
    <x v="1"/>
    <x v="12"/>
    <x v="3"/>
    <n v="3.1"/>
    <x v="1"/>
    <s v="Free Shipping"/>
    <s v="No"/>
    <s v="No"/>
    <n v="4"/>
    <s v="Bank Transfer"/>
    <x v="0"/>
  </r>
  <r>
    <n v="1853"/>
    <x v="38"/>
    <s v="Male"/>
    <x v="1"/>
    <x v="0"/>
    <n v="80"/>
    <s v="Pennsylvania"/>
    <x v="3"/>
    <x v="10"/>
    <x v="0"/>
    <n v="3.8"/>
    <x v="1"/>
    <s v="Store Pickup"/>
    <s v="No"/>
    <s v="No"/>
    <n v="32"/>
    <s v="Cash"/>
    <x v="1"/>
  </r>
  <r>
    <n v="1854"/>
    <x v="26"/>
    <s v="Male"/>
    <x v="0"/>
    <x v="0"/>
    <n v="67"/>
    <s v="North Dakota"/>
    <x v="3"/>
    <x v="8"/>
    <x v="1"/>
    <n v="2.9"/>
    <x v="1"/>
    <s v="Express"/>
    <s v="No"/>
    <s v="No"/>
    <n v="11"/>
    <s v="PayPal"/>
    <x v="0"/>
  </r>
  <r>
    <n v="1855"/>
    <x v="15"/>
    <s v="Male"/>
    <x v="1"/>
    <x v="0"/>
    <n v="61"/>
    <s v="Kentucky"/>
    <x v="2"/>
    <x v="11"/>
    <x v="1"/>
    <n v="3.8"/>
    <x v="1"/>
    <s v="Express"/>
    <s v="No"/>
    <s v="No"/>
    <n v="49"/>
    <s v="Credit Card"/>
    <x v="2"/>
  </r>
  <r>
    <n v="1856"/>
    <x v="52"/>
    <s v="Male"/>
    <x v="5"/>
    <x v="0"/>
    <n v="76"/>
    <s v="Rhode Island"/>
    <x v="3"/>
    <x v="11"/>
    <x v="1"/>
    <n v="4.7"/>
    <x v="1"/>
    <s v="Standard"/>
    <s v="No"/>
    <s v="No"/>
    <n v="9"/>
    <s v="Cash"/>
    <x v="2"/>
  </r>
  <r>
    <n v="1857"/>
    <x v="6"/>
    <s v="Male"/>
    <x v="16"/>
    <x v="3"/>
    <n v="55"/>
    <s v="Arizona"/>
    <x v="3"/>
    <x v="19"/>
    <x v="2"/>
    <n v="3.2"/>
    <x v="1"/>
    <s v="Free Shipping"/>
    <s v="No"/>
    <s v="No"/>
    <n v="30"/>
    <s v="PayPal"/>
    <x v="4"/>
  </r>
  <r>
    <n v="1858"/>
    <x v="47"/>
    <s v="Male"/>
    <x v="17"/>
    <x v="0"/>
    <n v="85"/>
    <s v="Colorado"/>
    <x v="0"/>
    <x v="1"/>
    <x v="2"/>
    <n v="4"/>
    <x v="1"/>
    <s v="Next Day Air"/>
    <s v="No"/>
    <s v="No"/>
    <n v="33"/>
    <s v="Cash"/>
    <x v="5"/>
  </r>
  <r>
    <n v="1859"/>
    <x v="40"/>
    <s v="Male"/>
    <x v="18"/>
    <x v="3"/>
    <n v="69"/>
    <s v="Maine"/>
    <x v="1"/>
    <x v="15"/>
    <x v="1"/>
    <n v="4.9000000000000004"/>
    <x v="1"/>
    <s v="2-Day Shipping"/>
    <s v="No"/>
    <s v="No"/>
    <n v="8"/>
    <s v="Debit Card"/>
    <x v="2"/>
  </r>
  <r>
    <n v="1860"/>
    <x v="22"/>
    <s v="Male"/>
    <x v="22"/>
    <x v="3"/>
    <n v="26"/>
    <s v="New Jersey"/>
    <x v="0"/>
    <x v="19"/>
    <x v="2"/>
    <n v="3.7"/>
    <x v="1"/>
    <s v="Store Pickup"/>
    <s v="No"/>
    <s v="No"/>
    <n v="29"/>
    <s v="Debit Card"/>
    <x v="0"/>
  </r>
  <r>
    <n v="1861"/>
    <x v="20"/>
    <s v="Male"/>
    <x v="17"/>
    <x v="0"/>
    <n v="64"/>
    <s v="Kansas"/>
    <x v="2"/>
    <x v="5"/>
    <x v="2"/>
    <n v="4.8"/>
    <x v="1"/>
    <s v="Next Day Air"/>
    <s v="No"/>
    <s v="No"/>
    <n v="4"/>
    <s v="Credit Card"/>
    <x v="5"/>
  </r>
  <r>
    <n v="1862"/>
    <x v="26"/>
    <s v="Male"/>
    <x v="4"/>
    <x v="1"/>
    <n v="60"/>
    <s v="South Dakota"/>
    <x v="1"/>
    <x v="15"/>
    <x v="3"/>
    <n v="3.6"/>
    <x v="1"/>
    <s v="Standard"/>
    <s v="No"/>
    <s v="No"/>
    <n v="19"/>
    <s v="Debit Card"/>
    <x v="5"/>
  </r>
  <r>
    <n v="1863"/>
    <x v="35"/>
    <s v="Male"/>
    <x v="24"/>
    <x v="3"/>
    <n v="36"/>
    <s v="New Hampshire"/>
    <x v="2"/>
    <x v="2"/>
    <x v="0"/>
    <n v="4.5999999999999996"/>
    <x v="1"/>
    <s v="Express"/>
    <s v="No"/>
    <s v="No"/>
    <n v="10"/>
    <s v="PayPal"/>
    <x v="0"/>
  </r>
  <r>
    <n v="1864"/>
    <x v="15"/>
    <s v="Male"/>
    <x v="3"/>
    <x v="1"/>
    <n v="21"/>
    <s v="Connecticut"/>
    <x v="0"/>
    <x v="20"/>
    <x v="1"/>
    <n v="4.3"/>
    <x v="1"/>
    <s v="2-Day Shipping"/>
    <s v="No"/>
    <s v="No"/>
    <n v="39"/>
    <s v="Debit Card"/>
    <x v="5"/>
  </r>
  <r>
    <n v="1865"/>
    <x v="1"/>
    <s v="Male"/>
    <x v="21"/>
    <x v="3"/>
    <n v="72"/>
    <s v="Wyoming"/>
    <x v="1"/>
    <x v="17"/>
    <x v="3"/>
    <n v="3.2"/>
    <x v="1"/>
    <s v="2-Day Shipping"/>
    <s v="No"/>
    <s v="No"/>
    <n v="21"/>
    <s v="Venmo"/>
    <x v="3"/>
  </r>
  <r>
    <n v="1866"/>
    <x v="19"/>
    <s v="Male"/>
    <x v="13"/>
    <x v="0"/>
    <n v="62"/>
    <s v="Missouri"/>
    <x v="1"/>
    <x v="5"/>
    <x v="2"/>
    <n v="3.8"/>
    <x v="1"/>
    <s v="Store Pickup"/>
    <s v="No"/>
    <s v="No"/>
    <n v="12"/>
    <s v="Bank Transfer"/>
    <x v="5"/>
  </r>
  <r>
    <n v="1867"/>
    <x v="18"/>
    <s v="Male"/>
    <x v="17"/>
    <x v="0"/>
    <n v="44"/>
    <s v="Alaska"/>
    <x v="3"/>
    <x v="9"/>
    <x v="0"/>
    <n v="4.2"/>
    <x v="1"/>
    <s v="Standard"/>
    <s v="No"/>
    <s v="No"/>
    <n v="9"/>
    <s v="Credit Card"/>
    <x v="0"/>
  </r>
  <r>
    <n v="1868"/>
    <x v="4"/>
    <s v="Male"/>
    <x v="11"/>
    <x v="0"/>
    <n v="52"/>
    <s v="Delaware"/>
    <x v="2"/>
    <x v="18"/>
    <x v="3"/>
    <n v="3.4"/>
    <x v="1"/>
    <s v="2-Day Shipping"/>
    <s v="No"/>
    <s v="No"/>
    <n v="20"/>
    <s v="Venmo"/>
    <x v="3"/>
  </r>
  <r>
    <n v="1869"/>
    <x v="51"/>
    <s v="Male"/>
    <x v="24"/>
    <x v="3"/>
    <n v="58"/>
    <s v="Indiana"/>
    <x v="2"/>
    <x v="5"/>
    <x v="1"/>
    <n v="4.7"/>
    <x v="1"/>
    <s v="Next Day Air"/>
    <s v="No"/>
    <s v="No"/>
    <n v="44"/>
    <s v="Cash"/>
    <x v="0"/>
  </r>
  <r>
    <n v="1870"/>
    <x v="20"/>
    <s v="Male"/>
    <x v="0"/>
    <x v="0"/>
    <n v="77"/>
    <s v="West Virginia"/>
    <x v="1"/>
    <x v="19"/>
    <x v="1"/>
    <n v="3.9"/>
    <x v="1"/>
    <s v="2-Day Shipping"/>
    <s v="No"/>
    <s v="No"/>
    <n v="16"/>
    <s v="Debit Card"/>
    <x v="6"/>
  </r>
  <r>
    <n v="1871"/>
    <x v="49"/>
    <s v="Male"/>
    <x v="0"/>
    <x v="0"/>
    <n v="99"/>
    <s v="Wyoming"/>
    <x v="0"/>
    <x v="10"/>
    <x v="1"/>
    <n v="4.3"/>
    <x v="1"/>
    <s v="Store Pickup"/>
    <s v="No"/>
    <s v="No"/>
    <n v="27"/>
    <s v="Debit Card"/>
    <x v="0"/>
  </r>
  <r>
    <n v="1872"/>
    <x v="19"/>
    <s v="Male"/>
    <x v="2"/>
    <x v="0"/>
    <n v="96"/>
    <s v="Illinois"/>
    <x v="3"/>
    <x v="10"/>
    <x v="3"/>
    <n v="2.7"/>
    <x v="1"/>
    <s v="Standard"/>
    <s v="No"/>
    <s v="No"/>
    <n v="14"/>
    <s v="Cash"/>
    <x v="6"/>
  </r>
  <r>
    <n v="1873"/>
    <x v="49"/>
    <s v="Male"/>
    <x v="17"/>
    <x v="0"/>
    <n v="64"/>
    <s v="Alaska"/>
    <x v="2"/>
    <x v="12"/>
    <x v="2"/>
    <n v="4.5999999999999996"/>
    <x v="1"/>
    <s v="Standard"/>
    <s v="No"/>
    <s v="No"/>
    <n v="24"/>
    <s v="Credit Card"/>
    <x v="5"/>
  </r>
  <r>
    <n v="1874"/>
    <x v="14"/>
    <s v="Male"/>
    <x v="1"/>
    <x v="0"/>
    <n v="44"/>
    <s v="Wisconsin"/>
    <x v="3"/>
    <x v="16"/>
    <x v="3"/>
    <n v="2.9"/>
    <x v="1"/>
    <s v="Express"/>
    <s v="No"/>
    <s v="No"/>
    <n v="49"/>
    <s v="Bank Transfer"/>
    <x v="1"/>
  </r>
  <r>
    <n v="1875"/>
    <x v="29"/>
    <s v="Male"/>
    <x v="13"/>
    <x v="0"/>
    <n v="33"/>
    <s v="Indiana"/>
    <x v="0"/>
    <x v="7"/>
    <x v="3"/>
    <n v="3.6"/>
    <x v="1"/>
    <s v="Free Shipping"/>
    <s v="No"/>
    <s v="No"/>
    <n v="14"/>
    <s v="Cash"/>
    <x v="1"/>
  </r>
  <r>
    <n v="1876"/>
    <x v="6"/>
    <s v="Male"/>
    <x v="23"/>
    <x v="1"/>
    <n v="71"/>
    <s v="Tennessee"/>
    <x v="2"/>
    <x v="18"/>
    <x v="0"/>
    <n v="3.9"/>
    <x v="1"/>
    <s v="Next Day Air"/>
    <s v="No"/>
    <s v="No"/>
    <n v="6"/>
    <s v="Credit Card"/>
    <x v="3"/>
  </r>
  <r>
    <n v="1877"/>
    <x v="22"/>
    <s v="Male"/>
    <x v="11"/>
    <x v="0"/>
    <n v="36"/>
    <s v="Illinois"/>
    <x v="2"/>
    <x v="0"/>
    <x v="3"/>
    <n v="2.6"/>
    <x v="1"/>
    <s v="Standard"/>
    <s v="No"/>
    <s v="No"/>
    <n v="20"/>
    <s v="Venmo"/>
    <x v="3"/>
  </r>
  <r>
    <n v="1878"/>
    <x v="28"/>
    <s v="Male"/>
    <x v="24"/>
    <x v="3"/>
    <n v="62"/>
    <s v="Pennsylvania"/>
    <x v="0"/>
    <x v="6"/>
    <x v="3"/>
    <n v="3.6"/>
    <x v="1"/>
    <s v="Express"/>
    <s v="No"/>
    <s v="No"/>
    <n v="3"/>
    <s v="Credit Card"/>
    <x v="2"/>
  </r>
  <r>
    <n v="1879"/>
    <x v="50"/>
    <s v="Male"/>
    <x v="20"/>
    <x v="0"/>
    <n v="29"/>
    <s v="Oklahoma"/>
    <x v="0"/>
    <x v="23"/>
    <x v="2"/>
    <n v="3.4"/>
    <x v="1"/>
    <s v="Store Pickup"/>
    <s v="No"/>
    <s v="No"/>
    <n v="5"/>
    <s v="Credit Card"/>
    <x v="5"/>
  </r>
  <r>
    <n v="1880"/>
    <x v="19"/>
    <s v="Male"/>
    <x v="17"/>
    <x v="0"/>
    <n v="33"/>
    <s v="Tennessee"/>
    <x v="0"/>
    <x v="4"/>
    <x v="1"/>
    <n v="3.5"/>
    <x v="1"/>
    <s v="Express"/>
    <s v="No"/>
    <s v="No"/>
    <n v="46"/>
    <s v="Cash"/>
    <x v="4"/>
  </r>
  <r>
    <n v="1881"/>
    <x v="50"/>
    <s v="Male"/>
    <x v="0"/>
    <x v="0"/>
    <n v="33"/>
    <s v="New Jersey"/>
    <x v="0"/>
    <x v="22"/>
    <x v="3"/>
    <n v="3.1"/>
    <x v="1"/>
    <s v="2-Day Shipping"/>
    <s v="No"/>
    <s v="No"/>
    <n v="8"/>
    <s v="Debit Card"/>
    <x v="5"/>
  </r>
  <r>
    <n v="1882"/>
    <x v="44"/>
    <s v="Male"/>
    <x v="0"/>
    <x v="0"/>
    <n v="41"/>
    <s v="New Jersey"/>
    <x v="2"/>
    <x v="16"/>
    <x v="0"/>
    <n v="4.3"/>
    <x v="1"/>
    <s v="Standard"/>
    <s v="No"/>
    <s v="No"/>
    <n v="13"/>
    <s v="Cash"/>
    <x v="4"/>
  </r>
  <r>
    <n v="1883"/>
    <x v="42"/>
    <s v="Male"/>
    <x v="18"/>
    <x v="3"/>
    <n v="54"/>
    <s v="Tennessee"/>
    <x v="0"/>
    <x v="24"/>
    <x v="0"/>
    <n v="5"/>
    <x v="1"/>
    <s v="Store Pickup"/>
    <s v="No"/>
    <s v="No"/>
    <n v="25"/>
    <s v="Bank Transfer"/>
    <x v="3"/>
  </r>
  <r>
    <n v="1884"/>
    <x v="15"/>
    <s v="Male"/>
    <x v="21"/>
    <x v="3"/>
    <n v="58"/>
    <s v="Georgia"/>
    <x v="2"/>
    <x v="17"/>
    <x v="1"/>
    <n v="4.9000000000000004"/>
    <x v="1"/>
    <s v="Store Pickup"/>
    <s v="No"/>
    <s v="No"/>
    <n v="39"/>
    <s v="Debit Card"/>
    <x v="0"/>
  </r>
  <r>
    <n v="1885"/>
    <x v="7"/>
    <s v="Male"/>
    <x v="6"/>
    <x v="0"/>
    <n v="30"/>
    <s v="Arizona"/>
    <x v="1"/>
    <x v="6"/>
    <x v="2"/>
    <n v="4.3"/>
    <x v="1"/>
    <s v="Next Day Air"/>
    <s v="No"/>
    <s v="No"/>
    <n v="15"/>
    <s v="Bank Transfer"/>
    <x v="4"/>
  </r>
  <r>
    <n v="1886"/>
    <x v="8"/>
    <s v="Male"/>
    <x v="16"/>
    <x v="3"/>
    <n v="53"/>
    <s v="Nevada"/>
    <x v="1"/>
    <x v="1"/>
    <x v="0"/>
    <n v="4.4000000000000004"/>
    <x v="1"/>
    <s v="Standard"/>
    <s v="No"/>
    <s v="No"/>
    <n v="35"/>
    <s v="Cash"/>
    <x v="5"/>
  </r>
  <r>
    <n v="1887"/>
    <x v="20"/>
    <s v="Male"/>
    <x v="24"/>
    <x v="3"/>
    <n v="91"/>
    <s v="Arkansas"/>
    <x v="0"/>
    <x v="19"/>
    <x v="1"/>
    <n v="4.4000000000000004"/>
    <x v="1"/>
    <s v="Next Day Air"/>
    <s v="No"/>
    <s v="No"/>
    <n v="46"/>
    <s v="Cash"/>
    <x v="4"/>
  </r>
  <r>
    <n v="1888"/>
    <x v="14"/>
    <s v="Male"/>
    <x v="15"/>
    <x v="0"/>
    <n v="44"/>
    <s v="North Dakota"/>
    <x v="3"/>
    <x v="9"/>
    <x v="3"/>
    <n v="3.5"/>
    <x v="1"/>
    <s v="Express"/>
    <s v="No"/>
    <s v="No"/>
    <n v="3"/>
    <s v="PayPal"/>
    <x v="5"/>
  </r>
  <r>
    <n v="1889"/>
    <x v="46"/>
    <s v="Male"/>
    <x v="15"/>
    <x v="0"/>
    <n v="89"/>
    <s v="South Dakota"/>
    <x v="3"/>
    <x v="2"/>
    <x v="0"/>
    <n v="3.4"/>
    <x v="1"/>
    <s v="Free Shipping"/>
    <s v="No"/>
    <s v="No"/>
    <n v="48"/>
    <s v="Credit Card"/>
    <x v="1"/>
  </r>
  <r>
    <n v="1890"/>
    <x v="35"/>
    <s v="Male"/>
    <x v="11"/>
    <x v="0"/>
    <n v="57"/>
    <s v="North Carolina"/>
    <x v="0"/>
    <x v="15"/>
    <x v="1"/>
    <n v="2.5"/>
    <x v="1"/>
    <s v="Next Day Air"/>
    <s v="No"/>
    <s v="No"/>
    <n v="27"/>
    <s v="Bank Transfer"/>
    <x v="1"/>
  </r>
  <r>
    <n v="1891"/>
    <x v="24"/>
    <s v="Male"/>
    <x v="12"/>
    <x v="3"/>
    <n v="57"/>
    <s v="Hawaii"/>
    <x v="2"/>
    <x v="12"/>
    <x v="1"/>
    <n v="3.4"/>
    <x v="1"/>
    <s v="Store Pickup"/>
    <s v="No"/>
    <s v="No"/>
    <n v="5"/>
    <s v="Credit Card"/>
    <x v="1"/>
  </r>
  <r>
    <n v="1892"/>
    <x v="28"/>
    <s v="Male"/>
    <x v="16"/>
    <x v="3"/>
    <n v="74"/>
    <s v="New Hampshire"/>
    <x v="2"/>
    <x v="0"/>
    <x v="2"/>
    <n v="2.6"/>
    <x v="1"/>
    <s v="Next Day Air"/>
    <s v="No"/>
    <s v="No"/>
    <n v="48"/>
    <s v="Debit Card"/>
    <x v="3"/>
  </r>
  <r>
    <n v="1893"/>
    <x v="31"/>
    <s v="Male"/>
    <x v="14"/>
    <x v="2"/>
    <n v="30"/>
    <s v="California"/>
    <x v="2"/>
    <x v="24"/>
    <x v="3"/>
    <n v="4.5999999999999996"/>
    <x v="1"/>
    <s v="2-Day Shipping"/>
    <s v="No"/>
    <s v="No"/>
    <n v="12"/>
    <s v="Venmo"/>
    <x v="1"/>
  </r>
  <r>
    <n v="1894"/>
    <x v="48"/>
    <s v="Male"/>
    <x v="10"/>
    <x v="0"/>
    <n v="20"/>
    <s v="Delaware"/>
    <x v="0"/>
    <x v="16"/>
    <x v="2"/>
    <n v="3.7"/>
    <x v="1"/>
    <s v="Express"/>
    <s v="No"/>
    <s v="No"/>
    <n v="10"/>
    <s v="PayPal"/>
    <x v="0"/>
  </r>
  <r>
    <n v="1895"/>
    <x v="32"/>
    <s v="Male"/>
    <x v="15"/>
    <x v="0"/>
    <n v="90"/>
    <s v="Arizona"/>
    <x v="2"/>
    <x v="7"/>
    <x v="3"/>
    <n v="2.5"/>
    <x v="1"/>
    <s v="Free Shipping"/>
    <s v="No"/>
    <s v="No"/>
    <n v="48"/>
    <s v="Debit Card"/>
    <x v="4"/>
  </r>
  <r>
    <n v="1896"/>
    <x v="18"/>
    <s v="Male"/>
    <x v="2"/>
    <x v="0"/>
    <n v="61"/>
    <s v="Washington"/>
    <x v="0"/>
    <x v="21"/>
    <x v="3"/>
    <n v="4.5"/>
    <x v="1"/>
    <s v="Express"/>
    <s v="No"/>
    <s v="No"/>
    <n v="3"/>
    <s v="Debit Card"/>
    <x v="5"/>
  </r>
  <r>
    <n v="1897"/>
    <x v="9"/>
    <s v="Male"/>
    <x v="3"/>
    <x v="1"/>
    <n v="51"/>
    <s v="Nevada"/>
    <x v="2"/>
    <x v="9"/>
    <x v="3"/>
    <n v="2.9"/>
    <x v="1"/>
    <s v="Standard"/>
    <s v="No"/>
    <s v="No"/>
    <n v="19"/>
    <s v="Venmo"/>
    <x v="5"/>
  </r>
  <r>
    <n v="1898"/>
    <x v="10"/>
    <s v="Male"/>
    <x v="12"/>
    <x v="3"/>
    <n v="97"/>
    <s v="Alaska"/>
    <x v="0"/>
    <x v="11"/>
    <x v="0"/>
    <n v="2.9"/>
    <x v="1"/>
    <s v="Free Shipping"/>
    <s v="No"/>
    <s v="No"/>
    <n v="11"/>
    <s v="Debit Card"/>
    <x v="0"/>
  </r>
  <r>
    <n v="1899"/>
    <x v="35"/>
    <s v="Male"/>
    <x v="13"/>
    <x v="0"/>
    <n v="97"/>
    <s v="Texas"/>
    <x v="0"/>
    <x v="23"/>
    <x v="3"/>
    <n v="3.5"/>
    <x v="1"/>
    <s v="Next Day Air"/>
    <s v="No"/>
    <s v="No"/>
    <n v="25"/>
    <s v="Venmo"/>
    <x v="5"/>
  </r>
  <r>
    <n v="1900"/>
    <x v="45"/>
    <s v="Male"/>
    <x v="6"/>
    <x v="0"/>
    <n v="40"/>
    <s v="New York"/>
    <x v="0"/>
    <x v="1"/>
    <x v="0"/>
    <n v="4.2"/>
    <x v="1"/>
    <s v="Store Pickup"/>
    <s v="No"/>
    <s v="No"/>
    <n v="42"/>
    <s v="PayPal"/>
    <x v="1"/>
  </r>
  <r>
    <n v="1901"/>
    <x v="13"/>
    <s v="Male"/>
    <x v="16"/>
    <x v="3"/>
    <n v="85"/>
    <s v="Iowa"/>
    <x v="1"/>
    <x v="24"/>
    <x v="2"/>
    <n v="3.3"/>
    <x v="1"/>
    <s v="Free Shipping"/>
    <s v="No"/>
    <s v="No"/>
    <n v="34"/>
    <s v="Cash"/>
    <x v="3"/>
  </r>
  <r>
    <n v="1902"/>
    <x v="19"/>
    <s v="Male"/>
    <x v="20"/>
    <x v="0"/>
    <n v="76"/>
    <s v="Arizona"/>
    <x v="1"/>
    <x v="19"/>
    <x v="0"/>
    <n v="3.9"/>
    <x v="1"/>
    <s v="Store Pickup"/>
    <s v="No"/>
    <s v="No"/>
    <n v="50"/>
    <s v="Cash"/>
    <x v="3"/>
  </r>
  <r>
    <n v="1903"/>
    <x v="18"/>
    <s v="Male"/>
    <x v="3"/>
    <x v="1"/>
    <n v="22"/>
    <s v="New Mexico"/>
    <x v="1"/>
    <x v="8"/>
    <x v="1"/>
    <n v="5"/>
    <x v="1"/>
    <s v="Store Pickup"/>
    <s v="No"/>
    <s v="No"/>
    <n v="21"/>
    <s v="Venmo"/>
    <x v="5"/>
  </r>
  <r>
    <n v="1904"/>
    <x v="35"/>
    <s v="Male"/>
    <x v="13"/>
    <x v="0"/>
    <n v="63"/>
    <s v="North Carolina"/>
    <x v="2"/>
    <x v="9"/>
    <x v="2"/>
    <n v="3.3"/>
    <x v="1"/>
    <s v="Standard"/>
    <s v="No"/>
    <s v="No"/>
    <n v="37"/>
    <s v="Bank Transfer"/>
    <x v="1"/>
  </r>
  <r>
    <n v="1905"/>
    <x v="40"/>
    <s v="Male"/>
    <x v="17"/>
    <x v="0"/>
    <n v="71"/>
    <s v="Nevada"/>
    <x v="1"/>
    <x v="5"/>
    <x v="1"/>
    <n v="4.2"/>
    <x v="1"/>
    <s v="Free Shipping"/>
    <s v="No"/>
    <s v="No"/>
    <n v="46"/>
    <s v="Cash"/>
    <x v="5"/>
  </r>
  <r>
    <n v="1906"/>
    <x v="36"/>
    <s v="Male"/>
    <x v="23"/>
    <x v="1"/>
    <n v="35"/>
    <s v="Idaho"/>
    <x v="2"/>
    <x v="11"/>
    <x v="2"/>
    <n v="4.9000000000000004"/>
    <x v="1"/>
    <s v="2-Day Shipping"/>
    <s v="No"/>
    <s v="No"/>
    <n v="14"/>
    <s v="Bank Transfer"/>
    <x v="0"/>
  </r>
  <r>
    <n v="1907"/>
    <x v="51"/>
    <s v="Male"/>
    <x v="21"/>
    <x v="3"/>
    <n v="30"/>
    <s v="Vermont"/>
    <x v="2"/>
    <x v="14"/>
    <x v="1"/>
    <n v="4.5999999999999996"/>
    <x v="1"/>
    <s v="2-Day Shipping"/>
    <s v="No"/>
    <s v="No"/>
    <n v="24"/>
    <s v="PayPal"/>
    <x v="0"/>
  </r>
  <r>
    <n v="1908"/>
    <x v="28"/>
    <s v="Male"/>
    <x v="11"/>
    <x v="0"/>
    <n v="74"/>
    <s v="New Mexico"/>
    <x v="0"/>
    <x v="20"/>
    <x v="3"/>
    <n v="4.8"/>
    <x v="1"/>
    <s v="Store Pickup"/>
    <s v="No"/>
    <s v="No"/>
    <n v="36"/>
    <s v="Credit Card"/>
    <x v="6"/>
  </r>
  <r>
    <n v="1909"/>
    <x v="20"/>
    <s v="Male"/>
    <x v="18"/>
    <x v="3"/>
    <n v="71"/>
    <s v="Georgia"/>
    <x v="3"/>
    <x v="4"/>
    <x v="0"/>
    <n v="2.7"/>
    <x v="1"/>
    <s v="Next Day Air"/>
    <s v="No"/>
    <s v="No"/>
    <n v="19"/>
    <s v="Debit Card"/>
    <x v="4"/>
  </r>
  <r>
    <n v="1910"/>
    <x v="2"/>
    <s v="Male"/>
    <x v="1"/>
    <x v="0"/>
    <n v="84"/>
    <s v="Kentucky"/>
    <x v="1"/>
    <x v="13"/>
    <x v="1"/>
    <n v="4.3"/>
    <x v="1"/>
    <s v="Store Pickup"/>
    <s v="No"/>
    <s v="No"/>
    <n v="12"/>
    <s v="Credit Card"/>
    <x v="5"/>
  </r>
  <r>
    <n v="1911"/>
    <x v="26"/>
    <s v="Male"/>
    <x v="3"/>
    <x v="1"/>
    <n v="38"/>
    <s v="New York"/>
    <x v="1"/>
    <x v="22"/>
    <x v="3"/>
    <n v="3.8"/>
    <x v="1"/>
    <s v="Express"/>
    <s v="No"/>
    <s v="No"/>
    <n v="13"/>
    <s v="Debit Card"/>
    <x v="3"/>
  </r>
  <r>
    <n v="1912"/>
    <x v="13"/>
    <s v="Male"/>
    <x v="16"/>
    <x v="3"/>
    <n v="81"/>
    <s v="Arizona"/>
    <x v="2"/>
    <x v="0"/>
    <x v="1"/>
    <n v="4.9000000000000004"/>
    <x v="1"/>
    <s v="Express"/>
    <s v="No"/>
    <s v="No"/>
    <n v="32"/>
    <s v="Debit Card"/>
    <x v="4"/>
  </r>
  <r>
    <n v="1913"/>
    <x v="26"/>
    <s v="Male"/>
    <x v="1"/>
    <x v="0"/>
    <n v="56"/>
    <s v="Colorado"/>
    <x v="1"/>
    <x v="4"/>
    <x v="0"/>
    <n v="3.4"/>
    <x v="1"/>
    <s v="2-Day Shipping"/>
    <s v="No"/>
    <s v="No"/>
    <n v="5"/>
    <s v="Credit Card"/>
    <x v="4"/>
  </r>
  <r>
    <n v="1914"/>
    <x v="34"/>
    <s v="Male"/>
    <x v="11"/>
    <x v="0"/>
    <n v="48"/>
    <s v="Kentucky"/>
    <x v="2"/>
    <x v="15"/>
    <x v="0"/>
    <n v="3.6"/>
    <x v="1"/>
    <s v="Express"/>
    <s v="No"/>
    <s v="No"/>
    <n v="29"/>
    <s v="Cash"/>
    <x v="2"/>
  </r>
  <r>
    <n v="1915"/>
    <x v="48"/>
    <s v="Male"/>
    <x v="6"/>
    <x v="0"/>
    <n v="97"/>
    <s v="Alaska"/>
    <x v="0"/>
    <x v="14"/>
    <x v="3"/>
    <n v="3.4"/>
    <x v="1"/>
    <s v="Standard"/>
    <s v="No"/>
    <s v="No"/>
    <n v="40"/>
    <s v="Credit Card"/>
    <x v="0"/>
  </r>
  <r>
    <n v="1916"/>
    <x v="47"/>
    <s v="Male"/>
    <x v="21"/>
    <x v="3"/>
    <n v="74"/>
    <s v="Alabama"/>
    <x v="2"/>
    <x v="23"/>
    <x v="3"/>
    <n v="4.7"/>
    <x v="1"/>
    <s v="2-Day Shipping"/>
    <s v="No"/>
    <s v="No"/>
    <n v="44"/>
    <s v="Cash"/>
    <x v="1"/>
  </r>
  <r>
    <n v="1917"/>
    <x v="8"/>
    <s v="Male"/>
    <x v="15"/>
    <x v="0"/>
    <n v="50"/>
    <s v="Connecticut"/>
    <x v="1"/>
    <x v="19"/>
    <x v="0"/>
    <n v="3"/>
    <x v="1"/>
    <s v="Next Day Air"/>
    <s v="No"/>
    <s v="No"/>
    <n v="3"/>
    <s v="Debit Card"/>
    <x v="4"/>
  </r>
  <r>
    <n v="1918"/>
    <x v="21"/>
    <s v="Male"/>
    <x v="11"/>
    <x v="0"/>
    <n v="71"/>
    <s v="Hawaii"/>
    <x v="0"/>
    <x v="13"/>
    <x v="0"/>
    <n v="3.4"/>
    <x v="1"/>
    <s v="Free Shipping"/>
    <s v="No"/>
    <s v="No"/>
    <n v="35"/>
    <s v="PayPal"/>
    <x v="4"/>
  </r>
  <r>
    <n v="1919"/>
    <x v="25"/>
    <s v="Male"/>
    <x v="11"/>
    <x v="0"/>
    <n v="33"/>
    <s v="Idaho"/>
    <x v="1"/>
    <x v="7"/>
    <x v="2"/>
    <n v="4.5999999999999996"/>
    <x v="1"/>
    <s v="Standard"/>
    <s v="No"/>
    <s v="No"/>
    <n v="33"/>
    <s v="Debit Card"/>
    <x v="5"/>
  </r>
  <r>
    <n v="1920"/>
    <x v="50"/>
    <s v="Male"/>
    <x v="21"/>
    <x v="3"/>
    <n v="56"/>
    <s v="Virginia"/>
    <x v="2"/>
    <x v="8"/>
    <x v="2"/>
    <n v="3.1"/>
    <x v="1"/>
    <s v="Express"/>
    <s v="No"/>
    <s v="No"/>
    <n v="20"/>
    <s v="PayPal"/>
    <x v="4"/>
  </r>
  <r>
    <n v="1921"/>
    <x v="47"/>
    <s v="Male"/>
    <x v="0"/>
    <x v="0"/>
    <n v="84"/>
    <s v="Connecticut"/>
    <x v="2"/>
    <x v="7"/>
    <x v="1"/>
    <n v="2.8"/>
    <x v="1"/>
    <s v="Standard"/>
    <s v="No"/>
    <s v="No"/>
    <n v="40"/>
    <s v="Cash"/>
    <x v="6"/>
  </r>
  <r>
    <n v="1922"/>
    <x v="36"/>
    <s v="Male"/>
    <x v="5"/>
    <x v="0"/>
    <n v="36"/>
    <s v="Michigan"/>
    <x v="2"/>
    <x v="14"/>
    <x v="3"/>
    <n v="3.5"/>
    <x v="1"/>
    <s v="Store Pickup"/>
    <s v="No"/>
    <s v="No"/>
    <n v="13"/>
    <s v="Venmo"/>
    <x v="2"/>
  </r>
  <r>
    <n v="1923"/>
    <x v="20"/>
    <s v="Male"/>
    <x v="24"/>
    <x v="3"/>
    <n v="63"/>
    <s v="Kentucky"/>
    <x v="1"/>
    <x v="15"/>
    <x v="2"/>
    <n v="4.5999999999999996"/>
    <x v="1"/>
    <s v="Standard"/>
    <s v="No"/>
    <s v="No"/>
    <n v="9"/>
    <s v="PayPal"/>
    <x v="5"/>
  </r>
  <r>
    <n v="1924"/>
    <x v="14"/>
    <s v="Male"/>
    <x v="3"/>
    <x v="1"/>
    <n v="36"/>
    <s v="Nebraska"/>
    <x v="3"/>
    <x v="24"/>
    <x v="2"/>
    <n v="4.3"/>
    <x v="1"/>
    <s v="Standard"/>
    <s v="No"/>
    <s v="No"/>
    <n v="7"/>
    <s v="Cash"/>
    <x v="2"/>
  </r>
  <r>
    <n v="1925"/>
    <x v="11"/>
    <s v="Male"/>
    <x v="14"/>
    <x v="2"/>
    <n v="63"/>
    <s v="Michigan"/>
    <x v="2"/>
    <x v="0"/>
    <x v="3"/>
    <n v="4.8"/>
    <x v="1"/>
    <s v="Free Shipping"/>
    <s v="No"/>
    <s v="No"/>
    <n v="42"/>
    <s v="PayPal"/>
    <x v="3"/>
  </r>
  <r>
    <n v="1926"/>
    <x v="35"/>
    <s v="Male"/>
    <x v="4"/>
    <x v="1"/>
    <n v="32"/>
    <s v="Utah"/>
    <x v="0"/>
    <x v="13"/>
    <x v="0"/>
    <n v="2.9"/>
    <x v="1"/>
    <s v="Express"/>
    <s v="No"/>
    <s v="No"/>
    <n v="44"/>
    <s v="Credit Card"/>
    <x v="0"/>
  </r>
  <r>
    <n v="1927"/>
    <x v="17"/>
    <s v="Male"/>
    <x v="21"/>
    <x v="3"/>
    <n v="93"/>
    <s v="New Mexico"/>
    <x v="2"/>
    <x v="5"/>
    <x v="1"/>
    <n v="3"/>
    <x v="1"/>
    <s v="Express"/>
    <s v="No"/>
    <s v="No"/>
    <n v="6"/>
    <s v="PayPal"/>
    <x v="2"/>
  </r>
  <r>
    <n v="1928"/>
    <x v="37"/>
    <s v="Male"/>
    <x v="13"/>
    <x v="0"/>
    <n v="29"/>
    <s v="Florida"/>
    <x v="2"/>
    <x v="6"/>
    <x v="2"/>
    <n v="2.9"/>
    <x v="1"/>
    <s v="Standard"/>
    <s v="No"/>
    <s v="No"/>
    <n v="8"/>
    <s v="Cash"/>
    <x v="6"/>
  </r>
  <r>
    <n v="1929"/>
    <x v="15"/>
    <s v="Male"/>
    <x v="12"/>
    <x v="3"/>
    <n v="92"/>
    <s v="Mississippi"/>
    <x v="1"/>
    <x v="12"/>
    <x v="2"/>
    <n v="3.7"/>
    <x v="1"/>
    <s v="Standard"/>
    <s v="No"/>
    <s v="No"/>
    <n v="10"/>
    <s v="PayPal"/>
    <x v="1"/>
  </r>
  <r>
    <n v="1930"/>
    <x v="35"/>
    <s v="Male"/>
    <x v="2"/>
    <x v="0"/>
    <n v="33"/>
    <s v="Hawaii"/>
    <x v="0"/>
    <x v="18"/>
    <x v="3"/>
    <n v="4.7"/>
    <x v="1"/>
    <s v="Standard"/>
    <s v="No"/>
    <s v="No"/>
    <n v="46"/>
    <s v="Venmo"/>
    <x v="3"/>
  </r>
  <r>
    <n v="1931"/>
    <x v="17"/>
    <s v="Male"/>
    <x v="13"/>
    <x v="0"/>
    <n v="52"/>
    <s v="North Carolina"/>
    <x v="0"/>
    <x v="2"/>
    <x v="1"/>
    <n v="3.5"/>
    <x v="1"/>
    <s v="Store Pickup"/>
    <s v="No"/>
    <s v="No"/>
    <n v="26"/>
    <s v="Cash"/>
    <x v="1"/>
  </r>
  <r>
    <n v="1932"/>
    <x v="22"/>
    <s v="Male"/>
    <x v="16"/>
    <x v="3"/>
    <n v="42"/>
    <s v="Illinois"/>
    <x v="1"/>
    <x v="8"/>
    <x v="1"/>
    <n v="2.7"/>
    <x v="1"/>
    <s v="Store Pickup"/>
    <s v="No"/>
    <s v="No"/>
    <n v="6"/>
    <s v="Debit Card"/>
    <x v="6"/>
  </r>
  <r>
    <n v="1933"/>
    <x v="32"/>
    <s v="Male"/>
    <x v="15"/>
    <x v="0"/>
    <n v="36"/>
    <s v="Maryland"/>
    <x v="2"/>
    <x v="3"/>
    <x v="1"/>
    <n v="5"/>
    <x v="1"/>
    <s v="Free Shipping"/>
    <s v="No"/>
    <s v="No"/>
    <n v="47"/>
    <s v="Credit Card"/>
    <x v="6"/>
  </r>
  <r>
    <n v="1934"/>
    <x v="39"/>
    <s v="Male"/>
    <x v="3"/>
    <x v="1"/>
    <n v="67"/>
    <s v="Montana"/>
    <x v="0"/>
    <x v="10"/>
    <x v="2"/>
    <n v="4.0999999999999996"/>
    <x v="1"/>
    <s v="Next Day Air"/>
    <s v="No"/>
    <s v="No"/>
    <n v="28"/>
    <s v="Venmo"/>
    <x v="2"/>
  </r>
  <r>
    <n v="1935"/>
    <x v="50"/>
    <s v="Male"/>
    <x v="14"/>
    <x v="2"/>
    <n v="43"/>
    <s v="Michigan"/>
    <x v="0"/>
    <x v="9"/>
    <x v="0"/>
    <n v="2.7"/>
    <x v="1"/>
    <s v="Free Shipping"/>
    <s v="No"/>
    <s v="No"/>
    <n v="23"/>
    <s v="Bank Transfer"/>
    <x v="2"/>
  </r>
  <r>
    <n v="1936"/>
    <x v="1"/>
    <s v="Male"/>
    <x v="0"/>
    <x v="0"/>
    <n v="68"/>
    <s v="North Carolina"/>
    <x v="3"/>
    <x v="10"/>
    <x v="1"/>
    <n v="4.8"/>
    <x v="1"/>
    <s v="Free Shipping"/>
    <s v="No"/>
    <s v="No"/>
    <n v="45"/>
    <s v="Cash"/>
    <x v="0"/>
  </r>
  <r>
    <n v="1937"/>
    <x v="27"/>
    <s v="Male"/>
    <x v="16"/>
    <x v="3"/>
    <n v="60"/>
    <s v="Minnesota"/>
    <x v="1"/>
    <x v="11"/>
    <x v="2"/>
    <n v="4.3"/>
    <x v="1"/>
    <s v="2-Day Shipping"/>
    <s v="No"/>
    <s v="No"/>
    <n v="44"/>
    <s v="PayPal"/>
    <x v="6"/>
  </r>
  <r>
    <n v="1938"/>
    <x v="49"/>
    <s v="Male"/>
    <x v="20"/>
    <x v="0"/>
    <n v="53"/>
    <s v="Delaware"/>
    <x v="2"/>
    <x v="8"/>
    <x v="2"/>
    <n v="4.5"/>
    <x v="1"/>
    <s v="2-Day Shipping"/>
    <s v="No"/>
    <s v="No"/>
    <n v="11"/>
    <s v="Bank Transfer"/>
    <x v="5"/>
  </r>
  <r>
    <n v="1939"/>
    <x v="5"/>
    <s v="Male"/>
    <x v="2"/>
    <x v="0"/>
    <n v="23"/>
    <s v="Kentucky"/>
    <x v="0"/>
    <x v="24"/>
    <x v="1"/>
    <n v="3.8"/>
    <x v="1"/>
    <s v="Standard"/>
    <s v="No"/>
    <s v="No"/>
    <n v="39"/>
    <s v="Debit Card"/>
    <x v="4"/>
  </r>
  <r>
    <n v="1940"/>
    <x v="17"/>
    <s v="Male"/>
    <x v="24"/>
    <x v="3"/>
    <n v="57"/>
    <s v="Ohio"/>
    <x v="0"/>
    <x v="23"/>
    <x v="0"/>
    <n v="3.7"/>
    <x v="1"/>
    <s v="Store Pickup"/>
    <s v="No"/>
    <s v="No"/>
    <n v="20"/>
    <s v="PayPal"/>
    <x v="6"/>
  </r>
  <r>
    <n v="1941"/>
    <x v="2"/>
    <s v="Male"/>
    <x v="19"/>
    <x v="3"/>
    <n v="89"/>
    <s v="Alaska"/>
    <x v="0"/>
    <x v="0"/>
    <x v="3"/>
    <n v="3.9"/>
    <x v="1"/>
    <s v="2-Day Shipping"/>
    <s v="No"/>
    <s v="No"/>
    <n v="48"/>
    <s v="PayPal"/>
    <x v="0"/>
  </r>
  <r>
    <n v="1942"/>
    <x v="0"/>
    <s v="Male"/>
    <x v="9"/>
    <x v="1"/>
    <n v="99"/>
    <s v="Vermont"/>
    <x v="3"/>
    <x v="15"/>
    <x v="0"/>
    <n v="3.3"/>
    <x v="1"/>
    <s v="Standard"/>
    <s v="No"/>
    <s v="No"/>
    <n v="46"/>
    <s v="Credit Card"/>
    <x v="3"/>
  </r>
  <r>
    <n v="1943"/>
    <x v="6"/>
    <s v="Male"/>
    <x v="13"/>
    <x v="0"/>
    <n v="28"/>
    <s v="Alabama"/>
    <x v="2"/>
    <x v="17"/>
    <x v="3"/>
    <n v="3.4"/>
    <x v="1"/>
    <s v="Express"/>
    <s v="No"/>
    <s v="No"/>
    <n v="22"/>
    <s v="PayPal"/>
    <x v="5"/>
  </r>
  <r>
    <n v="1944"/>
    <x v="45"/>
    <s v="Male"/>
    <x v="20"/>
    <x v="0"/>
    <n v="53"/>
    <s v="Wisconsin"/>
    <x v="0"/>
    <x v="10"/>
    <x v="2"/>
    <n v="3.8"/>
    <x v="1"/>
    <s v="Next Day Air"/>
    <s v="No"/>
    <s v="No"/>
    <n v="45"/>
    <s v="Cash"/>
    <x v="2"/>
  </r>
  <r>
    <n v="1945"/>
    <x v="11"/>
    <s v="Male"/>
    <x v="15"/>
    <x v="0"/>
    <n v="45"/>
    <s v="Arkansas"/>
    <x v="2"/>
    <x v="9"/>
    <x v="0"/>
    <n v="2.7"/>
    <x v="1"/>
    <s v="Free Shipping"/>
    <s v="No"/>
    <s v="No"/>
    <n v="49"/>
    <s v="Cash"/>
    <x v="6"/>
  </r>
  <r>
    <n v="1946"/>
    <x v="25"/>
    <s v="Male"/>
    <x v="15"/>
    <x v="0"/>
    <n v="38"/>
    <s v="Georgia"/>
    <x v="2"/>
    <x v="9"/>
    <x v="0"/>
    <n v="2.9"/>
    <x v="1"/>
    <s v="2-Day Shipping"/>
    <s v="No"/>
    <s v="No"/>
    <n v="9"/>
    <s v="Credit Card"/>
    <x v="6"/>
  </r>
  <r>
    <n v="1947"/>
    <x v="35"/>
    <s v="Male"/>
    <x v="13"/>
    <x v="0"/>
    <n v="49"/>
    <s v="Louisiana"/>
    <x v="2"/>
    <x v="3"/>
    <x v="2"/>
    <n v="4.5"/>
    <x v="1"/>
    <s v="Standard"/>
    <s v="No"/>
    <s v="No"/>
    <n v="41"/>
    <s v="Credit Card"/>
    <x v="3"/>
  </r>
  <r>
    <n v="1948"/>
    <x v="35"/>
    <s v="Male"/>
    <x v="5"/>
    <x v="0"/>
    <n v="32"/>
    <s v="New York"/>
    <x v="2"/>
    <x v="0"/>
    <x v="2"/>
    <n v="2.6"/>
    <x v="1"/>
    <s v="Store Pickup"/>
    <s v="No"/>
    <s v="No"/>
    <n v="2"/>
    <s v="PayPal"/>
    <x v="5"/>
  </r>
  <r>
    <n v="1949"/>
    <x v="22"/>
    <s v="Male"/>
    <x v="17"/>
    <x v="0"/>
    <n v="37"/>
    <s v="Connecticut"/>
    <x v="0"/>
    <x v="18"/>
    <x v="0"/>
    <n v="3.1"/>
    <x v="1"/>
    <s v="Next Day Air"/>
    <s v="No"/>
    <s v="No"/>
    <n v="39"/>
    <s v="PayPal"/>
    <x v="4"/>
  </r>
  <r>
    <n v="1950"/>
    <x v="6"/>
    <s v="Male"/>
    <x v="10"/>
    <x v="0"/>
    <n v="80"/>
    <s v="Nebraska"/>
    <x v="0"/>
    <x v="0"/>
    <x v="0"/>
    <n v="4.7"/>
    <x v="1"/>
    <s v="Store Pickup"/>
    <s v="No"/>
    <s v="No"/>
    <n v="12"/>
    <s v="PayPal"/>
    <x v="3"/>
  </r>
  <r>
    <n v="1951"/>
    <x v="49"/>
    <s v="Male"/>
    <x v="21"/>
    <x v="3"/>
    <n v="78"/>
    <s v="Arkansas"/>
    <x v="0"/>
    <x v="24"/>
    <x v="2"/>
    <n v="4.5999999999999996"/>
    <x v="1"/>
    <s v="Free Shipping"/>
    <s v="No"/>
    <s v="No"/>
    <n v="26"/>
    <s v="PayPal"/>
    <x v="6"/>
  </r>
  <r>
    <n v="1952"/>
    <x v="23"/>
    <s v="Male"/>
    <x v="24"/>
    <x v="3"/>
    <n v="53"/>
    <s v="Connecticut"/>
    <x v="0"/>
    <x v="9"/>
    <x v="2"/>
    <n v="2.7"/>
    <x v="1"/>
    <s v="Next Day Air"/>
    <s v="No"/>
    <s v="No"/>
    <n v="32"/>
    <s v="Bank Transfer"/>
    <x v="4"/>
  </r>
  <r>
    <n v="1953"/>
    <x v="9"/>
    <s v="Male"/>
    <x v="9"/>
    <x v="1"/>
    <n v="82"/>
    <s v="Maryland"/>
    <x v="0"/>
    <x v="22"/>
    <x v="2"/>
    <n v="4.5999999999999996"/>
    <x v="1"/>
    <s v="2-Day Shipping"/>
    <s v="No"/>
    <s v="No"/>
    <n v="50"/>
    <s v="Cash"/>
    <x v="4"/>
  </r>
  <r>
    <n v="1954"/>
    <x v="15"/>
    <s v="Male"/>
    <x v="11"/>
    <x v="0"/>
    <n v="33"/>
    <s v="Colorado"/>
    <x v="3"/>
    <x v="14"/>
    <x v="1"/>
    <n v="4.8"/>
    <x v="1"/>
    <s v="Standard"/>
    <s v="No"/>
    <s v="No"/>
    <n v="3"/>
    <s v="PayPal"/>
    <x v="0"/>
  </r>
  <r>
    <n v="1955"/>
    <x v="8"/>
    <s v="Male"/>
    <x v="24"/>
    <x v="3"/>
    <n v="77"/>
    <s v="Colorado"/>
    <x v="2"/>
    <x v="6"/>
    <x v="0"/>
    <n v="4.2"/>
    <x v="1"/>
    <s v="Free Shipping"/>
    <s v="No"/>
    <s v="No"/>
    <n v="3"/>
    <s v="Venmo"/>
    <x v="3"/>
  </r>
  <r>
    <n v="1956"/>
    <x v="2"/>
    <s v="Male"/>
    <x v="15"/>
    <x v="0"/>
    <n v="56"/>
    <s v="Maine"/>
    <x v="2"/>
    <x v="6"/>
    <x v="0"/>
    <n v="4.9000000000000004"/>
    <x v="1"/>
    <s v="Express"/>
    <s v="No"/>
    <s v="No"/>
    <n v="37"/>
    <s v="Cash"/>
    <x v="5"/>
  </r>
  <r>
    <n v="1957"/>
    <x v="27"/>
    <s v="Male"/>
    <x v="20"/>
    <x v="0"/>
    <n v="37"/>
    <s v="Oklahoma"/>
    <x v="2"/>
    <x v="6"/>
    <x v="0"/>
    <n v="4.9000000000000004"/>
    <x v="1"/>
    <s v="Express"/>
    <s v="No"/>
    <s v="No"/>
    <n v="20"/>
    <s v="Credit Card"/>
    <x v="0"/>
  </r>
  <r>
    <n v="1958"/>
    <x v="33"/>
    <s v="Male"/>
    <x v="24"/>
    <x v="3"/>
    <n v="54"/>
    <s v="South Carolina"/>
    <x v="2"/>
    <x v="17"/>
    <x v="1"/>
    <n v="4.5"/>
    <x v="1"/>
    <s v="Store Pickup"/>
    <s v="No"/>
    <s v="No"/>
    <n v="26"/>
    <s v="Cash"/>
    <x v="4"/>
  </r>
  <r>
    <n v="1959"/>
    <x v="31"/>
    <s v="Male"/>
    <x v="6"/>
    <x v="0"/>
    <n v="67"/>
    <s v="Nevada"/>
    <x v="2"/>
    <x v="0"/>
    <x v="0"/>
    <n v="2.7"/>
    <x v="1"/>
    <s v="Store Pickup"/>
    <s v="No"/>
    <s v="No"/>
    <n v="47"/>
    <s v="Cash"/>
    <x v="3"/>
  </r>
  <r>
    <n v="1960"/>
    <x v="5"/>
    <s v="Male"/>
    <x v="9"/>
    <x v="1"/>
    <n v="90"/>
    <s v="Colorado"/>
    <x v="2"/>
    <x v="3"/>
    <x v="3"/>
    <n v="3.1"/>
    <x v="1"/>
    <s v="Store Pickup"/>
    <s v="No"/>
    <s v="No"/>
    <n v="7"/>
    <s v="Credit Card"/>
    <x v="6"/>
  </r>
  <r>
    <n v="1961"/>
    <x v="9"/>
    <s v="Male"/>
    <x v="2"/>
    <x v="0"/>
    <n v="72"/>
    <s v="Massachusetts"/>
    <x v="0"/>
    <x v="16"/>
    <x v="2"/>
    <n v="3.3"/>
    <x v="1"/>
    <s v="2-Day Shipping"/>
    <s v="No"/>
    <s v="No"/>
    <n v="40"/>
    <s v="Credit Card"/>
    <x v="2"/>
  </r>
  <r>
    <n v="1962"/>
    <x v="36"/>
    <s v="Male"/>
    <x v="23"/>
    <x v="1"/>
    <n v="59"/>
    <s v="Nevada"/>
    <x v="0"/>
    <x v="13"/>
    <x v="2"/>
    <n v="2.6"/>
    <x v="1"/>
    <s v="Free Shipping"/>
    <s v="No"/>
    <s v="No"/>
    <n v="45"/>
    <s v="Debit Card"/>
    <x v="3"/>
  </r>
  <r>
    <n v="1963"/>
    <x v="37"/>
    <s v="Male"/>
    <x v="19"/>
    <x v="3"/>
    <n v="45"/>
    <s v="Iowa"/>
    <x v="2"/>
    <x v="5"/>
    <x v="3"/>
    <n v="4.4000000000000004"/>
    <x v="1"/>
    <s v="Standard"/>
    <s v="No"/>
    <s v="No"/>
    <n v="20"/>
    <s v="PayPal"/>
    <x v="0"/>
  </r>
  <r>
    <n v="1964"/>
    <x v="16"/>
    <s v="Male"/>
    <x v="6"/>
    <x v="0"/>
    <n v="30"/>
    <s v="Michigan"/>
    <x v="0"/>
    <x v="6"/>
    <x v="1"/>
    <n v="3.9"/>
    <x v="1"/>
    <s v="Standard"/>
    <s v="No"/>
    <s v="No"/>
    <n v="11"/>
    <s v="Credit Card"/>
    <x v="1"/>
  </r>
  <r>
    <n v="1965"/>
    <x v="37"/>
    <s v="Male"/>
    <x v="13"/>
    <x v="0"/>
    <n v="51"/>
    <s v="West Virginia"/>
    <x v="1"/>
    <x v="17"/>
    <x v="2"/>
    <n v="4.5999999999999996"/>
    <x v="1"/>
    <s v="Express"/>
    <s v="No"/>
    <s v="No"/>
    <n v="50"/>
    <s v="Debit Card"/>
    <x v="5"/>
  </r>
  <r>
    <n v="1966"/>
    <x v="29"/>
    <s v="Male"/>
    <x v="1"/>
    <x v="0"/>
    <n v="90"/>
    <s v="Indiana"/>
    <x v="2"/>
    <x v="3"/>
    <x v="3"/>
    <n v="4.9000000000000004"/>
    <x v="1"/>
    <s v="Express"/>
    <s v="No"/>
    <s v="No"/>
    <n v="25"/>
    <s v="Debit Card"/>
    <x v="3"/>
  </r>
  <r>
    <n v="1967"/>
    <x v="29"/>
    <s v="Male"/>
    <x v="14"/>
    <x v="2"/>
    <n v="95"/>
    <s v="Indiana"/>
    <x v="3"/>
    <x v="7"/>
    <x v="0"/>
    <n v="3.7"/>
    <x v="1"/>
    <s v="Express"/>
    <s v="No"/>
    <s v="No"/>
    <n v="5"/>
    <s v="Credit Card"/>
    <x v="0"/>
  </r>
  <r>
    <n v="1968"/>
    <x v="43"/>
    <s v="Male"/>
    <x v="10"/>
    <x v="0"/>
    <n v="81"/>
    <s v="Georgia"/>
    <x v="0"/>
    <x v="22"/>
    <x v="3"/>
    <n v="3.7"/>
    <x v="1"/>
    <s v="Standard"/>
    <s v="No"/>
    <s v="No"/>
    <n v="4"/>
    <s v="Venmo"/>
    <x v="2"/>
  </r>
  <r>
    <n v="1969"/>
    <x v="29"/>
    <s v="Male"/>
    <x v="5"/>
    <x v="0"/>
    <n v="70"/>
    <s v="Minnesota"/>
    <x v="1"/>
    <x v="24"/>
    <x v="1"/>
    <n v="4.2"/>
    <x v="1"/>
    <s v="Standard"/>
    <s v="No"/>
    <s v="No"/>
    <n v="25"/>
    <s v="Credit Card"/>
    <x v="1"/>
  </r>
  <r>
    <n v="1970"/>
    <x v="14"/>
    <s v="Male"/>
    <x v="10"/>
    <x v="0"/>
    <n v="32"/>
    <s v="Louisiana"/>
    <x v="1"/>
    <x v="17"/>
    <x v="0"/>
    <n v="3.5"/>
    <x v="1"/>
    <s v="Next Day Air"/>
    <s v="No"/>
    <s v="No"/>
    <n v="11"/>
    <s v="Bank Transfer"/>
    <x v="0"/>
  </r>
  <r>
    <n v="1971"/>
    <x v="48"/>
    <s v="Male"/>
    <x v="22"/>
    <x v="3"/>
    <n v="94"/>
    <s v="Maryland"/>
    <x v="2"/>
    <x v="21"/>
    <x v="1"/>
    <n v="2.9"/>
    <x v="1"/>
    <s v="Next Day Air"/>
    <s v="No"/>
    <s v="No"/>
    <n v="4"/>
    <s v="Credit Card"/>
    <x v="4"/>
  </r>
  <r>
    <n v="1972"/>
    <x v="22"/>
    <s v="Male"/>
    <x v="19"/>
    <x v="3"/>
    <n v="29"/>
    <s v="Pennsylvania"/>
    <x v="3"/>
    <x v="21"/>
    <x v="1"/>
    <n v="3.4"/>
    <x v="1"/>
    <s v="Next Day Air"/>
    <s v="No"/>
    <s v="No"/>
    <n v="1"/>
    <s v="Venmo"/>
    <x v="5"/>
  </r>
  <r>
    <n v="1973"/>
    <x v="22"/>
    <s v="Male"/>
    <x v="21"/>
    <x v="3"/>
    <n v="31"/>
    <s v="Louisiana"/>
    <x v="2"/>
    <x v="5"/>
    <x v="2"/>
    <n v="3.3"/>
    <x v="1"/>
    <s v="Express"/>
    <s v="No"/>
    <s v="No"/>
    <n v="48"/>
    <s v="PayPal"/>
    <x v="6"/>
  </r>
  <r>
    <n v="1974"/>
    <x v="41"/>
    <s v="Male"/>
    <x v="11"/>
    <x v="0"/>
    <n v="20"/>
    <s v="Maryland"/>
    <x v="3"/>
    <x v="16"/>
    <x v="3"/>
    <n v="4.5"/>
    <x v="1"/>
    <s v="Standard"/>
    <s v="No"/>
    <s v="No"/>
    <n v="9"/>
    <s v="Venmo"/>
    <x v="6"/>
  </r>
  <r>
    <n v="1975"/>
    <x v="7"/>
    <s v="Male"/>
    <x v="24"/>
    <x v="3"/>
    <n v="44"/>
    <s v="Tennessee"/>
    <x v="2"/>
    <x v="15"/>
    <x v="0"/>
    <n v="4.5999999999999996"/>
    <x v="1"/>
    <s v="2-Day Shipping"/>
    <s v="No"/>
    <s v="No"/>
    <n v="2"/>
    <s v="PayPal"/>
    <x v="0"/>
  </r>
  <r>
    <n v="1976"/>
    <x v="10"/>
    <s v="Male"/>
    <x v="14"/>
    <x v="2"/>
    <n v="77"/>
    <s v="Illinois"/>
    <x v="0"/>
    <x v="2"/>
    <x v="3"/>
    <n v="2.9"/>
    <x v="1"/>
    <s v="Express"/>
    <s v="No"/>
    <s v="No"/>
    <n v="4"/>
    <s v="Cash"/>
    <x v="3"/>
  </r>
  <r>
    <n v="1977"/>
    <x v="45"/>
    <s v="Male"/>
    <x v="8"/>
    <x v="3"/>
    <n v="51"/>
    <s v="Wyoming"/>
    <x v="2"/>
    <x v="6"/>
    <x v="1"/>
    <n v="3.2"/>
    <x v="1"/>
    <s v="Next Day Air"/>
    <s v="No"/>
    <s v="No"/>
    <n v="43"/>
    <s v="PayPal"/>
    <x v="0"/>
  </r>
  <r>
    <n v="1978"/>
    <x v="41"/>
    <s v="Male"/>
    <x v="3"/>
    <x v="1"/>
    <n v="49"/>
    <s v="Florida"/>
    <x v="2"/>
    <x v="11"/>
    <x v="2"/>
    <n v="2.6"/>
    <x v="1"/>
    <s v="Free Shipping"/>
    <s v="No"/>
    <s v="No"/>
    <n v="32"/>
    <s v="Bank Transfer"/>
    <x v="2"/>
  </r>
  <r>
    <n v="1979"/>
    <x v="4"/>
    <s v="Male"/>
    <x v="12"/>
    <x v="3"/>
    <n v="78"/>
    <s v="Massachusetts"/>
    <x v="0"/>
    <x v="23"/>
    <x v="1"/>
    <n v="3.8"/>
    <x v="1"/>
    <s v="Store Pickup"/>
    <s v="No"/>
    <s v="No"/>
    <n v="1"/>
    <s v="Cash"/>
    <x v="3"/>
  </r>
  <r>
    <n v="1980"/>
    <x v="34"/>
    <s v="Male"/>
    <x v="2"/>
    <x v="0"/>
    <n v="98"/>
    <s v="Tennessee"/>
    <x v="0"/>
    <x v="24"/>
    <x v="1"/>
    <n v="2.8"/>
    <x v="1"/>
    <s v="Store Pickup"/>
    <s v="No"/>
    <s v="No"/>
    <n v="38"/>
    <s v="Debit Card"/>
    <x v="0"/>
  </r>
  <r>
    <n v="1981"/>
    <x v="47"/>
    <s v="Male"/>
    <x v="3"/>
    <x v="1"/>
    <n v="94"/>
    <s v="Iowa"/>
    <x v="2"/>
    <x v="14"/>
    <x v="0"/>
    <n v="4.4000000000000004"/>
    <x v="1"/>
    <s v="Store Pickup"/>
    <s v="No"/>
    <s v="No"/>
    <n v="25"/>
    <s v="PayPal"/>
    <x v="0"/>
  </r>
  <r>
    <n v="1982"/>
    <x v="28"/>
    <s v="Male"/>
    <x v="9"/>
    <x v="1"/>
    <n v="91"/>
    <s v="Michigan"/>
    <x v="0"/>
    <x v="10"/>
    <x v="2"/>
    <n v="4.7"/>
    <x v="1"/>
    <s v="Express"/>
    <s v="No"/>
    <s v="No"/>
    <n v="42"/>
    <s v="PayPal"/>
    <x v="3"/>
  </r>
  <r>
    <n v="1983"/>
    <x v="38"/>
    <s v="Male"/>
    <x v="12"/>
    <x v="3"/>
    <n v="77"/>
    <s v="Kansas"/>
    <x v="2"/>
    <x v="2"/>
    <x v="2"/>
    <n v="2.7"/>
    <x v="1"/>
    <s v="2-Day Shipping"/>
    <s v="No"/>
    <s v="No"/>
    <n v="32"/>
    <s v="PayPal"/>
    <x v="5"/>
  </r>
  <r>
    <n v="1984"/>
    <x v="35"/>
    <s v="Male"/>
    <x v="18"/>
    <x v="3"/>
    <n v="97"/>
    <s v="Georgia"/>
    <x v="2"/>
    <x v="6"/>
    <x v="2"/>
    <n v="2.6"/>
    <x v="1"/>
    <s v="Next Day Air"/>
    <s v="No"/>
    <s v="No"/>
    <n v="21"/>
    <s v="Debit Card"/>
    <x v="3"/>
  </r>
  <r>
    <n v="1985"/>
    <x v="8"/>
    <s v="Male"/>
    <x v="11"/>
    <x v="0"/>
    <n v="58"/>
    <s v="West Virginia"/>
    <x v="2"/>
    <x v="13"/>
    <x v="2"/>
    <n v="3.4"/>
    <x v="1"/>
    <s v="2-Day Shipping"/>
    <s v="No"/>
    <s v="No"/>
    <n v="26"/>
    <s v="PayPal"/>
    <x v="0"/>
  </r>
  <r>
    <n v="1986"/>
    <x v="51"/>
    <s v="Male"/>
    <x v="24"/>
    <x v="3"/>
    <n v="97"/>
    <s v="Tennessee"/>
    <x v="2"/>
    <x v="9"/>
    <x v="1"/>
    <n v="3.9"/>
    <x v="1"/>
    <s v="2-Day Shipping"/>
    <s v="No"/>
    <s v="No"/>
    <n v="6"/>
    <s v="Credit Card"/>
    <x v="0"/>
  </r>
  <r>
    <n v="1987"/>
    <x v="46"/>
    <s v="Male"/>
    <x v="7"/>
    <x v="2"/>
    <n v="48"/>
    <s v="Arkansas"/>
    <x v="0"/>
    <x v="14"/>
    <x v="2"/>
    <n v="3.4"/>
    <x v="1"/>
    <s v="2-Day Shipping"/>
    <s v="No"/>
    <s v="No"/>
    <n v="14"/>
    <s v="Venmo"/>
    <x v="3"/>
  </r>
  <r>
    <n v="1988"/>
    <x v="28"/>
    <s v="Male"/>
    <x v="22"/>
    <x v="3"/>
    <n v="23"/>
    <s v="Vermont"/>
    <x v="3"/>
    <x v="3"/>
    <x v="2"/>
    <n v="3.4"/>
    <x v="1"/>
    <s v="Express"/>
    <s v="No"/>
    <s v="No"/>
    <n v="4"/>
    <s v="Cash"/>
    <x v="3"/>
  </r>
  <r>
    <n v="1989"/>
    <x v="5"/>
    <s v="Male"/>
    <x v="13"/>
    <x v="0"/>
    <n v="79"/>
    <s v="Virginia"/>
    <x v="2"/>
    <x v="9"/>
    <x v="0"/>
    <n v="3.9"/>
    <x v="1"/>
    <s v="Free Shipping"/>
    <s v="No"/>
    <s v="No"/>
    <n v="26"/>
    <s v="Bank Transfer"/>
    <x v="1"/>
  </r>
  <r>
    <n v="1990"/>
    <x v="25"/>
    <s v="Male"/>
    <x v="16"/>
    <x v="3"/>
    <n v="42"/>
    <s v="Maryland"/>
    <x v="1"/>
    <x v="4"/>
    <x v="1"/>
    <n v="4"/>
    <x v="1"/>
    <s v="Express"/>
    <s v="No"/>
    <s v="No"/>
    <n v="39"/>
    <s v="PayPal"/>
    <x v="4"/>
  </r>
  <r>
    <n v="1991"/>
    <x v="45"/>
    <s v="Male"/>
    <x v="21"/>
    <x v="3"/>
    <n v="95"/>
    <s v="Connecticut"/>
    <x v="0"/>
    <x v="3"/>
    <x v="1"/>
    <n v="3.4"/>
    <x v="1"/>
    <s v="2-Day Shipping"/>
    <s v="No"/>
    <s v="No"/>
    <n v="15"/>
    <s v="PayPal"/>
    <x v="2"/>
  </r>
  <r>
    <n v="1992"/>
    <x v="5"/>
    <s v="Male"/>
    <x v="4"/>
    <x v="1"/>
    <n v="29"/>
    <s v="Missouri"/>
    <x v="2"/>
    <x v="18"/>
    <x v="2"/>
    <n v="3.7"/>
    <x v="1"/>
    <s v="Next Day Air"/>
    <s v="No"/>
    <s v="No"/>
    <n v="1"/>
    <s v="Venmo"/>
    <x v="6"/>
  </r>
  <r>
    <n v="1993"/>
    <x v="23"/>
    <s v="Male"/>
    <x v="15"/>
    <x v="0"/>
    <n v="98"/>
    <s v="New Jersey"/>
    <x v="0"/>
    <x v="9"/>
    <x v="0"/>
    <n v="4.9000000000000004"/>
    <x v="1"/>
    <s v="2-Day Shipping"/>
    <s v="No"/>
    <s v="No"/>
    <n v="28"/>
    <s v="Venmo"/>
    <x v="5"/>
  </r>
  <r>
    <n v="1994"/>
    <x v="45"/>
    <s v="Male"/>
    <x v="0"/>
    <x v="0"/>
    <n v="96"/>
    <s v="Arkansas"/>
    <x v="1"/>
    <x v="7"/>
    <x v="1"/>
    <n v="5"/>
    <x v="1"/>
    <s v="Express"/>
    <s v="No"/>
    <s v="No"/>
    <n v="17"/>
    <s v="Cash"/>
    <x v="1"/>
  </r>
  <r>
    <n v="1995"/>
    <x v="23"/>
    <s v="Male"/>
    <x v="12"/>
    <x v="3"/>
    <n v="66"/>
    <s v="Nevada"/>
    <x v="2"/>
    <x v="18"/>
    <x v="3"/>
    <n v="2.9"/>
    <x v="1"/>
    <s v="Next Day Air"/>
    <s v="No"/>
    <s v="No"/>
    <n v="24"/>
    <s v="Credit Card"/>
    <x v="1"/>
  </r>
  <r>
    <n v="1996"/>
    <x v="29"/>
    <s v="Male"/>
    <x v="23"/>
    <x v="1"/>
    <n v="80"/>
    <s v="Missouri"/>
    <x v="1"/>
    <x v="11"/>
    <x v="1"/>
    <n v="3"/>
    <x v="1"/>
    <s v="Standard"/>
    <s v="No"/>
    <s v="No"/>
    <n v="29"/>
    <s v="Debit Card"/>
    <x v="3"/>
  </r>
  <r>
    <n v="1997"/>
    <x v="29"/>
    <s v="Male"/>
    <x v="4"/>
    <x v="1"/>
    <n v="27"/>
    <s v="South Dakota"/>
    <x v="0"/>
    <x v="21"/>
    <x v="2"/>
    <n v="3.3"/>
    <x v="1"/>
    <s v="Next Day Air"/>
    <s v="No"/>
    <s v="No"/>
    <n v="18"/>
    <s v="Cash"/>
    <x v="6"/>
  </r>
  <r>
    <n v="1998"/>
    <x v="32"/>
    <s v="Male"/>
    <x v="21"/>
    <x v="3"/>
    <n v="25"/>
    <s v="Connecticut"/>
    <x v="2"/>
    <x v="7"/>
    <x v="3"/>
    <n v="4.7"/>
    <x v="1"/>
    <s v="Express"/>
    <s v="No"/>
    <s v="No"/>
    <n v="10"/>
    <s v="Debit Card"/>
    <x v="4"/>
  </r>
  <r>
    <n v="1999"/>
    <x v="30"/>
    <s v="Male"/>
    <x v="13"/>
    <x v="0"/>
    <n v="45"/>
    <s v="Vermont"/>
    <x v="2"/>
    <x v="20"/>
    <x v="3"/>
    <n v="3.4"/>
    <x v="1"/>
    <s v="2-Day Shipping"/>
    <s v="No"/>
    <s v="No"/>
    <n v="19"/>
    <s v="Cash"/>
    <x v="3"/>
  </r>
  <r>
    <n v="2000"/>
    <x v="31"/>
    <s v="Male"/>
    <x v="20"/>
    <x v="0"/>
    <n v="89"/>
    <s v="Tennessee"/>
    <x v="0"/>
    <x v="21"/>
    <x v="0"/>
    <n v="4.5999999999999996"/>
    <x v="1"/>
    <s v="2-Day Shipping"/>
    <s v="No"/>
    <s v="No"/>
    <n v="26"/>
    <s v="Debit Card"/>
    <x v="5"/>
  </r>
  <r>
    <n v="2001"/>
    <x v="8"/>
    <s v="Male"/>
    <x v="22"/>
    <x v="3"/>
    <n v="27"/>
    <s v="California"/>
    <x v="2"/>
    <x v="12"/>
    <x v="0"/>
    <n v="3.6"/>
    <x v="1"/>
    <s v="2-Day Shipping"/>
    <s v="No"/>
    <s v="No"/>
    <n v="25"/>
    <s v="Cash"/>
    <x v="4"/>
  </r>
  <r>
    <n v="2002"/>
    <x v="47"/>
    <s v="Male"/>
    <x v="12"/>
    <x v="3"/>
    <n v="90"/>
    <s v="Wyoming"/>
    <x v="1"/>
    <x v="7"/>
    <x v="0"/>
    <n v="2.6"/>
    <x v="1"/>
    <s v="Free Shipping"/>
    <s v="No"/>
    <s v="No"/>
    <n v="2"/>
    <s v="Debit Card"/>
    <x v="0"/>
  </r>
  <r>
    <n v="2003"/>
    <x v="18"/>
    <s v="Male"/>
    <x v="5"/>
    <x v="0"/>
    <n v="65"/>
    <s v="New York"/>
    <x v="2"/>
    <x v="16"/>
    <x v="2"/>
    <n v="2.7"/>
    <x v="1"/>
    <s v="Express"/>
    <s v="No"/>
    <s v="No"/>
    <n v="19"/>
    <s v="PayPal"/>
    <x v="6"/>
  </r>
  <r>
    <n v="2004"/>
    <x v="33"/>
    <s v="Male"/>
    <x v="4"/>
    <x v="1"/>
    <n v="72"/>
    <s v="Maine"/>
    <x v="1"/>
    <x v="24"/>
    <x v="1"/>
    <n v="3.1"/>
    <x v="1"/>
    <s v="Express"/>
    <s v="No"/>
    <s v="No"/>
    <n v="32"/>
    <s v="Cash"/>
    <x v="3"/>
  </r>
  <r>
    <n v="2005"/>
    <x v="42"/>
    <s v="Male"/>
    <x v="9"/>
    <x v="1"/>
    <n v="70"/>
    <s v="Georgia"/>
    <x v="0"/>
    <x v="24"/>
    <x v="3"/>
    <n v="3.2"/>
    <x v="1"/>
    <s v="2-Day Shipping"/>
    <s v="No"/>
    <s v="No"/>
    <n v="13"/>
    <s v="Cash"/>
    <x v="4"/>
  </r>
  <r>
    <n v="2006"/>
    <x v="20"/>
    <s v="Male"/>
    <x v="3"/>
    <x v="1"/>
    <n v="82"/>
    <s v="Tennessee"/>
    <x v="2"/>
    <x v="17"/>
    <x v="0"/>
    <n v="3.4"/>
    <x v="1"/>
    <s v="Store Pickup"/>
    <s v="No"/>
    <s v="No"/>
    <n v="30"/>
    <s v="PayPal"/>
    <x v="0"/>
  </r>
  <r>
    <n v="2007"/>
    <x v="44"/>
    <s v="Male"/>
    <x v="18"/>
    <x v="3"/>
    <n v="97"/>
    <s v="New Mexico"/>
    <x v="1"/>
    <x v="6"/>
    <x v="3"/>
    <n v="4.4000000000000004"/>
    <x v="1"/>
    <s v="Express"/>
    <s v="No"/>
    <s v="No"/>
    <n v="2"/>
    <s v="Credit Card"/>
    <x v="2"/>
  </r>
  <r>
    <n v="2008"/>
    <x v="8"/>
    <s v="Male"/>
    <x v="5"/>
    <x v="0"/>
    <n v="25"/>
    <s v="Virginia"/>
    <x v="2"/>
    <x v="5"/>
    <x v="2"/>
    <n v="3.2"/>
    <x v="1"/>
    <s v="2-Day Shipping"/>
    <s v="No"/>
    <s v="No"/>
    <n v="8"/>
    <s v="PayPal"/>
    <x v="3"/>
  </r>
  <r>
    <n v="2009"/>
    <x v="9"/>
    <s v="Male"/>
    <x v="11"/>
    <x v="0"/>
    <n v="48"/>
    <s v="Florida"/>
    <x v="2"/>
    <x v="0"/>
    <x v="1"/>
    <n v="2.5"/>
    <x v="1"/>
    <s v="Free Shipping"/>
    <s v="No"/>
    <s v="No"/>
    <n v="27"/>
    <s v="PayPal"/>
    <x v="6"/>
  </r>
  <r>
    <n v="2010"/>
    <x v="43"/>
    <s v="Male"/>
    <x v="23"/>
    <x v="1"/>
    <n v="99"/>
    <s v="Alabama"/>
    <x v="2"/>
    <x v="21"/>
    <x v="2"/>
    <n v="3.8"/>
    <x v="1"/>
    <s v="Next Day Air"/>
    <s v="No"/>
    <s v="No"/>
    <n v="26"/>
    <s v="Venmo"/>
    <x v="4"/>
  </r>
  <r>
    <n v="2011"/>
    <x v="41"/>
    <s v="Male"/>
    <x v="1"/>
    <x v="0"/>
    <n v="21"/>
    <s v="Texas"/>
    <x v="2"/>
    <x v="1"/>
    <x v="2"/>
    <n v="4.4000000000000004"/>
    <x v="1"/>
    <s v="2-Day Shipping"/>
    <s v="No"/>
    <s v="No"/>
    <n v="3"/>
    <s v="Debit Card"/>
    <x v="4"/>
  </r>
  <r>
    <n v="2012"/>
    <x v="9"/>
    <s v="Male"/>
    <x v="3"/>
    <x v="1"/>
    <n v="94"/>
    <s v="West Virginia"/>
    <x v="2"/>
    <x v="19"/>
    <x v="1"/>
    <n v="3.7"/>
    <x v="1"/>
    <s v="Express"/>
    <s v="No"/>
    <s v="No"/>
    <n v="4"/>
    <s v="Bank Transfer"/>
    <x v="5"/>
  </r>
  <r>
    <n v="2013"/>
    <x v="39"/>
    <s v="Male"/>
    <x v="2"/>
    <x v="0"/>
    <n v="53"/>
    <s v="Nevada"/>
    <x v="0"/>
    <x v="14"/>
    <x v="3"/>
    <n v="3.2"/>
    <x v="1"/>
    <s v="Store Pickup"/>
    <s v="No"/>
    <s v="No"/>
    <n v="5"/>
    <s v="Cash"/>
    <x v="0"/>
  </r>
  <r>
    <n v="2014"/>
    <x v="31"/>
    <s v="Male"/>
    <x v="21"/>
    <x v="3"/>
    <n v="70"/>
    <s v="Virginia"/>
    <x v="2"/>
    <x v="15"/>
    <x v="0"/>
    <n v="4.9000000000000004"/>
    <x v="1"/>
    <s v="Standard"/>
    <s v="No"/>
    <s v="No"/>
    <n v="25"/>
    <s v="Debit Card"/>
    <x v="3"/>
  </r>
  <r>
    <n v="2015"/>
    <x v="47"/>
    <s v="Male"/>
    <x v="11"/>
    <x v="0"/>
    <n v="26"/>
    <s v="Wisconsin"/>
    <x v="0"/>
    <x v="13"/>
    <x v="2"/>
    <n v="3.9"/>
    <x v="1"/>
    <s v="Standard"/>
    <s v="No"/>
    <s v="No"/>
    <n v="47"/>
    <s v="PayPal"/>
    <x v="4"/>
  </r>
  <r>
    <n v="2016"/>
    <x v="9"/>
    <s v="Male"/>
    <x v="22"/>
    <x v="3"/>
    <n v="82"/>
    <s v="Virginia"/>
    <x v="1"/>
    <x v="6"/>
    <x v="2"/>
    <n v="4.5"/>
    <x v="1"/>
    <s v="Next Day Air"/>
    <s v="No"/>
    <s v="No"/>
    <n v="8"/>
    <s v="Credit Card"/>
    <x v="0"/>
  </r>
  <r>
    <n v="2017"/>
    <x v="10"/>
    <s v="Male"/>
    <x v="9"/>
    <x v="1"/>
    <n v="47"/>
    <s v="Maine"/>
    <x v="1"/>
    <x v="10"/>
    <x v="0"/>
    <n v="3.4"/>
    <x v="1"/>
    <s v="Standard"/>
    <s v="No"/>
    <s v="No"/>
    <n v="20"/>
    <s v="Debit Card"/>
    <x v="0"/>
  </r>
  <r>
    <n v="2018"/>
    <x v="27"/>
    <s v="Male"/>
    <x v="20"/>
    <x v="0"/>
    <n v="32"/>
    <s v="Massachusetts"/>
    <x v="1"/>
    <x v="14"/>
    <x v="0"/>
    <n v="4.0999999999999996"/>
    <x v="1"/>
    <s v="Next Day Air"/>
    <s v="No"/>
    <s v="No"/>
    <n v="42"/>
    <s v="Bank Transfer"/>
    <x v="6"/>
  </r>
  <r>
    <n v="2019"/>
    <x v="52"/>
    <s v="Male"/>
    <x v="21"/>
    <x v="3"/>
    <n v="97"/>
    <s v="Arkansas"/>
    <x v="1"/>
    <x v="9"/>
    <x v="3"/>
    <n v="4.5"/>
    <x v="1"/>
    <s v="Store Pickup"/>
    <s v="No"/>
    <s v="No"/>
    <n v="20"/>
    <s v="Bank Transfer"/>
    <x v="1"/>
  </r>
  <r>
    <n v="2020"/>
    <x v="18"/>
    <s v="Male"/>
    <x v="5"/>
    <x v="0"/>
    <n v="68"/>
    <s v="Idaho"/>
    <x v="1"/>
    <x v="16"/>
    <x v="0"/>
    <n v="4.7"/>
    <x v="1"/>
    <s v="Store Pickup"/>
    <s v="No"/>
    <s v="No"/>
    <n v="23"/>
    <s v="Cash"/>
    <x v="0"/>
  </r>
  <r>
    <n v="2021"/>
    <x v="38"/>
    <s v="Male"/>
    <x v="1"/>
    <x v="0"/>
    <n v="23"/>
    <s v="Pennsylvania"/>
    <x v="2"/>
    <x v="19"/>
    <x v="0"/>
    <n v="4.8"/>
    <x v="1"/>
    <s v="Next Day Air"/>
    <s v="No"/>
    <s v="No"/>
    <n v="26"/>
    <s v="Cash"/>
    <x v="3"/>
  </r>
  <r>
    <n v="2022"/>
    <x v="46"/>
    <s v="Male"/>
    <x v="8"/>
    <x v="3"/>
    <n v="33"/>
    <s v="Maine"/>
    <x v="2"/>
    <x v="14"/>
    <x v="0"/>
    <n v="4.4000000000000004"/>
    <x v="1"/>
    <s v="Standard"/>
    <s v="No"/>
    <s v="No"/>
    <n v="48"/>
    <s v="Venmo"/>
    <x v="3"/>
  </r>
  <r>
    <n v="2023"/>
    <x v="35"/>
    <s v="Male"/>
    <x v="16"/>
    <x v="3"/>
    <n v="38"/>
    <s v="Alabama"/>
    <x v="1"/>
    <x v="13"/>
    <x v="0"/>
    <n v="4"/>
    <x v="1"/>
    <s v="Store Pickup"/>
    <s v="No"/>
    <s v="No"/>
    <n v="16"/>
    <s v="Cash"/>
    <x v="4"/>
  </r>
  <r>
    <n v="2024"/>
    <x v="5"/>
    <s v="Male"/>
    <x v="20"/>
    <x v="0"/>
    <n v="68"/>
    <s v="Idaho"/>
    <x v="1"/>
    <x v="11"/>
    <x v="0"/>
    <n v="4.0999999999999996"/>
    <x v="1"/>
    <s v="Store Pickup"/>
    <s v="No"/>
    <s v="No"/>
    <n v="28"/>
    <s v="Cash"/>
    <x v="4"/>
  </r>
  <r>
    <n v="2025"/>
    <x v="46"/>
    <s v="Male"/>
    <x v="20"/>
    <x v="0"/>
    <n v="23"/>
    <s v="Arkansas"/>
    <x v="0"/>
    <x v="5"/>
    <x v="3"/>
    <n v="3.7"/>
    <x v="1"/>
    <s v="Express"/>
    <s v="No"/>
    <s v="No"/>
    <n v="39"/>
    <s v="PayPal"/>
    <x v="1"/>
  </r>
  <r>
    <n v="2026"/>
    <x v="32"/>
    <s v="Male"/>
    <x v="5"/>
    <x v="0"/>
    <n v="29"/>
    <s v="Delaware"/>
    <x v="2"/>
    <x v="2"/>
    <x v="2"/>
    <n v="3"/>
    <x v="1"/>
    <s v="Express"/>
    <s v="No"/>
    <s v="No"/>
    <n v="43"/>
    <s v="Debit Card"/>
    <x v="0"/>
  </r>
  <r>
    <n v="2027"/>
    <x v="43"/>
    <s v="Male"/>
    <x v="18"/>
    <x v="3"/>
    <n v="35"/>
    <s v="Maine"/>
    <x v="2"/>
    <x v="20"/>
    <x v="0"/>
    <n v="3.6"/>
    <x v="1"/>
    <s v="Express"/>
    <s v="No"/>
    <s v="No"/>
    <n v="45"/>
    <s v="Bank Transfer"/>
    <x v="6"/>
  </r>
  <r>
    <n v="2028"/>
    <x v="2"/>
    <s v="Male"/>
    <x v="9"/>
    <x v="1"/>
    <n v="73"/>
    <s v="Nebraska"/>
    <x v="1"/>
    <x v="9"/>
    <x v="3"/>
    <n v="4.8"/>
    <x v="1"/>
    <s v="Standard"/>
    <s v="No"/>
    <s v="No"/>
    <n v="50"/>
    <s v="Credit Card"/>
    <x v="6"/>
  </r>
  <r>
    <n v="2029"/>
    <x v="26"/>
    <s v="Male"/>
    <x v="9"/>
    <x v="1"/>
    <n v="84"/>
    <s v="Ohio"/>
    <x v="3"/>
    <x v="7"/>
    <x v="3"/>
    <n v="3.7"/>
    <x v="1"/>
    <s v="2-Day Shipping"/>
    <s v="No"/>
    <s v="No"/>
    <n v="10"/>
    <s v="Venmo"/>
    <x v="4"/>
  </r>
  <r>
    <n v="2030"/>
    <x v="15"/>
    <s v="Male"/>
    <x v="18"/>
    <x v="3"/>
    <n v="23"/>
    <s v="Montana"/>
    <x v="2"/>
    <x v="6"/>
    <x v="1"/>
    <n v="4.5999999999999996"/>
    <x v="1"/>
    <s v="Next Day Air"/>
    <s v="No"/>
    <s v="No"/>
    <n v="40"/>
    <s v="PayPal"/>
    <x v="3"/>
  </r>
  <r>
    <n v="2031"/>
    <x v="17"/>
    <s v="Male"/>
    <x v="12"/>
    <x v="3"/>
    <n v="67"/>
    <s v="New Mexico"/>
    <x v="1"/>
    <x v="14"/>
    <x v="2"/>
    <n v="2.8"/>
    <x v="1"/>
    <s v="Standard"/>
    <s v="No"/>
    <s v="No"/>
    <n v="38"/>
    <s v="Credit Card"/>
    <x v="5"/>
  </r>
  <r>
    <n v="2032"/>
    <x v="3"/>
    <s v="Male"/>
    <x v="20"/>
    <x v="0"/>
    <n v="51"/>
    <s v="North Carolina"/>
    <x v="0"/>
    <x v="4"/>
    <x v="1"/>
    <n v="4"/>
    <x v="1"/>
    <s v="Standard"/>
    <s v="No"/>
    <s v="No"/>
    <n v="2"/>
    <s v="Credit Card"/>
    <x v="5"/>
  </r>
  <r>
    <n v="2033"/>
    <x v="5"/>
    <s v="Male"/>
    <x v="0"/>
    <x v="0"/>
    <n v="36"/>
    <s v="South Carolina"/>
    <x v="2"/>
    <x v="1"/>
    <x v="0"/>
    <n v="4.2"/>
    <x v="1"/>
    <s v="Next Day Air"/>
    <s v="No"/>
    <s v="No"/>
    <n v="13"/>
    <s v="Cash"/>
    <x v="2"/>
  </r>
  <r>
    <n v="2034"/>
    <x v="9"/>
    <s v="Male"/>
    <x v="2"/>
    <x v="0"/>
    <n v="55"/>
    <s v="Illinois"/>
    <x v="0"/>
    <x v="8"/>
    <x v="2"/>
    <n v="3.6"/>
    <x v="1"/>
    <s v="Express"/>
    <s v="No"/>
    <s v="No"/>
    <n v="33"/>
    <s v="Venmo"/>
    <x v="2"/>
  </r>
  <r>
    <n v="2035"/>
    <x v="12"/>
    <s v="Male"/>
    <x v="6"/>
    <x v="0"/>
    <n v="30"/>
    <s v="Alabama"/>
    <x v="2"/>
    <x v="15"/>
    <x v="1"/>
    <n v="2.9"/>
    <x v="1"/>
    <s v="Store Pickup"/>
    <s v="No"/>
    <s v="No"/>
    <n v="27"/>
    <s v="PayPal"/>
    <x v="5"/>
  </r>
  <r>
    <n v="2036"/>
    <x v="10"/>
    <s v="Male"/>
    <x v="17"/>
    <x v="0"/>
    <n v="70"/>
    <s v="Oklahoma"/>
    <x v="1"/>
    <x v="22"/>
    <x v="2"/>
    <n v="4.0999999999999996"/>
    <x v="1"/>
    <s v="Express"/>
    <s v="No"/>
    <s v="No"/>
    <n v="43"/>
    <s v="Bank Transfer"/>
    <x v="1"/>
  </r>
  <r>
    <n v="2037"/>
    <x v="43"/>
    <s v="Male"/>
    <x v="0"/>
    <x v="0"/>
    <n v="63"/>
    <s v="Minnesota"/>
    <x v="1"/>
    <x v="12"/>
    <x v="0"/>
    <n v="3.1"/>
    <x v="1"/>
    <s v="Next Day Air"/>
    <s v="No"/>
    <s v="No"/>
    <n v="46"/>
    <s v="Cash"/>
    <x v="1"/>
  </r>
  <r>
    <n v="2038"/>
    <x v="31"/>
    <s v="Male"/>
    <x v="22"/>
    <x v="3"/>
    <n v="87"/>
    <s v="Illinois"/>
    <x v="1"/>
    <x v="14"/>
    <x v="2"/>
    <n v="4.3"/>
    <x v="1"/>
    <s v="Express"/>
    <s v="No"/>
    <s v="No"/>
    <n v="7"/>
    <s v="Venmo"/>
    <x v="4"/>
  </r>
  <r>
    <n v="2039"/>
    <x v="10"/>
    <s v="Male"/>
    <x v="0"/>
    <x v="0"/>
    <n v="70"/>
    <s v="Arkansas"/>
    <x v="0"/>
    <x v="20"/>
    <x v="1"/>
    <n v="4.4000000000000004"/>
    <x v="1"/>
    <s v="Next Day Air"/>
    <s v="No"/>
    <s v="No"/>
    <n v="35"/>
    <s v="Credit Card"/>
    <x v="0"/>
  </r>
  <r>
    <n v="2040"/>
    <x v="25"/>
    <s v="Male"/>
    <x v="17"/>
    <x v="0"/>
    <n v="51"/>
    <s v="Minnesota"/>
    <x v="2"/>
    <x v="8"/>
    <x v="1"/>
    <n v="3.1"/>
    <x v="1"/>
    <s v="Next Day Air"/>
    <s v="No"/>
    <s v="No"/>
    <n v="31"/>
    <s v="Debit Card"/>
    <x v="4"/>
  </r>
  <r>
    <n v="2041"/>
    <x v="28"/>
    <s v="Male"/>
    <x v="16"/>
    <x v="3"/>
    <n v="25"/>
    <s v="South Carolina"/>
    <x v="3"/>
    <x v="0"/>
    <x v="1"/>
    <n v="2.9"/>
    <x v="1"/>
    <s v="Free Shipping"/>
    <s v="No"/>
    <s v="No"/>
    <n v="42"/>
    <s v="Venmo"/>
    <x v="3"/>
  </r>
  <r>
    <n v="2042"/>
    <x v="17"/>
    <s v="Male"/>
    <x v="14"/>
    <x v="2"/>
    <n v="32"/>
    <s v="New York"/>
    <x v="1"/>
    <x v="12"/>
    <x v="0"/>
    <n v="3.2"/>
    <x v="1"/>
    <s v="Next Day Air"/>
    <s v="No"/>
    <s v="No"/>
    <n v="14"/>
    <s v="PayPal"/>
    <x v="4"/>
  </r>
  <r>
    <n v="2043"/>
    <x v="1"/>
    <s v="Male"/>
    <x v="9"/>
    <x v="1"/>
    <n v="52"/>
    <s v="Alabama"/>
    <x v="2"/>
    <x v="16"/>
    <x v="1"/>
    <n v="4"/>
    <x v="1"/>
    <s v="2-Day Shipping"/>
    <s v="No"/>
    <s v="No"/>
    <n v="35"/>
    <s v="Venmo"/>
    <x v="5"/>
  </r>
  <r>
    <n v="2044"/>
    <x v="36"/>
    <s v="Male"/>
    <x v="24"/>
    <x v="3"/>
    <n v="33"/>
    <s v="New York"/>
    <x v="2"/>
    <x v="4"/>
    <x v="2"/>
    <n v="2.7"/>
    <x v="1"/>
    <s v="Standard"/>
    <s v="No"/>
    <s v="No"/>
    <n v="49"/>
    <s v="PayPal"/>
    <x v="1"/>
  </r>
  <r>
    <n v="2045"/>
    <x v="34"/>
    <s v="Male"/>
    <x v="2"/>
    <x v="0"/>
    <n v="68"/>
    <s v="Missouri"/>
    <x v="0"/>
    <x v="20"/>
    <x v="1"/>
    <n v="3"/>
    <x v="1"/>
    <s v="Free Shipping"/>
    <s v="No"/>
    <s v="No"/>
    <n v="17"/>
    <s v="PayPal"/>
    <x v="0"/>
  </r>
  <r>
    <n v="2046"/>
    <x v="18"/>
    <s v="Male"/>
    <x v="16"/>
    <x v="3"/>
    <n v="20"/>
    <s v="Georgia"/>
    <x v="2"/>
    <x v="16"/>
    <x v="3"/>
    <n v="4.4000000000000004"/>
    <x v="1"/>
    <s v="Express"/>
    <s v="No"/>
    <s v="No"/>
    <n v="26"/>
    <s v="PayPal"/>
    <x v="3"/>
  </r>
  <r>
    <n v="2047"/>
    <x v="31"/>
    <s v="Male"/>
    <x v="13"/>
    <x v="0"/>
    <n v="32"/>
    <s v="Oklahoma"/>
    <x v="2"/>
    <x v="1"/>
    <x v="0"/>
    <n v="2.8"/>
    <x v="1"/>
    <s v="Free Shipping"/>
    <s v="No"/>
    <s v="No"/>
    <n v="30"/>
    <s v="Cash"/>
    <x v="6"/>
  </r>
  <r>
    <n v="2048"/>
    <x v="44"/>
    <s v="Male"/>
    <x v="16"/>
    <x v="3"/>
    <n v="82"/>
    <s v="Connecticut"/>
    <x v="2"/>
    <x v="5"/>
    <x v="2"/>
    <n v="3.1"/>
    <x v="1"/>
    <s v="Store Pickup"/>
    <s v="No"/>
    <s v="No"/>
    <n v="32"/>
    <s v="Cash"/>
    <x v="2"/>
  </r>
  <r>
    <n v="2049"/>
    <x v="4"/>
    <s v="Male"/>
    <x v="4"/>
    <x v="1"/>
    <n v="64"/>
    <s v="Michigan"/>
    <x v="3"/>
    <x v="6"/>
    <x v="0"/>
    <n v="3.9"/>
    <x v="1"/>
    <s v="Express"/>
    <s v="No"/>
    <s v="No"/>
    <n v="35"/>
    <s v="Bank Transfer"/>
    <x v="3"/>
  </r>
  <r>
    <n v="2050"/>
    <x v="33"/>
    <s v="Male"/>
    <x v="23"/>
    <x v="1"/>
    <n v="24"/>
    <s v="Rhode Island"/>
    <x v="0"/>
    <x v="24"/>
    <x v="3"/>
    <n v="2.7"/>
    <x v="1"/>
    <s v="Standard"/>
    <s v="No"/>
    <s v="No"/>
    <n v="15"/>
    <s v="Venmo"/>
    <x v="2"/>
  </r>
  <r>
    <n v="2051"/>
    <x v="25"/>
    <s v="Male"/>
    <x v="19"/>
    <x v="3"/>
    <n v="96"/>
    <s v="Mississippi"/>
    <x v="2"/>
    <x v="11"/>
    <x v="2"/>
    <n v="3.4"/>
    <x v="1"/>
    <s v="Store Pickup"/>
    <s v="No"/>
    <s v="No"/>
    <n v="10"/>
    <s v="Debit Card"/>
    <x v="2"/>
  </r>
  <r>
    <n v="2052"/>
    <x v="13"/>
    <s v="Male"/>
    <x v="17"/>
    <x v="0"/>
    <n v="94"/>
    <s v="Massachusetts"/>
    <x v="0"/>
    <x v="13"/>
    <x v="1"/>
    <n v="3.8"/>
    <x v="1"/>
    <s v="Free Shipping"/>
    <s v="No"/>
    <s v="No"/>
    <n v="14"/>
    <s v="Credit Card"/>
    <x v="5"/>
  </r>
  <r>
    <n v="2053"/>
    <x v="4"/>
    <s v="Male"/>
    <x v="21"/>
    <x v="3"/>
    <n v="48"/>
    <s v="New Hampshire"/>
    <x v="2"/>
    <x v="0"/>
    <x v="0"/>
    <n v="3.7"/>
    <x v="1"/>
    <s v="2-Day Shipping"/>
    <s v="No"/>
    <s v="No"/>
    <n v="30"/>
    <s v="Bank Transfer"/>
    <x v="2"/>
  </r>
  <r>
    <n v="2054"/>
    <x v="1"/>
    <s v="Male"/>
    <x v="12"/>
    <x v="3"/>
    <n v="60"/>
    <s v="Wyoming"/>
    <x v="1"/>
    <x v="7"/>
    <x v="1"/>
    <n v="4.5"/>
    <x v="1"/>
    <s v="2-Day Shipping"/>
    <s v="No"/>
    <s v="No"/>
    <n v="16"/>
    <s v="Credit Card"/>
    <x v="0"/>
  </r>
  <r>
    <n v="2055"/>
    <x v="13"/>
    <s v="Male"/>
    <x v="1"/>
    <x v="0"/>
    <n v="56"/>
    <s v="New Jersey"/>
    <x v="3"/>
    <x v="9"/>
    <x v="1"/>
    <n v="2.9"/>
    <x v="1"/>
    <s v="Express"/>
    <s v="No"/>
    <s v="No"/>
    <n v="14"/>
    <s v="PayPal"/>
    <x v="2"/>
  </r>
  <r>
    <n v="2056"/>
    <x v="48"/>
    <s v="Male"/>
    <x v="8"/>
    <x v="3"/>
    <n v="33"/>
    <s v="Texas"/>
    <x v="2"/>
    <x v="5"/>
    <x v="3"/>
    <n v="3.4"/>
    <x v="1"/>
    <s v="2-Day Shipping"/>
    <s v="No"/>
    <s v="No"/>
    <n v="28"/>
    <s v="Bank Transfer"/>
    <x v="1"/>
  </r>
  <r>
    <n v="2057"/>
    <x v="0"/>
    <s v="Male"/>
    <x v="21"/>
    <x v="3"/>
    <n v="46"/>
    <s v="Minnesota"/>
    <x v="0"/>
    <x v="24"/>
    <x v="1"/>
    <n v="4.4000000000000004"/>
    <x v="1"/>
    <s v="2-Day Shipping"/>
    <s v="No"/>
    <s v="No"/>
    <n v="29"/>
    <s v="PayPal"/>
    <x v="5"/>
  </r>
  <r>
    <n v="2058"/>
    <x v="17"/>
    <s v="Male"/>
    <x v="20"/>
    <x v="0"/>
    <n v="37"/>
    <s v="South Dakota"/>
    <x v="0"/>
    <x v="22"/>
    <x v="1"/>
    <n v="4.2"/>
    <x v="1"/>
    <s v="Standard"/>
    <s v="No"/>
    <s v="No"/>
    <n v="5"/>
    <s v="PayPal"/>
    <x v="6"/>
  </r>
  <r>
    <n v="2059"/>
    <x v="26"/>
    <s v="Male"/>
    <x v="5"/>
    <x v="0"/>
    <n v="98"/>
    <s v="Washington"/>
    <x v="2"/>
    <x v="18"/>
    <x v="0"/>
    <n v="3.3"/>
    <x v="1"/>
    <s v="Store Pickup"/>
    <s v="No"/>
    <s v="No"/>
    <n v="17"/>
    <s v="Bank Transfer"/>
    <x v="3"/>
  </r>
  <r>
    <n v="2060"/>
    <x v="19"/>
    <s v="Male"/>
    <x v="6"/>
    <x v="0"/>
    <n v="50"/>
    <s v="California"/>
    <x v="3"/>
    <x v="19"/>
    <x v="1"/>
    <n v="3.7"/>
    <x v="1"/>
    <s v="Express"/>
    <s v="No"/>
    <s v="No"/>
    <n v="50"/>
    <s v="PayPal"/>
    <x v="1"/>
  </r>
  <r>
    <n v="2061"/>
    <x v="3"/>
    <s v="Male"/>
    <x v="22"/>
    <x v="3"/>
    <n v="63"/>
    <s v="Wisconsin"/>
    <x v="2"/>
    <x v="24"/>
    <x v="3"/>
    <n v="3.2"/>
    <x v="1"/>
    <s v="Next Day Air"/>
    <s v="No"/>
    <s v="No"/>
    <n v="23"/>
    <s v="Bank Transfer"/>
    <x v="3"/>
  </r>
  <r>
    <n v="2062"/>
    <x v="45"/>
    <s v="Male"/>
    <x v="1"/>
    <x v="0"/>
    <n v="70"/>
    <s v="Michigan"/>
    <x v="1"/>
    <x v="23"/>
    <x v="2"/>
    <n v="2.6"/>
    <x v="1"/>
    <s v="Store Pickup"/>
    <s v="No"/>
    <s v="No"/>
    <n v="22"/>
    <s v="Debit Card"/>
    <x v="2"/>
  </r>
  <r>
    <n v="2063"/>
    <x v="22"/>
    <s v="Male"/>
    <x v="7"/>
    <x v="2"/>
    <n v="63"/>
    <s v="South Carolina"/>
    <x v="0"/>
    <x v="5"/>
    <x v="3"/>
    <n v="2.8"/>
    <x v="1"/>
    <s v="Standard"/>
    <s v="No"/>
    <s v="No"/>
    <n v="15"/>
    <s v="Cash"/>
    <x v="3"/>
  </r>
  <r>
    <n v="2064"/>
    <x v="12"/>
    <s v="Male"/>
    <x v="6"/>
    <x v="0"/>
    <n v="86"/>
    <s v="Indiana"/>
    <x v="2"/>
    <x v="17"/>
    <x v="3"/>
    <n v="2.9"/>
    <x v="1"/>
    <s v="Standard"/>
    <s v="No"/>
    <s v="No"/>
    <n v="32"/>
    <s v="Cash"/>
    <x v="5"/>
  </r>
  <r>
    <n v="2065"/>
    <x v="18"/>
    <s v="Male"/>
    <x v="9"/>
    <x v="1"/>
    <n v="99"/>
    <s v="Arkansas"/>
    <x v="2"/>
    <x v="14"/>
    <x v="2"/>
    <n v="4"/>
    <x v="1"/>
    <s v="2-Day Shipping"/>
    <s v="No"/>
    <s v="No"/>
    <n v="5"/>
    <s v="Bank Transfer"/>
    <x v="5"/>
  </r>
  <r>
    <n v="2066"/>
    <x v="7"/>
    <s v="Male"/>
    <x v="4"/>
    <x v="1"/>
    <n v="40"/>
    <s v="Oregon"/>
    <x v="2"/>
    <x v="24"/>
    <x v="1"/>
    <n v="2.9"/>
    <x v="1"/>
    <s v="Free Shipping"/>
    <s v="No"/>
    <s v="No"/>
    <n v="6"/>
    <s v="Bank Transfer"/>
    <x v="4"/>
  </r>
  <r>
    <n v="2067"/>
    <x v="14"/>
    <s v="Male"/>
    <x v="4"/>
    <x v="1"/>
    <n v="92"/>
    <s v="Illinois"/>
    <x v="2"/>
    <x v="8"/>
    <x v="3"/>
    <n v="4.7"/>
    <x v="1"/>
    <s v="Store Pickup"/>
    <s v="No"/>
    <s v="No"/>
    <n v="44"/>
    <s v="Debit Card"/>
    <x v="0"/>
  </r>
  <r>
    <n v="2068"/>
    <x v="52"/>
    <s v="Male"/>
    <x v="13"/>
    <x v="0"/>
    <n v="21"/>
    <s v="Maryland"/>
    <x v="3"/>
    <x v="19"/>
    <x v="3"/>
    <n v="3.1"/>
    <x v="1"/>
    <s v="2-Day Shipping"/>
    <s v="No"/>
    <s v="No"/>
    <n v="23"/>
    <s v="Cash"/>
    <x v="0"/>
  </r>
  <r>
    <n v="2069"/>
    <x v="27"/>
    <s v="Male"/>
    <x v="16"/>
    <x v="3"/>
    <n v="81"/>
    <s v="Vermont"/>
    <x v="3"/>
    <x v="13"/>
    <x v="2"/>
    <n v="3.9"/>
    <x v="1"/>
    <s v="Store Pickup"/>
    <s v="No"/>
    <s v="No"/>
    <n v="44"/>
    <s v="Venmo"/>
    <x v="5"/>
  </r>
  <r>
    <n v="2070"/>
    <x v="24"/>
    <s v="Male"/>
    <x v="17"/>
    <x v="0"/>
    <n v="82"/>
    <s v="Texas"/>
    <x v="2"/>
    <x v="21"/>
    <x v="3"/>
    <n v="3.4"/>
    <x v="1"/>
    <s v="Free Shipping"/>
    <s v="No"/>
    <s v="No"/>
    <n v="3"/>
    <s v="Debit Card"/>
    <x v="3"/>
  </r>
  <r>
    <n v="2071"/>
    <x v="19"/>
    <s v="Male"/>
    <x v="16"/>
    <x v="3"/>
    <n v="88"/>
    <s v="Nebraska"/>
    <x v="3"/>
    <x v="16"/>
    <x v="1"/>
    <n v="3.1"/>
    <x v="1"/>
    <s v="Express"/>
    <s v="No"/>
    <s v="No"/>
    <n v="14"/>
    <s v="Cash"/>
    <x v="5"/>
  </r>
  <r>
    <n v="2072"/>
    <x v="28"/>
    <s v="Male"/>
    <x v="14"/>
    <x v="2"/>
    <n v="100"/>
    <s v="South Carolina"/>
    <x v="1"/>
    <x v="22"/>
    <x v="3"/>
    <n v="4.8"/>
    <x v="1"/>
    <s v="Store Pickup"/>
    <s v="No"/>
    <s v="No"/>
    <n v="37"/>
    <s v="PayPal"/>
    <x v="3"/>
  </r>
  <r>
    <n v="2073"/>
    <x v="31"/>
    <s v="Male"/>
    <x v="21"/>
    <x v="3"/>
    <n v="66"/>
    <s v="Massachusetts"/>
    <x v="2"/>
    <x v="19"/>
    <x v="0"/>
    <n v="3.9"/>
    <x v="1"/>
    <s v="Next Day Air"/>
    <s v="No"/>
    <s v="No"/>
    <n v="22"/>
    <s v="Bank Transfer"/>
    <x v="1"/>
  </r>
  <r>
    <n v="2074"/>
    <x v="21"/>
    <s v="Male"/>
    <x v="22"/>
    <x v="3"/>
    <n v="25"/>
    <s v="Texas"/>
    <x v="1"/>
    <x v="14"/>
    <x v="0"/>
    <n v="3.5"/>
    <x v="1"/>
    <s v="Next Day Air"/>
    <s v="No"/>
    <s v="No"/>
    <n v="2"/>
    <s v="PayPal"/>
    <x v="6"/>
  </r>
  <r>
    <n v="2075"/>
    <x v="24"/>
    <s v="Male"/>
    <x v="18"/>
    <x v="3"/>
    <n v="53"/>
    <s v="Florida"/>
    <x v="2"/>
    <x v="3"/>
    <x v="2"/>
    <n v="3.1"/>
    <x v="1"/>
    <s v="Free Shipping"/>
    <s v="No"/>
    <s v="No"/>
    <n v="44"/>
    <s v="Debit Card"/>
    <x v="0"/>
  </r>
  <r>
    <n v="2076"/>
    <x v="5"/>
    <s v="Male"/>
    <x v="1"/>
    <x v="0"/>
    <n v="28"/>
    <s v="South Carolina"/>
    <x v="1"/>
    <x v="2"/>
    <x v="3"/>
    <n v="4.7"/>
    <x v="1"/>
    <s v="Express"/>
    <s v="No"/>
    <s v="No"/>
    <n v="49"/>
    <s v="Debit Card"/>
    <x v="5"/>
  </r>
  <r>
    <n v="2077"/>
    <x v="35"/>
    <s v="Male"/>
    <x v="24"/>
    <x v="3"/>
    <n v="23"/>
    <s v="Florida"/>
    <x v="1"/>
    <x v="21"/>
    <x v="3"/>
    <n v="4.5999999999999996"/>
    <x v="1"/>
    <s v="Free Shipping"/>
    <s v="No"/>
    <s v="No"/>
    <n v="22"/>
    <s v="Debit Card"/>
    <x v="4"/>
  </r>
  <r>
    <n v="2078"/>
    <x v="14"/>
    <s v="Male"/>
    <x v="18"/>
    <x v="3"/>
    <n v="34"/>
    <s v="Nebraska"/>
    <x v="0"/>
    <x v="20"/>
    <x v="3"/>
    <n v="3.3"/>
    <x v="1"/>
    <s v="Free Shipping"/>
    <s v="No"/>
    <s v="No"/>
    <n v="26"/>
    <s v="Bank Transfer"/>
    <x v="2"/>
  </r>
  <r>
    <n v="2079"/>
    <x v="34"/>
    <s v="Male"/>
    <x v="10"/>
    <x v="0"/>
    <n v="42"/>
    <s v="Hawaii"/>
    <x v="2"/>
    <x v="24"/>
    <x v="1"/>
    <n v="3.2"/>
    <x v="1"/>
    <s v="Next Day Air"/>
    <s v="No"/>
    <s v="No"/>
    <n v="40"/>
    <s v="Debit Card"/>
    <x v="1"/>
  </r>
  <r>
    <n v="2080"/>
    <x v="45"/>
    <s v="Male"/>
    <x v="2"/>
    <x v="0"/>
    <n v="24"/>
    <s v="Montana"/>
    <x v="0"/>
    <x v="10"/>
    <x v="2"/>
    <n v="3.1"/>
    <x v="1"/>
    <s v="Next Day Air"/>
    <s v="No"/>
    <s v="No"/>
    <n v="16"/>
    <s v="PayPal"/>
    <x v="3"/>
  </r>
  <r>
    <n v="2081"/>
    <x v="26"/>
    <s v="Male"/>
    <x v="12"/>
    <x v="3"/>
    <n v="47"/>
    <s v="South Dakota"/>
    <x v="1"/>
    <x v="0"/>
    <x v="3"/>
    <n v="3.5"/>
    <x v="1"/>
    <s v="Free Shipping"/>
    <s v="No"/>
    <s v="No"/>
    <n v="17"/>
    <s v="Debit Card"/>
    <x v="4"/>
  </r>
  <r>
    <n v="2082"/>
    <x v="41"/>
    <s v="Male"/>
    <x v="7"/>
    <x v="2"/>
    <n v="78"/>
    <s v="Alabama"/>
    <x v="1"/>
    <x v="17"/>
    <x v="1"/>
    <n v="4.3"/>
    <x v="1"/>
    <s v="Standard"/>
    <s v="No"/>
    <s v="No"/>
    <n v="48"/>
    <s v="Bank Transfer"/>
    <x v="4"/>
  </r>
  <r>
    <n v="2083"/>
    <x v="38"/>
    <s v="Male"/>
    <x v="2"/>
    <x v="0"/>
    <n v="89"/>
    <s v="Arkansas"/>
    <x v="2"/>
    <x v="22"/>
    <x v="2"/>
    <n v="2.9"/>
    <x v="1"/>
    <s v="Free Shipping"/>
    <s v="No"/>
    <s v="No"/>
    <n v="28"/>
    <s v="Venmo"/>
    <x v="6"/>
  </r>
  <r>
    <n v="2084"/>
    <x v="38"/>
    <s v="Male"/>
    <x v="18"/>
    <x v="3"/>
    <n v="59"/>
    <s v="Mississippi"/>
    <x v="0"/>
    <x v="20"/>
    <x v="3"/>
    <n v="2.7"/>
    <x v="1"/>
    <s v="Store Pickup"/>
    <s v="No"/>
    <s v="No"/>
    <n v="26"/>
    <s v="Credit Card"/>
    <x v="0"/>
  </r>
  <r>
    <n v="2085"/>
    <x v="45"/>
    <s v="Male"/>
    <x v="0"/>
    <x v="0"/>
    <n v="94"/>
    <s v="Vermont"/>
    <x v="1"/>
    <x v="18"/>
    <x v="2"/>
    <n v="4"/>
    <x v="1"/>
    <s v="Standard"/>
    <s v="No"/>
    <s v="No"/>
    <n v="43"/>
    <s v="Bank Transfer"/>
    <x v="3"/>
  </r>
  <r>
    <n v="2086"/>
    <x v="28"/>
    <s v="Male"/>
    <x v="2"/>
    <x v="0"/>
    <n v="49"/>
    <s v="New York"/>
    <x v="2"/>
    <x v="11"/>
    <x v="3"/>
    <n v="4.5999999999999996"/>
    <x v="1"/>
    <s v="Free Shipping"/>
    <s v="No"/>
    <s v="No"/>
    <n v="38"/>
    <s v="Debit Card"/>
    <x v="1"/>
  </r>
  <r>
    <n v="2087"/>
    <x v="13"/>
    <s v="Male"/>
    <x v="10"/>
    <x v="0"/>
    <n v="89"/>
    <s v="North Dakota"/>
    <x v="0"/>
    <x v="19"/>
    <x v="2"/>
    <n v="4.7"/>
    <x v="1"/>
    <s v="2-Day Shipping"/>
    <s v="No"/>
    <s v="No"/>
    <n v="36"/>
    <s v="Cash"/>
    <x v="6"/>
  </r>
  <r>
    <n v="2088"/>
    <x v="22"/>
    <s v="Male"/>
    <x v="19"/>
    <x v="3"/>
    <n v="91"/>
    <s v="Wisconsin"/>
    <x v="2"/>
    <x v="24"/>
    <x v="2"/>
    <n v="4.7"/>
    <x v="1"/>
    <s v="Standard"/>
    <s v="No"/>
    <s v="No"/>
    <n v="1"/>
    <s v="Credit Card"/>
    <x v="1"/>
  </r>
  <r>
    <n v="2089"/>
    <x v="31"/>
    <s v="Male"/>
    <x v="3"/>
    <x v="1"/>
    <n v="89"/>
    <s v="California"/>
    <x v="0"/>
    <x v="20"/>
    <x v="1"/>
    <n v="4"/>
    <x v="1"/>
    <s v="Standard"/>
    <s v="No"/>
    <s v="No"/>
    <n v="49"/>
    <s v="Debit Card"/>
    <x v="2"/>
  </r>
  <r>
    <n v="2090"/>
    <x v="43"/>
    <s v="Male"/>
    <x v="14"/>
    <x v="2"/>
    <n v="57"/>
    <s v="Maryland"/>
    <x v="0"/>
    <x v="9"/>
    <x v="1"/>
    <n v="3.6"/>
    <x v="1"/>
    <s v="Free Shipping"/>
    <s v="No"/>
    <s v="No"/>
    <n v="41"/>
    <s v="Credit Card"/>
    <x v="6"/>
  </r>
  <r>
    <n v="2091"/>
    <x v="47"/>
    <s v="Male"/>
    <x v="20"/>
    <x v="0"/>
    <n v="71"/>
    <s v="Massachusetts"/>
    <x v="1"/>
    <x v="11"/>
    <x v="0"/>
    <n v="3.4"/>
    <x v="1"/>
    <s v="Free Shipping"/>
    <s v="No"/>
    <s v="No"/>
    <n v="21"/>
    <s v="Debit Card"/>
    <x v="5"/>
  </r>
  <r>
    <n v="2092"/>
    <x v="8"/>
    <s v="Male"/>
    <x v="2"/>
    <x v="0"/>
    <n v="97"/>
    <s v="Washington"/>
    <x v="3"/>
    <x v="19"/>
    <x v="3"/>
    <n v="3"/>
    <x v="1"/>
    <s v="Next Day Air"/>
    <s v="No"/>
    <s v="No"/>
    <n v="24"/>
    <s v="Bank Transfer"/>
    <x v="3"/>
  </r>
  <r>
    <n v="2093"/>
    <x v="32"/>
    <s v="Male"/>
    <x v="3"/>
    <x v="1"/>
    <n v="45"/>
    <s v="Minnesota"/>
    <x v="2"/>
    <x v="5"/>
    <x v="3"/>
    <n v="2.6"/>
    <x v="1"/>
    <s v="Next Day Air"/>
    <s v="No"/>
    <s v="No"/>
    <n v="27"/>
    <s v="Bank Transfer"/>
    <x v="1"/>
  </r>
  <r>
    <n v="2094"/>
    <x v="3"/>
    <s v="Male"/>
    <x v="10"/>
    <x v="0"/>
    <n v="91"/>
    <s v="Washington"/>
    <x v="2"/>
    <x v="1"/>
    <x v="1"/>
    <n v="4.2"/>
    <x v="1"/>
    <s v="Store Pickup"/>
    <s v="No"/>
    <s v="No"/>
    <n v="4"/>
    <s v="Debit Card"/>
    <x v="2"/>
  </r>
  <r>
    <n v="2095"/>
    <x v="10"/>
    <s v="Male"/>
    <x v="20"/>
    <x v="0"/>
    <n v="25"/>
    <s v="South Carolina"/>
    <x v="2"/>
    <x v="21"/>
    <x v="1"/>
    <n v="3.4"/>
    <x v="1"/>
    <s v="Standard"/>
    <s v="No"/>
    <s v="No"/>
    <n v="19"/>
    <s v="Venmo"/>
    <x v="2"/>
  </r>
  <r>
    <n v="2096"/>
    <x v="24"/>
    <s v="Male"/>
    <x v="15"/>
    <x v="0"/>
    <n v="63"/>
    <s v="New Mexico"/>
    <x v="2"/>
    <x v="0"/>
    <x v="3"/>
    <n v="4"/>
    <x v="1"/>
    <s v="Store Pickup"/>
    <s v="No"/>
    <s v="No"/>
    <n v="1"/>
    <s v="Bank Transfer"/>
    <x v="0"/>
  </r>
  <r>
    <n v="2097"/>
    <x v="3"/>
    <s v="Male"/>
    <x v="10"/>
    <x v="0"/>
    <n v="52"/>
    <s v="North Carolina"/>
    <x v="0"/>
    <x v="24"/>
    <x v="2"/>
    <n v="4.7"/>
    <x v="1"/>
    <s v="Free Shipping"/>
    <s v="No"/>
    <s v="No"/>
    <n v="27"/>
    <s v="Debit Card"/>
    <x v="2"/>
  </r>
  <r>
    <n v="2098"/>
    <x v="23"/>
    <s v="Male"/>
    <x v="4"/>
    <x v="1"/>
    <n v="43"/>
    <s v="Iowa"/>
    <x v="1"/>
    <x v="17"/>
    <x v="0"/>
    <n v="3.9"/>
    <x v="1"/>
    <s v="Next Day Air"/>
    <s v="No"/>
    <s v="No"/>
    <n v="5"/>
    <s v="Credit Card"/>
    <x v="1"/>
  </r>
  <r>
    <n v="2099"/>
    <x v="34"/>
    <s v="Male"/>
    <x v="17"/>
    <x v="0"/>
    <n v="28"/>
    <s v="Louisiana"/>
    <x v="2"/>
    <x v="3"/>
    <x v="2"/>
    <n v="3.3"/>
    <x v="1"/>
    <s v="2-Day Shipping"/>
    <s v="No"/>
    <s v="No"/>
    <n v="20"/>
    <s v="Venmo"/>
    <x v="3"/>
  </r>
  <r>
    <n v="2100"/>
    <x v="18"/>
    <s v="Male"/>
    <x v="17"/>
    <x v="0"/>
    <n v="78"/>
    <s v="Oklahoma"/>
    <x v="0"/>
    <x v="14"/>
    <x v="2"/>
    <n v="2.9"/>
    <x v="1"/>
    <s v="Express"/>
    <s v="No"/>
    <s v="No"/>
    <n v="50"/>
    <s v="PayPal"/>
    <x v="2"/>
  </r>
  <r>
    <n v="2101"/>
    <x v="33"/>
    <s v="Male"/>
    <x v="1"/>
    <x v="0"/>
    <n v="31"/>
    <s v="Michigan"/>
    <x v="2"/>
    <x v="5"/>
    <x v="1"/>
    <n v="4.4000000000000004"/>
    <x v="1"/>
    <s v="Free Shipping"/>
    <s v="No"/>
    <s v="No"/>
    <n v="36"/>
    <s v="Cash"/>
    <x v="0"/>
  </r>
  <r>
    <n v="2102"/>
    <x v="34"/>
    <s v="Male"/>
    <x v="5"/>
    <x v="0"/>
    <n v="23"/>
    <s v="Oregon"/>
    <x v="2"/>
    <x v="24"/>
    <x v="0"/>
    <n v="3.6"/>
    <x v="1"/>
    <s v="Next Day Air"/>
    <s v="No"/>
    <s v="No"/>
    <n v="12"/>
    <s v="Bank Transfer"/>
    <x v="4"/>
  </r>
  <r>
    <n v="2103"/>
    <x v="51"/>
    <s v="Male"/>
    <x v="19"/>
    <x v="3"/>
    <n v="25"/>
    <s v="Idaho"/>
    <x v="2"/>
    <x v="18"/>
    <x v="1"/>
    <n v="4.5"/>
    <x v="1"/>
    <s v="Store Pickup"/>
    <s v="No"/>
    <s v="No"/>
    <n v="23"/>
    <s v="Cash"/>
    <x v="5"/>
  </r>
  <r>
    <n v="2104"/>
    <x v="11"/>
    <s v="Male"/>
    <x v="13"/>
    <x v="0"/>
    <n v="86"/>
    <s v="Indiana"/>
    <x v="1"/>
    <x v="16"/>
    <x v="2"/>
    <n v="3.7"/>
    <x v="1"/>
    <s v="Store Pickup"/>
    <s v="No"/>
    <s v="No"/>
    <n v="21"/>
    <s v="Venmo"/>
    <x v="1"/>
  </r>
  <r>
    <n v="2105"/>
    <x v="10"/>
    <s v="Male"/>
    <x v="9"/>
    <x v="1"/>
    <n v="88"/>
    <s v="New Mexico"/>
    <x v="2"/>
    <x v="9"/>
    <x v="1"/>
    <n v="2.8"/>
    <x v="1"/>
    <s v="Free Shipping"/>
    <s v="No"/>
    <s v="No"/>
    <n v="47"/>
    <s v="Venmo"/>
    <x v="1"/>
  </r>
  <r>
    <n v="2106"/>
    <x v="13"/>
    <s v="Male"/>
    <x v="24"/>
    <x v="3"/>
    <n v="35"/>
    <s v="South Carolina"/>
    <x v="2"/>
    <x v="5"/>
    <x v="1"/>
    <n v="4.5"/>
    <x v="1"/>
    <s v="Free Shipping"/>
    <s v="No"/>
    <s v="No"/>
    <n v="38"/>
    <s v="Venmo"/>
    <x v="4"/>
  </r>
  <r>
    <n v="2107"/>
    <x v="52"/>
    <s v="Male"/>
    <x v="16"/>
    <x v="3"/>
    <n v="34"/>
    <s v="Vermont"/>
    <x v="2"/>
    <x v="0"/>
    <x v="3"/>
    <n v="4.4000000000000004"/>
    <x v="1"/>
    <s v="Standard"/>
    <s v="No"/>
    <s v="No"/>
    <n v="40"/>
    <s v="Credit Card"/>
    <x v="6"/>
  </r>
  <r>
    <n v="2108"/>
    <x v="5"/>
    <s v="Male"/>
    <x v="13"/>
    <x v="0"/>
    <n v="75"/>
    <s v="Delaware"/>
    <x v="2"/>
    <x v="13"/>
    <x v="0"/>
    <n v="3.3"/>
    <x v="1"/>
    <s v="Standard"/>
    <s v="No"/>
    <s v="No"/>
    <n v="35"/>
    <s v="PayPal"/>
    <x v="3"/>
  </r>
  <r>
    <n v="2109"/>
    <x v="22"/>
    <s v="Male"/>
    <x v="15"/>
    <x v="0"/>
    <n v="46"/>
    <s v="North Dakota"/>
    <x v="3"/>
    <x v="19"/>
    <x v="0"/>
    <n v="4.2"/>
    <x v="1"/>
    <s v="Express"/>
    <s v="No"/>
    <s v="No"/>
    <n v="4"/>
    <s v="Credit Card"/>
    <x v="3"/>
  </r>
  <r>
    <n v="2110"/>
    <x v="35"/>
    <s v="Male"/>
    <x v="16"/>
    <x v="3"/>
    <n v="31"/>
    <s v="California"/>
    <x v="0"/>
    <x v="15"/>
    <x v="3"/>
    <n v="2.7"/>
    <x v="1"/>
    <s v="Free Shipping"/>
    <s v="No"/>
    <s v="No"/>
    <n v="28"/>
    <s v="Venmo"/>
    <x v="6"/>
  </r>
  <r>
    <n v="2111"/>
    <x v="16"/>
    <s v="Male"/>
    <x v="20"/>
    <x v="0"/>
    <n v="93"/>
    <s v="Montana"/>
    <x v="0"/>
    <x v="17"/>
    <x v="1"/>
    <n v="3.9"/>
    <x v="1"/>
    <s v="Store Pickup"/>
    <s v="No"/>
    <s v="No"/>
    <n v="36"/>
    <s v="Debit Card"/>
    <x v="6"/>
  </r>
  <r>
    <n v="2112"/>
    <x v="38"/>
    <s v="Male"/>
    <x v="12"/>
    <x v="3"/>
    <n v="85"/>
    <s v="Missouri"/>
    <x v="3"/>
    <x v="6"/>
    <x v="1"/>
    <n v="2.6"/>
    <x v="1"/>
    <s v="Free Shipping"/>
    <s v="No"/>
    <s v="No"/>
    <n v="15"/>
    <s v="Bank Transfer"/>
    <x v="2"/>
  </r>
  <r>
    <n v="2113"/>
    <x v="49"/>
    <s v="Male"/>
    <x v="22"/>
    <x v="3"/>
    <n v="68"/>
    <s v="Tennessee"/>
    <x v="2"/>
    <x v="12"/>
    <x v="3"/>
    <n v="4.5"/>
    <x v="1"/>
    <s v="2-Day Shipping"/>
    <s v="No"/>
    <s v="No"/>
    <n v="7"/>
    <s v="Cash"/>
    <x v="0"/>
  </r>
  <r>
    <n v="2114"/>
    <x v="6"/>
    <s v="Male"/>
    <x v="10"/>
    <x v="0"/>
    <n v="40"/>
    <s v="Virginia"/>
    <x v="2"/>
    <x v="18"/>
    <x v="1"/>
    <n v="2.7"/>
    <x v="1"/>
    <s v="Store Pickup"/>
    <s v="No"/>
    <s v="No"/>
    <n v="29"/>
    <s v="PayPal"/>
    <x v="6"/>
  </r>
  <r>
    <n v="2115"/>
    <x v="43"/>
    <s v="Male"/>
    <x v="5"/>
    <x v="0"/>
    <n v="51"/>
    <s v="Vermont"/>
    <x v="2"/>
    <x v="23"/>
    <x v="0"/>
    <n v="2.9"/>
    <x v="1"/>
    <s v="Standard"/>
    <s v="No"/>
    <s v="No"/>
    <n v="12"/>
    <s v="Debit Card"/>
    <x v="2"/>
  </r>
  <r>
    <n v="2116"/>
    <x v="42"/>
    <s v="Male"/>
    <x v="18"/>
    <x v="3"/>
    <n v="85"/>
    <s v="Rhode Island"/>
    <x v="2"/>
    <x v="10"/>
    <x v="0"/>
    <n v="3.4"/>
    <x v="1"/>
    <s v="Store Pickup"/>
    <s v="No"/>
    <s v="No"/>
    <n v="16"/>
    <s v="Bank Transfer"/>
    <x v="4"/>
  </r>
  <r>
    <n v="2117"/>
    <x v="29"/>
    <s v="Male"/>
    <x v="14"/>
    <x v="2"/>
    <n v="23"/>
    <s v="Kansas"/>
    <x v="2"/>
    <x v="11"/>
    <x v="2"/>
    <n v="2.9"/>
    <x v="1"/>
    <s v="Express"/>
    <s v="No"/>
    <s v="No"/>
    <n v="50"/>
    <s v="Debit Card"/>
    <x v="4"/>
  </r>
  <r>
    <n v="2118"/>
    <x v="7"/>
    <s v="Male"/>
    <x v="10"/>
    <x v="0"/>
    <n v="28"/>
    <s v="Colorado"/>
    <x v="0"/>
    <x v="18"/>
    <x v="2"/>
    <n v="3.8"/>
    <x v="1"/>
    <s v="Free Shipping"/>
    <s v="No"/>
    <s v="No"/>
    <n v="11"/>
    <s v="Debit Card"/>
    <x v="2"/>
  </r>
  <r>
    <n v="2119"/>
    <x v="52"/>
    <s v="Male"/>
    <x v="20"/>
    <x v="0"/>
    <n v="44"/>
    <s v="Georgia"/>
    <x v="2"/>
    <x v="8"/>
    <x v="3"/>
    <n v="4.2"/>
    <x v="1"/>
    <s v="2-Day Shipping"/>
    <s v="No"/>
    <s v="No"/>
    <n v="28"/>
    <s v="Debit Card"/>
    <x v="3"/>
  </r>
  <r>
    <n v="2120"/>
    <x v="44"/>
    <s v="Male"/>
    <x v="16"/>
    <x v="3"/>
    <n v="57"/>
    <s v="Nebraska"/>
    <x v="2"/>
    <x v="21"/>
    <x v="1"/>
    <n v="3.5"/>
    <x v="1"/>
    <s v="Store Pickup"/>
    <s v="No"/>
    <s v="No"/>
    <n v="36"/>
    <s v="Venmo"/>
    <x v="4"/>
  </r>
  <r>
    <n v="2121"/>
    <x v="10"/>
    <s v="Male"/>
    <x v="18"/>
    <x v="3"/>
    <n v="98"/>
    <s v="Missouri"/>
    <x v="1"/>
    <x v="16"/>
    <x v="3"/>
    <n v="3.1"/>
    <x v="1"/>
    <s v="Next Day Air"/>
    <s v="No"/>
    <s v="No"/>
    <n v="38"/>
    <s v="PayPal"/>
    <x v="3"/>
  </r>
  <r>
    <n v="2122"/>
    <x v="49"/>
    <s v="Male"/>
    <x v="21"/>
    <x v="3"/>
    <n v="68"/>
    <s v="Alaska"/>
    <x v="2"/>
    <x v="8"/>
    <x v="0"/>
    <n v="3.5"/>
    <x v="1"/>
    <s v="2-Day Shipping"/>
    <s v="No"/>
    <s v="No"/>
    <n v="32"/>
    <s v="Bank Transfer"/>
    <x v="5"/>
  </r>
  <r>
    <n v="2123"/>
    <x v="45"/>
    <s v="Male"/>
    <x v="14"/>
    <x v="2"/>
    <n v="36"/>
    <s v="Virginia"/>
    <x v="0"/>
    <x v="11"/>
    <x v="3"/>
    <n v="4"/>
    <x v="1"/>
    <s v="Express"/>
    <s v="No"/>
    <s v="No"/>
    <n v="42"/>
    <s v="Debit Card"/>
    <x v="1"/>
  </r>
  <r>
    <n v="2124"/>
    <x v="22"/>
    <s v="Male"/>
    <x v="7"/>
    <x v="2"/>
    <n v="71"/>
    <s v="Nebraska"/>
    <x v="0"/>
    <x v="17"/>
    <x v="1"/>
    <n v="3.7"/>
    <x v="1"/>
    <s v="Express"/>
    <s v="No"/>
    <s v="No"/>
    <n v="22"/>
    <s v="Debit Card"/>
    <x v="4"/>
  </r>
  <r>
    <n v="2125"/>
    <x v="36"/>
    <s v="Male"/>
    <x v="11"/>
    <x v="0"/>
    <n v="60"/>
    <s v="Rhode Island"/>
    <x v="2"/>
    <x v="11"/>
    <x v="3"/>
    <n v="4.2"/>
    <x v="1"/>
    <s v="Next Day Air"/>
    <s v="No"/>
    <s v="No"/>
    <n v="22"/>
    <s v="Venmo"/>
    <x v="3"/>
  </r>
  <r>
    <n v="2126"/>
    <x v="9"/>
    <s v="Male"/>
    <x v="7"/>
    <x v="2"/>
    <n v="87"/>
    <s v="New Hampshire"/>
    <x v="2"/>
    <x v="19"/>
    <x v="3"/>
    <n v="4.8"/>
    <x v="1"/>
    <s v="Store Pickup"/>
    <s v="No"/>
    <s v="No"/>
    <n v="31"/>
    <s v="PayPal"/>
    <x v="3"/>
  </r>
  <r>
    <n v="2127"/>
    <x v="6"/>
    <s v="Male"/>
    <x v="9"/>
    <x v="1"/>
    <n v="38"/>
    <s v="Alabama"/>
    <x v="3"/>
    <x v="23"/>
    <x v="0"/>
    <n v="4.0999999999999996"/>
    <x v="1"/>
    <s v="Express"/>
    <s v="No"/>
    <s v="No"/>
    <n v="28"/>
    <s v="Credit Card"/>
    <x v="5"/>
  </r>
  <r>
    <n v="2128"/>
    <x v="27"/>
    <s v="Male"/>
    <x v="23"/>
    <x v="1"/>
    <n v="45"/>
    <s v="North Carolina"/>
    <x v="2"/>
    <x v="21"/>
    <x v="1"/>
    <n v="4.5"/>
    <x v="1"/>
    <s v="2-Day Shipping"/>
    <s v="No"/>
    <s v="No"/>
    <n v="40"/>
    <s v="Debit Card"/>
    <x v="1"/>
  </r>
  <r>
    <n v="2129"/>
    <x v="46"/>
    <s v="Male"/>
    <x v="7"/>
    <x v="2"/>
    <n v="47"/>
    <s v="New Mexico"/>
    <x v="0"/>
    <x v="17"/>
    <x v="3"/>
    <n v="2.7"/>
    <x v="1"/>
    <s v="2-Day Shipping"/>
    <s v="No"/>
    <s v="No"/>
    <n v="21"/>
    <s v="PayPal"/>
    <x v="1"/>
  </r>
  <r>
    <n v="2130"/>
    <x v="37"/>
    <s v="Male"/>
    <x v="11"/>
    <x v="0"/>
    <n v="57"/>
    <s v="Minnesota"/>
    <x v="0"/>
    <x v="20"/>
    <x v="3"/>
    <n v="2.8"/>
    <x v="1"/>
    <s v="Store Pickup"/>
    <s v="No"/>
    <s v="No"/>
    <n v="12"/>
    <s v="PayPal"/>
    <x v="6"/>
  </r>
  <r>
    <n v="2131"/>
    <x v="15"/>
    <s v="Male"/>
    <x v="21"/>
    <x v="3"/>
    <n v="68"/>
    <s v="Arizona"/>
    <x v="0"/>
    <x v="10"/>
    <x v="2"/>
    <n v="3.7"/>
    <x v="1"/>
    <s v="Free Shipping"/>
    <s v="No"/>
    <s v="No"/>
    <n v="33"/>
    <s v="Credit Card"/>
    <x v="2"/>
  </r>
  <r>
    <n v="2132"/>
    <x v="1"/>
    <s v="Male"/>
    <x v="6"/>
    <x v="0"/>
    <n v="52"/>
    <s v="Montana"/>
    <x v="2"/>
    <x v="16"/>
    <x v="3"/>
    <n v="3.6"/>
    <x v="1"/>
    <s v="Express"/>
    <s v="No"/>
    <s v="No"/>
    <n v="9"/>
    <s v="Bank Transfer"/>
    <x v="0"/>
  </r>
  <r>
    <n v="2133"/>
    <x v="15"/>
    <s v="Male"/>
    <x v="11"/>
    <x v="0"/>
    <n v="87"/>
    <s v="Vermont"/>
    <x v="2"/>
    <x v="23"/>
    <x v="3"/>
    <n v="4.7"/>
    <x v="1"/>
    <s v="2-Day Shipping"/>
    <s v="No"/>
    <s v="No"/>
    <n v="15"/>
    <s v="Debit Card"/>
    <x v="1"/>
  </r>
  <r>
    <n v="2134"/>
    <x v="3"/>
    <s v="Male"/>
    <x v="19"/>
    <x v="3"/>
    <n v="34"/>
    <s v="Maine"/>
    <x v="2"/>
    <x v="8"/>
    <x v="2"/>
    <n v="3.8"/>
    <x v="1"/>
    <s v="Standard"/>
    <s v="No"/>
    <s v="No"/>
    <n v="13"/>
    <s v="Bank Transfer"/>
    <x v="2"/>
  </r>
  <r>
    <n v="2135"/>
    <x v="0"/>
    <s v="Male"/>
    <x v="3"/>
    <x v="1"/>
    <n v="41"/>
    <s v="Virginia"/>
    <x v="3"/>
    <x v="1"/>
    <x v="0"/>
    <n v="2.9"/>
    <x v="1"/>
    <s v="Standard"/>
    <s v="No"/>
    <s v="No"/>
    <n v="35"/>
    <s v="Credit Card"/>
    <x v="0"/>
  </r>
  <r>
    <n v="2136"/>
    <x v="50"/>
    <s v="Male"/>
    <x v="12"/>
    <x v="3"/>
    <n v="94"/>
    <s v="California"/>
    <x v="1"/>
    <x v="22"/>
    <x v="0"/>
    <n v="4.5999999999999996"/>
    <x v="1"/>
    <s v="Next Day Air"/>
    <s v="No"/>
    <s v="No"/>
    <n v="1"/>
    <s v="Debit Card"/>
    <x v="6"/>
  </r>
  <r>
    <n v="2137"/>
    <x v="36"/>
    <s v="Male"/>
    <x v="12"/>
    <x v="3"/>
    <n v="93"/>
    <s v="New York"/>
    <x v="2"/>
    <x v="16"/>
    <x v="2"/>
    <n v="2.8"/>
    <x v="1"/>
    <s v="Standard"/>
    <s v="No"/>
    <s v="No"/>
    <n v="25"/>
    <s v="Bank Transfer"/>
    <x v="0"/>
  </r>
  <r>
    <n v="2138"/>
    <x v="7"/>
    <s v="Male"/>
    <x v="20"/>
    <x v="0"/>
    <n v="51"/>
    <s v="Indiana"/>
    <x v="3"/>
    <x v="7"/>
    <x v="0"/>
    <n v="4.5999999999999996"/>
    <x v="1"/>
    <s v="2-Day Shipping"/>
    <s v="No"/>
    <s v="No"/>
    <n v="20"/>
    <s v="Credit Card"/>
    <x v="6"/>
  </r>
  <r>
    <n v="2139"/>
    <x v="29"/>
    <s v="Male"/>
    <x v="1"/>
    <x v="0"/>
    <n v="42"/>
    <s v="Mississippi"/>
    <x v="2"/>
    <x v="11"/>
    <x v="3"/>
    <n v="2.8"/>
    <x v="1"/>
    <s v="Next Day Air"/>
    <s v="No"/>
    <s v="No"/>
    <n v="36"/>
    <s v="Venmo"/>
    <x v="3"/>
  </r>
  <r>
    <n v="2140"/>
    <x v="37"/>
    <s v="Male"/>
    <x v="23"/>
    <x v="1"/>
    <n v="95"/>
    <s v="New York"/>
    <x v="2"/>
    <x v="16"/>
    <x v="0"/>
    <n v="3"/>
    <x v="1"/>
    <s v="Free Shipping"/>
    <s v="No"/>
    <s v="No"/>
    <n v="33"/>
    <s v="Cash"/>
    <x v="1"/>
  </r>
  <r>
    <n v="2141"/>
    <x v="10"/>
    <s v="Male"/>
    <x v="8"/>
    <x v="3"/>
    <n v="90"/>
    <s v="New Mexico"/>
    <x v="2"/>
    <x v="18"/>
    <x v="3"/>
    <n v="3.7"/>
    <x v="1"/>
    <s v="Standard"/>
    <s v="No"/>
    <s v="No"/>
    <n v="36"/>
    <s v="Cash"/>
    <x v="0"/>
  </r>
  <r>
    <n v="2142"/>
    <x v="41"/>
    <s v="Male"/>
    <x v="10"/>
    <x v="0"/>
    <n v="98"/>
    <s v="Kentucky"/>
    <x v="2"/>
    <x v="15"/>
    <x v="0"/>
    <n v="4.0999999999999996"/>
    <x v="1"/>
    <s v="2-Day Shipping"/>
    <s v="No"/>
    <s v="No"/>
    <n v="32"/>
    <s v="PayPal"/>
    <x v="2"/>
  </r>
  <r>
    <n v="2143"/>
    <x v="36"/>
    <s v="Male"/>
    <x v="19"/>
    <x v="3"/>
    <n v="39"/>
    <s v="North Dakota"/>
    <x v="2"/>
    <x v="1"/>
    <x v="0"/>
    <n v="4.3"/>
    <x v="1"/>
    <s v="Next Day Air"/>
    <s v="No"/>
    <s v="No"/>
    <n v="21"/>
    <s v="Venmo"/>
    <x v="3"/>
  </r>
  <r>
    <n v="2144"/>
    <x v="10"/>
    <s v="Male"/>
    <x v="3"/>
    <x v="1"/>
    <n v="66"/>
    <s v="Arkansas"/>
    <x v="0"/>
    <x v="16"/>
    <x v="3"/>
    <n v="3.8"/>
    <x v="1"/>
    <s v="Next Day Air"/>
    <s v="No"/>
    <s v="No"/>
    <n v="48"/>
    <s v="Venmo"/>
    <x v="4"/>
  </r>
  <r>
    <n v="2145"/>
    <x v="36"/>
    <s v="Male"/>
    <x v="9"/>
    <x v="1"/>
    <n v="23"/>
    <s v="Maryland"/>
    <x v="0"/>
    <x v="20"/>
    <x v="0"/>
    <n v="3.7"/>
    <x v="1"/>
    <s v="Free Shipping"/>
    <s v="No"/>
    <s v="No"/>
    <n v="25"/>
    <s v="PayPal"/>
    <x v="3"/>
  </r>
  <r>
    <n v="2146"/>
    <x v="21"/>
    <s v="Male"/>
    <x v="11"/>
    <x v="0"/>
    <n v="73"/>
    <s v="Connecticut"/>
    <x v="1"/>
    <x v="3"/>
    <x v="0"/>
    <n v="4.8"/>
    <x v="1"/>
    <s v="Standard"/>
    <s v="No"/>
    <s v="No"/>
    <n v="32"/>
    <s v="PayPal"/>
    <x v="2"/>
  </r>
  <r>
    <n v="2147"/>
    <x v="39"/>
    <s v="Male"/>
    <x v="12"/>
    <x v="3"/>
    <n v="23"/>
    <s v="Utah"/>
    <x v="3"/>
    <x v="3"/>
    <x v="2"/>
    <n v="4.5999999999999996"/>
    <x v="1"/>
    <s v="Standard"/>
    <s v="No"/>
    <s v="No"/>
    <n v="45"/>
    <s v="PayPal"/>
    <x v="6"/>
  </r>
  <r>
    <n v="2148"/>
    <x v="36"/>
    <s v="Male"/>
    <x v="11"/>
    <x v="0"/>
    <n v="43"/>
    <s v="Missouri"/>
    <x v="1"/>
    <x v="4"/>
    <x v="3"/>
    <n v="4.8"/>
    <x v="1"/>
    <s v="Standard"/>
    <s v="No"/>
    <s v="No"/>
    <n v="4"/>
    <s v="Cash"/>
    <x v="0"/>
  </r>
  <r>
    <n v="2149"/>
    <x v="1"/>
    <s v="Male"/>
    <x v="17"/>
    <x v="0"/>
    <n v="45"/>
    <s v="Nebraska"/>
    <x v="3"/>
    <x v="2"/>
    <x v="0"/>
    <n v="4.5999999999999996"/>
    <x v="1"/>
    <s v="2-Day Shipping"/>
    <s v="No"/>
    <s v="No"/>
    <n v="19"/>
    <s v="PayPal"/>
    <x v="4"/>
  </r>
  <r>
    <n v="2150"/>
    <x v="21"/>
    <s v="Male"/>
    <x v="3"/>
    <x v="1"/>
    <n v="21"/>
    <s v="Hawaii"/>
    <x v="0"/>
    <x v="20"/>
    <x v="0"/>
    <n v="4"/>
    <x v="1"/>
    <s v="Standard"/>
    <s v="No"/>
    <s v="No"/>
    <n v="1"/>
    <s v="Bank Transfer"/>
    <x v="1"/>
  </r>
  <r>
    <n v="2151"/>
    <x v="9"/>
    <s v="Male"/>
    <x v="5"/>
    <x v="0"/>
    <n v="40"/>
    <s v="Illinois"/>
    <x v="2"/>
    <x v="20"/>
    <x v="1"/>
    <n v="2.6"/>
    <x v="1"/>
    <s v="2-Day Shipping"/>
    <s v="No"/>
    <s v="No"/>
    <n v="12"/>
    <s v="Cash"/>
    <x v="1"/>
  </r>
  <r>
    <n v="2152"/>
    <x v="27"/>
    <s v="Male"/>
    <x v="2"/>
    <x v="0"/>
    <n v="58"/>
    <s v="Vermont"/>
    <x v="0"/>
    <x v="18"/>
    <x v="3"/>
    <n v="2.6"/>
    <x v="1"/>
    <s v="2-Day Shipping"/>
    <s v="No"/>
    <s v="No"/>
    <n v="18"/>
    <s v="Venmo"/>
    <x v="5"/>
  </r>
  <r>
    <n v="2153"/>
    <x v="21"/>
    <s v="Male"/>
    <x v="6"/>
    <x v="0"/>
    <n v="48"/>
    <s v="New Jersey"/>
    <x v="0"/>
    <x v="23"/>
    <x v="2"/>
    <n v="4.5"/>
    <x v="1"/>
    <s v="Next Day Air"/>
    <s v="No"/>
    <s v="No"/>
    <n v="43"/>
    <s v="Bank Transfer"/>
    <x v="4"/>
  </r>
  <r>
    <n v="2154"/>
    <x v="25"/>
    <s v="Male"/>
    <x v="5"/>
    <x v="0"/>
    <n v="94"/>
    <s v="Kentucky"/>
    <x v="2"/>
    <x v="10"/>
    <x v="3"/>
    <n v="4.2"/>
    <x v="1"/>
    <s v="Free Shipping"/>
    <s v="No"/>
    <s v="No"/>
    <n v="31"/>
    <s v="PayPal"/>
    <x v="2"/>
  </r>
  <r>
    <n v="2155"/>
    <x v="5"/>
    <s v="Male"/>
    <x v="18"/>
    <x v="3"/>
    <n v="74"/>
    <s v="Wyoming"/>
    <x v="2"/>
    <x v="10"/>
    <x v="1"/>
    <n v="3.4"/>
    <x v="1"/>
    <s v="Store Pickup"/>
    <s v="No"/>
    <s v="No"/>
    <n v="33"/>
    <s v="Cash"/>
    <x v="6"/>
  </r>
  <r>
    <n v="2156"/>
    <x v="45"/>
    <s v="Male"/>
    <x v="8"/>
    <x v="3"/>
    <n v="51"/>
    <s v="Hawaii"/>
    <x v="0"/>
    <x v="22"/>
    <x v="3"/>
    <n v="3.7"/>
    <x v="1"/>
    <s v="Store Pickup"/>
    <s v="No"/>
    <s v="No"/>
    <n v="46"/>
    <s v="PayPal"/>
    <x v="5"/>
  </r>
  <r>
    <n v="2157"/>
    <x v="21"/>
    <s v="Male"/>
    <x v="11"/>
    <x v="0"/>
    <n v="83"/>
    <s v="Missouri"/>
    <x v="2"/>
    <x v="1"/>
    <x v="0"/>
    <n v="3.6"/>
    <x v="1"/>
    <s v="Next Day Air"/>
    <s v="No"/>
    <s v="No"/>
    <n v="41"/>
    <s v="Debit Card"/>
    <x v="4"/>
  </r>
  <r>
    <n v="2158"/>
    <x v="38"/>
    <s v="Male"/>
    <x v="8"/>
    <x v="3"/>
    <n v="68"/>
    <s v="Mississippi"/>
    <x v="0"/>
    <x v="2"/>
    <x v="0"/>
    <n v="4"/>
    <x v="1"/>
    <s v="Next Day Air"/>
    <s v="No"/>
    <s v="No"/>
    <n v="41"/>
    <s v="Venmo"/>
    <x v="0"/>
  </r>
  <r>
    <n v="2159"/>
    <x v="1"/>
    <s v="Male"/>
    <x v="24"/>
    <x v="3"/>
    <n v="84"/>
    <s v="Massachusetts"/>
    <x v="3"/>
    <x v="8"/>
    <x v="1"/>
    <n v="4.5999999999999996"/>
    <x v="1"/>
    <s v="Standard"/>
    <s v="No"/>
    <s v="No"/>
    <n v="9"/>
    <s v="Bank Transfer"/>
    <x v="0"/>
  </r>
  <r>
    <n v="2160"/>
    <x v="20"/>
    <s v="Male"/>
    <x v="5"/>
    <x v="0"/>
    <n v="58"/>
    <s v="Louisiana"/>
    <x v="2"/>
    <x v="15"/>
    <x v="3"/>
    <n v="3"/>
    <x v="1"/>
    <s v="Free Shipping"/>
    <s v="No"/>
    <s v="No"/>
    <n v="34"/>
    <s v="Cash"/>
    <x v="2"/>
  </r>
  <r>
    <n v="2161"/>
    <x v="4"/>
    <s v="Male"/>
    <x v="0"/>
    <x v="0"/>
    <n v="92"/>
    <s v="West Virginia"/>
    <x v="0"/>
    <x v="4"/>
    <x v="0"/>
    <n v="3.3"/>
    <x v="1"/>
    <s v="Express"/>
    <s v="No"/>
    <s v="No"/>
    <n v="21"/>
    <s v="PayPal"/>
    <x v="2"/>
  </r>
  <r>
    <n v="2162"/>
    <x v="51"/>
    <s v="Male"/>
    <x v="10"/>
    <x v="0"/>
    <n v="69"/>
    <s v="Washington"/>
    <x v="1"/>
    <x v="15"/>
    <x v="2"/>
    <n v="3.8"/>
    <x v="1"/>
    <s v="Express"/>
    <s v="No"/>
    <s v="No"/>
    <n v="5"/>
    <s v="Debit Card"/>
    <x v="0"/>
  </r>
  <r>
    <n v="2163"/>
    <x v="52"/>
    <s v="Male"/>
    <x v="6"/>
    <x v="0"/>
    <n v="48"/>
    <s v="Oregon"/>
    <x v="1"/>
    <x v="13"/>
    <x v="2"/>
    <n v="2.7"/>
    <x v="1"/>
    <s v="Free Shipping"/>
    <s v="No"/>
    <s v="No"/>
    <n v="32"/>
    <s v="PayPal"/>
    <x v="1"/>
  </r>
  <r>
    <n v="2164"/>
    <x v="16"/>
    <s v="Male"/>
    <x v="9"/>
    <x v="1"/>
    <n v="60"/>
    <s v="New York"/>
    <x v="0"/>
    <x v="0"/>
    <x v="1"/>
    <n v="4.5"/>
    <x v="1"/>
    <s v="Express"/>
    <s v="No"/>
    <s v="No"/>
    <n v="44"/>
    <s v="Bank Transfer"/>
    <x v="5"/>
  </r>
  <r>
    <n v="2165"/>
    <x v="32"/>
    <s v="Male"/>
    <x v="3"/>
    <x v="1"/>
    <n v="20"/>
    <s v="Iowa"/>
    <x v="1"/>
    <x v="8"/>
    <x v="0"/>
    <n v="4.8"/>
    <x v="1"/>
    <s v="Next Day Air"/>
    <s v="No"/>
    <s v="No"/>
    <n v="46"/>
    <s v="PayPal"/>
    <x v="4"/>
  </r>
  <r>
    <n v="2166"/>
    <x v="26"/>
    <s v="Male"/>
    <x v="13"/>
    <x v="0"/>
    <n v="55"/>
    <s v="Idaho"/>
    <x v="2"/>
    <x v="2"/>
    <x v="2"/>
    <n v="4.2"/>
    <x v="1"/>
    <s v="Express"/>
    <s v="No"/>
    <s v="No"/>
    <n v="42"/>
    <s v="Credit Card"/>
    <x v="6"/>
  </r>
  <r>
    <n v="2167"/>
    <x v="18"/>
    <s v="Male"/>
    <x v="14"/>
    <x v="2"/>
    <n v="88"/>
    <s v="New Jersey"/>
    <x v="1"/>
    <x v="7"/>
    <x v="1"/>
    <n v="3.5"/>
    <x v="1"/>
    <s v="Express"/>
    <s v="No"/>
    <s v="No"/>
    <n v="50"/>
    <s v="Credit Card"/>
    <x v="4"/>
  </r>
  <r>
    <n v="2168"/>
    <x v="11"/>
    <s v="Male"/>
    <x v="11"/>
    <x v="0"/>
    <n v="48"/>
    <s v="Ohio"/>
    <x v="0"/>
    <x v="14"/>
    <x v="0"/>
    <n v="4.9000000000000004"/>
    <x v="1"/>
    <s v="Standard"/>
    <s v="No"/>
    <s v="No"/>
    <n v="33"/>
    <s v="Venmo"/>
    <x v="0"/>
  </r>
  <r>
    <n v="2169"/>
    <x v="51"/>
    <s v="Male"/>
    <x v="8"/>
    <x v="3"/>
    <n v="74"/>
    <s v="Connecticut"/>
    <x v="2"/>
    <x v="19"/>
    <x v="1"/>
    <n v="4.0999999999999996"/>
    <x v="1"/>
    <s v="Next Day Air"/>
    <s v="No"/>
    <s v="No"/>
    <n v="32"/>
    <s v="Cash"/>
    <x v="3"/>
  </r>
  <r>
    <n v="2170"/>
    <x v="18"/>
    <s v="Male"/>
    <x v="7"/>
    <x v="2"/>
    <n v="42"/>
    <s v="Florida"/>
    <x v="2"/>
    <x v="18"/>
    <x v="3"/>
    <n v="2.9"/>
    <x v="1"/>
    <s v="Next Day Air"/>
    <s v="No"/>
    <s v="No"/>
    <n v="32"/>
    <s v="Bank Transfer"/>
    <x v="4"/>
  </r>
  <r>
    <n v="2171"/>
    <x v="37"/>
    <s v="Male"/>
    <x v="1"/>
    <x v="0"/>
    <n v="32"/>
    <s v="South Carolina"/>
    <x v="2"/>
    <x v="2"/>
    <x v="3"/>
    <n v="4"/>
    <x v="1"/>
    <s v="Next Day Air"/>
    <s v="No"/>
    <s v="No"/>
    <n v="37"/>
    <s v="Venmo"/>
    <x v="6"/>
  </r>
  <r>
    <n v="2172"/>
    <x v="31"/>
    <s v="Male"/>
    <x v="6"/>
    <x v="0"/>
    <n v="98"/>
    <s v="Missouri"/>
    <x v="2"/>
    <x v="22"/>
    <x v="2"/>
    <n v="4.5999999999999996"/>
    <x v="1"/>
    <s v="Store Pickup"/>
    <s v="No"/>
    <s v="No"/>
    <n v="9"/>
    <s v="Cash"/>
    <x v="0"/>
  </r>
  <r>
    <n v="2173"/>
    <x v="48"/>
    <s v="Male"/>
    <x v="11"/>
    <x v="0"/>
    <n v="89"/>
    <s v="Rhode Island"/>
    <x v="1"/>
    <x v="12"/>
    <x v="3"/>
    <n v="2.8"/>
    <x v="1"/>
    <s v="Store Pickup"/>
    <s v="No"/>
    <s v="No"/>
    <n v="6"/>
    <s v="PayPal"/>
    <x v="0"/>
  </r>
  <r>
    <n v="2174"/>
    <x v="51"/>
    <s v="Male"/>
    <x v="24"/>
    <x v="3"/>
    <n v="97"/>
    <s v="Delaware"/>
    <x v="1"/>
    <x v="17"/>
    <x v="2"/>
    <n v="5"/>
    <x v="1"/>
    <s v="2-Day Shipping"/>
    <s v="No"/>
    <s v="No"/>
    <n v="36"/>
    <s v="Venmo"/>
    <x v="3"/>
  </r>
  <r>
    <n v="2175"/>
    <x v="32"/>
    <s v="Male"/>
    <x v="21"/>
    <x v="3"/>
    <n v="49"/>
    <s v="Colorado"/>
    <x v="1"/>
    <x v="8"/>
    <x v="1"/>
    <n v="2.9"/>
    <x v="1"/>
    <s v="Store Pickup"/>
    <s v="No"/>
    <s v="No"/>
    <n v="1"/>
    <s v="Cash"/>
    <x v="2"/>
  </r>
  <r>
    <n v="2176"/>
    <x v="33"/>
    <s v="Male"/>
    <x v="10"/>
    <x v="0"/>
    <n v="50"/>
    <s v="Nebraska"/>
    <x v="2"/>
    <x v="5"/>
    <x v="1"/>
    <n v="3.3"/>
    <x v="1"/>
    <s v="Free Shipping"/>
    <s v="No"/>
    <s v="No"/>
    <n v="48"/>
    <s v="Credit Card"/>
    <x v="0"/>
  </r>
  <r>
    <n v="2177"/>
    <x v="41"/>
    <s v="Male"/>
    <x v="22"/>
    <x v="3"/>
    <n v="91"/>
    <s v="Vermont"/>
    <x v="1"/>
    <x v="16"/>
    <x v="0"/>
    <n v="3.4"/>
    <x v="1"/>
    <s v="2-Day Shipping"/>
    <s v="No"/>
    <s v="No"/>
    <n v="44"/>
    <s v="Debit Card"/>
    <x v="3"/>
  </r>
  <r>
    <n v="2178"/>
    <x v="41"/>
    <s v="Male"/>
    <x v="24"/>
    <x v="3"/>
    <n v="93"/>
    <s v="Montana"/>
    <x v="3"/>
    <x v="14"/>
    <x v="0"/>
    <n v="3"/>
    <x v="1"/>
    <s v="Express"/>
    <s v="No"/>
    <s v="No"/>
    <n v="9"/>
    <s v="PayPal"/>
    <x v="4"/>
  </r>
  <r>
    <n v="2179"/>
    <x v="3"/>
    <s v="Male"/>
    <x v="16"/>
    <x v="3"/>
    <n v="98"/>
    <s v="Florida"/>
    <x v="2"/>
    <x v="9"/>
    <x v="2"/>
    <n v="4.7"/>
    <x v="1"/>
    <s v="Standard"/>
    <s v="No"/>
    <s v="No"/>
    <n v="32"/>
    <s v="Venmo"/>
    <x v="2"/>
  </r>
  <r>
    <n v="2180"/>
    <x v="34"/>
    <s v="Male"/>
    <x v="20"/>
    <x v="0"/>
    <n v="82"/>
    <s v="Delaware"/>
    <x v="0"/>
    <x v="12"/>
    <x v="3"/>
    <n v="2.9"/>
    <x v="1"/>
    <s v="Next Day Air"/>
    <s v="No"/>
    <s v="No"/>
    <n v="14"/>
    <s v="PayPal"/>
    <x v="5"/>
  </r>
  <r>
    <n v="2181"/>
    <x v="38"/>
    <s v="Male"/>
    <x v="7"/>
    <x v="2"/>
    <n v="37"/>
    <s v="Connecticut"/>
    <x v="2"/>
    <x v="22"/>
    <x v="2"/>
    <n v="4.0999999999999996"/>
    <x v="1"/>
    <s v="Store Pickup"/>
    <s v="No"/>
    <s v="No"/>
    <n v="43"/>
    <s v="Cash"/>
    <x v="3"/>
  </r>
  <r>
    <n v="2182"/>
    <x v="40"/>
    <s v="Male"/>
    <x v="8"/>
    <x v="3"/>
    <n v="63"/>
    <s v="Hawaii"/>
    <x v="2"/>
    <x v="13"/>
    <x v="3"/>
    <n v="3.2"/>
    <x v="1"/>
    <s v="Free Shipping"/>
    <s v="No"/>
    <s v="No"/>
    <n v="32"/>
    <s v="Bank Transfer"/>
    <x v="4"/>
  </r>
  <r>
    <n v="2183"/>
    <x v="32"/>
    <s v="Male"/>
    <x v="0"/>
    <x v="0"/>
    <n v="99"/>
    <s v="New Mexico"/>
    <x v="2"/>
    <x v="1"/>
    <x v="0"/>
    <n v="2.7"/>
    <x v="1"/>
    <s v="Store Pickup"/>
    <s v="No"/>
    <s v="No"/>
    <n v="26"/>
    <s v="Venmo"/>
    <x v="4"/>
  </r>
  <r>
    <n v="2184"/>
    <x v="11"/>
    <s v="Male"/>
    <x v="6"/>
    <x v="0"/>
    <n v="37"/>
    <s v="Kansas"/>
    <x v="2"/>
    <x v="1"/>
    <x v="1"/>
    <n v="4.7"/>
    <x v="1"/>
    <s v="Store Pickup"/>
    <s v="No"/>
    <s v="No"/>
    <n v="2"/>
    <s v="Cash"/>
    <x v="5"/>
  </r>
  <r>
    <n v="2185"/>
    <x v="21"/>
    <s v="Male"/>
    <x v="9"/>
    <x v="1"/>
    <n v="34"/>
    <s v="Nevada"/>
    <x v="1"/>
    <x v="9"/>
    <x v="1"/>
    <n v="3.2"/>
    <x v="1"/>
    <s v="Free Shipping"/>
    <s v="No"/>
    <s v="No"/>
    <n v="16"/>
    <s v="PayPal"/>
    <x v="6"/>
  </r>
  <r>
    <n v="2186"/>
    <x v="37"/>
    <s v="Male"/>
    <x v="6"/>
    <x v="0"/>
    <n v="32"/>
    <s v="North Carolina"/>
    <x v="2"/>
    <x v="10"/>
    <x v="0"/>
    <n v="2.5"/>
    <x v="1"/>
    <s v="Express"/>
    <s v="No"/>
    <s v="No"/>
    <n v="50"/>
    <s v="Debit Card"/>
    <x v="6"/>
  </r>
  <r>
    <n v="2187"/>
    <x v="0"/>
    <s v="Male"/>
    <x v="3"/>
    <x v="1"/>
    <n v="23"/>
    <s v="New Mexico"/>
    <x v="3"/>
    <x v="11"/>
    <x v="0"/>
    <n v="4.3"/>
    <x v="1"/>
    <s v="Next Day Air"/>
    <s v="No"/>
    <s v="No"/>
    <n v="6"/>
    <s v="PayPal"/>
    <x v="6"/>
  </r>
  <r>
    <n v="2188"/>
    <x v="43"/>
    <s v="Male"/>
    <x v="0"/>
    <x v="0"/>
    <n v="78"/>
    <s v="Idaho"/>
    <x v="2"/>
    <x v="10"/>
    <x v="1"/>
    <n v="4.4000000000000004"/>
    <x v="1"/>
    <s v="Free Shipping"/>
    <s v="No"/>
    <s v="No"/>
    <n v="20"/>
    <s v="PayPal"/>
    <x v="2"/>
  </r>
  <r>
    <n v="2189"/>
    <x v="38"/>
    <s v="Male"/>
    <x v="7"/>
    <x v="2"/>
    <n v="54"/>
    <s v="California"/>
    <x v="2"/>
    <x v="18"/>
    <x v="0"/>
    <n v="4.7"/>
    <x v="1"/>
    <s v="Next Day Air"/>
    <s v="No"/>
    <s v="No"/>
    <n v="9"/>
    <s v="Credit Card"/>
    <x v="1"/>
  </r>
  <r>
    <n v="2190"/>
    <x v="21"/>
    <s v="Male"/>
    <x v="0"/>
    <x v="0"/>
    <n v="94"/>
    <s v="Wisconsin"/>
    <x v="3"/>
    <x v="18"/>
    <x v="3"/>
    <n v="4"/>
    <x v="1"/>
    <s v="Express"/>
    <s v="No"/>
    <s v="No"/>
    <n v="47"/>
    <s v="Credit Card"/>
    <x v="4"/>
  </r>
  <r>
    <n v="2191"/>
    <x v="32"/>
    <s v="Male"/>
    <x v="22"/>
    <x v="3"/>
    <n v="75"/>
    <s v="Alaska"/>
    <x v="1"/>
    <x v="1"/>
    <x v="1"/>
    <n v="4.5999999999999996"/>
    <x v="1"/>
    <s v="Express"/>
    <s v="No"/>
    <s v="No"/>
    <n v="33"/>
    <s v="Credit Card"/>
    <x v="2"/>
  </r>
  <r>
    <n v="2192"/>
    <x v="8"/>
    <s v="Male"/>
    <x v="0"/>
    <x v="0"/>
    <n v="69"/>
    <s v="Pennsylvania"/>
    <x v="1"/>
    <x v="1"/>
    <x v="2"/>
    <n v="3.8"/>
    <x v="1"/>
    <s v="Next Day Air"/>
    <s v="No"/>
    <s v="No"/>
    <n v="46"/>
    <s v="Cash"/>
    <x v="4"/>
  </r>
  <r>
    <n v="2193"/>
    <x v="38"/>
    <s v="Male"/>
    <x v="18"/>
    <x v="3"/>
    <n v="35"/>
    <s v="Virginia"/>
    <x v="0"/>
    <x v="22"/>
    <x v="0"/>
    <n v="3.2"/>
    <x v="1"/>
    <s v="Next Day Air"/>
    <s v="No"/>
    <s v="No"/>
    <n v="9"/>
    <s v="Credit Card"/>
    <x v="5"/>
  </r>
  <r>
    <n v="2194"/>
    <x v="7"/>
    <s v="Male"/>
    <x v="5"/>
    <x v="0"/>
    <n v="78"/>
    <s v="California"/>
    <x v="0"/>
    <x v="2"/>
    <x v="1"/>
    <n v="5"/>
    <x v="1"/>
    <s v="Express"/>
    <s v="No"/>
    <s v="No"/>
    <n v="8"/>
    <s v="PayPal"/>
    <x v="5"/>
  </r>
  <r>
    <n v="2195"/>
    <x v="12"/>
    <s v="Male"/>
    <x v="20"/>
    <x v="0"/>
    <n v="29"/>
    <s v="Kentucky"/>
    <x v="2"/>
    <x v="5"/>
    <x v="2"/>
    <n v="3.5"/>
    <x v="1"/>
    <s v="Standard"/>
    <s v="No"/>
    <s v="No"/>
    <n v="48"/>
    <s v="Bank Transfer"/>
    <x v="3"/>
  </r>
  <r>
    <n v="2196"/>
    <x v="44"/>
    <s v="Male"/>
    <x v="2"/>
    <x v="0"/>
    <n v="62"/>
    <s v="New York"/>
    <x v="2"/>
    <x v="18"/>
    <x v="3"/>
    <n v="3.7"/>
    <x v="1"/>
    <s v="Next Day Air"/>
    <s v="No"/>
    <s v="No"/>
    <n v="2"/>
    <s v="Cash"/>
    <x v="5"/>
  </r>
  <r>
    <n v="2197"/>
    <x v="15"/>
    <s v="Male"/>
    <x v="10"/>
    <x v="0"/>
    <n v="58"/>
    <s v="Vermont"/>
    <x v="2"/>
    <x v="0"/>
    <x v="1"/>
    <n v="4.8"/>
    <x v="1"/>
    <s v="Next Day Air"/>
    <s v="No"/>
    <s v="No"/>
    <n v="31"/>
    <s v="PayPal"/>
    <x v="1"/>
  </r>
  <r>
    <n v="2198"/>
    <x v="23"/>
    <s v="Male"/>
    <x v="23"/>
    <x v="1"/>
    <n v="88"/>
    <s v="Pennsylvania"/>
    <x v="2"/>
    <x v="21"/>
    <x v="2"/>
    <n v="3.7"/>
    <x v="1"/>
    <s v="2-Day Shipping"/>
    <s v="No"/>
    <s v="No"/>
    <n v="40"/>
    <s v="Venmo"/>
    <x v="5"/>
  </r>
  <r>
    <n v="2199"/>
    <x v="9"/>
    <s v="Male"/>
    <x v="18"/>
    <x v="3"/>
    <n v="80"/>
    <s v="New York"/>
    <x v="0"/>
    <x v="2"/>
    <x v="2"/>
    <n v="3.5"/>
    <x v="1"/>
    <s v="Free Shipping"/>
    <s v="No"/>
    <s v="No"/>
    <n v="35"/>
    <s v="Venmo"/>
    <x v="5"/>
  </r>
  <r>
    <n v="2200"/>
    <x v="31"/>
    <s v="Male"/>
    <x v="18"/>
    <x v="3"/>
    <n v="47"/>
    <s v="North Carolina"/>
    <x v="2"/>
    <x v="1"/>
    <x v="2"/>
    <n v="4.9000000000000004"/>
    <x v="1"/>
    <s v="Store Pickup"/>
    <s v="No"/>
    <s v="No"/>
    <n v="40"/>
    <s v="Debit Card"/>
    <x v="5"/>
  </r>
  <r>
    <n v="2201"/>
    <x v="52"/>
    <s v="Male"/>
    <x v="24"/>
    <x v="3"/>
    <n v="51"/>
    <s v="Wyoming"/>
    <x v="0"/>
    <x v="4"/>
    <x v="2"/>
    <n v="4.7"/>
    <x v="1"/>
    <s v="Next Day Air"/>
    <s v="No"/>
    <s v="No"/>
    <n v="27"/>
    <s v="Debit Card"/>
    <x v="6"/>
  </r>
  <r>
    <n v="2202"/>
    <x v="31"/>
    <s v="Male"/>
    <x v="13"/>
    <x v="0"/>
    <n v="25"/>
    <s v="Ohio"/>
    <x v="0"/>
    <x v="15"/>
    <x v="1"/>
    <n v="4.9000000000000004"/>
    <x v="1"/>
    <s v="2-Day Shipping"/>
    <s v="No"/>
    <s v="No"/>
    <n v="10"/>
    <s v="Venmo"/>
    <x v="2"/>
  </r>
  <r>
    <n v="2203"/>
    <x v="32"/>
    <s v="Male"/>
    <x v="10"/>
    <x v="0"/>
    <n v="36"/>
    <s v="Alabama"/>
    <x v="2"/>
    <x v="16"/>
    <x v="2"/>
    <n v="4.3"/>
    <x v="1"/>
    <s v="Next Day Air"/>
    <s v="No"/>
    <s v="No"/>
    <n v="23"/>
    <s v="Credit Card"/>
    <x v="1"/>
  </r>
  <r>
    <n v="2204"/>
    <x v="10"/>
    <s v="Male"/>
    <x v="10"/>
    <x v="0"/>
    <n v="79"/>
    <s v="Rhode Island"/>
    <x v="2"/>
    <x v="21"/>
    <x v="0"/>
    <n v="3.1"/>
    <x v="1"/>
    <s v="Free Shipping"/>
    <s v="No"/>
    <s v="No"/>
    <n v="32"/>
    <s v="Cash"/>
    <x v="3"/>
  </r>
  <r>
    <n v="2205"/>
    <x v="30"/>
    <s v="Male"/>
    <x v="2"/>
    <x v="0"/>
    <n v="41"/>
    <s v="Oregon"/>
    <x v="1"/>
    <x v="12"/>
    <x v="0"/>
    <n v="3.4"/>
    <x v="1"/>
    <s v="2-Day Shipping"/>
    <s v="No"/>
    <s v="No"/>
    <n v="6"/>
    <s v="Debit Card"/>
    <x v="5"/>
  </r>
  <r>
    <n v="2206"/>
    <x v="5"/>
    <s v="Male"/>
    <x v="1"/>
    <x v="0"/>
    <n v="68"/>
    <s v="North Dakota"/>
    <x v="3"/>
    <x v="16"/>
    <x v="3"/>
    <n v="2.7"/>
    <x v="1"/>
    <s v="Express"/>
    <s v="No"/>
    <s v="No"/>
    <n v="27"/>
    <s v="PayPal"/>
    <x v="1"/>
  </r>
  <r>
    <n v="2207"/>
    <x v="5"/>
    <s v="Male"/>
    <x v="3"/>
    <x v="1"/>
    <n v="51"/>
    <s v="Illinois"/>
    <x v="0"/>
    <x v="14"/>
    <x v="1"/>
    <n v="2.6"/>
    <x v="1"/>
    <s v="Store Pickup"/>
    <s v="No"/>
    <s v="No"/>
    <n v="25"/>
    <s v="Bank Transfer"/>
    <x v="0"/>
  </r>
  <r>
    <n v="2208"/>
    <x v="28"/>
    <s v="Male"/>
    <x v="8"/>
    <x v="3"/>
    <n v="38"/>
    <s v="New Mexico"/>
    <x v="2"/>
    <x v="0"/>
    <x v="3"/>
    <n v="2.9"/>
    <x v="1"/>
    <s v="Next Day Air"/>
    <s v="No"/>
    <s v="No"/>
    <n v="11"/>
    <s v="Credit Card"/>
    <x v="2"/>
  </r>
  <r>
    <n v="2209"/>
    <x v="48"/>
    <s v="Male"/>
    <x v="18"/>
    <x v="3"/>
    <n v="46"/>
    <s v="Colorado"/>
    <x v="3"/>
    <x v="10"/>
    <x v="2"/>
    <n v="2.7"/>
    <x v="1"/>
    <s v="2-Day Shipping"/>
    <s v="No"/>
    <s v="No"/>
    <n v="23"/>
    <s v="PayPal"/>
    <x v="5"/>
  </r>
  <r>
    <n v="2210"/>
    <x v="32"/>
    <s v="Male"/>
    <x v="3"/>
    <x v="1"/>
    <n v="20"/>
    <s v="Utah"/>
    <x v="3"/>
    <x v="19"/>
    <x v="2"/>
    <n v="4.5"/>
    <x v="1"/>
    <s v="2-Day Shipping"/>
    <s v="No"/>
    <s v="No"/>
    <n v="44"/>
    <s v="Bank Transfer"/>
    <x v="3"/>
  </r>
  <r>
    <n v="2211"/>
    <x v="11"/>
    <s v="Male"/>
    <x v="12"/>
    <x v="3"/>
    <n v="25"/>
    <s v="Virginia"/>
    <x v="2"/>
    <x v="20"/>
    <x v="2"/>
    <n v="3.1"/>
    <x v="1"/>
    <s v="Store Pickup"/>
    <s v="No"/>
    <s v="No"/>
    <n v="35"/>
    <s v="PayPal"/>
    <x v="0"/>
  </r>
  <r>
    <n v="2212"/>
    <x v="2"/>
    <s v="Male"/>
    <x v="1"/>
    <x v="0"/>
    <n v="89"/>
    <s v="Maine"/>
    <x v="0"/>
    <x v="7"/>
    <x v="0"/>
    <n v="3.2"/>
    <x v="1"/>
    <s v="Free Shipping"/>
    <s v="No"/>
    <s v="No"/>
    <n v="45"/>
    <s v="Debit Card"/>
    <x v="6"/>
  </r>
  <r>
    <n v="2213"/>
    <x v="35"/>
    <s v="Male"/>
    <x v="13"/>
    <x v="0"/>
    <n v="77"/>
    <s v="Nebraska"/>
    <x v="2"/>
    <x v="18"/>
    <x v="0"/>
    <n v="3.3"/>
    <x v="1"/>
    <s v="Next Day Air"/>
    <s v="No"/>
    <s v="No"/>
    <n v="22"/>
    <s v="Bank Transfer"/>
    <x v="3"/>
  </r>
  <r>
    <n v="2214"/>
    <x v="22"/>
    <s v="Male"/>
    <x v="19"/>
    <x v="3"/>
    <n v="94"/>
    <s v="Hawaii"/>
    <x v="2"/>
    <x v="1"/>
    <x v="3"/>
    <n v="2.9"/>
    <x v="1"/>
    <s v="Express"/>
    <s v="No"/>
    <s v="No"/>
    <n v="18"/>
    <s v="Debit Card"/>
    <x v="3"/>
  </r>
  <r>
    <n v="2215"/>
    <x v="2"/>
    <s v="Male"/>
    <x v="22"/>
    <x v="3"/>
    <n v="100"/>
    <s v="Idaho"/>
    <x v="0"/>
    <x v="9"/>
    <x v="3"/>
    <n v="4.0999999999999996"/>
    <x v="1"/>
    <s v="Standard"/>
    <s v="No"/>
    <s v="No"/>
    <n v="20"/>
    <s v="Debit Card"/>
    <x v="1"/>
  </r>
  <r>
    <n v="2216"/>
    <x v="15"/>
    <s v="Male"/>
    <x v="3"/>
    <x v="1"/>
    <n v="96"/>
    <s v="West Virginia"/>
    <x v="2"/>
    <x v="21"/>
    <x v="0"/>
    <n v="2.7"/>
    <x v="1"/>
    <s v="Express"/>
    <s v="No"/>
    <s v="No"/>
    <n v="28"/>
    <s v="Credit Card"/>
    <x v="0"/>
  </r>
  <r>
    <n v="2217"/>
    <x v="38"/>
    <s v="Male"/>
    <x v="13"/>
    <x v="0"/>
    <n v="36"/>
    <s v="Vermont"/>
    <x v="3"/>
    <x v="5"/>
    <x v="0"/>
    <n v="4"/>
    <x v="1"/>
    <s v="Store Pickup"/>
    <s v="No"/>
    <s v="No"/>
    <n v="15"/>
    <s v="Venmo"/>
    <x v="4"/>
  </r>
  <r>
    <n v="2218"/>
    <x v="25"/>
    <s v="Male"/>
    <x v="16"/>
    <x v="3"/>
    <n v="27"/>
    <s v="Indiana"/>
    <x v="3"/>
    <x v="16"/>
    <x v="3"/>
    <n v="2.6"/>
    <x v="1"/>
    <s v="Store Pickup"/>
    <s v="No"/>
    <s v="No"/>
    <n v="42"/>
    <s v="Bank Transfer"/>
    <x v="0"/>
  </r>
  <r>
    <n v="2219"/>
    <x v="29"/>
    <s v="Male"/>
    <x v="12"/>
    <x v="3"/>
    <n v="67"/>
    <s v="Idaho"/>
    <x v="2"/>
    <x v="23"/>
    <x v="0"/>
    <n v="3.5"/>
    <x v="1"/>
    <s v="Store Pickup"/>
    <s v="No"/>
    <s v="No"/>
    <n v="20"/>
    <s v="Debit Card"/>
    <x v="3"/>
  </r>
  <r>
    <n v="2220"/>
    <x v="23"/>
    <s v="Male"/>
    <x v="0"/>
    <x v="0"/>
    <n v="91"/>
    <s v="Minnesota"/>
    <x v="1"/>
    <x v="7"/>
    <x v="3"/>
    <n v="2.8"/>
    <x v="1"/>
    <s v="Store Pickup"/>
    <s v="No"/>
    <s v="No"/>
    <n v="16"/>
    <s v="Bank Transfer"/>
    <x v="0"/>
  </r>
  <r>
    <n v="2221"/>
    <x v="1"/>
    <s v="Male"/>
    <x v="22"/>
    <x v="3"/>
    <n v="62"/>
    <s v="Wyoming"/>
    <x v="3"/>
    <x v="19"/>
    <x v="3"/>
    <n v="4.5"/>
    <x v="1"/>
    <s v="Store Pickup"/>
    <s v="No"/>
    <s v="No"/>
    <n v="47"/>
    <s v="Cash"/>
    <x v="2"/>
  </r>
  <r>
    <n v="2222"/>
    <x v="15"/>
    <s v="Male"/>
    <x v="6"/>
    <x v="0"/>
    <n v="88"/>
    <s v="Kansas"/>
    <x v="3"/>
    <x v="3"/>
    <x v="3"/>
    <n v="3"/>
    <x v="1"/>
    <s v="Free Shipping"/>
    <s v="No"/>
    <s v="No"/>
    <n v="34"/>
    <s v="Credit Card"/>
    <x v="2"/>
  </r>
  <r>
    <n v="2223"/>
    <x v="45"/>
    <s v="Male"/>
    <x v="13"/>
    <x v="0"/>
    <n v="66"/>
    <s v="Georgia"/>
    <x v="2"/>
    <x v="11"/>
    <x v="2"/>
    <n v="4.4000000000000004"/>
    <x v="1"/>
    <s v="Store Pickup"/>
    <s v="No"/>
    <s v="No"/>
    <n v="30"/>
    <s v="Credit Card"/>
    <x v="1"/>
  </r>
  <r>
    <n v="2224"/>
    <x v="11"/>
    <s v="Male"/>
    <x v="3"/>
    <x v="1"/>
    <n v="65"/>
    <s v="Kansas"/>
    <x v="2"/>
    <x v="0"/>
    <x v="3"/>
    <n v="4.7"/>
    <x v="1"/>
    <s v="Next Day Air"/>
    <s v="No"/>
    <s v="No"/>
    <n v="5"/>
    <s v="PayPal"/>
    <x v="3"/>
  </r>
  <r>
    <n v="2225"/>
    <x v="20"/>
    <s v="Male"/>
    <x v="24"/>
    <x v="3"/>
    <n v="25"/>
    <s v="Nebraska"/>
    <x v="0"/>
    <x v="4"/>
    <x v="0"/>
    <n v="4.3"/>
    <x v="1"/>
    <s v="Standard"/>
    <s v="No"/>
    <s v="No"/>
    <n v="38"/>
    <s v="Cash"/>
    <x v="3"/>
  </r>
  <r>
    <n v="2226"/>
    <x v="21"/>
    <s v="Male"/>
    <x v="22"/>
    <x v="3"/>
    <n v="64"/>
    <s v="Washington"/>
    <x v="1"/>
    <x v="8"/>
    <x v="1"/>
    <n v="4.8"/>
    <x v="1"/>
    <s v="Free Shipping"/>
    <s v="No"/>
    <s v="No"/>
    <n v="18"/>
    <s v="Credit Card"/>
    <x v="2"/>
  </r>
  <r>
    <n v="2227"/>
    <x v="40"/>
    <s v="Male"/>
    <x v="5"/>
    <x v="0"/>
    <n v="72"/>
    <s v="Missouri"/>
    <x v="0"/>
    <x v="24"/>
    <x v="1"/>
    <n v="4.8"/>
    <x v="1"/>
    <s v="Store Pickup"/>
    <s v="No"/>
    <s v="No"/>
    <n v="28"/>
    <s v="Cash"/>
    <x v="2"/>
  </r>
  <r>
    <n v="2228"/>
    <x v="37"/>
    <s v="Male"/>
    <x v="18"/>
    <x v="3"/>
    <n v="74"/>
    <s v="Washington"/>
    <x v="1"/>
    <x v="0"/>
    <x v="2"/>
    <n v="4.4000000000000004"/>
    <x v="1"/>
    <s v="Next Day Air"/>
    <s v="No"/>
    <s v="No"/>
    <n v="42"/>
    <s v="Credit Card"/>
    <x v="0"/>
  </r>
  <r>
    <n v="2229"/>
    <x v="22"/>
    <s v="Male"/>
    <x v="24"/>
    <x v="3"/>
    <n v="50"/>
    <s v="Kansas"/>
    <x v="2"/>
    <x v="14"/>
    <x v="3"/>
    <n v="3.7"/>
    <x v="1"/>
    <s v="Free Shipping"/>
    <s v="No"/>
    <s v="No"/>
    <n v="5"/>
    <s v="Credit Card"/>
    <x v="1"/>
  </r>
  <r>
    <n v="2230"/>
    <x v="27"/>
    <s v="Male"/>
    <x v="13"/>
    <x v="0"/>
    <n v="97"/>
    <s v="Minnesota"/>
    <x v="2"/>
    <x v="5"/>
    <x v="3"/>
    <n v="3.9"/>
    <x v="1"/>
    <s v="Express"/>
    <s v="No"/>
    <s v="No"/>
    <n v="50"/>
    <s v="Venmo"/>
    <x v="5"/>
  </r>
  <r>
    <n v="2231"/>
    <x v="16"/>
    <s v="Male"/>
    <x v="4"/>
    <x v="1"/>
    <n v="36"/>
    <s v="Colorado"/>
    <x v="1"/>
    <x v="11"/>
    <x v="1"/>
    <n v="3.8"/>
    <x v="1"/>
    <s v="Express"/>
    <s v="No"/>
    <s v="No"/>
    <n v="33"/>
    <s v="Venmo"/>
    <x v="0"/>
  </r>
  <r>
    <n v="2232"/>
    <x v="50"/>
    <s v="Male"/>
    <x v="14"/>
    <x v="2"/>
    <n v="49"/>
    <s v="Utah"/>
    <x v="2"/>
    <x v="19"/>
    <x v="3"/>
    <n v="4.0999999999999996"/>
    <x v="1"/>
    <s v="Store Pickup"/>
    <s v="No"/>
    <s v="No"/>
    <n v="1"/>
    <s v="Credit Card"/>
    <x v="1"/>
  </r>
  <r>
    <n v="2233"/>
    <x v="13"/>
    <s v="Male"/>
    <x v="9"/>
    <x v="1"/>
    <n v="64"/>
    <s v="North Carolina"/>
    <x v="0"/>
    <x v="12"/>
    <x v="1"/>
    <n v="4"/>
    <x v="1"/>
    <s v="Store Pickup"/>
    <s v="No"/>
    <s v="No"/>
    <n v="14"/>
    <s v="Cash"/>
    <x v="0"/>
  </r>
  <r>
    <n v="2234"/>
    <x v="21"/>
    <s v="Male"/>
    <x v="0"/>
    <x v="0"/>
    <n v="31"/>
    <s v="Florida"/>
    <x v="3"/>
    <x v="0"/>
    <x v="2"/>
    <n v="4.5"/>
    <x v="1"/>
    <s v="Express"/>
    <s v="No"/>
    <s v="No"/>
    <n v="48"/>
    <s v="Credit Card"/>
    <x v="5"/>
  </r>
  <r>
    <n v="2235"/>
    <x v="25"/>
    <s v="Male"/>
    <x v="23"/>
    <x v="1"/>
    <n v="66"/>
    <s v="New Hampshire"/>
    <x v="1"/>
    <x v="22"/>
    <x v="0"/>
    <n v="4"/>
    <x v="1"/>
    <s v="Express"/>
    <s v="No"/>
    <s v="No"/>
    <n v="26"/>
    <s v="Cash"/>
    <x v="1"/>
  </r>
  <r>
    <n v="2236"/>
    <x v="37"/>
    <s v="Male"/>
    <x v="20"/>
    <x v="0"/>
    <n v="82"/>
    <s v="Illinois"/>
    <x v="2"/>
    <x v="0"/>
    <x v="1"/>
    <n v="4.5"/>
    <x v="1"/>
    <s v="2-Day Shipping"/>
    <s v="No"/>
    <s v="No"/>
    <n v="44"/>
    <s v="Credit Card"/>
    <x v="2"/>
  </r>
  <r>
    <n v="2237"/>
    <x v="51"/>
    <s v="Male"/>
    <x v="17"/>
    <x v="0"/>
    <n v="88"/>
    <s v="Louisiana"/>
    <x v="2"/>
    <x v="22"/>
    <x v="0"/>
    <n v="2.7"/>
    <x v="1"/>
    <s v="Standard"/>
    <s v="No"/>
    <s v="No"/>
    <n v="18"/>
    <s v="Debit Card"/>
    <x v="0"/>
  </r>
  <r>
    <n v="2238"/>
    <x v="4"/>
    <s v="Male"/>
    <x v="3"/>
    <x v="1"/>
    <n v="34"/>
    <s v="Alabama"/>
    <x v="1"/>
    <x v="13"/>
    <x v="2"/>
    <n v="3.8"/>
    <x v="1"/>
    <s v="Next Day Air"/>
    <s v="No"/>
    <s v="No"/>
    <n v="31"/>
    <s v="Venmo"/>
    <x v="6"/>
  </r>
  <r>
    <n v="2239"/>
    <x v="37"/>
    <s v="Male"/>
    <x v="4"/>
    <x v="1"/>
    <n v="84"/>
    <s v="Florida"/>
    <x v="0"/>
    <x v="19"/>
    <x v="0"/>
    <n v="3.8"/>
    <x v="1"/>
    <s v="Standard"/>
    <s v="No"/>
    <s v="No"/>
    <n v="18"/>
    <s v="Debit Card"/>
    <x v="1"/>
  </r>
  <r>
    <n v="2240"/>
    <x v="32"/>
    <s v="Male"/>
    <x v="16"/>
    <x v="3"/>
    <n v="96"/>
    <s v="Alabama"/>
    <x v="0"/>
    <x v="21"/>
    <x v="2"/>
    <n v="3.8"/>
    <x v="1"/>
    <s v="2-Day Shipping"/>
    <s v="No"/>
    <s v="No"/>
    <n v="41"/>
    <s v="Credit Card"/>
    <x v="6"/>
  </r>
  <r>
    <n v="2241"/>
    <x v="9"/>
    <s v="Male"/>
    <x v="3"/>
    <x v="1"/>
    <n v="71"/>
    <s v="California"/>
    <x v="0"/>
    <x v="14"/>
    <x v="0"/>
    <n v="4.3"/>
    <x v="1"/>
    <s v="Next Day Air"/>
    <s v="No"/>
    <s v="No"/>
    <n v="18"/>
    <s v="Debit Card"/>
    <x v="6"/>
  </r>
  <r>
    <n v="2242"/>
    <x v="20"/>
    <s v="Male"/>
    <x v="14"/>
    <x v="2"/>
    <n v="77"/>
    <s v="Maryland"/>
    <x v="2"/>
    <x v="7"/>
    <x v="2"/>
    <n v="3.5"/>
    <x v="1"/>
    <s v="Free Shipping"/>
    <s v="No"/>
    <s v="No"/>
    <n v="3"/>
    <s v="Bank Transfer"/>
    <x v="4"/>
  </r>
  <r>
    <n v="2243"/>
    <x v="20"/>
    <s v="Male"/>
    <x v="11"/>
    <x v="0"/>
    <n v="66"/>
    <s v="Nevada"/>
    <x v="2"/>
    <x v="20"/>
    <x v="1"/>
    <n v="3.8"/>
    <x v="1"/>
    <s v="Next Day Air"/>
    <s v="No"/>
    <s v="No"/>
    <n v="5"/>
    <s v="Credit Card"/>
    <x v="4"/>
  </r>
  <r>
    <n v="2244"/>
    <x v="19"/>
    <s v="Male"/>
    <x v="5"/>
    <x v="0"/>
    <n v="21"/>
    <s v="Massachusetts"/>
    <x v="2"/>
    <x v="11"/>
    <x v="0"/>
    <n v="3.7"/>
    <x v="1"/>
    <s v="2-Day Shipping"/>
    <s v="No"/>
    <s v="No"/>
    <n v="13"/>
    <s v="Debit Card"/>
    <x v="2"/>
  </r>
  <r>
    <n v="2245"/>
    <x v="25"/>
    <s v="Male"/>
    <x v="6"/>
    <x v="0"/>
    <n v="37"/>
    <s v="South Carolina"/>
    <x v="2"/>
    <x v="9"/>
    <x v="2"/>
    <n v="4.8"/>
    <x v="1"/>
    <s v="2-Day Shipping"/>
    <s v="No"/>
    <s v="No"/>
    <n v="22"/>
    <s v="PayPal"/>
    <x v="2"/>
  </r>
  <r>
    <n v="2246"/>
    <x v="34"/>
    <s v="Male"/>
    <x v="20"/>
    <x v="0"/>
    <n v="90"/>
    <s v="Delaware"/>
    <x v="0"/>
    <x v="0"/>
    <x v="3"/>
    <n v="4.9000000000000004"/>
    <x v="1"/>
    <s v="Free Shipping"/>
    <s v="No"/>
    <s v="No"/>
    <n v="45"/>
    <s v="PayPal"/>
    <x v="0"/>
  </r>
  <r>
    <n v="2247"/>
    <x v="34"/>
    <s v="Male"/>
    <x v="14"/>
    <x v="2"/>
    <n v="96"/>
    <s v="Hawaii"/>
    <x v="2"/>
    <x v="17"/>
    <x v="3"/>
    <n v="4.3"/>
    <x v="1"/>
    <s v="Store Pickup"/>
    <s v="No"/>
    <s v="No"/>
    <n v="39"/>
    <s v="PayPal"/>
    <x v="6"/>
  </r>
  <r>
    <n v="2248"/>
    <x v="50"/>
    <s v="Male"/>
    <x v="16"/>
    <x v="3"/>
    <n v="37"/>
    <s v="Florida"/>
    <x v="0"/>
    <x v="11"/>
    <x v="2"/>
    <n v="4.4000000000000004"/>
    <x v="1"/>
    <s v="Next Day Air"/>
    <s v="No"/>
    <s v="No"/>
    <n v="18"/>
    <s v="Venmo"/>
    <x v="2"/>
  </r>
  <r>
    <n v="2249"/>
    <x v="6"/>
    <s v="Male"/>
    <x v="17"/>
    <x v="0"/>
    <n v="66"/>
    <s v="Rhode Island"/>
    <x v="2"/>
    <x v="10"/>
    <x v="0"/>
    <n v="3.4"/>
    <x v="1"/>
    <s v="Free Shipping"/>
    <s v="No"/>
    <s v="No"/>
    <n v="19"/>
    <s v="PayPal"/>
    <x v="0"/>
  </r>
  <r>
    <n v="2250"/>
    <x v="32"/>
    <s v="Male"/>
    <x v="24"/>
    <x v="3"/>
    <n v="45"/>
    <s v="Wyoming"/>
    <x v="3"/>
    <x v="21"/>
    <x v="1"/>
    <n v="4.3"/>
    <x v="1"/>
    <s v="Next Day Air"/>
    <s v="No"/>
    <s v="No"/>
    <n v="29"/>
    <s v="Debit Card"/>
    <x v="1"/>
  </r>
  <r>
    <n v="2251"/>
    <x v="38"/>
    <s v="Male"/>
    <x v="9"/>
    <x v="1"/>
    <n v="89"/>
    <s v="Colorado"/>
    <x v="0"/>
    <x v="6"/>
    <x v="2"/>
    <n v="4.5999999999999996"/>
    <x v="1"/>
    <s v="Store Pickup"/>
    <s v="No"/>
    <s v="No"/>
    <n v="19"/>
    <s v="Credit Card"/>
    <x v="1"/>
  </r>
  <r>
    <n v="2252"/>
    <x v="8"/>
    <s v="Male"/>
    <x v="9"/>
    <x v="1"/>
    <n v="94"/>
    <s v="Virginia"/>
    <x v="0"/>
    <x v="9"/>
    <x v="3"/>
    <n v="3.8"/>
    <x v="1"/>
    <s v="Free Shipping"/>
    <s v="No"/>
    <s v="No"/>
    <n v="22"/>
    <s v="Debit Card"/>
    <x v="5"/>
  </r>
  <r>
    <n v="2253"/>
    <x v="39"/>
    <s v="Male"/>
    <x v="9"/>
    <x v="1"/>
    <n v="96"/>
    <s v="Nebraska"/>
    <x v="1"/>
    <x v="1"/>
    <x v="2"/>
    <n v="3.9"/>
    <x v="1"/>
    <s v="Express"/>
    <s v="No"/>
    <s v="No"/>
    <n v="21"/>
    <s v="Bank Transfer"/>
    <x v="2"/>
  </r>
  <r>
    <n v="2254"/>
    <x v="46"/>
    <s v="Male"/>
    <x v="15"/>
    <x v="0"/>
    <n v="31"/>
    <s v="Oklahoma"/>
    <x v="2"/>
    <x v="18"/>
    <x v="1"/>
    <n v="2.6"/>
    <x v="1"/>
    <s v="Store Pickup"/>
    <s v="No"/>
    <s v="No"/>
    <n v="22"/>
    <s v="PayPal"/>
    <x v="5"/>
  </r>
  <r>
    <n v="2255"/>
    <x v="41"/>
    <s v="Male"/>
    <x v="22"/>
    <x v="3"/>
    <n v="79"/>
    <s v="North Dakota"/>
    <x v="2"/>
    <x v="9"/>
    <x v="0"/>
    <n v="4.2"/>
    <x v="1"/>
    <s v="Store Pickup"/>
    <s v="No"/>
    <s v="No"/>
    <n v="44"/>
    <s v="PayPal"/>
    <x v="6"/>
  </r>
  <r>
    <n v="2256"/>
    <x v="39"/>
    <s v="Male"/>
    <x v="7"/>
    <x v="2"/>
    <n v="39"/>
    <s v="Michigan"/>
    <x v="0"/>
    <x v="11"/>
    <x v="1"/>
    <n v="4.5999999999999996"/>
    <x v="1"/>
    <s v="Store Pickup"/>
    <s v="No"/>
    <s v="No"/>
    <n v="42"/>
    <s v="Bank Transfer"/>
    <x v="3"/>
  </r>
  <r>
    <n v="2257"/>
    <x v="18"/>
    <s v="Male"/>
    <x v="0"/>
    <x v="0"/>
    <n v="22"/>
    <s v="California"/>
    <x v="2"/>
    <x v="2"/>
    <x v="3"/>
    <n v="5"/>
    <x v="1"/>
    <s v="Standard"/>
    <s v="No"/>
    <s v="No"/>
    <n v="33"/>
    <s v="Credit Card"/>
    <x v="3"/>
  </r>
  <r>
    <n v="2258"/>
    <x v="38"/>
    <s v="Male"/>
    <x v="11"/>
    <x v="0"/>
    <n v="32"/>
    <s v="Tennessee"/>
    <x v="0"/>
    <x v="8"/>
    <x v="3"/>
    <n v="4.2"/>
    <x v="1"/>
    <s v="Standard"/>
    <s v="No"/>
    <s v="No"/>
    <n v="6"/>
    <s v="Bank Transfer"/>
    <x v="2"/>
  </r>
  <r>
    <n v="2259"/>
    <x v="41"/>
    <s v="Male"/>
    <x v="17"/>
    <x v="0"/>
    <n v="71"/>
    <s v="Ohio"/>
    <x v="0"/>
    <x v="17"/>
    <x v="0"/>
    <n v="4.3"/>
    <x v="1"/>
    <s v="Store Pickup"/>
    <s v="No"/>
    <s v="No"/>
    <n v="44"/>
    <s v="Credit Card"/>
    <x v="6"/>
  </r>
  <r>
    <n v="2260"/>
    <x v="52"/>
    <s v="Male"/>
    <x v="2"/>
    <x v="0"/>
    <n v="96"/>
    <s v="Florida"/>
    <x v="3"/>
    <x v="19"/>
    <x v="1"/>
    <n v="3.3"/>
    <x v="1"/>
    <s v="Free Shipping"/>
    <s v="No"/>
    <s v="No"/>
    <n v="24"/>
    <s v="Cash"/>
    <x v="2"/>
  </r>
  <r>
    <n v="2261"/>
    <x v="21"/>
    <s v="Male"/>
    <x v="18"/>
    <x v="3"/>
    <n v="82"/>
    <s v="Missouri"/>
    <x v="2"/>
    <x v="24"/>
    <x v="3"/>
    <n v="4.9000000000000004"/>
    <x v="1"/>
    <s v="Express"/>
    <s v="No"/>
    <s v="No"/>
    <n v="16"/>
    <s v="PayPal"/>
    <x v="3"/>
  </r>
  <r>
    <n v="2262"/>
    <x v="44"/>
    <s v="Male"/>
    <x v="21"/>
    <x v="3"/>
    <n v="76"/>
    <s v="South Carolina"/>
    <x v="0"/>
    <x v="9"/>
    <x v="1"/>
    <n v="4.4000000000000004"/>
    <x v="1"/>
    <s v="Standard"/>
    <s v="No"/>
    <s v="No"/>
    <n v="12"/>
    <s v="Bank Transfer"/>
    <x v="0"/>
  </r>
  <r>
    <n v="2263"/>
    <x v="10"/>
    <s v="Male"/>
    <x v="21"/>
    <x v="3"/>
    <n v="22"/>
    <s v="Arizona"/>
    <x v="2"/>
    <x v="14"/>
    <x v="0"/>
    <n v="3.1"/>
    <x v="1"/>
    <s v="2-Day Shipping"/>
    <s v="No"/>
    <s v="No"/>
    <n v="50"/>
    <s v="PayPal"/>
    <x v="5"/>
  </r>
  <r>
    <n v="2264"/>
    <x v="42"/>
    <s v="Male"/>
    <x v="18"/>
    <x v="3"/>
    <n v="40"/>
    <s v="Indiana"/>
    <x v="3"/>
    <x v="14"/>
    <x v="0"/>
    <n v="3.5"/>
    <x v="1"/>
    <s v="Store Pickup"/>
    <s v="No"/>
    <s v="No"/>
    <n v="42"/>
    <s v="Cash"/>
    <x v="3"/>
  </r>
  <r>
    <n v="2265"/>
    <x v="47"/>
    <s v="Male"/>
    <x v="19"/>
    <x v="3"/>
    <n v="92"/>
    <s v="North Dakota"/>
    <x v="2"/>
    <x v="2"/>
    <x v="2"/>
    <n v="3.9"/>
    <x v="1"/>
    <s v="2-Day Shipping"/>
    <s v="No"/>
    <s v="No"/>
    <n v="50"/>
    <s v="PayPal"/>
    <x v="5"/>
  </r>
  <r>
    <n v="2266"/>
    <x v="24"/>
    <s v="Male"/>
    <x v="7"/>
    <x v="2"/>
    <n v="94"/>
    <s v="Montana"/>
    <x v="3"/>
    <x v="22"/>
    <x v="3"/>
    <n v="3.9"/>
    <x v="1"/>
    <s v="Store Pickup"/>
    <s v="No"/>
    <s v="No"/>
    <n v="10"/>
    <s v="PayPal"/>
    <x v="3"/>
  </r>
  <r>
    <n v="2267"/>
    <x v="30"/>
    <s v="Male"/>
    <x v="10"/>
    <x v="0"/>
    <n v="44"/>
    <s v="Missouri"/>
    <x v="2"/>
    <x v="22"/>
    <x v="3"/>
    <n v="4.3"/>
    <x v="1"/>
    <s v="Store Pickup"/>
    <s v="No"/>
    <s v="No"/>
    <n v="32"/>
    <s v="Debit Card"/>
    <x v="1"/>
  </r>
  <r>
    <n v="2268"/>
    <x v="45"/>
    <s v="Male"/>
    <x v="24"/>
    <x v="3"/>
    <n v="49"/>
    <s v="Kentucky"/>
    <x v="1"/>
    <x v="24"/>
    <x v="1"/>
    <n v="3.8"/>
    <x v="1"/>
    <s v="Express"/>
    <s v="No"/>
    <s v="No"/>
    <n v="37"/>
    <s v="Venmo"/>
    <x v="1"/>
  </r>
  <r>
    <n v="2269"/>
    <x v="17"/>
    <s v="Male"/>
    <x v="1"/>
    <x v="0"/>
    <n v="26"/>
    <s v="Georgia"/>
    <x v="0"/>
    <x v="4"/>
    <x v="1"/>
    <n v="2.7"/>
    <x v="1"/>
    <s v="2-Day Shipping"/>
    <s v="No"/>
    <s v="No"/>
    <n v="15"/>
    <s v="Bank Transfer"/>
    <x v="5"/>
  </r>
  <r>
    <n v="2270"/>
    <x v="34"/>
    <s v="Male"/>
    <x v="11"/>
    <x v="0"/>
    <n v="38"/>
    <s v="Kentucky"/>
    <x v="2"/>
    <x v="22"/>
    <x v="3"/>
    <n v="4.4000000000000004"/>
    <x v="1"/>
    <s v="Store Pickup"/>
    <s v="No"/>
    <s v="No"/>
    <n v="27"/>
    <s v="Credit Card"/>
    <x v="2"/>
  </r>
  <r>
    <n v="2271"/>
    <x v="7"/>
    <s v="Male"/>
    <x v="0"/>
    <x v="0"/>
    <n v="72"/>
    <s v="Georgia"/>
    <x v="0"/>
    <x v="7"/>
    <x v="1"/>
    <n v="3.5"/>
    <x v="1"/>
    <s v="Express"/>
    <s v="No"/>
    <s v="No"/>
    <n v="7"/>
    <s v="Venmo"/>
    <x v="1"/>
  </r>
  <r>
    <n v="2272"/>
    <x v="26"/>
    <s v="Male"/>
    <x v="10"/>
    <x v="0"/>
    <n v="99"/>
    <s v="Alaska"/>
    <x v="2"/>
    <x v="14"/>
    <x v="2"/>
    <n v="3.4"/>
    <x v="1"/>
    <s v="Free Shipping"/>
    <s v="No"/>
    <s v="No"/>
    <n v="49"/>
    <s v="PayPal"/>
    <x v="3"/>
  </r>
  <r>
    <n v="2273"/>
    <x v="26"/>
    <s v="Male"/>
    <x v="14"/>
    <x v="2"/>
    <n v="38"/>
    <s v="Maine"/>
    <x v="0"/>
    <x v="4"/>
    <x v="1"/>
    <n v="4"/>
    <x v="1"/>
    <s v="Standard"/>
    <s v="No"/>
    <s v="No"/>
    <n v="44"/>
    <s v="PayPal"/>
    <x v="5"/>
  </r>
  <r>
    <n v="2274"/>
    <x v="0"/>
    <s v="Male"/>
    <x v="7"/>
    <x v="2"/>
    <n v="96"/>
    <s v="New Mexico"/>
    <x v="0"/>
    <x v="5"/>
    <x v="0"/>
    <n v="4.8"/>
    <x v="1"/>
    <s v="Express"/>
    <s v="No"/>
    <s v="No"/>
    <n v="13"/>
    <s v="PayPal"/>
    <x v="4"/>
  </r>
  <r>
    <n v="2275"/>
    <x v="9"/>
    <s v="Male"/>
    <x v="10"/>
    <x v="0"/>
    <n v="27"/>
    <s v="New York"/>
    <x v="0"/>
    <x v="2"/>
    <x v="1"/>
    <n v="4.5"/>
    <x v="1"/>
    <s v="Next Day Air"/>
    <s v="No"/>
    <s v="No"/>
    <n v="38"/>
    <s v="PayPal"/>
    <x v="0"/>
  </r>
  <r>
    <n v="2276"/>
    <x v="26"/>
    <s v="Male"/>
    <x v="6"/>
    <x v="0"/>
    <n v="24"/>
    <s v="Oklahoma"/>
    <x v="2"/>
    <x v="0"/>
    <x v="0"/>
    <n v="4.4000000000000004"/>
    <x v="1"/>
    <s v="Standard"/>
    <s v="No"/>
    <s v="No"/>
    <n v="10"/>
    <s v="Debit Card"/>
    <x v="1"/>
  </r>
  <r>
    <n v="2277"/>
    <x v="18"/>
    <s v="Male"/>
    <x v="2"/>
    <x v="0"/>
    <n v="82"/>
    <s v="Wyoming"/>
    <x v="0"/>
    <x v="16"/>
    <x v="2"/>
    <n v="4.0999999999999996"/>
    <x v="1"/>
    <s v="2-Day Shipping"/>
    <s v="No"/>
    <s v="No"/>
    <n v="25"/>
    <s v="Debit Card"/>
    <x v="1"/>
  </r>
  <r>
    <n v="2278"/>
    <x v="15"/>
    <s v="Male"/>
    <x v="19"/>
    <x v="3"/>
    <n v="56"/>
    <s v="Alabama"/>
    <x v="2"/>
    <x v="19"/>
    <x v="2"/>
    <n v="4.5999999999999996"/>
    <x v="1"/>
    <s v="Next Day Air"/>
    <s v="No"/>
    <s v="No"/>
    <n v="18"/>
    <s v="Credit Card"/>
    <x v="3"/>
  </r>
  <r>
    <n v="2279"/>
    <x v="12"/>
    <s v="Male"/>
    <x v="24"/>
    <x v="3"/>
    <n v="25"/>
    <s v="Maryland"/>
    <x v="2"/>
    <x v="1"/>
    <x v="3"/>
    <n v="3.8"/>
    <x v="1"/>
    <s v="Store Pickup"/>
    <s v="No"/>
    <s v="No"/>
    <n v="6"/>
    <s v="Cash"/>
    <x v="6"/>
  </r>
  <r>
    <n v="2280"/>
    <x v="10"/>
    <s v="Male"/>
    <x v="4"/>
    <x v="1"/>
    <n v="67"/>
    <s v="West Virginia"/>
    <x v="0"/>
    <x v="21"/>
    <x v="1"/>
    <n v="2.9"/>
    <x v="1"/>
    <s v="Free Shipping"/>
    <s v="No"/>
    <s v="No"/>
    <n v="35"/>
    <s v="Bank Transfer"/>
    <x v="3"/>
  </r>
  <r>
    <n v="2281"/>
    <x v="40"/>
    <s v="Male"/>
    <x v="9"/>
    <x v="1"/>
    <n v="21"/>
    <s v="Kentucky"/>
    <x v="2"/>
    <x v="16"/>
    <x v="2"/>
    <n v="2.8"/>
    <x v="1"/>
    <s v="Standard"/>
    <s v="No"/>
    <s v="No"/>
    <n v="31"/>
    <s v="Credit Card"/>
    <x v="0"/>
  </r>
  <r>
    <n v="2282"/>
    <x v="48"/>
    <s v="Male"/>
    <x v="15"/>
    <x v="0"/>
    <n v="27"/>
    <s v="Kansas"/>
    <x v="3"/>
    <x v="1"/>
    <x v="2"/>
    <n v="3"/>
    <x v="1"/>
    <s v="Store Pickup"/>
    <s v="No"/>
    <s v="No"/>
    <n v="41"/>
    <s v="Bank Transfer"/>
    <x v="2"/>
  </r>
  <r>
    <n v="2283"/>
    <x v="20"/>
    <s v="Male"/>
    <x v="4"/>
    <x v="1"/>
    <n v="97"/>
    <s v="Idaho"/>
    <x v="1"/>
    <x v="16"/>
    <x v="3"/>
    <n v="4.2"/>
    <x v="1"/>
    <s v="2-Day Shipping"/>
    <s v="No"/>
    <s v="No"/>
    <n v="8"/>
    <s v="Credit Card"/>
    <x v="2"/>
  </r>
  <r>
    <n v="2284"/>
    <x v="42"/>
    <s v="Male"/>
    <x v="8"/>
    <x v="3"/>
    <n v="45"/>
    <s v="Ohio"/>
    <x v="1"/>
    <x v="13"/>
    <x v="0"/>
    <n v="4.0999999999999996"/>
    <x v="1"/>
    <s v="Free Shipping"/>
    <s v="No"/>
    <s v="No"/>
    <n v="34"/>
    <s v="Credit Card"/>
    <x v="0"/>
  </r>
  <r>
    <n v="2285"/>
    <x v="45"/>
    <s v="Male"/>
    <x v="0"/>
    <x v="0"/>
    <n v="63"/>
    <s v="Iowa"/>
    <x v="3"/>
    <x v="13"/>
    <x v="3"/>
    <n v="4.0999999999999996"/>
    <x v="1"/>
    <s v="Express"/>
    <s v="No"/>
    <s v="No"/>
    <n v="20"/>
    <s v="Venmo"/>
    <x v="2"/>
  </r>
  <r>
    <n v="2286"/>
    <x v="50"/>
    <s v="Male"/>
    <x v="22"/>
    <x v="3"/>
    <n v="100"/>
    <s v="Michigan"/>
    <x v="0"/>
    <x v="6"/>
    <x v="2"/>
    <n v="4.5999999999999996"/>
    <x v="1"/>
    <s v="2-Day Shipping"/>
    <s v="No"/>
    <s v="No"/>
    <n v="38"/>
    <s v="PayPal"/>
    <x v="6"/>
  </r>
  <r>
    <n v="2287"/>
    <x v="29"/>
    <s v="Male"/>
    <x v="20"/>
    <x v="0"/>
    <n v="38"/>
    <s v="South Dakota"/>
    <x v="0"/>
    <x v="24"/>
    <x v="1"/>
    <n v="2.5"/>
    <x v="1"/>
    <s v="Store Pickup"/>
    <s v="No"/>
    <s v="No"/>
    <n v="35"/>
    <s v="Venmo"/>
    <x v="3"/>
  </r>
  <r>
    <n v="2288"/>
    <x v="17"/>
    <s v="Male"/>
    <x v="0"/>
    <x v="0"/>
    <n v="45"/>
    <s v="Nebraska"/>
    <x v="0"/>
    <x v="14"/>
    <x v="2"/>
    <n v="3"/>
    <x v="1"/>
    <s v="Store Pickup"/>
    <s v="No"/>
    <s v="No"/>
    <n v="6"/>
    <s v="Debit Card"/>
    <x v="2"/>
  </r>
  <r>
    <n v="2289"/>
    <x v="48"/>
    <s v="Male"/>
    <x v="16"/>
    <x v="3"/>
    <n v="91"/>
    <s v="California"/>
    <x v="2"/>
    <x v="20"/>
    <x v="3"/>
    <n v="3.8"/>
    <x v="1"/>
    <s v="Next Day Air"/>
    <s v="No"/>
    <s v="No"/>
    <n v="50"/>
    <s v="PayPal"/>
    <x v="1"/>
  </r>
  <r>
    <n v="2290"/>
    <x v="27"/>
    <s v="Male"/>
    <x v="6"/>
    <x v="0"/>
    <n v="82"/>
    <s v="Nevada"/>
    <x v="2"/>
    <x v="20"/>
    <x v="3"/>
    <n v="4.0999999999999996"/>
    <x v="1"/>
    <s v="Free Shipping"/>
    <s v="No"/>
    <s v="No"/>
    <n v="47"/>
    <s v="Venmo"/>
    <x v="1"/>
  </r>
  <r>
    <n v="2291"/>
    <x v="43"/>
    <s v="Male"/>
    <x v="23"/>
    <x v="1"/>
    <n v="48"/>
    <s v="Kansas"/>
    <x v="0"/>
    <x v="23"/>
    <x v="0"/>
    <n v="3.3"/>
    <x v="1"/>
    <s v="Standard"/>
    <s v="No"/>
    <s v="No"/>
    <n v="23"/>
    <s v="PayPal"/>
    <x v="3"/>
  </r>
  <r>
    <n v="2292"/>
    <x v="48"/>
    <s v="Male"/>
    <x v="7"/>
    <x v="2"/>
    <n v="30"/>
    <s v="Ohio"/>
    <x v="2"/>
    <x v="21"/>
    <x v="1"/>
    <n v="5"/>
    <x v="1"/>
    <s v="2-Day Shipping"/>
    <s v="No"/>
    <s v="No"/>
    <n v="13"/>
    <s v="Credit Card"/>
    <x v="3"/>
  </r>
  <r>
    <n v="2293"/>
    <x v="49"/>
    <s v="Male"/>
    <x v="17"/>
    <x v="0"/>
    <n v="34"/>
    <s v="Vermont"/>
    <x v="1"/>
    <x v="19"/>
    <x v="1"/>
    <n v="3.8"/>
    <x v="1"/>
    <s v="Next Day Air"/>
    <s v="No"/>
    <s v="No"/>
    <n v="31"/>
    <s v="Debit Card"/>
    <x v="5"/>
  </r>
  <r>
    <n v="2294"/>
    <x v="43"/>
    <s v="Male"/>
    <x v="1"/>
    <x v="0"/>
    <n v="68"/>
    <s v="Georgia"/>
    <x v="0"/>
    <x v="14"/>
    <x v="3"/>
    <n v="3.3"/>
    <x v="1"/>
    <s v="Express"/>
    <s v="No"/>
    <s v="No"/>
    <n v="16"/>
    <s v="Debit Card"/>
    <x v="6"/>
  </r>
  <r>
    <n v="2295"/>
    <x v="22"/>
    <s v="Male"/>
    <x v="12"/>
    <x v="3"/>
    <n v="95"/>
    <s v="Maryland"/>
    <x v="2"/>
    <x v="16"/>
    <x v="0"/>
    <n v="5"/>
    <x v="1"/>
    <s v="Express"/>
    <s v="No"/>
    <s v="No"/>
    <n v="40"/>
    <s v="Debit Card"/>
    <x v="2"/>
  </r>
  <r>
    <n v="2296"/>
    <x v="2"/>
    <s v="Male"/>
    <x v="19"/>
    <x v="3"/>
    <n v="22"/>
    <s v="Connecticut"/>
    <x v="0"/>
    <x v="19"/>
    <x v="1"/>
    <n v="2.9"/>
    <x v="1"/>
    <s v="2-Day Shipping"/>
    <s v="No"/>
    <s v="No"/>
    <n v="45"/>
    <s v="PayPal"/>
    <x v="3"/>
  </r>
  <r>
    <n v="2297"/>
    <x v="5"/>
    <s v="Male"/>
    <x v="24"/>
    <x v="3"/>
    <n v="88"/>
    <s v="Washington"/>
    <x v="2"/>
    <x v="14"/>
    <x v="3"/>
    <n v="2.5"/>
    <x v="1"/>
    <s v="Next Day Air"/>
    <s v="No"/>
    <s v="No"/>
    <n v="50"/>
    <s v="Venmo"/>
    <x v="6"/>
  </r>
  <r>
    <n v="2298"/>
    <x v="52"/>
    <s v="Male"/>
    <x v="20"/>
    <x v="0"/>
    <n v="83"/>
    <s v="California"/>
    <x v="2"/>
    <x v="20"/>
    <x v="2"/>
    <n v="4.7"/>
    <x v="1"/>
    <s v="Standard"/>
    <s v="No"/>
    <s v="No"/>
    <n v="1"/>
    <s v="Bank Transfer"/>
    <x v="3"/>
  </r>
  <r>
    <n v="2299"/>
    <x v="37"/>
    <s v="Male"/>
    <x v="8"/>
    <x v="3"/>
    <n v="87"/>
    <s v="Montana"/>
    <x v="0"/>
    <x v="17"/>
    <x v="1"/>
    <n v="2.9"/>
    <x v="1"/>
    <s v="2-Day Shipping"/>
    <s v="No"/>
    <s v="No"/>
    <n v="10"/>
    <s v="Cash"/>
    <x v="6"/>
  </r>
  <r>
    <n v="2300"/>
    <x v="14"/>
    <s v="Male"/>
    <x v="7"/>
    <x v="2"/>
    <n v="57"/>
    <s v="Idaho"/>
    <x v="2"/>
    <x v="10"/>
    <x v="2"/>
    <n v="3.7"/>
    <x v="1"/>
    <s v="Store Pickup"/>
    <s v="No"/>
    <s v="No"/>
    <n v="48"/>
    <s v="Credit Card"/>
    <x v="6"/>
  </r>
  <r>
    <n v="2301"/>
    <x v="20"/>
    <s v="Male"/>
    <x v="7"/>
    <x v="2"/>
    <n v="88"/>
    <s v="Pennsylvania"/>
    <x v="3"/>
    <x v="12"/>
    <x v="2"/>
    <n v="4.4000000000000004"/>
    <x v="1"/>
    <s v="2-Day Shipping"/>
    <s v="No"/>
    <s v="No"/>
    <n v="38"/>
    <s v="Credit Card"/>
    <x v="5"/>
  </r>
  <r>
    <n v="2302"/>
    <x v="43"/>
    <s v="Male"/>
    <x v="13"/>
    <x v="0"/>
    <n v="20"/>
    <s v="Maine"/>
    <x v="0"/>
    <x v="2"/>
    <x v="0"/>
    <n v="2.9"/>
    <x v="1"/>
    <s v="Next Day Air"/>
    <s v="No"/>
    <s v="No"/>
    <n v="21"/>
    <s v="Debit Card"/>
    <x v="2"/>
  </r>
  <r>
    <n v="2303"/>
    <x v="24"/>
    <s v="Male"/>
    <x v="22"/>
    <x v="3"/>
    <n v="39"/>
    <s v="Montana"/>
    <x v="0"/>
    <x v="6"/>
    <x v="2"/>
    <n v="3.6"/>
    <x v="1"/>
    <s v="Store Pickup"/>
    <s v="No"/>
    <s v="No"/>
    <n v="38"/>
    <s v="Venmo"/>
    <x v="5"/>
  </r>
  <r>
    <n v="2304"/>
    <x v="47"/>
    <s v="Male"/>
    <x v="12"/>
    <x v="3"/>
    <n v="71"/>
    <s v="New Jersey"/>
    <x v="1"/>
    <x v="19"/>
    <x v="1"/>
    <n v="4.8"/>
    <x v="1"/>
    <s v="2-Day Shipping"/>
    <s v="No"/>
    <s v="No"/>
    <n v="31"/>
    <s v="Credit Card"/>
    <x v="0"/>
  </r>
  <r>
    <n v="2305"/>
    <x v="8"/>
    <s v="Male"/>
    <x v="15"/>
    <x v="0"/>
    <n v="73"/>
    <s v="Louisiana"/>
    <x v="0"/>
    <x v="5"/>
    <x v="0"/>
    <n v="4.7"/>
    <x v="1"/>
    <s v="Free Shipping"/>
    <s v="No"/>
    <s v="No"/>
    <n v="9"/>
    <s v="Debit Card"/>
    <x v="0"/>
  </r>
  <r>
    <n v="2306"/>
    <x v="33"/>
    <s v="Male"/>
    <x v="8"/>
    <x v="3"/>
    <n v="63"/>
    <s v="Maine"/>
    <x v="2"/>
    <x v="9"/>
    <x v="2"/>
    <n v="2.6"/>
    <x v="1"/>
    <s v="Free Shipping"/>
    <s v="No"/>
    <s v="No"/>
    <n v="47"/>
    <s v="Cash"/>
    <x v="1"/>
  </r>
  <r>
    <n v="2307"/>
    <x v="7"/>
    <s v="Male"/>
    <x v="24"/>
    <x v="3"/>
    <n v="78"/>
    <s v="Florida"/>
    <x v="0"/>
    <x v="5"/>
    <x v="0"/>
    <n v="3.4"/>
    <x v="1"/>
    <s v="Standard"/>
    <s v="No"/>
    <s v="No"/>
    <n v="8"/>
    <s v="Cash"/>
    <x v="4"/>
  </r>
  <r>
    <n v="2308"/>
    <x v="48"/>
    <s v="Male"/>
    <x v="11"/>
    <x v="0"/>
    <n v="96"/>
    <s v="Missouri"/>
    <x v="0"/>
    <x v="14"/>
    <x v="3"/>
    <n v="3.5"/>
    <x v="1"/>
    <s v="Next Day Air"/>
    <s v="No"/>
    <s v="No"/>
    <n v="30"/>
    <s v="Debit Card"/>
    <x v="2"/>
  </r>
  <r>
    <n v="2309"/>
    <x v="34"/>
    <s v="Male"/>
    <x v="12"/>
    <x v="3"/>
    <n v="81"/>
    <s v="North Dakota"/>
    <x v="2"/>
    <x v="11"/>
    <x v="0"/>
    <n v="3.4"/>
    <x v="1"/>
    <s v="2-Day Shipping"/>
    <s v="No"/>
    <s v="No"/>
    <n v="22"/>
    <s v="Bank Transfer"/>
    <x v="3"/>
  </r>
  <r>
    <n v="2310"/>
    <x v="27"/>
    <s v="Male"/>
    <x v="10"/>
    <x v="0"/>
    <n v="95"/>
    <s v="Connecticut"/>
    <x v="1"/>
    <x v="9"/>
    <x v="3"/>
    <n v="5"/>
    <x v="1"/>
    <s v="2-Day Shipping"/>
    <s v="No"/>
    <s v="No"/>
    <n v="3"/>
    <s v="Bank Transfer"/>
    <x v="3"/>
  </r>
  <r>
    <n v="2311"/>
    <x v="11"/>
    <s v="Male"/>
    <x v="24"/>
    <x v="3"/>
    <n v="68"/>
    <s v="Virginia"/>
    <x v="2"/>
    <x v="17"/>
    <x v="1"/>
    <n v="4.5999999999999996"/>
    <x v="1"/>
    <s v="Standard"/>
    <s v="No"/>
    <s v="No"/>
    <n v="15"/>
    <s v="PayPal"/>
    <x v="5"/>
  </r>
  <r>
    <n v="2312"/>
    <x v="7"/>
    <s v="Male"/>
    <x v="4"/>
    <x v="1"/>
    <n v="28"/>
    <s v="Montana"/>
    <x v="0"/>
    <x v="9"/>
    <x v="1"/>
    <n v="4.8"/>
    <x v="1"/>
    <s v="2-Day Shipping"/>
    <s v="No"/>
    <s v="No"/>
    <n v="10"/>
    <s v="Bank Transfer"/>
    <x v="6"/>
  </r>
  <r>
    <n v="2313"/>
    <x v="1"/>
    <s v="Male"/>
    <x v="17"/>
    <x v="0"/>
    <n v="30"/>
    <s v="Vermont"/>
    <x v="0"/>
    <x v="10"/>
    <x v="2"/>
    <n v="3.7"/>
    <x v="1"/>
    <s v="Free Shipping"/>
    <s v="No"/>
    <s v="No"/>
    <n v="19"/>
    <s v="Cash"/>
    <x v="6"/>
  </r>
  <r>
    <n v="2314"/>
    <x v="14"/>
    <s v="Male"/>
    <x v="10"/>
    <x v="0"/>
    <n v="31"/>
    <s v="Georgia"/>
    <x v="2"/>
    <x v="13"/>
    <x v="2"/>
    <n v="4.7"/>
    <x v="1"/>
    <s v="Next Day Air"/>
    <s v="No"/>
    <s v="No"/>
    <n v="36"/>
    <s v="Bank Transfer"/>
    <x v="0"/>
  </r>
  <r>
    <n v="2315"/>
    <x v="32"/>
    <s v="Male"/>
    <x v="8"/>
    <x v="3"/>
    <n v="95"/>
    <s v="Virginia"/>
    <x v="3"/>
    <x v="18"/>
    <x v="0"/>
    <n v="4.4000000000000004"/>
    <x v="1"/>
    <s v="Express"/>
    <s v="No"/>
    <s v="No"/>
    <n v="12"/>
    <s v="Bank Transfer"/>
    <x v="6"/>
  </r>
  <r>
    <n v="2316"/>
    <x v="28"/>
    <s v="Male"/>
    <x v="20"/>
    <x v="0"/>
    <n v="79"/>
    <s v="Vermont"/>
    <x v="2"/>
    <x v="21"/>
    <x v="0"/>
    <n v="3.5"/>
    <x v="1"/>
    <s v="2-Day Shipping"/>
    <s v="No"/>
    <s v="No"/>
    <n v="49"/>
    <s v="Debit Card"/>
    <x v="3"/>
  </r>
  <r>
    <n v="2317"/>
    <x v="48"/>
    <s v="Male"/>
    <x v="4"/>
    <x v="1"/>
    <n v="39"/>
    <s v="Montana"/>
    <x v="0"/>
    <x v="22"/>
    <x v="0"/>
    <n v="3.8"/>
    <x v="1"/>
    <s v="Standard"/>
    <s v="No"/>
    <s v="No"/>
    <n v="7"/>
    <s v="Debit Card"/>
    <x v="2"/>
  </r>
  <r>
    <n v="2318"/>
    <x v="36"/>
    <s v="Male"/>
    <x v="14"/>
    <x v="2"/>
    <n v="34"/>
    <s v="New Jersey"/>
    <x v="2"/>
    <x v="7"/>
    <x v="2"/>
    <n v="4.7"/>
    <x v="1"/>
    <s v="Next Day Air"/>
    <s v="No"/>
    <s v="No"/>
    <n v="28"/>
    <s v="Bank Transfer"/>
    <x v="5"/>
  </r>
  <r>
    <n v="2319"/>
    <x v="28"/>
    <s v="Male"/>
    <x v="15"/>
    <x v="0"/>
    <n v="28"/>
    <s v="Wyoming"/>
    <x v="0"/>
    <x v="3"/>
    <x v="1"/>
    <n v="3.1"/>
    <x v="1"/>
    <s v="Store Pickup"/>
    <s v="No"/>
    <s v="No"/>
    <n v="30"/>
    <s v="Credit Card"/>
    <x v="2"/>
  </r>
  <r>
    <n v="2320"/>
    <x v="19"/>
    <s v="Male"/>
    <x v="3"/>
    <x v="1"/>
    <n v="38"/>
    <s v="Maine"/>
    <x v="3"/>
    <x v="2"/>
    <x v="0"/>
    <n v="5"/>
    <x v="1"/>
    <s v="Free Shipping"/>
    <s v="No"/>
    <s v="No"/>
    <n v="29"/>
    <s v="PayPal"/>
    <x v="5"/>
  </r>
  <r>
    <n v="2321"/>
    <x v="48"/>
    <s v="Male"/>
    <x v="9"/>
    <x v="1"/>
    <n v="55"/>
    <s v="New Mexico"/>
    <x v="2"/>
    <x v="8"/>
    <x v="1"/>
    <n v="3.7"/>
    <x v="1"/>
    <s v="Free Shipping"/>
    <s v="No"/>
    <s v="No"/>
    <n v="9"/>
    <s v="Debit Card"/>
    <x v="6"/>
  </r>
  <r>
    <n v="2322"/>
    <x v="2"/>
    <s v="Male"/>
    <x v="3"/>
    <x v="1"/>
    <n v="31"/>
    <s v="Colorado"/>
    <x v="2"/>
    <x v="19"/>
    <x v="0"/>
    <n v="3"/>
    <x v="1"/>
    <s v="Next Day Air"/>
    <s v="No"/>
    <s v="No"/>
    <n v="27"/>
    <s v="Debit Card"/>
    <x v="0"/>
  </r>
  <r>
    <n v="2323"/>
    <x v="31"/>
    <s v="Male"/>
    <x v="7"/>
    <x v="2"/>
    <n v="84"/>
    <s v="Connecticut"/>
    <x v="1"/>
    <x v="12"/>
    <x v="1"/>
    <n v="4.5"/>
    <x v="1"/>
    <s v="Store Pickup"/>
    <s v="No"/>
    <s v="No"/>
    <n v="21"/>
    <s v="Venmo"/>
    <x v="0"/>
  </r>
  <r>
    <n v="2324"/>
    <x v="25"/>
    <s v="Male"/>
    <x v="24"/>
    <x v="3"/>
    <n v="93"/>
    <s v="Maryland"/>
    <x v="0"/>
    <x v="3"/>
    <x v="0"/>
    <n v="4.7"/>
    <x v="1"/>
    <s v="Express"/>
    <s v="No"/>
    <s v="No"/>
    <n v="36"/>
    <s v="Credit Card"/>
    <x v="5"/>
  </r>
  <r>
    <n v="2325"/>
    <x v="35"/>
    <s v="Male"/>
    <x v="7"/>
    <x v="2"/>
    <n v="28"/>
    <s v="Oregon"/>
    <x v="0"/>
    <x v="18"/>
    <x v="0"/>
    <n v="3.5"/>
    <x v="1"/>
    <s v="Free Shipping"/>
    <s v="No"/>
    <s v="No"/>
    <n v="19"/>
    <s v="Debit Card"/>
    <x v="2"/>
  </r>
  <r>
    <n v="2326"/>
    <x v="42"/>
    <s v="Male"/>
    <x v="23"/>
    <x v="1"/>
    <n v="55"/>
    <s v="New York"/>
    <x v="2"/>
    <x v="4"/>
    <x v="2"/>
    <n v="4.4000000000000004"/>
    <x v="1"/>
    <s v="2-Day Shipping"/>
    <s v="No"/>
    <s v="No"/>
    <n v="47"/>
    <s v="Cash"/>
    <x v="1"/>
  </r>
  <r>
    <n v="2327"/>
    <x v="17"/>
    <s v="Male"/>
    <x v="11"/>
    <x v="0"/>
    <n v="63"/>
    <s v="Oklahoma"/>
    <x v="0"/>
    <x v="1"/>
    <x v="0"/>
    <n v="2.6"/>
    <x v="1"/>
    <s v="Standard"/>
    <s v="No"/>
    <s v="No"/>
    <n v="38"/>
    <s v="Bank Transfer"/>
    <x v="2"/>
  </r>
  <r>
    <n v="2328"/>
    <x v="30"/>
    <s v="Male"/>
    <x v="11"/>
    <x v="0"/>
    <n v="94"/>
    <s v="Alabama"/>
    <x v="2"/>
    <x v="16"/>
    <x v="0"/>
    <n v="4.2"/>
    <x v="1"/>
    <s v="2-Day Shipping"/>
    <s v="No"/>
    <s v="No"/>
    <n v="22"/>
    <s v="Venmo"/>
    <x v="4"/>
  </r>
  <r>
    <n v="2329"/>
    <x v="4"/>
    <s v="Male"/>
    <x v="13"/>
    <x v="0"/>
    <n v="36"/>
    <s v="North Dakota"/>
    <x v="2"/>
    <x v="1"/>
    <x v="3"/>
    <n v="2.6"/>
    <x v="1"/>
    <s v="Express"/>
    <s v="No"/>
    <s v="No"/>
    <n v="29"/>
    <s v="Venmo"/>
    <x v="4"/>
  </r>
  <r>
    <n v="2330"/>
    <x v="34"/>
    <s v="Male"/>
    <x v="19"/>
    <x v="3"/>
    <n v="97"/>
    <s v="Nebraska"/>
    <x v="1"/>
    <x v="11"/>
    <x v="1"/>
    <n v="4.8"/>
    <x v="1"/>
    <s v="Free Shipping"/>
    <s v="No"/>
    <s v="No"/>
    <n v="42"/>
    <s v="Bank Transfer"/>
    <x v="2"/>
  </r>
  <r>
    <n v="2331"/>
    <x v="52"/>
    <s v="Male"/>
    <x v="21"/>
    <x v="3"/>
    <n v="63"/>
    <s v="Arizona"/>
    <x v="0"/>
    <x v="20"/>
    <x v="2"/>
    <n v="2.9"/>
    <x v="1"/>
    <s v="Store Pickup"/>
    <s v="No"/>
    <s v="No"/>
    <n v="47"/>
    <s v="PayPal"/>
    <x v="6"/>
  </r>
  <r>
    <n v="2332"/>
    <x v="12"/>
    <s v="Male"/>
    <x v="18"/>
    <x v="3"/>
    <n v="77"/>
    <s v="Illinois"/>
    <x v="1"/>
    <x v="8"/>
    <x v="1"/>
    <n v="4.3"/>
    <x v="1"/>
    <s v="2-Day Shipping"/>
    <s v="No"/>
    <s v="No"/>
    <n v="10"/>
    <s v="Credit Card"/>
    <x v="4"/>
  </r>
  <r>
    <n v="2333"/>
    <x v="24"/>
    <s v="Male"/>
    <x v="18"/>
    <x v="3"/>
    <n v="53"/>
    <s v="South Carolina"/>
    <x v="3"/>
    <x v="8"/>
    <x v="3"/>
    <n v="2.6"/>
    <x v="1"/>
    <s v="Store Pickup"/>
    <s v="No"/>
    <s v="No"/>
    <n v="10"/>
    <s v="Venmo"/>
    <x v="5"/>
  </r>
  <r>
    <n v="2334"/>
    <x v="23"/>
    <s v="Male"/>
    <x v="5"/>
    <x v="0"/>
    <n v="77"/>
    <s v="Kansas"/>
    <x v="2"/>
    <x v="19"/>
    <x v="1"/>
    <n v="3.8"/>
    <x v="1"/>
    <s v="Next Day Air"/>
    <s v="No"/>
    <s v="No"/>
    <n v="1"/>
    <s v="PayPal"/>
    <x v="6"/>
  </r>
  <r>
    <n v="2335"/>
    <x v="34"/>
    <s v="Male"/>
    <x v="23"/>
    <x v="1"/>
    <n v="79"/>
    <s v="Kansas"/>
    <x v="0"/>
    <x v="14"/>
    <x v="2"/>
    <n v="4.2"/>
    <x v="1"/>
    <s v="Standard"/>
    <s v="No"/>
    <s v="No"/>
    <n v="7"/>
    <s v="Credit Card"/>
    <x v="5"/>
  </r>
  <r>
    <n v="2336"/>
    <x v="18"/>
    <s v="Male"/>
    <x v="7"/>
    <x v="2"/>
    <n v="37"/>
    <s v="Idaho"/>
    <x v="2"/>
    <x v="13"/>
    <x v="2"/>
    <n v="3.9"/>
    <x v="1"/>
    <s v="Store Pickup"/>
    <s v="No"/>
    <s v="No"/>
    <n v="10"/>
    <s v="Venmo"/>
    <x v="0"/>
  </r>
  <r>
    <n v="2337"/>
    <x v="1"/>
    <s v="Male"/>
    <x v="22"/>
    <x v="3"/>
    <n v="94"/>
    <s v="California"/>
    <x v="2"/>
    <x v="14"/>
    <x v="0"/>
    <n v="3.1"/>
    <x v="1"/>
    <s v="Free Shipping"/>
    <s v="No"/>
    <s v="No"/>
    <n v="11"/>
    <s v="Credit Card"/>
    <x v="1"/>
  </r>
  <r>
    <n v="2338"/>
    <x v="31"/>
    <s v="Male"/>
    <x v="23"/>
    <x v="1"/>
    <n v="76"/>
    <s v="North Dakota"/>
    <x v="1"/>
    <x v="10"/>
    <x v="3"/>
    <n v="3.6"/>
    <x v="1"/>
    <s v="Store Pickup"/>
    <s v="No"/>
    <s v="No"/>
    <n v="5"/>
    <s v="Cash"/>
    <x v="2"/>
  </r>
  <r>
    <n v="2339"/>
    <x v="17"/>
    <s v="Male"/>
    <x v="4"/>
    <x v="1"/>
    <n v="68"/>
    <s v="Georgia"/>
    <x v="1"/>
    <x v="5"/>
    <x v="3"/>
    <n v="4"/>
    <x v="1"/>
    <s v="Express"/>
    <s v="No"/>
    <s v="No"/>
    <n v="21"/>
    <s v="PayPal"/>
    <x v="3"/>
  </r>
  <r>
    <n v="2340"/>
    <x v="15"/>
    <s v="Male"/>
    <x v="5"/>
    <x v="0"/>
    <n v="65"/>
    <s v="Illinois"/>
    <x v="0"/>
    <x v="1"/>
    <x v="1"/>
    <n v="3.4"/>
    <x v="1"/>
    <s v="Next Day Air"/>
    <s v="No"/>
    <s v="No"/>
    <n v="24"/>
    <s v="Bank Transfer"/>
    <x v="3"/>
  </r>
  <r>
    <n v="2341"/>
    <x v="6"/>
    <s v="Male"/>
    <x v="0"/>
    <x v="0"/>
    <n v="24"/>
    <s v="Delaware"/>
    <x v="2"/>
    <x v="17"/>
    <x v="2"/>
    <n v="2.6"/>
    <x v="1"/>
    <s v="Standard"/>
    <s v="No"/>
    <s v="No"/>
    <n v="37"/>
    <s v="Credit Card"/>
    <x v="0"/>
  </r>
  <r>
    <n v="2342"/>
    <x v="19"/>
    <s v="Male"/>
    <x v="14"/>
    <x v="2"/>
    <n v="31"/>
    <s v="Connecticut"/>
    <x v="0"/>
    <x v="11"/>
    <x v="2"/>
    <n v="4.5"/>
    <x v="1"/>
    <s v="Express"/>
    <s v="No"/>
    <s v="No"/>
    <n v="22"/>
    <s v="Venmo"/>
    <x v="6"/>
  </r>
  <r>
    <n v="2343"/>
    <x v="30"/>
    <s v="Male"/>
    <x v="11"/>
    <x v="0"/>
    <n v="89"/>
    <s v="Tennessee"/>
    <x v="2"/>
    <x v="8"/>
    <x v="3"/>
    <n v="4.9000000000000004"/>
    <x v="1"/>
    <s v="Standard"/>
    <s v="No"/>
    <s v="No"/>
    <n v="16"/>
    <s v="Debit Card"/>
    <x v="0"/>
  </r>
  <r>
    <n v="2344"/>
    <x v="44"/>
    <s v="Male"/>
    <x v="20"/>
    <x v="0"/>
    <n v="49"/>
    <s v="Maryland"/>
    <x v="2"/>
    <x v="16"/>
    <x v="2"/>
    <n v="4.4000000000000004"/>
    <x v="1"/>
    <s v="2-Day Shipping"/>
    <s v="No"/>
    <s v="No"/>
    <n v="44"/>
    <s v="PayPal"/>
    <x v="5"/>
  </r>
  <r>
    <n v="2345"/>
    <x v="50"/>
    <s v="Male"/>
    <x v="3"/>
    <x v="1"/>
    <n v="92"/>
    <s v="Rhode Island"/>
    <x v="3"/>
    <x v="12"/>
    <x v="3"/>
    <n v="3.5"/>
    <x v="1"/>
    <s v="Express"/>
    <s v="No"/>
    <s v="No"/>
    <n v="14"/>
    <s v="Venmo"/>
    <x v="4"/>
  </r>
  <r>
    <n v="2346"/>
    <x v="48"/>
    <s v="Male"/>
    <x v="17"/>
    <x v="0"/>
    <n v="32"/>
    <s v="New York"/>
    <x v="1"/>
    <x v="20"/>
    <x v="0"/>
    <n v="3.3"/>
    <x v="1"/>
    <s v="Express"/>
    <s v="No"/>
    <s v="No"/>
    <n v="23"/>
    <s v="Bank Transfer"/>
    <x v="6"/>
  </r>
  <r>
    <n v="2347"/>
    <x v="40"/>
    <s v="Male"/>
    <x v="14"/>
    <x v="2"/>
    <n v="67"/>
    <s v="New Mexico"/>
    <x v="0"/>
    <x v="18"/>
    <x v="0"/>
    <n v="3.1"/>
    <x v="1"/>
    <s v="Standard"/>
    <s v="No"/>
    <s v="No"/>
    <n v="46"/>
    <s v="Debit Card"/>
    <x v="0"/>
  </r>
  <r>
    <n v="2348"/>
    <x v="43"/>
    <s v="Male"/>
    <x v="22"/>
    <x v="3"/>
    <n v="64"/>
    <s v="California"/>
    <x v="1"/>
    <x v="0"/>
    <x v="3"/>
    <n v="4.2"/>
    <x v="1"/>
    <s v="Express"/>
    <s v="No"/>
    <s v="No"/>
    <n v="46"/>
    <s v="Cash"/>
    <x v="6"/>
  </r>
  <r>
    <n v="2349"/>
    <x v="22"/>
    <s v="Male"/>
    <x v="9"/>
    <x v="1"/>
    <n v="84"/>
    <s v="Maine"/>
    <x v="2"/>
    <x v="20"/>
    <x v="1"/>
    <n v="4.9000000000000004"/>
    <x v="1"/>
    <s v="Next Day Air"/>
    <s v="No"/>
    <s v="No"/>
    <n v="16"/>
    <s v="PayPal"/>
    <x v="6"/>
  </r>
  <r>
    <n v="2350"/>
    <x v="13"/>
    <s v="Male"/>
    <x v="0"/>
    <x v="0"/>
    <n v="34"/>
    <s v="New York"/>
    <x v="2"/>
    <x v="20"/>
    <x v="3"/>
    <n v="3.9"/>
    <x v="1"/>
    <s v="Standard"/>
    <s v="No"/>
    <s v="No"/>
    <n v="40"/>
    <s v="Credit Card"/>
    <x v="6"/>
  </r>
  <r>
    <n v="2351"/>
    <x v="9"/>
    <s v="Male"/>
    <x v="9"/>
    <x v="1"/>
    <n v="26"/>
    <s v="Hawaii"/>
    <x v="2"/>
    <x v="2"/>
    <x v="0"/>
    <n v="4.2"/>
    <x v="1"/>
    <s v="Free Shipping"/>
    <s v="No"/>
    <s v="No"/>
    <n v="21"/>
    <s v="Cash"/>
    <x v="2"/>
  </r>
  <r>
    <n v="2352"/>
    <x v="21"/>
    <s v="Male"/>
    <x v="1"/>
    <x v="0"/>
    <n v="50"/>
    <s v="New Hampshire"/>
    <x v="1"/>
    <x v="17"/>
    <x v="3"/>
    <n v="4.9000000000000004"/>
    <x v="1"/>
    <s v="Store Pickup"/>
    <s v="No"/>
    <s v="No"/>
    <n v="25"/>
    <s v="PayPal"/>
    <x v="4"/>
  </r>
  <r>
    <n v="2353"/>
    <x v="27"/>
    <s v="Male"/>
    <x v="23"/>
    <x v="1"/>
    <n v="46"/>
    <s v="Nebraska"/>
    <x v="2"/>
    <x v="22"/>
    <x v="3"/>
    <n v="2.8"/>
    <x v="1"/>
    <s v="Store Pickup"/>
    <s v="No"/>
    <s v="No"/>
    <n v="25"/>
    <s v="Bank Transfer"/>
    <x v="3"/>
  </r>
  <r>
    <n v="2354"/>
    <x v="19"/>
    <s v="Male"/>
    <x v="8"/>
    <x v="3"/>
    <n v="71"/>
    <s v="Montana"/>
    <x v="2"/>
    <x v="3"/>
    <x v="3"/>
    <n v="4.0999999999999996"/>
    <x v="1"/>
    <s v="Standard"/>
    <s v="No"/>
    <s v="No"/>
    <n v="25"/>
    <s v="Debit Card"/>
    <x v="6"/>
  </r>
  <r>
    <n v="2355"/>
    <x v="19"/>
    <s v="Male"/>
    <x v="0"/>
    <x v="0"/>
    <n v="78"/>
    <s v="Wisconsin"/>
    <x v="2"/>
    <x v="24"/>
    <x v="2"/>
    <n v="4.8"/>
    <x v="1"/>
    <s v="Next Day Air"/>
    <s v="No"/>
    <s v="No"/>
    <n v="27"/>
    <s v="Venmo"/>
    <x v="5"/>
  </r>
  <r>
    <n v="2356"/>
    <x v="40"/>
    <s v="Male"/>
    <x v="11"/>
    <x v="0"/>
    <n v="35"/>
    <s v="Tennessee"/>
    <x v="1"/>
    <x v="7"/>
    <x v="0"/>
    <n v="4.0999999999999996"/>
    <x v="1"/>
    <s v="Next Day Air"/>
    <s v="No"/>
    <s v="No"/>
    <n v="12"/>
    <s v="Cash"/>
    <x v="5"/>
  </r>
  <r>
    <n v="2357"/>
    <x v="9"/>
    <s v="Male"/>
    <x v="21"/>
    <x v="3"/>
    <n v="58"/>
    <s v="Montana"/>
    <x v="2"/>
    <x v="0"/>
    <x v="2"/>
    <n v="3"/>
    <x v="1"/>
    <s v="Free Shipping"/>
    <s v="No"/>
    <s v="No"/>
    <n v="27"/>
    <s v="Debit Card"/>
    <x v="3"/>
  </r>
  <r>
    <n v="2358"/>
    <x v="10"/>
    <s v="Male"/>
    <x v="5"/>
    <x v="0"/>
    <n v="67"/>
    <s v="Michigan"/>
    <x v="0"/>
    <x v="17"/>
    <x v="3"/>
    <n v="4.2"/>
    <x v="1"/>
    <s v="2-Day Shipping"/>
    <s v="No"/>
    <s v="No"/>
    <n v="40"/>
    <s v="Credit Card"/>
    <x v="4"/>
  </r>
  <r>
    <n v="2359"/>
    <x v="10"/>
    <s v="Male"/>
    <x v="1"/>
    <x v="0"/>
    <n v="93"/>
    <s v="Texas"/>
    <x v="0"/>
    <x v="6"/>
    <x v="1"/>
    <n v="3.8"/>
    <x v="1"/>
    <s v="Standard"/>
    <s v="No"/>
    <s v="No"/>
    <n v="38"/>
    <s v="Credit Card"/>
    <x v="3"/>
  </r>
  <r>
    <n v="2360"/>
    <x v="1"/>
    <s v="Male"/>
    <x v="18"/>
    <x v="3"/>
    <n v="81"/>
    <s v="Pennsylvania"/>
    <x v="1"/>
    <x v="9"/>
    <x v="1"/>
    <n v="3.3"/>
    <x v="1"/>
    <s v="2-Day Shipping"/>
    <s v="No"/>
    <s v="No"/>
    <n v="44"/>
    <s v="Bank Transfer"/>
    <x v="6"/>
  </r>
  <r>
    <n v="2361"/>
    <x v="34"/>
    <s v="Male"/>
    <x v="8"/>
    <x v="3"/>
    <n v="80"/>
    <s v="New York"/>
    <x v="0"/>
    <x v="5"/>
    <x v="3"/>
    <n v="4.7"/>
    <x v="1"/>
    <s v="2-Day Shipping"/>
    <s v="No"/>
    <s v="No"/>
    <n v="27"/>
    <s v="Venmo"/>
    <x v="6"/>
  </r>
  <r>
    <n v="2362"/>
    <x v="42"/>
    <s v="Male"/>
    <x v="18"/>
    <x v="3"/>
    <n v="64"/>
    <s v="Alabama"/>
    <x v="2"/>
    <x v="0"/>
    <x v="1"/>
    <n v="4.3"/>
    <x v="1"/>
    <s v="2-Day Shipping"/>
    <s v="No"/>
    <s v="No"/>
    <n v="30"/>
    <s v="Credit Card"/>
    <x v="6"/>
  </r>
  <r>
    <n v="2363"/>
    <x v="7"/>
    <s v="Male"/>
    <x v="2"/>
    <x v="0"/>
    <n v="41"/>
    <s v="Virginia"/>
    <x v="2"/>
    <x v="18"/>
    <x v="3"/>
    <n v="2.7"/>
    <x v="1"/>
    <s v="Standard"/>
    <s v="No"/>
    <s v="No"/>
    <n v="24"/>
    <s v="Credit Card"/>
    <x v="5"/>
  </r>
  <r>
    <n v="2364"/>
    <x v="52"/>
    <s v="Male"/>
    <x v="20"/>
    <x v="0"/>
    <n v="79"/>
    <s v="Pennsylvania"/>
    <x v="3"/>
    <x v="6"/>
    <x v="0"/>
    <n v="4.2"/>
    <x v="1"/>
    <s v="Express"/>
    <s v="No"/>
    <s v="No"/>
    <n v="38"/>
    <s v="Cash"/>
    <x v="4"/>
  </r>
  <r>
    <n v="2365"/>
    <x v="46"/>
    <s v="Male"/>
    <x v="12"/>
    <x v="3"/>
    <n v="60"/>
    <s v="Mississippi"/>
    <x v="0"/>
    <x v="1"/>
    <x v="0"/>
    <n v="4.2"/>
    <x v="1"/>
    <s v="Free Shipping"/>
    <s v="No"/>
    <s v="No"/>
    <n v="4"/>
    <s v="PayPal"/>
    <x v="3"/>
  </r>
  <r>
    <n v="2366"/>
    <x v="16"/>
    <s v="Male"/>
    <x v="4"/>
    <x v="1"/>
    <n v="91"/>
    <s v="Wyoming"/>
    <x v="1"/>
    <x v="15"/>
    <x v="0"/>
    <n v="2.5"/>
    <x v="1"/>
    <s v="Next Day Air"/>
    <s v="No"/>
    <s v="No"/>
    <n v="32"/>
    <s v="Venmo"/>
    <x v="5"/>
  </r>
  <r>
    <n v="2367"/>
    <x v="11"/>
    <s v="Male"/>
    <x v="9"/>
    <x v="1"/>
    <n v="66"/>
    <s v="New Mexico"/>
    <x v="0"/>
    <x v="18"/>
    <x v="0"/>
    <n v="3.6"/>
    <x v="1"/>
    <s v="Express"/>
    <s v="No"/>
    <s v="No"/>
    <n v="32"/>
    <s v="Credit Card"/>
    <x v="0"/>
  </r>
  <r>
    <n v="2368"/>
    <x v="17"/>
    <s v="Male"/>
    <x v="20"/>
    <x v="0"/>
    <n v="85"/>
    <s v="North Dakota"/>
    <x v="0"/>
    <x v="14"/>
    <x v="0"/>
    <n v="3.4"/>
    <x v="1"/>
    <s v="Standard"/>
    <s v="No"/>
    <s v="No"/>
    <n v="28"/>
    <s v="Bank Transfer"/>
    <x v="4"/>
  </r>
  <r>
    <n v="2369"/>
    <x v="26"/>
    <s v="Male"/>
    <x v="12"/>
    <x v="3"/>
    <n v="38"/>
    <s v="New Jersey"/>
    <x v="2"/>
    <x v="12"/>
    <x v="2"/>
    <n v="3.3"/>
    <x v="1"/>
    <s v="Standard"/>
    <s v="No"/>
    <s v="No"/>
    <n v="6"/>
    <s v="Debit Card"/>
    <x v="6"/>
  </r>
  <r>
    <n v="2370"/>
    <x v="41"/>
    <s v="Male"/>
    <x v="1"/>
    <x v="0"/>
    <n v="23"/>
    <s v="Vermont"/>
    <x v="2"/>
    <x v="17"/>
    <x v="0"/>
    <n v="4.5999999999999996"/>
    <x v="1"/>
    <s v="Standard"/>
    <s v="No"/>
    <s v="No"/>
    <n v="24"/>
    <s v="PayPal"/>
    <x v="5"/>
  </r>
  <r>
    <n v="2371"/>
    <x v="47"/>
    <s v="Male"/>
    <x v="9"/>
    <x v="1"/>
    <n v="71"/>
    <s v="Alaska"/>
    <x v="2"/>
    <x v="13"/>
    <x v="1"/>
    <n v="3.9"/>
    <x v="1"/>
    <s v="Store Pickup"/>
    <s v="No"/>
    <s v="No"/>
    <n v="38"/>
    <s v="Venmo"/>
    <x v="1"/>
  </r>
  <r>
    <n v="2372"/>
    <x v="29"/>
    <s v="Male"/>
    <x v="20"/>
    <x v="0"/>
    <n v="25"/>
    <s v="Indiana"/>
    <x v="2"/>
    <x v="4"/>
    <x v="0"/>
    <n v="3.7"/>
    <x v="1"/>
    <s v="Next Day Air"/>
    <s v="No"/>
    <s v="No"/>
    <n v="28"/>
    <s v="Debit Card"/>
    <x v="2"/>
  </r>
  <r>
    <n v="2373"/>
    <x v="2"/>
    <s v="Male"/>
    <x v="23"/>
    <x v="1"/>
    <n v="39"/>
    <s v="Alabama"/>
    <x v="3"/>
    <x v="5"/>
    <x v="1"/>
    <n v="3.1"/>
    <x v="1"/>
    <s v="Express"/>
    <s v="No"/>
    <s v="No"/>
    <n v="9"/>
    <s v="PayPal"/>
    <x v="0"/>
  </r>
  <r>
    <n v="2374"/>
    <x v="43"/>
    <s v="Male"/>
    <x v="15"/>
    <x v="0"/>
    <n v="20"/>
    <s v="Michigan"/>
    <x v="2"/>
    <x v="0"/>
    <x v="1"/>
    <n v="4.9000000000000004"/>
    <x v="1"/>
    <s v="Express"/>
    <s v="No"/>
    <s v="No"/>
    <n v="21"/>
    <s v="Debit Card"/>
    <x v="6"/>
  </r>
  <r>
    <n v="2375"/>
    <x v="28"/>
    <s v="Male"/>
    <x v="24"/>
    <x v="3"/>
    <n v="73"/>
    <s v="Washington"/>
    <x v="0"/>
    <x v="15"/>
    <x v="0"/>
    <n v="4.7"/>
    <x v="1"/>
    <s v="Standard"/>
    <s v="No"/>
    <s v="No"/>
    <n v="31"/>
    <s v="Debit Card"/>
    <x v="5"/>
  </r>
  <r>
    <n v="2376"/>
    <x v="52"/>
    <s v="Male"/>
    <x v="21"/>
    <x v="3"/>
    <n v="63"/>
    <s v="Virginia"/>
    <x v="0"/>
    <x v="15"/>
    <x v="3"/>
    <n v="2.9"/>
    <x v="1"/>
    <s v="Next Day Air"/>
    <s v="No"/>
    <s v="No"/>
    <n v="18"/>
    <s v="Credit Card"/>
    <x v="3"/>
  </r>
  <r>
    <n v="2377"/>
    <x v="3"/>
    <s v="Male"/>
    <x v="24"/>
    <x v="3"/>
    <n v="94"/>
    <s v="Tennessee"/>
    <x v="3"/>
    <x v="17"/>
    <x v="1"/>
    <n v="4.0999999999999996"/>
    <x v="1"/>
    <s v="Express"/>
    <s v="No"/>
    <s v="No"/>
    <n v="5"/>
    <s v="Cash"/>
    <x v="1"/>
  </r>
  <r>
    <n v="2378"/>
    <x v="42"/>
    <s v="Male"/>
    <x v="0"/>
    <x v="0"/>
    <n v="94"/>
    <s v="South Dakota"/>
    <x v="0"/>
    <x v="23"/>
    <x v="3"/>
    <n v="4"/>
    <x v="1"/>
    <s v="Next Day Air"/>
    <s v="No"/>
    <s v="No"/>
    <n v="22"/>
    <s v="Cash"/>
    <x v="2"/>
  </r>
  <r>
    <n v="2379"/>
    <x v="8"/>
    <s v="Male"/>
    <x v="18"/>
    <x v="3"/>
    <n v="71"/>
    <s v="New Hampshire"/>
    <x v="0"/>
    <x v="11"/>
    <x v="2"/>
    <n v="2.7"/>
    <x v="1"/>
    <s v="Store Pickup"/>
    <s v="No"/>
    <s v="No"/>
    <n v="37"/>
    <s v="PayPal"/>
    <x v="4"/>
  </r>
  <r>
    <n v="2380"/>
    <x v="37"/>
    <s v="Male"/>
    <x v="19"/>
    <x v="3"/>
    <n v="77"/>
    <s v="South Dakota"/>
    <x v="2"/>
    <x v="15"/>
    <x v="1"/>
    <n v="4"/>
    <x v="1"/>
    <s v="2-Day Shipping"/>
    <s v="No"/>
    <s v="No"/>
    <n v="22"/>
    <s v="Debit Card"/>
    <x v="5"/>
  </r>
  <r>
    <n v="2381"/>
    <x v="38"/>
    <s v="Male"/>
    <x v="18"/>
    <x v="3"/>
    <n v="66"/>
    <s v="Pennsylvania"/>
    <x v="2"/>
    <x v="13"/>
    <x v="3"/>
    <n v="2.5"/>
    <x v="1"/>
    <s v="Next Day Air"/>
    <s v="No"/>
    <s v="No"/>
    <n v="36"/>
    <s v="PayPal"/>
    <x v="0"/>
  </r>
  <r>
    <n v="2382"/>
    <x v="46"/>
    <s v="Male"/>
    <x v="3"/>
    <x v="1"/>
    <n v="23"/>
    <s v="Wisconsin"/>
    <x v="2"/>
    <x v="11"/>
    <x v="2"/>
    <n v="4.5"/>
    <x v="1"/>
    <s v="Free Shipping"/>
    <s v="No"/>
    <s v="No"/>
    <n v="23"/>
    <s v="PayPal"/>
    <x v="2"/>
  </r>
  <r>
    <n v="2383"/>
    <x v="31"/>
    <s v="Male"/>
    <x v="1"/>
    <x v="0"/>
    <n v="60"/>
    <s v="California"/>
    <x v="2"/>
    <x v="2"/>
    <x v="1"/>
    <n v="3.9"/>
    <x v="1"/>
    <s v="Express"/>
    <s v="No"/>
    <s v="No"/>
    <n v="44"/>
    <s v="Debit Card"/>
    <x v="1"/>
  </r>
  <r>
    <n v="2384"/>
    <x v="10"/>
    <s v="Male"/>
    <x v="21"/>
    <x v="3"/>
    <n v="72"/>
    <s v="Rhode Island"/>
    <x v="0"/>
    <x v="9"/>
    <x v="1"/>
    <n v="4.9000000000000004"/>
    <x v="1"/>
    <s v="2-Day Shipping"/>
    <s v="No"/>
    <s v="No"/>
    <n v="25"/>
    <s v="Bank Transfer"/>
    <x v="2"/>
  </r>
  <r>
    <n v="2385"/>
    <x v="41"/>
    <s v="Male"/>
    <x v="0"/>
    <x v="0"/>
    <n v="35"/>
    <s v="Alabama"/>
    <x v="0"/>
    <x v="14"/>
    <x v="0"/>
    <n v="3.3"/>
    <x v="1"/>
    <s v="2-Day Shipping"/>
    <s v="No"/>
    <s v="No"/>
    <n v="40"/>
    <s v="PayPal"/>
    <x v="3"/>
  </r>
  <r>
    <n v="2386"/>
    <x v="38"/>
    <s v="Male"/>
    <x v="18"/>
    <x v="3"/>
    <n v="31"/>
    <s v="Oklahoma"/>
    <x v="2"/>
    <x v="18"/>
    <x v="3"/>
    <n v="3.8"/>
    <x v="1"/>
    <s v="Express"/>
    <s v="No"/>
    <s v="No"/>
    <n v="12"/>
    <s v="PayPal"/>
    <x v="1"/>
  </r>
  <r>
    <n v="2387"/>
    <x v="1"/>
    <s v="Male"/>
    <x v="20"/>
    <x v="0"/>
    <n v="33"/>
    <s v="Illinois"/>
    <x v="0"/>
    <x v="24"/>
    <x v="2"/>
    <n v="2.9"/>
    <x v="1"/>
    <s v="Standard"/>
    <s v="No"/>
    <s v="No"/>
    <n v="14"/>
    <s v="Venmo"/>
    <x v="5"/>
  </r>
  <r>
    <n v="2388"/>
    <x v="24"/>
    <s v="Male"/>
    <x v="19"/>
    <x v="3"/>
    <n v="95"/>
    <s v="Tennessee"/>
    <x v="2"/>
    <x v="9"/>
    <x v="2"/>
    <n v="4"/>
    <x v="1"/>
    <s v="2-Day Shipping"/>
    <s v="No"/>
    <s v="No"/>
    <n v="14"/>
    <s v="Debit Card"/>
    <x v="5"/>
  </r>
  <r>
    <n v="2389"/>
    <x v="3"/>
    <s v="Male"/>
    <x v="10"/>
    <x v="0"/>
    <n v="68"/>
    <s v="Alabama"/>
    <x v="2"/>
    <x v="15"/>
    <x v="3"/>
    <n v="4.0999999999999996"/>
    <x v="1"/>
    <s v="Store Pickup"/>
    <s v="No"/>
    <s v="No"/>
    <n v="10"/>
    <s v="Debit Card"/>
    <x v="2"/>
  </r>
  <r>
    <n v="2390"/>
    <x v="15"/>
    <s v="Male"/>
    <x v="7"/>
    <x v="2"/>
    <n v="87"/>
    <s v="Kansas"/>
    <x v="2"/>
    <x v="10"/>
    <x v="1"/>
    <n v="3.1"/>
    <x v="1"/>
    <s v="Store Pickup"/>
    <s v="No"/>
    <s v="No"/>
    <n v="17"/>
    <s v="Bank Transfer"/>
    <x v="6"/>
  </r>
  <r>
    <n v="2391"/>
    <x v="13"/>
    <s v="Male"/>
    <x v="5"/>
    <x v="0"/>
    <n v="64"/>
    <s v="Arizona"/>
    <x v="3"/>
    <x v="22"/>
    <x v="0"/>
    <n v="4.5999999999999996"/>
    <x v="1"/>
    <s v="Express"/>
    <s v="No"/>
    <s v="No"/>
    <n v="24"/>
    <s v="Debit Card"/>
    <x v="0"/>
  </r>
  <r>
    <n v="2392"/>
    <x v="32"/>
    <s v="Male"/>
    <x v="5"/>
    <x v="0"/>
    <n v="74"/>
    <s v="Michigan"/>
    <x v="2"/>
    <x v="13"/>
    <x v="0"/>
    <n v="4.5999999999999996"/>
    <x v="1"/>
    <s v="Next Day Air"/>
    <s v="No"/>
    <s v="No"/>
    <n v="31"/>
    <s v="Bank Transfer"/>
    <x v="3"/>
  </r>
  <r>
    <n v="2393"/>
    <x v="37"/>
    <s v="Male"/>
    <x v="2"/>
    <x v="0"/>
    <n v="62"/>
    <s v="Missouri"/>
    <x v="0"/>
    <x v="5"/>
    <x v="1"/>
    <n v="2.6"/>
    <x v="1"/>
    <s v="2-Day Shipping"/>
    <s v="No"/>
    <s v="No"/>
    <n v="36"/>
    <s v="Cash"/>
    <x v="2"/>
  </r>
  <r>
    <n v="2394"/>
    <x v="44"/>
    <s v="Male"/>
    <x v="20"/>
    <x v="0"/>
    <n v="97"/>
    <s v="Louisiana"/>
    <x v="2"/>
    <x v="18"/>
    <x v="0"/>
    <n v="5"/>
    <x v="1"/>
    <s v="2-Day Shipping"/>
    <s v="No"/>
    <s v="No"/>
    <n v="38"/>
    <s v="PayPal"/>
    <x v="6"/>
  </r>
  <r>
    <n v="2395"/>
    <x v="37"/>
    <s v="Male"/>
    <x v="3"/>
    <x v="1"/>
    <n v="47"/>
    <s v="Connecticut"/>
    <x v="0"/>
    <x v="15"/>
    <x v="3"/>
    <n v="2.9"/>
    <x v="1"/>
    <s v="2-Day Shipping"/>
    <s v="No"/>
    <s v="No"/>
    <n v="23"/>
    <s v="Debit Card"/>
    <x v="0"/>
  </r>
  <r>
    <n v="2396"/>
    <x v="46"/>
    <s v="Male"/>
    <x v="0"/>
    <x v="0"/>
    <n v="83"/>
    <s v="Connecticut"/>
    <x v="2"/>
    <x v="17"/>
    <x v="0"/>
    <n v="3.5"/>
    <x v="1"/>
    <s v="2-Day Shipping"/>
    <s v="No"/>
    <s v="No"/>
    <n v="47"/>
    <s v="PayPal"/>
    <x v="4"/>
  </r>
  <r>
    <n v="2397"/>
    <x v="21"/>
    <s v="Male"/>
    <x v="5"/>
    <x v="0"/>
    <n v="82"/>
    <s v="Oregon"/>
    <x v="2"/>
    <x v="8"/>
    <x v="1"/>
    <n v="3.7"/>
    <x v="1"/>
    <s v="2-Day Shipping"/>
    <s v="No"/>
    <s v="No"/>
    <n v="20"/>
    <s v="Venmo"/>
    <x v="1"/>
  </r>
  <r>
    <n v="2398"/>
    <x v="43"/>
    <s v="Male"/>
    <x v="12"/>
    <x v="3"/>
    <n v="26"/>
    <s v="West Virginia"/>
    <x v="0"/>
    <x v="13"/>
    <x v="3"/>
    <n v="2.9"/>
    <x v="1"/>
    <s v="Store Pickup"/>
    <s v="No"/>
    <s v="No"/>
    <n v="41"/>
    <s v="Venmo"/>
    <x v="5"/>
  </r>
  <r>
    <n v="2399"/>
    <x v="13"/>
    <s v="Male"/>
    <x v="14"/>
    <x v="2"/>
    <n v="81"/>
    <s v="Florida"/>
    <x v="2"/>
    <x v="20"/>
    <x v="0"/>
    <n v="4.3"/>
    <x v="1"/>
    <s v="Free Shipping"/>
    <s v="No"/>
    <s v="No"/>
    <n v="44"/>
    <s v="Bank Transfer"/>
    <x v="0"/>
  </r>
  <r>
    <n v="2400"/>
    <x v="0"/>
    <s v="Male"/>
    <x v="10"/>
    <x v="0"/>
    <n v="44"/>
    <s v="New Hampshire"/>
    <x v="0"/>
    <x v="19"/>
    <x v="1"/>
    <n v="3.2"/>
    <x v="1"/>
    <s v="Store Pickup"/>
    <s v="No"/>
    <s v="No"/>
    <n v="31"/>
    <s v="Cash"/>
    <x v="5"/>
  </r>
  <r>
    <n v="2401"/>
    <x v="49"/>
    <s v="Male"/>
    <x v="12"/>
    <x v="3"/>
    <n v="88"/>
    <s v="Oregon"/>
    <x v="2"/>
    <x v="15"/>
    <x v="0"/>
    <n v="4.2"/>
    <x v="1"/>
    <s v="Next Day Air"/>
    <s v="No"/>
    <s v="No"/>
    <n v="11"/>
    <s v="Credit Card"/>
    <x v="4"/>
  </r>
  <r>
    <n v="2402"/>
    <x v="49"/>
    <s v="Male"/>
    <x v="23"/>
    <x v="1"/>
    <n v="76"/>
    <s v="Oregon"/>
    <x v="2"/>
    <x v="6"/>
    <x v="0"/>
    <n v="4.2"/>
    <x v="1"/>
    <s v="Standard"/>
    <s v="No"/>
    <s v="No"/>
    <n v="25"/>
    <s v="PayPal"/>
    <x v="4"/>
  </r>
  <r>
    <n v="2403"/>
    <x v="4"/>
    <s v="Male"/>
    <x v="18"/>
    <x v="3"/>
    <n v="89"/>
    <s v="Utah"/>
    <x v="2"/>
    <x v="18"/>
    <x v="0"/>
    <n v="3.8"/>
    <x v="1"/>
    <s v="Free Shipping"/>
    <s v="No"/>
    <s v="No"/>
    <n v="31"/>
    <s v="Cash"/>
    <x v="1"/>
  </r>
  <r>
    <n v="2404"/>
    <x v="14"/>
    <s v="Male"/>
    <x v="6"/>
    <x v="0"/>
    <n v="22"/>
    <s v="Missouri"/>
    <x v="2"/>
    <x v="23"/>
    <x v="3"/>
    <n v="4.4000000000000004"/>
    <x v="1"/>
    <s v="Standard"/>
    <s v="No"/>
    <s v="No"/>
    <n v="40"/>
    <s v="Debit Card"/>
    <x v="1"/>
  </r>
  <r>
    <n v="2405"/>
    <x v="48"/>
    <s v="Male"/>
    <x v="6"/>
    <x v="0"/>
    <n v="33"/>
    <s v="West Virginia"/>
    <x v="0"/>
    <x v="17"/>
    <x v="0"/>
    <n v="3.1"/>
    <x v="1"/>
    <s v="2-Day Shipping"/>
    <s v="No"/>
    <s v="No"/>
    <n v="23"/>
    <s v="Credit Card"/>
    <x v="4"/>
  </r>
  <r>
    <n v="2406"/>
    <x v="28"/>
    <s v="Male"/>
    <x v="2"/>
    <x v="0"/>
    <n v="97"/>
    <s v="California"/>
    <x v="3"/>
    <x v="5"/>
    <x v="3"/>
    <n v="5"/>
    <x v="1"/>
    <s v="Standard"/>
    <s v="No"/>
    <s v="No"/>
    <n v="5"/>
    <s v="Debit Card"/>
    <x v="3"/>
  </r>
  <r>
    <n v="2407"/>
    <x v="22"/>
    <s v="Male"/>
    <x v="18"/>
    <x v="3"/>
    <n v="57"/>
    <s v="California"/>
    <x v="2"/>
    <x v="21"/>
    <x v="0"/>
    <n v="4.7"/>
    <x v="1"/>
    <s v="Standard"/>
    <s v="No"/>
    <s v="No"/>
    <n v="26"/>
    <s v="PayPal"/>
    <x v="1"/>
  </r>
  <r>
    <n v="2408"/>
    <x v="16"/>
    <s v="Male"/>
    <x v="6"/>
    <x v="0"/>
    <n v="38"/>
    <s v="Illinois"/>
    <x v="2"/>
    <x v="19"/>
    <x v="2"/>
    <n v="3"/>
    <x v="1"/>
    <s v="Express"/>
    <s v="No"/>
    <s v="No"/>
    <n v="11"/>
    <s v="Credit Card"/>
    <x v="4"/>
  </r>
  <r>
    <n v="2409"/>
    <x v="51"/>
    <s v="Male"/>
    <x v="4"/>
    <x v="1"/>
    <n v="55"/>
    <s v="Hawaii"/>
    <x v="3"/>
    <x v="13"/>
    <x v="3"/>
    <n v="4.2"/>
    <x v="1"/>
    <s v="Next Day Air"/>
    <s v="No"/>
    <s v="No"/>
    <n v="44"/>
    <s v="Debit Card"/>
    <x v="6"/>
  </r>
  <r>
    <n v="2410"/>
    <x v="8"/>
    <s v="Male"/>
    <x v="16"/>
    <x v="3"/>
    <n v="37"/>
    <s v="Washington"/>
    <x v="0"/>
    <x v="22"/>
    <x v="1"/>
    <n v="3"/>
    <x v="1"/>
    <s v="Store Pickup"/>
    <s v="No"/>
    <s v="No"/>
    <n v="47"/>
    <s v="Cash"/>
    <x v="6"/>
  </r>
  <r>
    <n v="2411"/>
    <x v="39"/>
    <s v="Male"/>
    <x v="9"/>
    <x v="1"/>
    <n v="43"/>
    <s v="Wisconsin"/>
    <x v="2"/>
    <x v="1"/>
    <x v="2"/>
    <n v="3.7"/>
    <x v="1"/>
    <s v="Free Shipping"/>
    <s v="No"/>
    <s v="No"/>
    <n v="46"/>
    <s v="PayPal"/>
    <x v="5"/>
  </r>
  <r>
    <n v="2412"/>
    <x v="34"/>
    <s v="Male"/>
    <x v="15"/>
    <x v="0"/>
    <n v="96"/>
    <s v="Virginia"/>
    <x v="2"/>
    <x v="17"/>
    <x v="2"/>
    <n v="2.7"/>
    <x v="1"/>
    <s v="Free Shipping"/>
    <s v="No"/>
    <s v="No"/>
    <n v="35"/>
    <s v="Cash"/>
    <x v="6"/>
  </r>
  <r>
    <n v="2413"/>
    <x v="10"/>
    <s v="Male"/>
    <x v="14"/>
    <x v="2"/>
    <n v="51"/>
    <s v="Oregon"/>
    <x v="2"/>
    <x v="6"/>
    <x v="0"/>
    <n v="4.3"/>
    <x v="1"/>
    <s v="2-Day Shipping"/>
    <s v="No"/>
    <s v="No"/>
    <n v="8"/>
    <s v="Bank Transfer"/>
    <x v="4"/>
  </r>
  <r>
    <n v="2414"/>
    <x v="28"/>
    <s v="Male"/>
    <x v="6"/>
    <x v="0"/>
    <n v="95"/>
    <s v="Pennsylvania"/>
    <x v="3"/>
    <x v="10"/>
    <x v="3"/>
    <n v="2.7"/>
    <x v="1"/>
    <s v="2-Day Shipping"/>
    <s v="No"/>
    <s v="No"/>
    <n v="30"/>
    <s v="Bank Transfer"/>
    <x v="1"/>
  </r>
  <r>
    <n v="2415"/>
    <x v="8"/>
    <s v="Male"/>
    <x v="20"/>
    <x v="0"/>
    <n v="26"/>
    <s v="Virginia"/>
    <x v="2"/>
    <x v="12"/>
    <x v="2"/>
    <n v="3.7"/>
    <x v="1"/>
    <s v="Next Day Air"/>
    <s v="No"/>
    <s v="No"/>
    <n v="14"/>
    <s v="Credit Card"/>
    <x v="4"/>
  </r>
  <r>
    <n v="2416"/>
    <x v="3"/>
    <s v="Male"/>
    <x v="7"/>
    <x v="2"/>
    <n v="34"/>
    <s v="Hawaii"/>
    <x v="3"/>
    <x v="12"/>
    <x v="3"/>
    <n v="4.3"/>
    <x v="1"/>
    <s v="Standard"/>
    <s v="No"/>
    <s v="No"/>
    <n v="30"/>
    <s v="Bank Transfer"/>
    <x v="1"/>
  </r>
  <r>
    <n v="2417"/>
    <x v="35"/>
    <s v="Male"/>
    <x v="3"/>
    <x v="1"/>
    <n v="83"/>
    <s v="Nebraska"/>
    <x v="1"/>
    <x v="13"/>
    <x v="2"/>
    <n v="4"/>
    <x v="1"/>
    <s v="Next Day Air"/>
    <s v="No"/>
    <s v="No"/>
    <n v="26"/>
    <s v="Credit Card"/>
    <x v="6"/>
  </r>
  <r>
    <n v="2418"/>
    <x v="3"/>
    <s v="Male"/>
    <x v="21"/>
    <x v="3"/>
    <n v="24"/>
    <s v="Alaska"/>
    <x v="2"/>
    <x v="8"/>
    <x v="3"/>
    <n v="3.3"/>
    <x v="1"/>
    <s v="Standard"/>
    <s v="No"/>
    <s v="No"/>
    <n v="32"/>
    <s v="Venmo"/>
    <x v="0"/>
  </r>
  <r>
    <n v="2419"/>
    <x v="40"/>
    <s v="Male"/>
    <x v="13"/>
    <x v="0"/>
    <n v="69"/>
    <s v="Michigan"/>
    <x v="1"/>
    <x v="21"/>
    <x v="3"/>
    <n v="4"/>
    <x v="1"/>
    <s v="Next Day Air"/>
    <s v="No"/>
    <s v="No"/>
    <n v="47"/>
    <s v="Cash"/>
    <x v="6"/>
  </r>
  <r>
    <n v="2420"/>
    <x v="8"/>
    <s v="Male"/>
    <x v="1"/>
    <x v="0"/>
    <n v="40"/>
    <s v="North Carolina"/>
    <x v="2"/>
    <x v="24"/>
    <x v="3"/>
    <n v="2.7"/>
    <x v="1"/>
    <s v="Next Day Air"/>
    <s v="No"/>
    <s v="No"/>
    <n v="11"/>
    <s v="Credit Card"/>
    <x v="6"/>
  </r>
  <r>
    <n v="2421"/>
    <x v="38"/>
    <s v="Male"/>
    <x v="14"/>
    <x v="2"/>
    <n v="87"/>
    <s v="North Carolina"/>
    <x v="1"/>
    <x v="14"/>
    <x v="0"/>
    <n v="4.2"/>
    <x v="1"/>
    <s v="Free Shipping"/>
    <s v="No"/>
    <s v="No"/>
    <n v="28"/>
    <s v="PayPal"/>
    <x v="2"/>
  </r>
  <r>
    <n v="2422"/>
    <x v="43"/>
    <s v="Male"/>
    <x v="4"/>
    <x v="1"/>
    <n v="46"/>
    <s v="Minnesota"/>
    <x v="0"/>
    <x v="6"/>
    <x v="1"/>
    <n v="4.5999999999999996"/>
    <x v="1"/>
    <s v="Standard"/>
    <s v="No"/>
    <s v="No"/>
    <n v="2"/>
    <s v="Debit Card"/>
    <x v="6"/>
  </r>
  <r>
    <n v="2423"/>
    <x v="11"/>
    <s v="Male"/>
    <x v="16"/>
    <x v="3"/>
    <n v="82"/>
    <s v="Georgia"/>
    <x v="2"/>
    <x v="15"/>
    <x v="0"/>
    <n v="4.8"/>
    <x v="1"/>
    <s v="Store Pickup"/>
    <s v="No"/>
    <s v="No"/>
    <n v="45"/>
    <s v="Credit Card"/>
    <x v="1"/>
  </r>
  <r>
    <n v="2424"/>
    <x v="34"/>
    <s v="Male"/>
    <x v="21"/>
    <x v="3"/>
    <n v="81"/>
    <s v="West Virginia"/>
    <x v="2"/>
    <x v="7"/>
    <x v="2"/>
    <n v="2.8"/>
    <x v="1"/>
    <s v="Free Shipping"/>
    <s v="No"/>
    <s v="No"/>
    <n v="7"/>
    <s v="Credit Card"/>
    <x v="6"/>
  </r>
  <r>
    <n v="2425"/>
    <x v="34"/>
    <s v="Male"/>
    <x v="16"/>
    <x v="3"/>
    <n v="57"/>
    <s v="Delaware"/>
    <x v="2"/>
    <x v="15"/>
    <x v="0"/>
    <n v="4.5"/>
    <x v="1"/>
    <s v="Next Day Air"/>
    <s v="No"/>
    <s v="No"/>
    <n v="28"/>
    <s v="Bank Transfer"/>
    <x v="4"/>
  </r>
  <r>
    <n v="2426"/>
    <x v="44"/>
    <s v="Male"/>
    <x v="9"/>
    <x v="1"/>
    <n v="49"/>
    <s v="North Dakota"/>
    <x v="1"/>
    <x v="8"/>
    <x v="2"/>
    <n v="3"/>
    <x v="1"/>
    <s v="2-Day Shipping"/>
    <s v="No"/>
    <s v="No"/>
    <n v="34"/>
    <s v="Bank Transfer"/>
    <x v="3"/>
  </r>
  <r>
    <n v="2427"/>
    <x v="27"/>
    <s v="Male"/>
    <x v="14"/>
    <x v="2"/>
    <n v="42"/>
    <s v="Florida"/>
    <x v="2"/>
    <x v="8"/>
    <x v="3"/>
    <n v="4.5999999999999996"/>
    <x v="1"/>
    <s v="Free Shipping"/>
    <s v="No"/>
    <s v="No"/>
    <n v="26"/>
    <s v="Debit Card"/>
    <x v="6"/>
  </r>
  <r>
    <n v="2428"/>
    <x v="7"/>
    <s v="Male"/>
    <x v="14"/>
    <x v="2"/>
    <n v="26"/>
    <s v="Oregon"/>
    <x v="2"/>
    <x v="7"/>
    <x v="1"/>
    <n v="3.3"/>
    <x v="1"/>
    <s v="Standard"/>
    <s v="No"/>
    <s v="No"/>
    <n v="45"/>
    <s v="Cash"/>
    <x v="3"/>
  </r>
  <r>
    <n v="2429"/>
    <x v="13"/>
    <s v="Male"/>
    <x v="17"/>
    <x v="0"/>
    <n v="38"/>
    <s v="Idaho"/>
    <x v="2"/>
    <x v="10"/>
    <x v="1"/>
    <n v="4.4000000000000004"/>
    <x v="1"/>
    <s v="Next Day Air"/>
    <s v="No"/>
    <s v="No"/>
    <n v="34"/>
    <s v="Debit Card"/>
    <x v="2"/>
  </r>
  <r>
    <n v="2430"/>
    <x v="9"/>
    <s v="Male"/>
    <x v="4"/>
    <x v="1"/>
    <n v="57"/>
    <s v="Virginia"/>
    <x v="3"/>
    <x v="1"/>
    <x v="2"/>
    <n v="4.4000000000000004"/>
    <x v="1"/>
    <s v="Standard"/>
    <s v="No"/>
    <s v="No"/>
    <n v="47"/>
    <s v="Credit Card"/>
    <x v="0"/>
  </r>
  <r>
    <n v="2431"/>
    <x v="30"/>
    <s v="Male"/>
    <x v="14"/>
    <x v="2"/>
    <n v="100"/>
    <s v="North Dakota"/>
    <x v="3"/>
    <x v="3"/>
    <x v="2"/>
    <n v="4.3"/>
    <x v="1"/>
    <s v="Express"/>
    <s v="No"/>
    <s v="No"/>
    <n v="42"/>
    <s v="Cash"/>
    <x v="3"/>
  </r>
  <r>
    <n v="2432"/>
    <x v="50"/>
    <s v="Male"/>
    <x v="15"/>
    <x v="0"/>
    <n v="73"/>
    <s v="Alabama"/>
    <x v="1"/>
    <x v="8"/>
    <x v="3"/>
    <n v="3.4"/>
    <x v="1"/>
    <s v="Express"/>
    <s v="No"/>
    <s v="No"/>
    <n v="27"/>
    <s v="Bank Transfer"/>
    <x v="6"/>
  </r>
  <r>
    <n v="2433"/>
    <x v="35"/>
    <s v="Male"/>
    <x v="14"/>
    <x v="2"/>
    <n v="66"/>
    <s v="Hawaii"/>
    <x v="2"/>
    <x v="15"/>
    <x v="0"/>
    <n v="2.8"/>
    <x v="1"/>
    <s v="Store Pickup"/>
    <s v="No"/>
    <s v="No"/>
    <n v="43"/>
    <s v="Venmo"/>
    <x v="5"/>
  </r>
  <r>
    <n v="2434"/>
    <x v="22"/>
    <s v="Male"/>
    <x v="17"/>
    <x v="0"/>
    <n v="73"/>
    <s v="Oregon"/>
    <x v="2"/>
    <x v="24"/>
    <x v="1"/>
    <n v="3.4"/>
    <x v="1"/>
    <s v="Standard"/>
    <s v="No"/>
    <s v="No"/>
    <n v="16"/>
    <s v="Cash"/>
    <x v="4"/>
  </r>
  <r>
    <n v="2435"/>
    <x v="24"/>
    <s v="Male"/>
    <x v="24"/>
    <x v="3"/>
    <n v="45"/>
    <s v="Utah"/>
    <x v="2"/>
    <x v="18"/>
    <x v="1"/>
    <n v="5"/>
    <x v="1"/>
    <s v="Store Pickup"/>
    <s v="No"/>
    <s v="No"/>
    <n v="40"/>
    <s v="Credit Card"/>
    <x v="5"/>
  </r>
  <r>
    <n v="2436"/>
    <x v="3"/>
    <s v="Male"/>
    <x v="4"/>
    <x v="1"/>
    <n v="27"/>
    <s v="Hawaii"/>
    <x v="1"/>
    <x v="13"/>
    <x v="3"/>
    <n v="4.5"/>
    <x v="1"/>
    <s v="Free Shipping"/>
    <s v="No"/>
    <s v="No"/>
    <n v="29"/>
    <s v="Cash"/>
    <x v="4"/>
  </r>
  <r>
    <n v="2437"/>
    <x v="16"/>
    <s v="Male"/>
    <x v="17"/>
    <x v="0"/>
    <n v="24"/>
    <s v="Connecticut"/>
    <x v="2"/>
    <x v="22"/>
    <x v="3"/>
    <n v="2.7"/>
    <x v="1"/>
    <s v="Store Pickup"/>
    <s v="No"/>
    <s v="No"/>
    <n v="38"/>
    <s v="Credit Card"/>
    <x v="3"/>
  </r>
  <r>
    <n v="2438"/>
    <x v="49"/>
    <s v="Male"/>
    <x v="4"/>
    <x v="1"/>
    <n v="59"/>
    <s v="Wyoming"/>
    <x v="3"/>
    <x v="23"/>
    <x v="0"/>
    <n v="3.4"/>
    <x v="1"/>
    <s v="Store Pickup"/>
    <s v="No"/>
    <s v="No"/>
    <n v="34"/>
    <s v="Credit Card"/>
    <x v="1"/>
  </r>
  <r>
    <n v="2439"/>
    <x v="45"/>
    <s v="Male"/>
    <x v="2"/>
    <x v="0"/>
    <n v="20"/>
    <s v="Delaware"/>
    <x v="1"/>
    <x v="17"/>
    <x v="0"/>
    <n v="3.4"/>
    <x v="1"/>
    <s v="Express"/>
    <s v="No"/>
    <s v="No"/>
    <n v="30"/>
    <s v="Venmo"/>
    <x v="1"/>
  </r>
  <r>
    <n v="2440"/>
    <x v="0"/>
    <s v="Male"/>
    <x v="8"/>
    <x v="3"/>
    <n v="44"/>
    <s v="Arkansas"/>
    <x v="2"/>
    <x v="1"/>
    <x v="2"/>
    <n v="2.8"/>
    <x v="1"/>
    <s v="Standard"/>
    <s v="No"/>
    <s v="No"/>
    <n v="45"/>
    <s v="Bank Transfer"/>
    <x v="2"/>
  </r>
  <r>
    <n v="2441"/>
    <x v="18"/>
    <s v="Male"/>
    <x v="20"/>
    <x v="0"/>
    <n v="90"/>
    <s v="Indiana"/>
    <x v="2"/>
    <x v="16"/>
    <x v="1"/>
    <n v="4.7"/>
    <x v="1"/>
    <s v="Standard"/>
    <s v="No"/>
    <s v="No"/>
    <n v="47"/>
    <s v="Bank Transfer"/>
    <x v="2"/>
  </r>
  <r>
    <n v="2442"/>
    <x v="4"/>
    <s v="Male"/>
    <x v="16"/>
    <x v="3"/>
    <n v="36"/>
    <s v="California"/>
    <x v="2"/>
    <x v="13"/>
    <x v="3"/>
    <n v="4.7"/>
    <x v="1"/>
    <s v="Free Shipping"/>
    <s v="No"/>
    <s v="No"/>
    <n v="5"/>
    <s v="Credit Card"/>
    <x v="5"/>
  </r>
  <r>
    <n v="2443"/>
    <x v="10"/>
    <s v="Male"/>
    <x v="0"/>
    <x v="0"/>
    <n v="95"/>
    <s v="Wyoming"/>
    <x v="0"/>
    <x v="10"/>
    <x v="0"/>
    <n v="4.7"/>
    <x v="1"/>
    <s v="Free Shipping"/>
    <s v="No"/>
    <s v="No"/>
    <n v="50"/>
    <s v="Debit Card"/>
    <x v="4"/>
  </r>
  <r>
    <n v="2444"/>
    <x v="41"/>
    <s v="Male"/>
    <x v="21"/>
    <x v="3"/>
    <n v="30"/>
    <s v="South Dakota"/>
    <x v="2"/>
    <x v="14"/>
    <x v="1"/>
    <n v="3.4"/>
    <x v="1"/>
    <s v="2-Day Shipping"/>
    <s v="No"/>
    <s v="No"/>
    <n v="24"/>
    <s v="Bank Transfer"/>
    <x v="4"/>
  </r>
  <r>
    <n v="2445"/>
    <x v="36"/>
    <s v="Male"/>
    <x v="18"/>
    <x v="3"/>
    <n v="65"/>
    <s v="West Virginia"/>
    <x v="1"/>
    <x v="9"/>
    <x v="3"/>
    <n v="3.7"/>
    <x v="1"/>
    <s v="Express"/>
    <s v="No"/>
    <s v="No"/>
    <n v="15"/>
    <s v="Debit Card"/>
    <x v="4"/>
  </r>
  <r>
    <n v="2446"/>
    <x v="6"/>
    <s v="Male"/>
    <x v="18"/>
    <x v="3"/>
    <n v="96"/>
    <s v="Tennessee"/>
    <x v="2"/>
    <x v="18"/>
    <x v="2"/>
    <n v="4.0999999999999996"/>
    <x v="1"/>
    <s v="Store Pickup"/>
    <s v="No"/>
    <s v="No"/>
    <n v="50"/>
    <s v="Cash"/>
    <x v="1"/>
  </r>
  <r>
    <n v="2447"/>
    <x v="21"/>
    <s v="Male"/>
    <x v="5"/>
    <x v="0"/>
    <n v="65"/>
    <s v="Alaska"/>
    <x v="0"/>
    <x v="15"/>
    <x v="1"/>
    <n v="2.9"/>
    <x v="1"/>
    <s v="2-Day Shipping"/>
    <s v="No"/>
    <s v="No"/>
    <n v="7"/>
    <s v="Credit Card"/>
    <x v="5"/>
  </r>
  <r>
    <n v="2448"/>
    <x v="35"/>
    <s v="Male"/>
    <x v="13"/>
    <x v="0"/>
    <n v="47"/>
    <s v="South Dakota"/>
    <x v="0"/>
    <x v="15"/>
    <x v="3"/>
    <n v="3.2"/>
    <x v="1"/>
    <s v="Store Pickup"/>
    <s v="No"/>
    <s v="No"/>
    <n v="10"/>
    <s v="Venmo"/>
    <x v="0"/>
  </r>
  <r>
    <n v="2449"/>
    <x v="22"/>
    <s v="Male"/>
    <x v="19"/>
    <x v="3"/>
    <n v="25"/>
    <s v="Tennessee"/>
    <x v="1"/>
    <x v="10"/>
    <x v="3"/>
    <n v="3"/>
    <x v="1"/>
    <s v="Free Shipping"/>
    <s v="No"/>
    <s v="No"/>
    <n v="38"/>
    <s v="PayPal"/>
    <x v="4"/>
  </r>
  <r>
    <n v="2450"/>
    <x v="8"/>
    <s v="Male"/>
    <x v="7"/>
    <x v="2"/>
    <n v="56"/>
    <s v="Alabama"/>
    <x v="1"/>
    <x v="10"/>
    <x v="3"/>
    <n v="4.0999999999999996"/>
    <x v="1"/>
    <s v="Express"/>
    <s v="No"/>
    <s v="No"/>
    <n v="31"/>
    <s v="Venmo"/>
    <x v="0"/>
  </r>
  <r>
    <n v="2451"/>
    <x v="33"/>
    <s v="Male"/>
    <x v="17"/>
    <x v="0"/>
    <n v="76"/>
    <s v="North Carolina"/>
    <x v="2"/>
    <x v="23"/>
    <x v="3"/>
    <n v="4.5"/>
    <x v="1"/>
    <s v="Standard"/>
    <s v="No"/>
    <s v="No"/>
    <n v="7"/>
    <s v="Venmo"/>
    <x v="3"/>
  </r>
  <r>
    <n v="2452"/>
    <x v="38"/>
    <s v="Male"/>
    <x v="20"/>
    <x v="0"/>
    <n v="60"/>
    <s v="Oklahoma"/>
    <x v="2"/>
    <x v="7"/>
    <x v="3"/>
    <n v="3.4"/>
    <x v="1"/>
    <s v="Store Pickup"/>
    <s v="No"/>
    <s v="No"/>
    <n v="27"/>
    <s v="Venmo"/>
    <x v="5"/>
  </r>
  <r>
    <n v="2453"/>
    <x v="33"/>
    <s v="Male"/>
    <x v="5"/>
    <x v="0"/>
    <n v="67"/>
    <s v="New York"/>
    <x v="0"/>
    <x v="7"/>
    <x v="0"/>
    <n v="4.0999999999999996"/>
    <x v="1"/>
    <s v="Express"/>
    <s v="No"/>
    <s v="No"/>
    <n v="45"/>
    <s v="Bank Transfer"/>
    <x v="6"/>
  </r>
  <r>
    <n v="2454"/>
    <x v="3"/>
    <s v="Male"/>
    <x v="1"/>
    <x v="0"/>
    <n v="95"/>
    <s v="Iowa"/>
    <x v="3"/>
    <x v="17"/>
    <x v="1"/>
    <n v="4.5999999999999996"/>
    <x v="1"/>
    <s v="Store Pickup"/>
    <s v="No"/>
    <s v="No"/>
    <n v="13"/>
    <s v="Cash"/>
    <x v="2"/>
  </r>
  <r>
    <n v="2455"/>
    <x v="45"/>
    <s v="Male"/>
    <x v="24"/>
    <x v="3"/>
    <n v="72"/>
    <s v="Alaska"/>
    <x v="2"/>
    <x v="23"/>
    <x v="0"/>
    <n v="4.5999999999999996"/>
    <x v="1"/>
    <s v="Express"/>
    <s v="No"/>
    <s v="No"/>
    <n v="33"/>
    <s v="Venmo"/>
    <x v="2"/>
  </r>
  <r>
    <n v="2456"/>
    <x v="30"/>
    <s v="Male"/>
    <x v="22"/>
    <x v="3"/>
    <n v="98"/>
    <s v="Alaska"/>
    <x v="0"/>
    <x v="12"/>
    <x v="1"/>
    <n v="3.4"/>
    <x v="1"/>
    <s v="Express"/>
    <s v="No"/>
    <s v="No"/>
    <n v="25"/>
    <s v="Cash"/>
    <x v="6"/>
  </r>
  <r>
    <n v="2457"/>
    <x v="35"/>
    <s v="Male"/>
    <x v="2"/>
    <x v="0"/>
    <n v="83"/>
    <s v="Nebraska"/>
    <x v="2"/>
    <x v="14"/>
    <x v="0"/>
    <n v="3.3"/>
    <x v="1"/>
    <s v="2-Day Shipping"/>
    <s v="No"/>
    <s v="No"/>
    <n v="5"/>
    <s v="PayPal"/>
    <x v="5"/>
  </r>
  <r>
    <n v="2458"/>
    <x v="10"/>
    <s v="Male"/>
    <x v="8"/>
    <x v="3"/>
    <n v="37"/>
    <s v="Delaware"/>
    <x v="2"/>
    <x v="1"/>
    <x v="3"/>
    <n v="3.6"/>
    <x v="1"/>
    <s v="2-Day Shipping"/>
    <s v="No"/>
    <s v="No"/>
    <n v="23"/>
    <s v="Cash"/>
    <x v="3"/>
  </r>
  <r>
    <n v="2459"/>
    <x v="17"/>
    <s v="Male"/>
    <x v="17"/>
    <x v="0"/>
    <n v="85"/>
    <s v="Texas"/>
    <x v="0"/>
    <x v="2"/>
    <x v="3"/>
    <n v="4.5999999999999996"/>
    <x v="1"/>
    <s v="Free Shipping"/>
    <s v="No"/>
    <s v="No"/>
    <n v="17"/>
    <s v="Bank Transfer"/>
    <x v="1"/>
  </r>
  <r>
    <n v="2460"/>
    <x v="36"/>
    <s v="Male"/>
    <x v="20"/>
    <x v="0"/>
    <n v="36"/>
    <s v="Missouri"/>
    <x v="0"/>
    <x v="10"/>
    <x v="3"/>
    <n v="4.3"/>
    <x v="1"/>
    <s v="2-Day Shipping"/>
    <s v="No"/>
    <s v="No"/>
    <n v="14"/>
    <s v="Cash"/>
    <x v="1"/>
  </r>
  <r>
    <n v="2461"/>
    <x v="44"/>
    <s v="Male"/>
    <x v="2"/>
    <x v="0"/>
    <n v="36"/>
    <s v="Maine"/>
    <x v="1"/>
    <x v="12"/>
    <x v="0"/>
    <n v="4"/>
    <x v="1"/>
    <s v="Store Pickup"/>
    <s v="No"/>
    <s v="No"/>
    <n v="28"/>
    <s v="Credit Card"/>
    <x v="2"/>
  </r>
  <r>
    <n v="2462"/>
    <x v="48"/>
    <s v="Male"/>
    <x v="18"/>
    <x v="3"/>
    <n v="86"/>
    <s v="Pennsylvania"/>
    <x v="0"/>
    <x v="16"/>
    <x v="2"/>
    <n v="4.8"/>
    <x v="1"/>
    <s v="Next Day Air"/>
    <s v="No"/>
    <s v="No"/>
    <n v="19"/>
    <s v="Credit Card"/>
    <x v="1"/>
  </r>
  <r>
    <n v="2463"/>
    <x v="33"/>
    <s v="Male"/>
    <x v="13"/>
    <x v="0"/>
    <n v="99"/>
    <s v="Missouri"/>
    <x v="3"/>
    <x v="20"/>
    <x v="1"/>
    <n v="4.3"/>
    <x v="1"/>
    <s v="Standard"/>
    <s v="No"/>
    <s v="No"/>
    <n v="31"/>
    <s v="Bank Transfer"/>
    <x v="4"/>
  </r>
  <r>
    <n v="2464"/>
    <x v="52"/>
    <s v="Male"/>
    <x v="0"/>
    <x v="0"/>
    <n v="21"/>
    <s v="Mississippi"/>
    <x v="3"/>
    <x v="21"/>
    <x v="2"/>
    <n v="3.3"/>
    <x v="1"/>
    <s v="Standard"/>
    <s v="No"/>
    <s v="No"/>
    <n v="25"/>
    <s v="Cash"/>
    <x v="4"/>
  </r>
  <r>
    <n v="2465"/>
    <x v="36"/>
    <s v="Male"/>
    <x v="14"/>
    <x v="2"/>
    <n v="84"/>
    <s v="Hawaii"/>
    <x v="0"/>
    <x v="11"/>
    <x v="0"/>
    <n v="2.8"/>
    <x v="1"/>
    <s v="Express"/>
    <s v="No"/>
    <s v="No"/>
    <n v="4"/>
    <s v="Cash"/>
    <x v="4"/>
  </r>
  <r>
    <n v="2466"/>
    <x v="20"/>
    <s v="Male"/>
    <x v="3"/>
    <x v="1"/>
    <n v="63"/>
    <s v="Texas"/>
    <x v="2"/>
    <x v="18"/>
    <x v="1"/>
    <n v="4.4000000000000004"/>
    <x v="1"/>
    <s v="Free Shipping"/>
    <s v="No"/>
    <s v="No"/>
    <n v="20"/>
    <s v="Bank Transfer"/>
    <x v="1"/>
  </r>
  <r>
    <n v="2467"/>
    <x v="45"/>
    <s v="Male"/>
    <x v="6"/>
    <x v="0"/>
    <n v="84"/>
    <s v="South Dakota"/>
    <x v="1"/>
    <x v="6"/>
    <x v="2"/>
    <n v="3.7"/>
    <x v="1"/>
    <s v="Express"/>
    <s v="No"/>
    <s v="No"/>
    <n v="37"/>
    <s v="Cash"/>
    <x v="2"/>
  </r>
  <r>
    <n v="2468"/>
    <x v="7"/>
    <s v="Male"/>
    <x v="6"/>
    <x v="0"/>
    <n v="72"/>
    <s v="New Jersey"/>
    <x v="2"/>
    <x v="12"/>
    <x v="1"/>
    <n v="3.6"/>
    <x v="1"/>
    <s v="Express"/>
    <s v="No"/>
    <s v="No"/>
    <n v="28"/>
    <s v="Credit Card"/>
    <x v="2"/>
  </r>
  <r>
    <n v="2469"/>
    <x v="13"/>
    <s v="Male"/>
    <x v="11"/>
    <x v="0"/>
    <n v="21"/>
    <s v="Connecticut"/>
    <x v="0"/>
    <x v="17"/>
    <x v="0"/>
    <n v="3.7"/>
    <x v="1"/>
    <s v="2-Day Shipping"/>
    <s v="No"/>
    <s v="No"/>
    <n v="6"/>
    <s v="Venmo"/>
    <x v="1"/>
  </r>
  <r>
    <n v="2470"/>
    <x v="33"/>
    <s v="Male"/>
    <x v="3"/>
    <x v="1"/>
    <n v="92"/>
    <s v="Maryland"/>
    <x v="2"/>
    <x v="22"/>
    <x v="3"/>
    <n v="5"/>
    <x v="1"/>
    <s v="Standard"/>
    <s v="No"/>
    <s v="No"/>
    <n v="27"/>
    <s v="PayPal"/>
    <x v="2"/>
  </r>
  <r>
    <n v="2471"/>
    <x v="0"/>
    <s v="Male"/>
    <x v="0"/>
    <x v="0"/>
    <n v="72"/>
    <s v="Arizona"/>
    <x v="3"/>
    <x v="6"/>
    <x v="3"/>
    <n v="2.7"/>
    <x v="1"/>
    <s v="Next Day Air"/>
    <s v="No"/>
    <s v="No"/>
    <n v="29"/>
    <s v="Credit Card"/>
    <x v="0"/>
  </r>
  <r>
    <n v="2472"/>
    <x v="11"/>
    <s v="Male"/>
    <x v="3"/>
    <x v="1"/>
    <n v="83"/>
    <s v="Oklahoma"/>
    <x v="2"/>
    <x v="0"/>
    <x v="1"/>
    <n v="4.3"/>
    <x v="1"/>
    <s v="Store Pickup"/>
    <s v="No"/>
    <s v="No"/>
    <n v="1"/>
    <s v="Cash"/>
    <x v="2"/>
  </r>
  <r>
    <n v="2473"/>
    <x v="41"/>
    <s v="Male"/>
    <x v="5"/>
    <x v="0"/>
    <n v="73"/>
    <s v="Utah"/>
    <x v="2"/>
    <x v="15"/>
    <x v="2"/>
    <n v="4.0999999999999996"/>
    <x v="1"/>
    <s v="Standard"/>
    <s v="No"/>
    <s v="No"/>
    <n v="31"/>
    <s v="Credit Card"/>
    <x v="2"/>
  </r>
  <r>
    <n v="2474"/>
    <x v="9"/>
    <s v="Male"/>
    <x v="20"/>
    <x v="0"/>
    <n v="98"/>
    <s v="Arkansas"/>
    <x v="2"/>
    <x v="16"/>
    <x v="0"/>
    <n v="2.6"/>
    <x v="1"/>
    <s v="Next Day Air"/>
    <s v="No"/>
    <s v="No"/>
    <n v="28"/>
    <s v="Cash"/>
    <x v="3"/>
  </r>
  <r>
    <n v="2475"/>
    <x v="51"/>
    <s v="Male"/>
    <x v="17"/>
    <x v="0"/>
    <n v="76"/>
    <s v="North Carolina"/>
    <x v="2"/>
    <x v="8"/>
    <x v="3"/>
    <n v="3.2"/>
    <x v="1"/>
    <s v="Store Pickup"/>
    <s v="No"/>
    <s v="No"/>
    <n v="19"/>
    <s v="Bank Transfer"/>
    <x v="3"/>
  </r>
  <r>
    <n v="2476"/>
    <x v="28"/>
    <s v="Male"/>
    <x v="10"/>
    <x v="0"/>
    <n v="43"/>
    <s v="California"/>
    <x v="1"/>
    <x v="12"/>
    <x v="2"/>
    <n v="3.5"/>
    <x v="1"/>
    <s v="Next Day Air"/>
    <s v="No"/>
    <s v="No"/>
    <n v="36"/>
    <s v="Venmo"/>
    <x v="5"/>
  </r>
  <r>
    <n v="2477"/>
    <x v="52"/>
    <s v="Male"/>
    <x v="19"/>
    <x v="3"/>
    <n v="60"/>
    <s v="Colorado"/>
    <x v="2"/>
    <x v="2"/>
    <x v="2"/>
    <n v="3.7"/>
    <x v="1"/>
    <s v="Next Day Air"/>
    <s v="No"/>
    <s v="No"/>
    <n v="28"/>
    <s v="Cash"/>
    <x v="5"/>
  </r>
  <r>
    <n v="2478"/>
    <x v="15"/>
    <s v="Male"/>
    <x v="24"/>
    <x v="3"/>
    <n v="40"/>
    <s v="California"/>
    <x v="0"/>
    <x v="2"/>
    <x v="1"/>
    <n v="3.8"/>
    <x v="1"/>
    <s v="2-Day Shipping"/>
    <s v="No"/>
    <s v="No"/>
    <n v="29"/>
    <s v="PayPal"/>
    <x v="1"/>
  </r>
  <r>
    <n v="2479"/>
    <x v="20"/>
    <s v="Male"/>
    <x v="20"/>
    <x v="0"/>
    <n v="93"/>
    <s v="Vermont"/>
    <x v="1"/>
    <x v="1"/>
    <x v="0"/>
    <n v="4.8"/>
    <x v="1"/>
    <s v="2-Day Shipping"/>
    <s v="No"/>
    <s v="No"/>
    <n v="9"/>
    <s v="Bank Transfer"/>
    <x v="6"/>
  </r>
  <r>
    <n v="2480"/>
    <x v="43"/>
    <s v="Male"/>
    <x v="10"/>
    <x v="0"/>
    <n v="98"/>
    <s v="Kansas"/>
    <x v="1"/>
    <x v="8"/>
    <x v="3"/>
    <n v="4.2"/>
    <x v="1"/>
    <s v="Standard"/>
    <s v="No"/>
    <s v="No"/>
    <n v="26"/>
    <s v="Credit Card"/>
    <x v="6"/>
  </r>
  <r>
    <n v="2481"/>
    <x v="12"/>
    <s v="Male"/>
    <x v="20"/>
    <x v="0"/>
    <n v="91"/>
    <s v="Ohio"/>
    <x v="3"/>
    <x v="1"/>
    <x v="2"/>
    <n v="2.9"/>
    <x v="1"/>
    <s v="Next Day Air"/>
    <s v="No"/>
    <s v="No"/>
    <n v="7"/>
    <s v="Credit Card"/>
    <x v="0"/>
  </r>
  <r>
    <n v="2482"/>
    <x v="38"/>
    <s v="Male"/>
    <x v="22"/>
    <x v="3"/>
    <n v="92"/>
    <s v="New Jersey"/>
    <x v="3"/>
    <x v="17"/>
    <x v="3"/>
    <n v="2.9"/>
    <x v="1"/>
    <s v="Free Shipping"/>
    <s v="No"/>
    <s v="No"/>
    <n v="35"/>
    <s v="Debit Card"/>
    <x v="1"/>
  </r>
  <r>
    <n v="2483"/>
    <x v="28"/>
    <s v="Male"/>
    <x v="8"/>
    <x v="3"/>
    <n v="87"/>
    <s v="Arizona"/>
    <x v="1"/>
    <x v="15"/>
    <x v="0"/>
    <n v="4.8"/>
    <x v="1"/>
    <s v="Next Day Air"/>
    <s v="No"/>
    <s v="No"/>
    <n v="46"/>
    <s v="Credit Card"/>
    <x v="6"/>
  </r>
  <r>
    <n v="2484"/>
    <x v="45"/>
    <s v="Male"/>
    <x v="11"/>
    <x v="0"/>
    <n v="96"/>
    <s v="Arizona"/>
    <x v="1"/>
    <x v="11"/>
    <x v="3"/>
    <n v="2.9"/>
    <x v="1"/>
    <s v="Standard"/>
    <s v="No"/>
    <s v="No"/>
    <n v="8"/>
    <s v="Debit Card"/>
    <x v="5"/>
  </r>
  <r>
    <n v="2485"/>
    <x v="52"/>
    <s v="Male"/>
    <x v="15"/>
    <x v="0"/>
    <n v="97"/>
    <s v="New Hampshire"/>
    <x v="2"/>
    <x v="14"/>
    <x v="2"/>
    <n v="4.8"/>
    <x v="1"/>
    <s v="2-Day Shipping"/>
    <s v="No"/>
    <s v="No"/>
    <n v="50"/>
    <s v="Cash"/>
    <x v="6"/>
  </r>
  <r>
    <n v="2486"/>
    <x v="49"/>
    <s v="Male"/>
    <x v="0"/>
    <x v="0"/>
    <n v="55"/>
    <s v="Louisiana"/>
    <x v="2"/>
    <x v="19"/>
    <x v="1"/>
    <n v="4.5999999999999996"/>
    <x v="1"/>
    <s v="2-Day Shipping"/>
    <s v="No"/>
    <s v="No"/>
    <n v="37"/>
    <s v="Bank Transfer"/>
    <x v="2"/>
  </r>
  <r>
    <n v="2487"/>
    <x v="12"/>
    <s v="Male"/>
    <x v="2"/>
    <x v="0"/>
    <n v="58"/>
    <s v="Texas"/>
    <x v="0"/>
    <x v="23"/>
    <x v="1"/>
    <n v="4.4000000000000004"/>
    <x v="1"/>
    <s v="Store Pickup"/>
    <s v="No"/>
    <s v="No"/>
    <n v="6"/>
    <s v="Credit Card"/>
    <x v="0"/>
  </r>
  <r>
    <n v="2488"/>
    <x v="9"/>
    <s v="Male"/>
    <x v="23"/>
    <x v="1"/>
    <n v="21"/>
    <s v="Montana"/>
    <x v="0"/>
    <x v="10"/>
    <x v="1"/>
    <n v="3"/>
    <x v="1"/>
    <s v="Next Day Air"/>
    <s v="No"/>
    <s v="No"/>
    <n v="16"/>
    <s v="PayPal"/>
    <x v="4"/>
  </r>
  <r>
    <n v="2489"/>
    <x v="19"/>
    <s v="Male"/>
    <x v="8"/>
    <x v="3"/>
    <n v="82"/>
    <s v="New Hampshire"/>
    <x v="3"/>
    <x v="4"/>
    <x v="2"/>
    <n v="4.4000000000000004"/>
    <x v="1"/>
    <s v="Express"/>
    <s v="No"/>
    <s v="No"/>
    <n v="30"/>
    <s v="PayPal"/>
    <x v="5"/>
  </r>
  <r>
    <n v="2490"/>
    <x v="17"/>
    <s v="Male"/>
    <x v="7"/>
    <x v="2"/>
    <n v="34"/>
    <s v="South Dakota"/>
    <x v="2"/>
    <x v="14"/>
    <x v="0"/>
    <n v="3.9"/>
    <x v="1"/>
    <s v="Express"/>
    <s v="No"/>
    <s v="No"/>
    <n v="50"/>
    <s v="Venmo"/>
    <x v="3"/>
  </r>
  <r>
    <n v="2491"/>
    <x v="16"/>
    <s v="Male"/>
    <x v="0"/>
    <x v="0"/>
    <n v="78"/>
    <s v="Montana"/>
    <x v="2"/>
    <x v="0"/>
    <x v="1"/>
    <n v="4"/>
    <x v="1"/>
    <s v="Free Shipping"/>
    <s v="No"/>
    <s v="No"/>
    <n v="5"/>
    <s v="Cash"/>
    <x v="6"/>
  </r>
  <r>
    <n v="2492"/>
    <x v="6"/>
    <s v="Male"/>
    <x v="8"/>
    <x v="3"/>
    <n v="47"/>
    <s v="North Carolina"/>
    <x v="2"/>
    <x v="23"/>
    <x v="1"/>
    <n v="2.5"/>
    <x v="1"/>
    <s v="Express"/>
    <s v="No"/>
    <s v="No"/>
    <n v="15"/>
    <s v="Bank Transfer"/>
    <x v="5"/>
  </r>
  <r>
    <n v="2493"/>
    <x v="2"/>
    <s v="Male"/>
    <x v="12"/>
    <x v="3"/>
    <n v="96"/>
    <s v="South Dakota"/>
    <x v="1"/>
    <x v="5"/>
    <x v="2"/>
    <n v="4.0999999999999996"/>
    <x v="1"/>
    <s v="Next Day Air"/>
    <s v="No"/>
    <s v="No"/>
    <n v="34"/>
    <s v="Bank Transfer"/>
    <x v="4"/>
  </r>
  <r>
    <n v="2494"/>
    <x v="3"/>
    <s v="Male"/>
    <x v="20"/>
    <x v="0"/>
    <n v="23"/>
    <s v="Maine"/>
    <x v="1"/>
    <x v="19"/>
    <x v="3"/>
    <n v="4.8"/>
    <x v="1"/>
    <s v="2-Day Shipping"/>
    <s v="No"/>
    <s v="No"/>
    <n v="6"/>
    <s v="Venmo"/>
    <x v="6"/>
  </r>
  <r>
    <n v="2495"/>
    <x v="32"/>
    <s v="Male"/>
    <x v="9"/>
    <x v="1"/>
    <n v="27"/>
    <s v="Oklahoma"/>
    <x v="1"/>
    <x v="15"/>
    <x v="0"/>
    <n v="2.6"/>
    <x v="1"/>
    <s v="Store Pickup"/>
    <s v="No"/>
    <s v="No"/>
    <n v="26"/>
    <s v="Debit Card"/>
    <x v="2"/>
  </r>
  <r>
    <n v="2496"/>
    <x v="37"/>
    <s v="Male"/>
    <x v="21"/>
    <x v="3"/>
    <n v="37"/>
    <s v="Nebraska"/>
    <x v="3"/>
    <x v="20"/>
    <x v="1"/>
    <n v="3.1"/>
    <x v="1"/>
    <s v="Free Shipping"/>
    <s v="No"/>
    <s v="No"/>
    <n v="34"/>
    <s v="Credit Card"/>
    <x v="6"/>
  </r>
  <r>
    <n v="2497"/>
    <x v="29"/>
    <s v="Male"/>
    <x v="18"/>
    <x v="3"/>
    <n v="79"/>
    <s v="Illinois"/>
    <x v="1"/>
    <x v="22"/>
    <x v="2"/>
    <n v="3.2"/>
    <x v="1"/>
    <s v="Store Pickup"/>
    <s v="No"/>
    <s v="No"/>
    <n v="37"/>
    <s v="Credit Card"/>
    <x v="1"/>
  </r>
  <r>
    <n v="2498"/>
    <x v="25"/>
    <s v="Male"/>
    <x v="21"/>
    <x v="3"/>
    <n v="40"/>
    <s v="Colorado"/>
    <x v="2"/>
    <x v="10"/>
    <x v="2"/>
    <n v="4.2"/>
    <x v="1"/>
    <s v="Standard"/>
    <s v="No"/>
    <s v="No"/>
    <n v="28"/>
    <s v="Bank Transfer"/>
    <x v="2"/>
  </r>
  <r>
    <n v="2499"/>
    <x v="20"/>
    <s v="Male"/>
    <x v="7"/>
    <x v="2"/>
    <n v="39"/>
    <s v="Massachusetts"/>
    <x v="1"/>
    <x v="14"/>
    <x v="3"/>
    <n v="2.6"/>
    <x v="1"/>
    <s v="Next Day Air"/>
    <s v="No"/>
    <s v="No"/>
    <n v="38"/>
    <s v="Cash"/>
    <x v="0"/>
  </r>
  <r>
    <n v="2500"/>
    <x v="16"/>
    <s v="Male"/>
    <x v="15"/>
    <x v="0"/>
    <n v="73"/>
    <s v="Louisiana"/>
    <x v="0"/>
    <x v="6"/>
    <x v="2"/>
    <n v="3.1"/>
    <x v="1"/>
    <s v="Next Day Air"/>
    <s v="No"/>
    <s v="No"/>
    <n v="2"/>
    <s v="Cash"/>
    <x v="3"/>
  </r>
  <r>
    <n v="2501"/>
    <x v="35"/>
    <s v="Male"/>
    <x v="24"/>
    <x v="3"/>
    <n v="84"/>
    <s v="Massachusetts"/>
    <x v="2"/>
    <x v="10"/>
    <x v="3"/>
    <n v="2.9"/>
    <x v="1"/>
    <s v="Store Pickup"/>
    <s v="No"/>
    <s v="No"/>
    <n v="32"/>
    <s v="Cash"/>
    <x v="4"/>
  </r>
  <r>
    <n v="2502"/>
    <x v="34"/>
    <s v="Male"/>
    <x v="6"/>
    <x v="0"/>
    <n v="94"/>
    <s v="West Virginia"/>
    <x v="2"/>
    <x v="10"/>
    <x v="3"/>
    <n v="4.5999999999999996"/>
    <x v="1"/>
    <s v="Free Shipping"/>
    <s v="No"/>
    <s v="No"/>
    <n v="30"/>
    <s v="Venmo"/>
    <x v="4"/>
  </r>
  <r>
    <n v="2503"/>
    <x v="5"/>
    <s v="Male"/>
    <x v="11"/>
    <x v="0"/>
    <n v="47"/>
    <s v="Idaho"/>
    <x v="0"/>
    <x v="6"/>
    <x v="1"/>
    <n v="4.0999999999999996"/>
    <x v="1"/>
    <s v="Standard"/>
    <s v="No"/>
    <s v="No"/>
    <n v="17"/>
    <s v="PayPal"/>
    <x v="6"/>
  </r>
  <r>
    <n v="2504"/>
    <x v="28"/>
    <s v="Male"/>
    <x v="23"/>
    <x v="1"/>
    <n v="77"/>
    <s v="Ohio"/>
    <x v="2"/>
    <x v="10"/>
    <x v="2"/>
    <n v="2.5"/>
    <x v="1"/>
    <s v="Store Pickup"/>
    <s v="No"/>
    <s v="No"/>
    <n v="5"/>
    <s v="Debit Card"/>
    <x v="4"/>
  </r>
  <r>
    <n v="2505"/>
    <x v="19"/>
    <s v="Male"/>
    <x v="6"/>
    <x v="0"/>
    <n v="94"/>
    <s v="Rhode Island"/>
    <x v="2"/>
    <x v="2"/>
    <x v="0"/>
    <n v="4"/>
    <x v="1"/>
    <s v="Store Pickup"/>
    <s v="No"/>
    <s v="No"/>
    <n v="31"/>
    <s v="Cash"/>
    <x v="4"/>
  </r>
  <r>
    <n v="2506"/>
    <x v="7"/>
    <s v="Male"/>
    <x v="8"/>
    <x v="3"/>
    <n v="75"/>
    <s v="Illinois"/>
    <x v="2"/>
    <x v="17"/>
    <x v="2"/>
    <n v="3.5"/>
    <x v="1"/>
    <s v="Express"/>
    <s v="No"/>
    <s v="No"/>
    <n v="43"/>
    <s v="PayPal"/>
    <x v="3"/>
  </r>
  <r>
    <n v="2507"/>
    <x v="9"/>
    <s v="Male"/>
    <x v="10"/>
    <x v="0"/>
    <n v="82"/>
    <s v="New York"/>
    <x v="3"/>
    <x v="20"/>
    <x v="1"/>
    <n v="4.4000000000000004"/>
    <x v="1"/>
    <s v="Free Shipping"/>
    <s v="No"/>
    <s v="No"/>
    <n v="19"/>
    <s v="Venmo"/>
    <x v="2"/>
  </r>
  <r>
    <n v="2508"/>
    <x v="44"/>
    <s v="Male"/>
    <x v="9"/>
    <x v="1"/>
    <n v="36"/>
    <s v="Louisiana"/>
    <x v="2"/>
    <x v="17"/>
    <x v="3"/>
    <n v="2.9"/>
    <x v="1"/>
    <s v="Store Pickup"/>
    <s v="No"/>
    <s v="No"/>
    <n v="32"/>
    <s v="Credit Card"/>
    <x v="6"/>
  </r>
  <r>
    <n v="2509"/>
    <x v="51"/>
    <s v="Male"/>
    <x v="4"/>
    <x v="1"/>
    <n v="90"/>
    <s v="California"/>
    <x v="3"/>
    <x v="21"/>
    <x v="1"/>
    <n v="3.1"/>
    <x v="1"/>
    <s v="2-Day Shipping"/>
    <s v="No"/>
    <s v="No"/>
    <n v="5"/>
    <s v="Debit Card"/>
    <x v="4"/>
  </r>
  <r>
    <n v="2510"/>
    <x v="1"/>
    <s v="Male"/>
    <x v="20"/>
    <x v="0"/>
    <n v="48"/>
    <s v="Washington"/>
    <x v="2"/>
    <x v="13"/>
    <x v="1"/>
    <n v="4.4000000000000004"/>
    <x v="1"/>
    <s v="Free Shipping"/>
    <s v="No"/>
    <s v="No"/>
    <n v="9"/>
    <s v="Bank Transfer"/>
    <x v="3"/>
  </r>
  <r>
    <n v="2511"/>
    <x v="37"/>
    <s v="Male"/>
    <x v="14"/>
    <x v="2"/>
    <n v="42"/>
    <s v="South Dakota"/>
    <x v="0"/>
    <x v="7"/>
    <x v="0"/>
    <n v="4.4000000000000004"/>
    <x v="1"/>
    <s v="Standard"/>
    <s v="No"/>
    <s v="No"/>
    <n v="48"/>
    <s v="Credit Card"/>
    <x v="1"/>
  </r>
  <r>
    <n v="2512"/>
    <x v="22"/>
    <s v="Male"/>
    <x v="21"/>
    <x v="3"/>
    <n v="33"/>
    <s v="Idaho"/>
    <x v="2"/>
    <x v="17"/>
    <x v="2"/>
    <n v="2.7"/>
    <x v="1"/>
    <s v="Store Pickup"/>
    <s v="No"/>
    <s v="No"/>
    <n v="1"/>
    <s v="PayPal"/>
    <x v="3"/>
  </r>
  <r>
    <n v="2513"/>
    <x v="2"/>
    <s v="Male"/>
    <x v="20"/>
    <x v="0"/>
    <n v="63"/>
    <s v="North Dakota"/>
    <x v="2"/>
    <x v="14"/>
    <x v="2"/>
    <n v="4.9000000000000004"/>
    <x v="1"/>
    <s v="Free Shipping"/>
    <s v="No"/>
    <s v="No"/>
    <n v="20"/>
    <s v="Credit Card"/>
    <x v="5"/>
  </r>
  <r>
    <n v="2514"/>
    <x v="28"/>
    <s v="Male"/>
    <x v="8"/>
    <x v="3"/>
    <n v="53"/>
    <s v="Washington"/>
    <x v="0"/>
    <x v="11"/>
    <x v="0"/>
    <n v="3.5"/>
    <x v="1"/>
    <s v="2-Day Shipping"/>
    <s v="No"/>
    <s v="No"/>
    <n v="42"/>
    <s v="Cash"/>
    <x v="2"/>
  </r>
  <r>
    <n v="2515"/>
    <x v="32"/>
    <s v="Male"/>
    <x v="19"/>
    <x v="3"/>
    <n v="37"/>
    <s v="Alaska"/>
    <x v="0"/>
    <x v="11"/>
    <x v="1"/>
    <n v="4.8"/>
    <x v="1"/>
    <s v="Free Shipping"/>
    <s v="No"/>
    <s v="No"/>
    <n v="45"/>
    <s v="PayPal"/>
    <x v="4"/>
  </r>
  <r>
    <n v="2516"/>
    <x v="43"/>
    <s v="Male"/>
    <x v="0"/>
    <x v="0"/>
    <n v="92"/>
    <s v="Kansas"/>
    <x v="2"/>
    <x v="23"/>
    <x v="2"/>
    <n v="4.2"/>
    <x v="1"/>
    <s v="2-Day Shipping"/>
    <s v="No"/>
    <s v="No"/>
    <n v="41"/>
    <s v="Cash"/>
    <x v="5"/>
  </r>
  <r>
    <n v="2517"/>
    <x v="5"/>
    <s v="Male"/>
    <x v="6"/>
    <x v="0"/>
    <n v="73"/>
    <s v="Utah"/>
    <x v="3"/>
    <x v="18"/>
    <x v="1"/>
    <n v="4.5999999999999996"/>
    <x v="1"/>
    <s v="Standard"/>
    <s v="No"/>
    <s v="No"/>
    <n v="36"/>
    <s v="Debit Card"/>
    <x v="3"/>
  </r>
  <r>
    <n v="2518"/>
    <x v="14"/>
    <s v="Male"/>
    <x v="5"/>
    <x v="0"/>
    <n v="38"/>
    <s v="Wyoming"/>
    <x v="0"/>
    <x v="20"/>
    <x v="1"/>
    <n v="2.9"/>
    <x v="1"/>
    <s v="Standard"/>
    <s v="No"/>
    <s v="No"/>
    <n v="10"/>
    <s v="Venmo"/>
    <x v="2"/>
  </r>
  <r>
    <n v="2519"/>
    <x v="30"/>
    <s v="Male"/>
    <x v="23"/>
    <x v="1"/>
    <n v="51"/>
    <s v="Maine"/>
    <x v="3"/>
    <x v="24"/>
    <x v="3"/>
    <n v="4"/>
    <x v="1"/>
    <s v="Store Pickup"/>
    <s v="No"/>
    <s v="No"/>
    <n v="31"/>
    <s v="Venmo"/>
    <x v="2"/>
  </r>
  <r>
    <n v="2520"/>
    <x v="37"/>
    <s v="Male"/>
    <x v="14"/>
    <x v="2"/>
    <n v="90"/>
    <s v="Michigan"/>
    <x v="0"/>
    <x v="23"/>
    <x v="1"/>
    <n v="4.9000000000000004"/>
    <x v="1"/>
    <s v="Standard"/>
    <s v="No"/>
    <s v="No"/>
    <n v="21"/>
    <s v="Credit Card"/>
    <x v="3"/>
  </r>
  <r>
    <n v="2521"/>
    <x v="14"/>
    <s v="Male"/>
    <x v="14"/>
    <x v="2"/>
    <n v="56"/>
    <s v="Illinois"/>
    <x v="0"/>
    <x v="23"/>
    <x v="2"/>
    <n v="3.1"/>
    <x v="1"/>
    <s v="Next Day Air"/>
    <s v="No"/>
    <s v="No"/>
    <n v="16"/>
    <s v="Cash"/>
    <x v="6"/>
  </r>
  <r>
    <n v="2522"/>
    <x v="26"/>
    <s v="Male"/>
    <x v="8"/>
    <x v="3"/>
    <n v="33"/>
    <s v="Minnesota"/>
    <x v="2"/>
    <x v="23"/>
    <x v="3"/>
    <n v="4.4000000000000004"/>
    <x v="1"/>
    <s v="Standard"/>
    <s v="No"/>
    <s v="No"/>
    <n v="18"/>
    <s v="PayPal"/>
    <x v="6"/>
  </r>
  <r>
    <n v="2523"/>
    <x v="30"/>
    <s v="Male"/>
    <x v="22"/>
    <x v="3"/>
    <n v="53"/>
    <s v="Massachusetts"/>
    <x v="1"/>
    <x v="8"/>
    <x v="0"/>
    <n v="2.5"/>
    <x v="1"/>
    <s v="2-Day Shipping"/>
    <s v="No"/>
    <s v="No"/>
    <n v="20"/>
    <s v="Debit Card"/>
    <x v="1"/>
  </r>
  <r>
    <n v="2524"/>
    <x v="49"/>
    <s v="Male"/>
    <x v="8"/>
    <x v="3"/>
    <n v="24"/>
    <s v="New Jersey"/>
    <x v="1"/>
    <x v="17"/>
    <x v="1"/>
    <n v="3.4"/>
    <x v="1"/>
    <s v="Express"/>
    <s v="No"/>
    <s v="No"/>
    <n v="21"/>
    <s v="Bank Transfer"/>
    <x v="2"/>
  </r>
  <r>
    <n v="2525"/>
    <x v="52"/>
    <s v="Male"/>
    <x v="7"/>
    <x v="2"/>
    <n v="59"/>
    <s v="Kansas"/>
    <x v="2"/>
    <x v="7"/>
    <x v="1"/>
    <n v="3.7"/>
    <x v="1"/>
    <s v="Express"/>
    <s v="No"/>
    <s v="No"/>
    <n v="23"/>
    <s v="Credit Card"/>
    <x v="3"/>
  </r>
  <r>
    <n v="2526"/>
    <x v="31"/>
    <s v="Male"/>
    <x v="1"/>
    <x v="0"/>
    <n v="72"/>
    <s v="Kentucky"/>
    <x v="2"/>
    <x v="7"/>
    <x v="0"/>
    <n v="4.2"/>
    <x v="1"/>
    <s v="Standard"/>
    <s v="No"/>
    <s v="No"/>
    <n v="20"/>
    <s v="PayPal"/>
    <x v="1"/>
  </r>
  <r>
    <n v="2527"/>
    <x v="36"/>
    <s v="Male"/>
    <x v="6"/>
    <x v="0"/>
    <n v="28"/>
    <s v="Rhode Island"/>
    <x v="1"/>
    <x v="15"/>
    <x v="1"/>
    <n v="3.4"/>
    <x v="1"/>
    <s v="Express"/>
    <s v="No"/>
    <s v="No"/>
    <n v="30"/>
    <s v="PayPal"/>
    <x v="4"/>
  </r>
  <r>
    <n v="2528"/>
    <x v="1"/>
    <s v="Male"/>
    <x v="13"/>
    <x v="0"/>
    <n v="36"/>
    <s v="Illinois"/>
    <x v="2"/>
    <x v="9"/>
    <x v="3"/>
    <n v="3.6"/>
    <x v="1"/>
    <s v="Express"/>
    <s v="No"/>
    <s v="No"/>
    <n v="33"/>
    <s v="Bank Transfer"/>
    <x v="6"/>
  </r>
  <r>
    <n v="2529"/>
    <x v="16"/>
    <s v="Male"/>
    <x v="16"/>
    <x v="3"/>
    <n v="47"/>
    <s v="Alabama"/>
    <x v="1"/>
    <x v="15"/>
    <x v="3"/>
    <n v="4.7"/>
    <x v="1"/>
    <s v="2-Day Shipping"/>
    <s v="No"/>
    <s v="No"/>
    <n v="31"/>
    <s v="Debit Card"/>
    <x v="5"/>
  </r>
  <r>
    <n v="2530"/>
    <x v="50"/>
    <s v="Male"/>
    <x v="24"/>
    <x v="3"/>
    <n v="62"/>
    <s v="Tennessee"/>
    <x v="2"/>
    <x v="23"/>
    <x v="1"/>
    <n v="4.7"/>
    <x v="1"/>
    <s v="Next Day Air"/>
    <s v="No"/>
    <s v="No"/>
    <n v="48"/>
    <s v="Bank Transfer"/>
    <x v="5"/>
  </r>
  <r>
    <n v="2531"/>
    <x v="15"/>
    <s v="Male"/>
    <x v="11"/>
    <x v="0"/>
    <n v="98"/>
    <s v="Massachusetts"/>
    <x v="1"/>
    <x v="17"/>
    <x v="1"/>
    <n v="3.6"/>
    <x v="1"/>
    <s v="Free Shipping"/>
    <s v="No"/>
    <s v="No"/>
    <n v="28"/>
    <s v="Debit Card"/>
    <x v="1"/>
  </r>
  <r>
    <n v="2532"/>
    <x v="49"/>
    <s v="Male"/>
    <x v="3"/>
    <x v="1"/>
    <n v="28"/>
    <s v="Texas"/>
    <x v="2"/>
    <x v="10"/>
    <x v="2"/>
    <n v="4.5999999999999996"/>
    <x v="1"/>
    <s v="Free Shipping"/>
    <s v="No"/>
    <s v="No"/>
    <n v="7"/>
    <s v="Cash"/>
    <x v="6"/>
  </r>
  <r>
    <n v="2533"/>
    <x v="0"/>
    <s v="Male"/>
    <x v="20"/>
    <x v="0"/>
    <n v="86"/>
    <s v="Nebraska"/>
    <x v="1"/>
    <x v="4"/>
    <x v="2"/>
    <n v="2.6"/>
    <x v="1"/>
    <s v="Next Day Air"/>
    <s v="No"/>
    <s v="No"/>
    <n v="4"/>
    <s v="Debit Card"/>
    <x v="1"/>
  </r>
  <r>
    <n v="2534"/>
    <x v="17"/>
    <s v="Male"/>
    <x v="16"/>
    <x v="3"/>
    <n v="46"/>
    <s v="Pennsylvania"/>
    <x v="1"/>
    <x v="24"/>
    <x v="2"/>
    <n v="3.1"/>
    <x v="1"/>
    <s v="Standard"/>
    <s v="No"/>
    <s v="No"/>
    <n v="49"/>
    <s v="Cash"/>
    <x v="4"/>
  </r>
  <r>
    <n v="2535"/>
    <x v="38"/>
    <s v="Male"/>
    <x v="12"/>
    <x v="3"/>
    <n v="42"/>
    <s v="Virginia"/>
    <x v="3"/>
    <x v="16"/>
    <x v="3"/>
    <n v="3.2"/>
    <x v="1"/>
    <s v="Free Shipping"/>
    <s v="No"/>
    <s v="No"/>
    <n v="22"/>
    <s v="Cash"/>
    <x v="1"/>
  </r>
  <r>
    <n v="2536"/>
    <x v="36"/>
    <s v="Male"/>
    <x v="7"/>
    <x v="2"/>
    <n v="80"/>
    <s v="Vermont"/>
    <x v="1"/>
    <x v="7"/>
    <x v="0"/>
    <n v="3.9"/>
    <x v="1"/>
    <s v="Express"/>
    <s v="No"/>
    <s v="No"/>
    <n v="39"/>
    <s v="Bank Transfer"/>
    <x v="0"/>
  </r>
  <r>
    <n v="2537"/>
    <x v="47"/>
    <s v="Male"/>
    <x v="22"/>
    <x v="3"/>
    <n v="39"/>
    <s v="Oklahoma"/>
    <x v="0"/>
    <x v="0"/>
    <x v="1"/>
    <n v="4.9000000000000004"/>
    <x v="1"/>
    <s v="Express"/>
    <s v="No"/>
    <s v="No"/>
    <n v="45"/>
    <s v="PayPal"/>
    <x v="6"/>
  </r>
  <r>
    <n v="2538"/>
    <x v="42"/>
    <s v="Male"/>
    <x v="7"/>
    <x v="2"/>
    <n v="49"/>
    <s v="Maine"/>
    <x v="2"/>
    <x v="7"/>
    <x v="2"/>
    <n v="4.0999999999999996"/>
    <x v="1"/>
    <s v="2-Day Shipping"/>
    <s v="No"/>
    <s v="No"/>
    <n v="30"/>
    <s v="PayPal"/>
    <x v="0"/>
  </r>
  <r>
    <n v="2539"/>
    <x v="20"/>
    <s v="Male"/>
    <x v="18"/>
    <x v="3"/>
    <n v="32"/>
    <s v="New Jersey"/>
    <x v="2"/>
    <x v="5"/>
    <x v="2"/>
    <n v="4.2"/>
    <x v="1"/>
    <s v="Next Day Air"/>
    <s v="No"/>
    <s v="No"/>
    <n v="33"/>
    <s v="Credit Card"/>
    <x v="4"/>
  </r>
  <r>
    <n v="2540"/>
    <x v="23"/>
    <s v="Male"/>
    <x v="3"/>
    <x v="1"/>
    <n v="73"/>
    <s v="Massachusetts"/>
    <x v="2"/>
    <x v="7"/>
    <x v="3"/>
    <n v="4.0999999999999996"/>
    <x v="1"/>
    <s v="Next Day Air"/>
    <s v="No"/>
    <s v="No"/>
    <n v="24"/>
    <s v="Cash"/>
    <x v="4"/>
  </r>
  <r>
    <n v="2541"/>
    <x v="41"/>
    <s v="Male"/>
    <x v="22"/>
    <x v="3"/>
    <n v="42"/>
    <s v="New Jersey"/>
    <x v="2"/>
    <x v="4"/>
    <x v="2"/>
    <n v="3.9"/>
    <x v="1"/>
    <s v="Free Shipping"/>
    <s v="No"/>
    <s v="No"/>
    <n v="11"/>
    <s v="Debit Card"/>
    <x v="3"/>
  </r>
  <r>
    <n v="2542"/>
    <x v="23"/>
    <s v="Male"/>
    <x v="18"/>
    <x v="3"/>
    <n v="58"/>
    <s v="Washington"/>
    <x v="2"/>
    <x v="5"/>
    <x v="1"/>
    <n v="2.7"/>
    <x v="1"/>
    <s v="Next Day Air"/>
    <s v="No"/>
    <s v="No"/>
    <n v="13"/>
    <s v="Venmo"/>
    <x v="6"/>
  </r>
  <r>
    <n v="2543"/>
    <x v="12"/>
    <s v="Male"/>
    <x v="16"/>
    <x v="3"/>
    <n v="22"/>
    <s v="Arkansas"/>
    <x v="2"/>
    <x v="3"/>
    <x v="0"/>
    <n v="3.7"/>
    <x v="1"/>
    <s v="Express"/>
    <s v="No"/>
    <s v="No"/>
    <n v="27"/>
    <s v="PayPal"/>
    <x v="2"/>
  </r>
  <r>
    <n v="2544"/>
    <x v="7"/>
    <s v="Male"/>
    <x v="18"/>
    <x v="3"/>
    <n v="56"/>
    <s v="West Virginia"/>
    <x v="0"/>
    <x v="15"/>
    <x v="1"/>
    <n v="2.7"/>
    <x v="1"/>
    <s v="Next Day Air"/>
    <s v="No"/>
    <s v="No"/>
    <n v="30"/>
    <s v="PayPal"/>
    <x v="4"/>
  </r>
  <r>
    <n v="2545"/>
    <x v="5"/>
    <s v="Male"/>
    <x v="13"/>
    <x v="0"/>
    <n v="70"/>
    <s v="Delaware"/>
    <x v="2"/>
    <x v="16"/>
    <x v="1"/>
    <n v="2.5"/>
    <x v="1"/>
    <s v="Next Day Air"/>
    <s v="No"/>
    <s v="No"/>
    <n v="39"/>
    <s v="Venmo"/>
    <x v="3"/>
  </r>
  <r>
    <n v="2546"/>
    <x v="21"/>
    <s v="Male"/>
    <x v="9"/>
    <x v="1"/>
    <n v="50"/>
    <s v="Texas"/>
    <x v="0"/>
    <x v="8"/>
    <x v="1"/>
    <n v="3.9"/>
    <x v="1"/>
    <s v="Free Shipping"/>
    <s v="No"/>
    <s v="No"/>
    <n v="10"/>
    <s v="Debit Card"/>
    <x v="2"/>
  </r>
  <r>
    <n v="2547"/>
    <x v="6"/>
    <s v="Male"/>
    <x v="23"/>
    <x v="1"/>
    <n v="21"/>
    <s v="Texas"/>
    <x v="0"/>
    <x v="0"/>
    <x v="2"/>
    <n v="3"/>
    <x v="1"/>
    <s v="Express"/>
    <s v="No"/>
    <s v="No"/>
    <n v="4"/>
    <s v="Credit Card"/>
    <x v="3"/>
  </r>
  <r>
    <n v="2548"/>
    <x v="36"/>
    <s v="Male"/>
    <x v="14"/>
    <x v="2"/>
    <n v="97"/>
    <s v="Mississippi"/>
    <x v="2"/>
    <x v="19"/>
    <x v="2"/>
    <n v="3.2"/>
    <x v="1"/>
    <s v="2-Day Shipping"/>
    <s v="No"/>
    <s v="No"/>
    <n v="16"/>
    <s v="Cash"/>
    <x v="1"/>
  </r>
  <r>
    <n v="2549"/>
    <x v="32"/>
    <s v="Male"/>
    <x v="21"/>
    <x v="3"/>
    <n v="63"/>
    <s v="Texas"/>
    <x v="0"/>
    <x v="6"/>
    <x v="0"/>
    <n v="3.8"/>
    <x v="1"/>
    <s v="Standard"/>
    <s v="No"/>
    <s v="No"/>
    <n v="34"/>
    <s v="Credit Card"/>
    <x v="5"/>
  </r>
  <r>
    <n v="2550"/>
    <x v="38"/>
    <s v="Male"/>
    <x v="14"/>
    <x v="2"/>
    <n v="60"/>
    <s v="Virginia"/>
    <x v="2"/>
    <x v="16"/>
    <x v="3"/>
    <n v="2.7"/>
    <x v="1"/>
    <s v="Standard"/>
    <s v="No"/>
    <s v="No"/>
    <n v="11"/>
    <s v="Debit Card"/>
    <x v="6"/>
  </r>
  <r>
    <n v="2551"/>
    <x v="10"/>
    <s v="Male"/>
    <x v="23"/>
    <x v="1"/>
    <n v="52"/>
    <s v="New Hampshire"/>
    <x v="3"/>
    <x v="15"/>
    <x v="3"/>
    <n v="3"/>
    <x v="1"/>
    <s v="Store Pickup"/>
    <s v="No"/>
    <s v="No"/>
    <n v="30"/>
    <s v="Debit Card"/>
    <x v="0"/>
  </r>
  <r>
    <n v="2552"/>
    <x v="26"/>
    <s v="Male"/>
    <x v="9"/>
    <x v="1"/>
    <n v="32"/>
    <s v="Minnesota"/>
    <x v="2"/>
    <x v="1"/>
    <x v="0"/>
    <n v="4.0999999999999996"/>
    <x v="1"/>
    <s v="Next Day Air"/>
    <s v="No"/>
    <s v="No"/>
    <n v="40"/>
    <s v="Debit Card"/>
    <x v="2"/>
  </r>
  <r>
    <n v="2553"/>
    <x v="12"/>
    <s v="Male"/>
    <x v="22"/>
    <x v="3"/>
    <n v="48"/>
    <s v="Maryland"/>
    <x v="3"/>
    <x v="7"/>
    <x v="1"/>
    <n v="3.2"/>
    <x v="1"/>
    <s v="2-Day Shipping"/>
    <s v="No"/>
    <s v="No"/>
    <n v="13"/>
    <s v="Credit Card"/>
    <x v="2"/>
  </r>
  <r>
    <n v="2554"/>
    <x v="28"/>
    <s v="Male"/>
    <x v="16"/>
    <x v="3"/>
    <n v="25"/>
    <s v="Vermont"/>
    <x v="2"/>
    <x v="1"/>
    <x v="2"/>
    <n v="4.5"/>
    <x v="1"/>
    <s v="Store Pickup"/>
    <s v="No"/>
    <s v="No"/>
    <n v="28"/>
    <s v="Venmo"/>
    <x v="6"/>
  </r>
  <r>
    <n v="2555"/>
    <x v="47"/>
    <s v="Male"/>
    <x v="16"/>
    <x v="3"/>
    <n v="68"/>
    <s v="Kansas"/>
    <x v="2"/>
    <x v="0"/>
    <x v="2"/>
    <n v="4.3"/>
    <x v="1"/>
    <s v="Store Pickup"/>
    <s v="No"/>
    <s v="No"/>
    <n v="49"/>
    <s v="Debit Card"/>
    <x v="4"/>
  </r>
  <r>
    <n v="2556"/>
    <x v="41"/>
    <s v="Male"/>
    <x v="13"/>
    <x v="0"/>
    <n v="74"/>
    <s v="Idaho"/>
    <x v="2"/>
    <x v="0"/>
    <x v="3"/>
    <n v="3.5"/>
    <x v="1"/>
    <s v="Standard"/>
    <s v="No"/>
    <s v="No"/>
    <n v="23"/>
    <s v="Credit Card"/>
    <x v="1"/>
  </r>
  <r>
    <n v="2557"/>
    <x v="41"/>
    <s v="Male"/>
    <x v="17"/>
    <x v="0"/>
    <n v="88"/>
    <s v="Montana"/>
    <x v="3"/>
    <x v="23"/>
    <x v="3"/>
    <n v="3.1"/>
    <x v="1"/>
    <s v="Standard"/>
    <s v="No"/>
    <s v="No"/>
    <n v="4"/>
    <s v="Bank Transfer"/>
    <x v="3"/>
  </r>
  <r>
    <n v="2558"/>
    <x v="27"/>
    <s v="Male"/>
    <x v="6"/>
    <x v="0"/>
    <n v="23"/>
    <s v="Oklahoma"/>
    <x v="0"/>
    <x v="17"/>
    <x v="1"/>
    <n v="3.9"/>
    <x v="1"/>
    <s v="Standard"/>
    <s v="No"/>
    <s v="No"/>
    <n v="17"/>
    <s v="PayPal"/>
    <x v="0"/>
  </r>
  <r>
    <n v="2559"/>
    <x v="34"/>
    <s v="Male"/>
    <x v="15"/>
    <x v="0"/>
    <n v="32"/>
    <s v="California"/>
    <x v="2"/>
    <x v="5"/>
    <x v="3"/>
    <n v="2.7"/>
    <x v="1"/>
    <s v="Express"/>
    <s v="No"/>
    <s v="No"/>
    <n v="24"/>
    <s v="PayPal"/>
    <x v="0"/>
  </r>
  <r>
    <n v="2560"/>
    <x v="39"/>
    <s v="Male"/>
    <x v="22"/>
    <x v="3"/>
    <n v="71"/>
    <s v="Mississippi"/>
    <x v="1"/>
    <x v="14"/>
    <x v="0"/>
    <n v="4"/>
    <x v="1"/>
    <s v="Free Shipping"/>
    <s v="No"/>
    <s v="No"/>
    <n v="21"/>
    <s v="Debit Card"/>
    <x v="6"/>
  </r>
  <r>
    <n v="2561"/>
    <x v="44"/>
    <s v="Male"/>
    <x v="23"/>
    <x v="1"/>
    <n v="62"/>
    <s v="California"/>
    <x v="2"/>
    <x v="10"/>
    <x v="1"/>
    <n v="2.7"/>
    <x v="1"/>
    <s v="Next Day Air"/>
    <s v="No"/>
    <s v="No"/>
    <n v="17"/>
    <s v="Debit Card"/>
    <x v="4"/>
  </r>
  <r>
    <n v="2562"/>
    <x v="45"/>
    <s v="Male"/>
    <x v="15"/>
    <x v="0"/>
    <n v="20"/>
    <s v="New York"/>
    <x v="0"/>
    <x v="23"/>
    <x v="1"/>
    <n v="2.7"/>
    <x v="1"/>
    <s v="Free Shipping"/>
    <s v="No"/>
    <s v="No"/>
    <n v="22"/>
    <s v="Debit Card"/>
    <x v="3"/>
  </r>
  <r>
    <n v="2563"/>
    <x v="9"/>
    <s v="Male"/>
    <x v="6"/>
    <x v="0"/>
    <n v="62"/>
    <s v="Arizona"/>
    <x v="3"/>
    <x v="22"/>
    <x v="1"/>
    <n v="4.7"/>
    <x v="1"/>
    <s v="Standard"/>
    <s v="No"/>
    <s v="No"/>
    <n v="27"/>
    <s v="Cash"/>
    <x v="0"/>
  </r>
  <r>
    <n v="2564"/>
    <x v="28"/>
    <s v="Male"/>
    <x v="21"/>
    <x v="3"/>
    <n v="81"/>
    <s v="Massachusetts"/>
    <x v="3"/>
    <x v="0"/>
    <x v="0"/>
    <n v="4.5"/>
    <x v="1"/>
    <s v="Standard"/>
    <s v="No"/>
    <s v="No"/>
    <n v="1"/>
    <s v="Venmo"/>
    <x v="6"/>
  </r>
  <r>
    <n v="2565"/>
    <x v="32"/>
    <s v="Male"/>
    <x v="18"/>
    <x v="3"/>
    <n v="90"/>
    <s v="Kentucky"/>
    <x v="0"/>
    <x v="21"/>
    <x v="0"/>
    <n v="3"/>
    <x v="1"/>
    <s v="2-Day Shipping"/>
    <s v="No"/>
    <s v="No"/>
    <n v="27"/>
    <s v="Bank Transfer"/>
    <x v="1"/>
  </r>
  <r>
    <n v="2566"/>
    <x v="11"/>
    <s v="Male"/>
    <x v="20"/>
    <x v="0"/>
    <n v="43"/>
    <s v="Vermont"/>
    <x v="1"/>
    <x v="21"/>
    <x v="3"/>
    <n v="3.6"/>
    <x v="1"/>
    <s v="Store Pickup"/>
    <s v="No"/>
    <s v="No"/>
    <n v="8"/>
    <s v="Venmo"/>
    <x v="3"/>
  </r>
  <r>
    <n v="2567"/>
    <x v="25"/>
    <s v="Male"/>
    <x v="8"/>
    <x v="3"/>
    <n v="38"/>
    <s v="Missouri"/>
    <x v="1"/>
    <x v="22"/>
    <x v="3"/>
    <n v="3.3"/>
    <x v="1"/>
    <s v="Standard"/>
    <s v="No"/>
    <s v="No"/>
    <n v="43"/>
    <s v="PayPal"/>
    <x v="3"/>
  </r>
  <r>
    <n v="2568"/>
    <x v="1"/>
    <s v="Male"/>
    <x v="12"/>
    <x v="3"/>
    <n v="25"/>
    <s v="Michigan"/>
    <x v="3"/>
    <x v="9"/>
    <x v="1"/>
    <n v="4.3"/>
    <x v="1"/>
    <s v="Store Pickup"/>
    <s v="No"/>
    <s v="No"/>
    <n v="24"/>
    <s v="Cash"/>
    <x v="0"/>
  </r>
  <r>
    <n v="2569"/>
    <x v="16"/>
    <s v="Male"/>
    <x v="17"/>
    <x v="0"/>
    <n v="98"/>
    <s v="Texas"/>
    <x v="3"/>
    <x v="14"/>
    <x v="0"/>
    <n v="4.3"/>
    <x v="1"/>
    <s v="Express"/>
    <s v="No"/>
    <s v="No"/>
    <n v="29"/>
    <s v="PayPal"/>
    <x v="0"/>
  </r>
  <r>
    <n v="2570"/>
    <x v="32"/>
    <s v="Male"/>
    <x v="10"/>
    <x v="0"/>
    <n v="75"/>
    <s v="New York"/>
    <x v="2"/>
    <x v="4"/>
    <x v="1"/>
    <n v="4.8"/>
    <x v="1"/>
    <s v="Free Shipping"/>
    <s v="No"/>
    <s v="No"/>
    <n v="10"/>
    <s v="Bank Transfer"/>
    <x v="4"/>
  </r>
  <r>
    <n v="2571"/>
    <x v="24"/>
    <s v="Male"/>
    <x v="4"/>
    <x v="1"/>
    <n v="27"/>
    <s v="New Mexico"/>
    <x v="3"/>
    <x v="8"/>
    <x v="1"/>
    <n v="4"/>
    <x v="1"/>
    <s v="Store Pickup"/>
    <s v="No"/>
    <s v="No"/>
    <n v="12"/>
    <s v="PayPal"/>
    <x v="0"/>
  </r>
  <r>
    <n v="2572"/>
    <x v="4"/>
    <s v="Male"/>
    <x v="12"/>
    <x v="3"/>
    <n v="27"/>
    <s v="Mississippi"/>
    <x v="0"/>
    <x v="13"/>
    <x v="0"/>
    <n v="3.5"/>
    <x v="1"/>
    <s v="Standard"/>
    <s v="No"/>
    <s v="No"/>
    <n v="48"/>
    <s v="Cash"/>
    <x v="0"/>
  </r>
  <r>
    <n v="2573"/>
    <x v="22"/>
    <s v="Male"/>
    <x v="0"/>
    <x v="0"/>
    <n v="42"/>
    <s v="Washington"/>
    <x v="2"/>
    <x v="5"/>
    <x v="3"/>
    <n v="3.9"/>
    <x v="1"/>
    <s v="Next Day Air"/>
    <s v="No"/>
    <s v="No"/>
    <n v="40"/>
    <s v="Bank Transfer"/>
    <x v="3"/>
  </r>
  <r>
    <n v="2574"/>
    <x v="22"/>
    <s v="Male"/>
    <x v="17"/>
    <x v="0"/>
    <n v="90"/>
    <s v="New Mexico"/>
    <x v="2"/>
    <x v="16"/>
    <x v="2"/>
    <n v="4.4000000000000004"/>
    <x v="1"/>
    <s v="Store Pickup"/>
    <s v="No"/>
    <s v="No"/>
    <n v="1"/>
    <s v="Bank Transfer"/>
    <x v="2"/>
  </r>
  <r>
    <n v="2575"/>
    <x v="7"/>
    <s v="Male"/>
    <x v="19"/>
    <x v="3"/>
    <n v="63"/>
    <s v="Florida"/>
    <x v="2"/>
    <x v="18"/>
    <x v="2"/>
    <n v="4.5999999999999996"/>
    <x v="1"/>
    <s v="2-Day Shipping"/>
    <s v="No"/>
    <s v="No"/>
    <n v="26"/>
    <s v="Credit Card"/>
    <x v="0"/>
  </r>
  <r>
    <n v="2576"/>
    <x v="10"/>
    <s v="Male"/>
    <x v="6"/>
    <x v="0"/>
    <n v="96"/>
    <s v="Minnesota"/>
    <x v="2"/>
    <x v="5"/>
    <x v="3"/>
    <n v="4"/>
    <x v="1"/>
    <s v="Express"/>
    <s v="No"/>
    <s v="No"/>
    <n v="9"/>
    <s v="PayPal"/>
    <x v="2"/>
  </r>
  <r>
    <n v="2577"/>
    <x v="30"/>
    <s v="Male"/>
    <x v="15"/>
    <x v="0"/>
    <n v="40"/>
    <s v="New Hampshire"/>
    <x v="2"/>
    <x v="5"/>
    <x v="0"/>
    <n v="4.2"/>
    <x v="1"/>
    <s v="Free Shipping"/>
    <s v="No"/>
    <s v="No"/>
    <n v="19"/>
    <s v="Debit Card"/>
    <x v="3"/>
  </r>
  <r>
    <n v="2578"/>
    <x v="16"/>
    <s v="Male"/>
    <x v="20"/>
    <x v="0"/>
    <n v="39"/>
    <s v="Minnesota"/>
    <x v="0"/>
    <x v="13"/>
    <x v="3"/>
    <n v="4.5"/>
    <x v="1"/>
    <s v="Next Day Air"/>
    <s v="No"/>
    <s v="No"/>
    <n v="37"/>
    <s v="Bank Transfer"/>
    <x v="5"/>
  </r>
  <r>
    <n v="2579"/>
    <x v="22"/>
    <s v="Male"/>
    <x v="12"/>
    <x v="3"/>
    <n v="48"/>
    <s v="Vermont"/>
    <x v="2"/>
    <x v="7"/>
    <x v="3"/>
    <n v="3.9"/>
    <x v="1"/>
    <s v="Free Shipping"/>
    <s v="No"/>
    <s v="No"/>
    <n v="3"/>
    <s v="Cash"/>
    <x v="3"/>
  </r>
  <r>
    <n v="2580"/>
    <x v="13"/>
    <s v="Male"/>
    <x v="0"/>
    <x v="0"/>
    <n v="20"/>
    <s v="Minnesota"/>
    <x v="2"/>
    <x v="7"/>
    <x v="2"/>
    <n v="3.7"/>
    <x v="1"/>
    <s v="Express"/>
    <s v="No"/>
    <s v="No"/>
    <n v="40"/>
    <s v="Venmo"/>
    <x v="1"/>
  </r>
  <r>
    <n v="2581"/>
    <x v="49"/>
    <s v="Male"/>
    <x v="2"/>
    <x v="0"/>
    <n v="29"/>
    <s v="Massachusetts"/>
    <x v="1"/>
    <x v="2"/>
    <x v="2"/>
    <n v="3.6"/>
    <x v="1"/>
    <s v="Store Pickup"/>
    <s v="No"/>
    <s v="No"/>
    <n v="13"/>
    <s v="Bank Transfer"/>
    <x v="3"/>
  </r>
  <r>
    <n v="2582"/>
    <x v="9"/>
    <s v="Male"/>
    <x v="10"/>
    <x v="0"/>
    <n v="81"/>
    <s v="Wyoming"/>
    <x v="2"/>
    <x v="9"/>
    <x v="0"/>
    <n v="4.7"/>
    <x v="1"/>
    <s v="Express"/>
    <s v="No"/>
    <s v="No"/>
    <n v="48"/>
    <s v="Credit Card"/>
    <x v="5"/>
  </r>
  <r>
    <n v="2583"/>
    <x v="1"/>
    <s v="Male"/>
    <x v="10"/>
    <x v="0"/>
    <n v="98"/>
    <s v="South Dakota"/>
    <x v="1"/>
    <x v="21"/>
    <x v="3"/>
    <n v="3.6"/>
    <x v="1"/>
    <s v="2-Day Shipping"/>
    <s v="No"/>
    <s v="No"/>
    <n v="4"/>
    <s v="Venmo"/>
    <x v="6"/>
  </r>
  <r>
    <n v="2584"/>
    <x v="28"/>
    <s v="Male"/>
    <x v="2"/>
    <x v="0"/>
    <n v="93"/>
    <s v="Oklahoma"/>
    <x v="2"/>
    <x v="12"/>
    <x v="3"/>
    <n v="2.5"/>
    <x v="1"/>
    <s v="Next Day Air"/>
    <s v="No"/>
    <s v="No"/>
    <n v="9"/>
    <s v="Cash"/>
    <x v="1"/>
  </r>
  <r>
    <n v="2585"/>
    <x v="8"/>
    <s v="Male"/>
    <x v="20"/>
    <x v="0"/>
    <n v="30"/>
    <s v="Florida"/>
    <x v="0"/>
    <x v="24"/>
    <x v="2"/>
    <n v="2.9"/>
    <x v="1"/>
    <s v="Store Pickup"/>
    <s v="No"/>
    <s v="No"/>
    <n v="26"/>
    <s v="Bank Transfer"/>
    <x v="4"/>
  </r>
  <r>
    <n v="2586"/>
    <x v="9"/>
    <s v="Male"/>
    <x v="12"/>
    <x v="3"/>
    <n v="37"/>
    <s v="Wisconsin"/>
    <x v="0"/>
    <x v="1"/>
    <x v="3"/>
    <n v="4.4000000000000004"/>
    <x v="1"/>
    <s v="Free Shipping"/>
    <s v="No"/>
    <s v="No"/>
    <n v="19"/>
    <s v="Debit Card"/>
    <x v="1"/>
  </r>
  <r>
    <n v="2587"/>
    <x v="30"/>
    <s v="Male"/>
    <x v="7"/>
    <x v="2"/>
    <n v="28"/>
    <s v="Maine"/>
    <x v="0"/>
    <x v="22"/>
    <x v="0"/>
    <n v="4.5999999999999996"/>
    <x v="1"/>
    <s v="Express"/>
    <s v="No"/>
    <s v="No"/>
    <n v="1"/>
    <s v="Credit Card"/>
    <x v="6"/>
  </r>
  <r>
    <n v="2588"/>
    <x v="0"/>
    <s v="Male"/>
    <x v="18"/>
    <x v="3"/>
    <n v="29"/>
    <s v="Connecticut"/>
    <x v="2"/>
    <x v="7"/>
    <x v="0"/>
    <n v="3.7"/>
    <x v="1"/>
    <s v="Express"/>
    <s v="No"/>
    <s v="No"/>
    <n v="29"/>
    <s v="PayPal"/>
    <x v="6"/>
  </r>
  <r>
    <n v="2589"/>
    <x v="42"/>
    <s v="Male"/>
    <x v="21"/>
    <x v="3"/>
    <n v="49"/>
    <s v="Delaware"/>
    <x v="2"/>
    <x v="15"/>
    <x v="2"/>
    <n v="3.2"/>
    <x v="1"/>
    <s v="Free Shipping"/>
    <s v="No"/>
    <s v="No"/>
    <n v="38"/>
    <s v="Venmo"/>
    <x v="4"/>
  </r>
  <r>
    <n v="2590"/>
    <x v="16"/>
    <s v="Male"/>
    <x v="13"/>
    <x v="0"/>
    <n v="53"/>
    <s v="North Dakota"/>
    <x v="2"/>
    <x v="5"/>
    <x v="0"/>
    <n v="4.9000000000000004"/>
    <x v="1"/>
    <s v="2-Day Shipping"/>
    <s v="No"/>
    <s v="No"/>
    <n v="31"/>
    <s v="PayPal"/>
    <x v="2"/>
  </r>
  <r>
    <n v="2591"/>
    <x v="9"/>
    <s v="Male"/>
    <x v="24"/>
    <x v="3"/>
    <n v="66"/>
    <s v="California"/>
    <x v="2"/>
    <x v="2"/>
    <x v="2"/>
    <n v="5"/>
    <x v="1"/>
    <s v="Free Shipping"/>
    <s v="No"/>
    <s v="No"/>
    <n v="35"/>
    <s v="Venmo"/>
    <x v="2"/>
  </r>
  <r>
    <n v="2592"/>
    <x v="37"/>
    <s v="Male"/>
    <x v="14"/>
    <x v="2"/>
    <n v="61"/>
    <s v="New Mexico"/>
    <x v="1"/>
    <x v="8"/>
    <x v="1"/>
    <n v="3.3"/>
    <x v="1"/>
    <s v="Express"/>
    <s v="No"/>
    <s v="No"/>
    <n v="40"/>
    <s v="Cash"/>
    <x v="3"/>
  </r>
  <r>
    <n v="2593"/>
    <x v="51"/>
    <s v="Male"/>
    <x v="6"/>
    <x v="0"/>
    <n v="23"/>
    <s v="Iowa"/>
    <x v="3"/>
    <x v="15"/>
    <x v="2"/>
    <n v="4.4000000000000004"/>
    <x v="1"/>
    <s v="Store Pickup"/>
    <s v="No"/>
    <s v="No"/>
    <n v="13"/>
    <s v="Venmo"/>
    <x v="3"/>
  </r>
  <r>
    <n v="2594"/>
    <x v="24"/>
    <s v="Male"/>
    <x v="13"/>
    <x v="0"/>
    <n v="36"/>
    <s v="Colorado"/>
    <x v="1"/>
    <x v="21"/>
    <x v="3"/>
    <n v="4.7"/>
    <x v="1"/>
    <s v="Store Pickup"/>
    <s v="No"/>
    <s v="No"/>
    <n v="9"/>
    <s v="Bank Transfer"/>
    <x v="6"/>
  </r>
  <r>
    <n v="2595"/>
    <x v="35"/>
    <s v="Male"/>
    <x v="11"/>
    <x v="0"/>
    <n v="81"/>
    <s v="Montana"/>
    <x v="0"/>
    <x v="21"/>
    <x v="3"/>
    <n v="3.6"/>
    <x v="1"/>
    <s v="Free Shipping"/>
    <s v="No"/>
    <s v="No"/>
    <n v="25"/>
    <s v="Cash"/>
    <x v="6"/>
  </r>
  <r>
    <n v="2596"/>
    <x v="26"/>
    <s v="Male"/>
    <x v="0"/>
    <x v="0"/>
    <n v="56"/>
    <s v="Iowa"/>
    <x v="3"/>
    <x v="1"/>
    <x v="2"/>
    <n v="3.2"/>
    <x v="1"/>
    <s v="Free Shipping"/>
    <s v="No"/>
    <s v="No"/>
    <n v="3"/>
    <s v="Bank Transfer"/>
    <x v="4"/>
  </r>
  <r>
    <n v="2597"/>
    <x v="6"/>
    <s v="Male"/>
    <x v="5"/>
    <x v="0"/>
    <n v="78"/>
    <s v="Louisiana"/>
    <x v="0"/>
    <x v="13"/>
    <x v="1"/>
    <n v="3"/>
    <x v="1"/>
    <s v="Next Day Air"/>
    <s v="No"/>
    <s v="No"/>
    <n v="35"/>
    <s v="Credit Card"/>
    <x v="5"/>
  </r>
  <r>
    <n v="2598"/>
    <x v="52"/>
    <s v="Male"/>
    <x v="16"/>
    <x v="3"/>
    <n v="25"/>
    <s v="Alabama"/>
    <x v="3"/>
    <x v="11"/>
    <x v="2"/>
    <n v="4.4000000000000004"/>
    <x v="1"/>
    <s v="Store Pickup"/>
    <s v="No"/>
    <s v="No"/>
    <n v="13"/>
    <s v="Venmo"/>
    <x v="4"/>
  </r>
  <r>
    <n v="2599"/>
    <x v="14"/>
    <s v="Male"/>
    <x v="21"/>
    <x v="3"/>
    <n v="86"/>
    <s v="Nevada"/>
    <x v="3"/>
    <x v="8"/>
    <x v="3"/>
    <n v="3.3"/>
    <x v="1"/>
    <s v="Express"/>
    <s v="No"/>
    <s v="No"/>
    <n v="31"/>
    <s v="Debit Card"/>
    <x v="2"/>
  </r>
  <r>
    <n v="2600"/>
    <x v="6"/>
    <s v="Male"/>
    <x v="16"/>
    <x v="3"/>
    <n v="99"/>
    <s v="Vermont"/>
    <x v="2"/>
    <x v="9"/>
    <x v="0"/>
    <n v="3.4"/>
    <x v="1"/>
    <s v="Express"/>
    <s v="No"/>
    <s v="No"/>
    <n v="48"/>
    <s v="Credit Card"/>
    <x v="5"/>
  </r>
  <r>
    <n v="2601"/>
    <x v="3"/>
    <s v="Male"/>
    <x v="22"/>
    <x v="3"/>
    <n v="83"/>
    <s v="New York"/>
    <x v="2"/>
    <x v="0"/>
    <x v="3"/>
    <n v="3.9"/>
    <x v="1"/>
    <s v="Express"/>
    <s v="No"/>
    <s v="No"/>
    <n v="6"/>
    <s v="Bank Transfer"/>
    <x v="4"/>
  </r>
  <r>
    <n v="2602"/>
    <x v="12"/>
    <s v="Male"/>
    <x v="10"/>
    <x v="0"/>
    <n v="33"/>
    <s v="Mississippi"/>
    <x v="0"/>
    <x v="20"/>
    <x v="0"/>
    <n v="2.9"/>
    <x v="1"/>
    <s v="Store Pickup"/>
    <s v="No"/>
    <s v="No"/>
    <n v="43"/>
    <s v="Cash"/>
    <x v="5"/>
  </r>
  <r>
    <n v="2603"/>
    <x v="13"/>
    <s v="Male"/>
    <x v="7"/>
    <x v="2"/>
    <n v="44"/>
    <s v="South Carolina"/>
    <x v="2"/>
    <x v="13"/>
    <x v="3"/>
    <n v="2.9"/>
    <x v="1"/>
    <s v="Free Shipping"/>
    <s v="No"/>
    <s v="No"/>
    <n v="1"/>
    <s v="Venmo"/>
    <x v="3"/>
  </r>
  <r>
    <n v="2604"/>
    <x v="28"/>
    <s v="Male"/>
    <x v="10"/>
    <x v="0"/>
    <n v="58"/>
    <s v="Washington"/>
    <x v="2"/>
    <x v="11"/>
    <x v="1"/>
    <n v="2.7"/>
    <x v="1"/>
    <s v="2-Day Shipping"/>
    <s v="No"/>
    <s v="No"/>
    <n v="8"/>
    <s v="Cash"/>
    <x v="2"/>
  </r>
  <r>
    <n v="2605"/>
    <x v="36"/>
    <s v="Male"/>
    <x v="1"/>
    <x v="0"/>
    <n v="54"/>
    <s v="Colorado"/>
    <x v="2"/>
    <x v="19"/>
    <x v="1"/>
    <n v="3.4"/>
    <x v="1"/>
    <s v="Store Pickup"/>
    <s v="No"/>
    <s v="No"/>
    <n v="6"/>
    <s v="Debit Card"/>
    <x v="1"/>
  </r>
  <r>
    <n v="2606"/>
    <x v="38"/>
    <s v="Male"/>
    <x v="15"/>
    <x v="0"/>
    <n v="93"/>
    <s v="Nevada"/>
    <x v="2"/>
    <x v="3"/>
    <x v="1"/>
    <n v="3.7"/>
    <x v="1"/>
    <s v="2-Day Shipping"/>
    <s v="No"/>
    <s v="No"/>
    <n v="32"/>
    <s v="Venmo"/>
    <x v="0"/>
  </r>
  <r>
    <n v="2607"/>
    <x v="33"/>
    <s v="Male"/>
    <x v="9"/>
    <x v="1"/>
    <n v="98"/>
    <s v="Nevada"/>
    <x v="0"/>
    <x v="2"/>
    <x v="1"/>
    <n v="4.7"/>
    <x v="1"/>
    <s v="Standard"/>
    <s v="No"/>
    <s v="No"/>
    <n v="46"/>
    <s v="Bank Transfer"/>
    <x v="4"/>
  </r>
  <r>
    <n v="2608"/>
    <x v="38"/>
    <s v="Male"/>
    <x v="9"/>
    <x v="1"/>
    <n v="36"/>
    <s v="Oklahoma"/>
    <x v="3"/>
    <x v="11"/>
    <x v="1"/>
    <n v="3.1"/>
    <x v="1"/>
    <s v="Express"/>
    <s v="No"/>
    <s v="No"/>
    <n v="38"/>
    <s v="PayPal"/>
    <x v="6"/>
  </r>
  <r>
    <n v="2609"/>
    <x v="32"/>
    <s v="Male"/>
    <x v="14"/>
    <x v="2"/>
    <n v="68"/>
    <s v="Mississippi"/>
    <x v="0"/>
    <x v="20"/>
    <x v="3"/>
    <n v="4.2"/>
    <x v="1"/>
    <s v="2-Day Shipping"/>
    <s v="No"/>
    <s v="No"/>
    <n v="48"/>
    <s v="Credit Card"/>
    <x v="0"/>
  </r>
  <r>
    <n v="2610"/>
    <x v="17"/>
    <s v="Male"/>
    <x v="21"/>
    <x v="3"/>
    <n v="95"/>
    <s v="Arkansas"/>
    <x v="2"/>
    <x v="13"/>
    <x v="2"/>
    <n v="3"/>
    <x v="1"/>
    <s v="Store Pickup"/>
    <s v="No"/>
    <s v="No"/>
    <n v="18"/>
    <s v="Debit Card"/>
    <x v="4"/>
  </r>
  <r>
    <n v="2611"/>
    <x v="17"/>
    <s v="Male"/>
    <x v="2"/>
    <x v="0"/>
    <n v="93"/>
    <s v="West Virginia"/>
    <x v="2"/>
    <x v="10"/>
    <x v="1"/>
    <n v="3.1"/>
    <x v="1"/>
    <s v="Express"/>
    <s v="No"/>
    <s v="No"/>
    <n v="25"/>
    <s v="Cash"/>
    <x v="3"/>
  </r>
  <r>
    <n v="2612"/>
    <x v="23"/>
    <s v="Male"/>
    <x v="14"/>
    <x v="2"/>
    <n v="99"/>
    <s v="Michigan"/>
    <x v="0"/>
    <x v="1"/>
    <x v="3"/>
    <n v="4.2"/>
    <x v="1"/>
    <s v="2-Day Shipping"/>
    <s v="No"/>
    <s v="No"/>
    <n v="4"/>
    <s v="Cash"/>
    <x v="0"/>
  </r>
  <r>
    <n v="2613"/>
    <x v="0"/>
    <s v="Male"/>
    <x v="12"/>
    <x v="3"/>
    <n v="22"/>
    <s v="Louisiana"/>
    <x v="2"/>
    <x v="2"/>
    <x v="0"/>
    <n v="3.8"/>
    <x v="1"/>
    <s v="Next Day Air"/>
    <s v="No"/>
    <s v="No"/>
    <n v="27"/>
    <s v="Venmo"/>
    <x v="3"/>
  </r>
  <r>
    <n v="2614"/>
    <x v="44"/>
    <s v="Male"/>
    <x v="24"/>
    <x v="3"/>
    <n v="88"/>
    <s v="South Dakota"/>
    <x v="2"/>
    <x v="9"/>
    <x v="3"/>
    <n v="2.9"/>
    <x v="1"/>
    <s v="Express"/>
    <s v="No"/>
    <s v="No"/>
    <n v="14"/>
    <s v="Bank Transfer"/>
    <x v="5"/>
  </r>
  <r>
    <n v="2615"/>
    <x v="20"/>
    <s v="Male"/>
    <x v="14"/>
    <x v="2"/>
    <n v="65"/>
    <s v="North Dakota"/>
    <x v="2"/>
    <x v="2"/>
    <x v="1"/>
    <n v="4.2"/>
    <x v="1"/>
    <s v="Express"/>
    <s v="No"/>
    <s v="No"/>
    <n v="36"/>
    <s v="Bank Transfer"/>
    <x v="0"/>
  </r>
  <r>
    <n v="2616"/>
    <x v="34"/>
    <s v="Male"/>
    <x v="17"/>
    <x v="0"/>
    <n v="62"/>
    <s v="Arizona"/>
    <x v="2"/>
    <x v="1"/>
    <x v="3"/>
    <n v="3.1"/>
    <x v="1"/>
    <s v="2-Day Shipping"/>
    <s v="No"/>
    <s v="No"/>
    <n v="6"/>
    <s v="Debit Card"/>
    <x v="3"/>
  </r>
  <r>
    <n v="2617"/>
    <x v="12"/>
    <s v="Male"/>
    <x v="3"/>
    <x v="1"/>
    <n v="55"/>
    <s v="Georgia"/>
    <x v="3"/>
    <x v="7"/>
    <x v="1"/>
    <n v="3.6"/>
    <x v="1"/>
    <s v="Express"/>
    <s v="No"/>
    <s v="No"/>
    <n v="46"/>
    <s v="Cash"/>
    <x v="2"/>
  </r>
  <r>
    <n v="2618"/>
    <x v="18"/>
    <s v="Male"/>
    <x v="6"/>
    <x v="0"/>
    <n v="97"/>
    <s v="Idaho"/>
    <x v="1"/>
    <x v="1"/>
    <x v="1"/>
    <n v="4.8"/>
    <x v="1"/>
    <s v="Standard"/>
    <s v="No"/>
    <s v="No"/>
    <n v="29"/>
    <s v="Bank Transfer"/>
    <x v="2"/>
  </r>
  <r>
    <n v="2619"/>
    <x v="27"/>
    <s v="Male"/>
    <x v="8"/>
    <x v="3"/>
    <n v="77"/>
    <s v="Louisiana"/>
    <x v="0"/>
    <x v="18"/>
    <x v="3"/>
    <n v="4.0999999999999996"/>
    <x v="1"/>
    <s v="Express"/>
    <s v="No"/>
    <s v="No"/>
    <n v="12"/>
    <s v="Venmo"/>
    <x v="5"/>
  </r>
  <r>
    <n v="2620"/>
    <x v="33"/>
    <s v="Male"/>
    <x v="13"/>
    <x v="0"/>
    <n v="40"/>
    <s v="Connecticut"/>
    <x v="0"/>
    <x v="21"/>
    <x v="0"/>
    <n v="3.9"/>
    <x v="1"/>
    <s v="Free Shipping"/>
    <s v="No"/>
    <s v="No"/>
    <n v="47"/>
    <s v="Credit Card"/>
    <x v="1"/>
  </r>
  <r>
    <n v="2621"/>
    <x v="7"/>
    <s v="Male"/>
    <x v="0"/>
    <x v="0"/>
    <n v="23"/>
    <s v="Ohio"/>
    <x v="1"/>
    <x v="12"/>
    <x v="0"/>
    <n v="3"/>
    <x v="1"/>
    <s v="Standard"/>
    <s v="No"/>
    <s v="No"/>
    <n v="28"/>
    <s v="Debit Card"/>
    <x v="2"/>
  </r>
  <r>
    <n v="2622"/>
    <x v="39"/>
    <s v="Male"/>
    <x v="9"/>
    <x v="1"/>
    <n v="46"/>
    <s v="Maine"/>
    <x v="2"/>
    <x v="19"/>
    <x v="0"/>
    <n v="3"/>
    <x v="1"/>
    <s v="Express"/>
    <s v="No"/>
    <s v="No"/>
    <n v="21"/>
    <s v="Bank Transfer"/>
    <x v="2"/>
  </r>
  <r>
    <n v="2623"/>
    <x v="6"/>
    <s v="Male"/>
    <x v="21"/>
    <x v="3"/>
    <n v="75"/>
    <s v="New Hampshire"/>
    <x v="2"/>
    <x v="22"/>
    <x v="1"/>
    <n v="4.9000000000000004"/>
    <x v="1"/>
    <s v="2-Day Shipping"/>
    <s v="No"/>
    <s v="No"/>
    <n v="15"/>
    <s v="Credit Card"/>
    <x v="2"/>
  </r>
  <r>
    <n v="2624"/>
    <x v="34"/>
    <s v="Male"/>
    <x v="9"/>
    <x v="1"/>
    <n v="76"/>
    <s v="Massachusetts"/>
    <x v="2"/>
    <x v="9"/>
    <x v="3"/>
    <n v="4.8"/>
    <x v="1"/>
    <s v="Next Day Air"/>
    <s v="No"/>
    <s v="No"/>
    <n v="38"/>
    <s v="Cash"/>
    <x v="2"/>
  </r>
  <r>
    <n v="2625"/>
    <x v="1"/>
    <s v="Male"/>
    <x v="10"/>
    <x v="0"/>
    <n v="59"/>
    <s v="South Dakota"/>
    <x v="2"/>
    <x v="21"/>
    <x v="2"/>
    <n v="3.3"/>
    <x v="1"/>
    <s v="Standard"/>
    <s v="No"/>
    <s v="No"/>
    <n v="19"/>
    <s v="Credit Card"/>
    <x v="2"/>
  </r>
  <r>
    <n v="2626"/>
    <x v="11"/>
    <s v="Male"/>
    <x v="11"/>
    <x v="0"/>
    <n v="51"/>
    <s v="Colorado"/>
    <x v="0"/>
    <x v="17"/>
    <x v="2"/>
    <n v="2.7"/>
    <x v="1"/>
    <s v="Standard"/>
    <s v="No"/>
    <s v="No"/>
    <n v="31"/>
    <s v="Credit Card"/>
    <x v="1"/>
  </r>
  <r>
    <n v="2627"/>
    <x v="2"/>
    <s v="Male"/>
    <x v="14"/>
    <x v="2"/>
    <n v="46"/>
    <s v="Rhode Island"/>
    <x v="3"/>
    <x v="5"/>
    <x v="3"/>
    <n v="4.2"/>
    <x v="1"/>
    <s v="Express"/>
    <s v="No"/>
    <s v="No"/>
    <n v="30"/>
    <s v="Credit Card"/>
    <x v="6"/>
  </r>
  <r>
    <n v="2628"/>
    <x v="17"/>
    <s v="Male"/>
    <x v="5"/>
    <x v="0"/>
    <n v="26"/>
    <s v="Missouri"/>
    <x v="0"/>
    <x v="5"/>
    <x v="3"/>
    <n v="3.6"/>
    <x v="1"/>
    <s v="Next Day Air"/>
    <s v="No"/>
    <s v="No"/>
    <n v="40"/>
    <s v="Bank Transfer"/>
    <x v="3"/>
  </r>
  <r>
    <n v="2629"/>
    <x v="15"/>
    <s v="Male"/>
    <x v="15"/>
    <x v="0"/>
    <n v="51"/>
    <s v="Wyoming"/>
    <x v="2"/>
    <x v="5"/>
    <x v="2"/>
    <n v="3.8"/>
    <x v="1"/>
    <s v="Next Day Air"/>
    <s v="No"/>
    <s v="No"/>
    <n v="42"/>
    <s v="Credit Card"/>
    <x v="4"/>
  </r>
  <r>
    <n v="2630"/>
    <x v="12"/>
    <s v="Male"/>
    <x v="18"/>
    <x v="3"/>
    <n v="44"/>
    <s v="New Hampshire"/>
    <x v="2"/>
    <x v="15"/>
    <x v="0"/>
    <n v="3.8"/>
    <x v="1"/>
    <s v="Free Shipping"/>
    <s v="No"/>
    <s v="No"/>
    <n v="25"/>
    <s v="Venmo"/>
    <x v="2"/>
  </r>
  <r>
    <n v="2631"/>
    <x v="26"/>
    <s v="Male"/>
    <x v="11"/>
    <x v="0"/>
    <n v="82"/>
    <s v="Maine"/>
    <x v="1"/>
    <x v="6"/>
    <x v="1"/>
    <n v="4.2"/>
    <x v="1"/>
    <s v="Free Shipping"/>
    <s v="No"/>
    <s v="No"/>
    <n v="20"/>
    <s v="Cash"/>
    <x v="3"/>
  </r>
  <r>
    <n v="2632"/>
    <x v="10"/>
    <s v="Male"/>
    <x v="11"/>
    <x v="0"/>
    <n v="44"/>
    <s v="Connecticut"/>
    <x v="1"/>
    <x v="10"/>
    <x v="2"/>
    <n v="2.7"/>
    <x v="1"/>
    <s v="Express"/>
    <s v="No"/>
    <s v="No"/>
    <n v="3"/>
    <s v="Cash"/>
    <x v="1"/>
  </r>
  <r>
    <n v="2633"/>
    <x v="41"/>
    <s v="Male"/>
    <x v="18"/>
    <x v="3"/>
    <n v="27"/>
    <s v="Alaska"/>
    <x v="2"/>
    <x v="13"/>
    <x v="3"/>
    <n v="5"/>
    <x v="1"/>
    <s v="Next Day Air"/>
    <s v="No"/>
    <s v="No"/>
    <n v="14"/>
    <s v="Cash"/>
    <x v="2"/>
  </r>
  <r>
    <n v="2634"/>
    <x v="47"/>
    <s v="Male"/>
    <x v="12"/>
    <x v="3"/>
    <n v="90"/>
    <s v="Alaska"/>
    <x v="2"/>
    <x v="7"/>
    <x v="3"/>
    <n v="4.7"/>
    <x v="1"/>
    <s v="Next Day Air"/>
    <s v="No"/>
    <s v="No"/>
    <n v="32"/>
    <s v="Credit Card"/>
    <x v="0"/>
  </r>
  <r>
    <n v="2635"/>
    <x v="8"/>
    <s v="Male"/>
    <x v="3"/>
    <x v="1"/>
    <n v="58"/>
    <s v="North Carolina"/>
    <x v="1"/>
    <x v="13"/>
    <x v="2"/>
    <n v="3.2"/>
    <x v="1"/>
    <s v="Store Pickup"/>
    <s v="No"/>
    <s v="No"/>
    <n v="20"/>
    <s v="PayPal"/>
    <x v="6"/>
  </r>
  <r>
    <n v="2636"/>
    <x v="35"/>
    <s v="Male"/>
    <x v="15"/>
    <x v="0"/>
    <n v="80"/>
    <s v="Colorado"/>
    <x v="3"/>
    <x v="15"/>
    <x v="1"/>
    <n v="2.9"/>
    <x v="1"/>
    <s v="2-Day Shipping"/>
    <s v="No"/>
    <s v="No"/>
    <n v="34"/>
    <s v="PayPal"/>
    <x v="0"/>
  </r>
  <r>
    <n v="2637"/>
    <x v="38"/>
    <s v="Male"/>
    <x v="14"/>
    <x v="2"/>
    <n v="40"/>
    <s v="Utah"/>
    <x v="1"/>
    <x v="23"/>
    <x v="0"/>
    <n v="4.2"/>
    <x v="1"/>
    <s v="Store Pickup"/>
    <s v="No"/>
    <s v="No"/>
    <n v="6"/>
    <s v="Venmo"/>
    <x v="2"/>
  </r>
  <r>
    <n v="2638"/>
    <x v="30"/>
    <s v="Male"/>
    <x v="13"/>
    <x v="0"/>
    <n v="23"/>
    <s v="Alabama"/>
    <x v="2"/>
    <x v="23"/>
    <x v="1"/>
    <n v="3.7"/>
    <x v="1"/>
    <s v="Store Pickup"/>
    <s v="No"/>
    <s v="No"/>
    <n v="2"/>
    <s v="PayPal"/>
    <x v="2"/>
  </r>
  <r>
    <n v="2639"/>
    <x v="40"/>
    <s v="Male"/>
    <x v="5"/>
    <x v="0"/>
    <n v="34"/>
    <s v="Hawaii"/>
    <x v="1"/>
    <x v="13"/>
    <x v="1"/>
    <n v="4.2"/>
    <x v="1"/>
    <s v="Store Pickup"/>
    <s v="No"/>
    <s v="No"/>
    <n v="35"/>
    <s v="Credit Card"/>
    <x v="2"/>
  </r>
  <r>
    <n v="2640"/>
    <x v="20"/>
    <s v="Male"/>
    <x v="0"/>
    <x v="0"/>
    <n v="35"/>
    <s v="New Hampshire"/>
    <x v="3"/>
    <x v="6"/>
    <x v="0"/>
    <n v="2.6"/>
    <x v="1"/>
    <s v="Free Shipping"/>
    <s v="No"/>
    <s v="No"/>
    <n v="33"/>
    <s v="Debit Card"/>
    <x v="3"/>
  </r>
  <r>
    <n v="2641"/>
    <x v="11"/>
    <s v="Male"/>
    <x v="11"/>
    <x v="0"/>
    <n v="75"/>
    <s v="Indiana"/>
    <x v="0"/>
    <x v="8"/>
    <x v="2"/>
    <n v="4"/>
    <x v="1"/>
    <s v="Store Pickup"/>
    <s v="No"/>
    <s v="No"/>
    <n v="45"/>
    <s v="Venmo"/>
    <x v="4"/>
  </r>
  <r>
    <n v="2642"/>
    <x v="15"/>
    <s v="Male"/>
    <x v="12"/>
    <x v="3"/>
    <n v="60"/>
    <s v="Vermont"/>
    <x v="3"/>
    <x v="8"/>
    <x v="0"/>
    <n v="2.7"/>
    <x v="1"/>
    <s v="Next Day Air"/>
    <s v="No"/>
    <s v="No"/>
    <n v="20"/>
    <s v="Bank Transfer"/>
    <x v="6"/>
  </r>
  <r>
    <n v="2643"/>
    <x v="31"/>
    <s v="Male"/>
    <x v="22"/>
    <x v="3"/>
    <n v="87"/>
    <s v="Iowa"/>
    <x v="0"/>
    <x v="15"/>
    <x v="2"/>
    <n v="4"/>
    <x v="1"/>
    <s v="Store Pickup"/>
    <s v="No"/>
    <s v="No"/>
    <n v="48"/>
    <s v="Bank Transfer"/>
    <x v="2"/>
  </r>
  <r>
    <n v="2644"/>
    <x v="34"/>
    <s v="Male"/>
    <x v="24"/>
    <x v="3"/>
    <n v="41"/>
    <s v="Maryland"/>
    <x v="1"/>
    <x v="5"/>
    <x v="1"/>
    <n v="2.9"/>
    <x v="1"/>
    <s v="Next Day Air"/>
    <s v="No"/>
    <s v="No"/>
    <n v="37"/>
    <s v="Cash"/>
    <x v="5"/>
  </r>
  <r>
    <n v="2645"/>
    <x v="15"/>
    <s v="Male"/>
    <x v="13"/>
    <x v="0"/>
    <n v="83"/>
    <s v="New Mexico"/>
    <x v="2"/>
    <x v="2"/>
    <x v="1"/>
    <n v="3.3"/>
    <x v="1"/>
    <s v="Standard"/>
    <s v="No"/>
    <s v="No"/>
    <n v="4"/>
    <s v="Bank Transfer"/>
    <x v="6"/>
  </r>
  <r>
    <n v="2646"/>
    <x v="51"/>
    <s v="Male"/>
    <x v="18"/>
    <x v="3"/>
    <n v="81"/>
    <s v="Louisiana"/>
    <x v="0"/>
    <x v="8"/>
    <x v="1"/>
    <n v="4"/>
    <x v="1"/>
    <s v="Store Pickup"/>
    <s v="No"/>
    <s v="No"/>
    <n v="24"/>
    <s v="Bank Transfer"/>
    <x v="4"/>
  </r>
  <r>
    <n v="2647"/>
    <x v="23"/>
    <s v="Male"/>
    <x v="17"/>
    <x v="0"/>
    <n v="56"/>
    <s v="New Mexico"/>
    <x v="1"/>
    <x v="12"/>
    <x v="2"/>
    <n v="3.9"/>
    <x v="1"/>
    <s v="Next Day Air"/>
    <s v="No"/>
    <s v="No"/>
    <n v="4"/>
    <s v="Debit Card"/>
    <x v="6"/>
  </r>
  <r>
    <n v="2648"/>
    <x v="52"/>
    <s v="Male"/>
    <x v="9"/>
    <x v="1"/>
    <n v="58"/>
    <s v="South Carolina"/>
    <x v="2"/>
    <x v="16"/>
    <x v="2"/>
    <n v="3.3"/>
    <x v="1"/>
    <s v="2-Day Shipping"/>
    <s v="No"/>
    <s v="No"/>
    <n v="25"/>
    <s v="Debit Card"/>
    <x v="2"/>
  </r>
  <r>
    <n v="2649"/>
    <x v="47"/>
    <s v="Male"/>
    <x v="13"/>
    <x v="0"/>
    <n v="84"/>
    <s v="Illinois"/>
    <x v="2"/>
    <x v="0"/>
    <x v="1"/>
    <n v="3.9"/>
    <x v="1"/>
    <s v="Next Day Air"/>
    <s v="No"/>
    <s v="No"/>
    <n v="14"/>
    <s v="PayPal"/>
    <x v="4"/>
  </r>
  <r>
    <n v="2650"/>
    <x v="51"/>
    <s v="Male"/>
    <x v="24"/>
    <x v="3"/>
    <n v="21"/>
    <s v="Minnesota"/>
    <x v="2"/>
    <x v="23"/>
    <x v="3"/>
    <n v="3.9"/>
    <x v="1"/>
    <s v="Store Pickup"/>
    <s v="No"/>
    <s v="No"/>
    <n v="14"/>
    <s v="Bank Transfer"/>
    <x v="0"/>
  </r>
  <r>
    <n v="2651"/>
    <x v="30"/>
    <s v="Male"/>
    <x v="20"/>
    <x v="0"/>
    <n v="35"/>
    <s v="Oregon"/>
    <x v="0"/>
    <x v="1"/>
    <x v="2"/>
    <n v="4.2"/>
    <x v="1"/>
    <s v="Standard"/>
    <s v="No"/>
    <s v="No"/>
    <n v="46"/>
    <s v="Credit Card"/>
    <x v="6"/>
  </r>
  <r>
    <n v="2652"/>
    <x v="47"/>
    <s v="Male"/>
    <x v="4"/>
    <x v="1"/>
    <n v="43"/>
    <s v="Tennessee"/>
    <x v="2"/>
    <x v="17"/>
    <x v="2"/>
    <n v="4.5999999999999996"/>
    <x v="1"/>
    <s v="Store Pickup"/>
    <s v="No"/>
    <s v="No"/>
    <n v="27"/>
    <s v="PayPal"/>
    <x v="3"/>
  </r>
  <r>
    <n v="2653"/>
    <x v="51"/>
    <s v="Female"/>
    <x v="6"/>
    <x v="0"/>
    <n v="20"/>
    <s v="Maryland"/>
    <x v="0"/>
    <x v="17"/>
    <x v="2"/>
    <n v="3.3"/>
    <x v="1"/>
    <s v="2-Day Shipping"/>
    <s v="No"/>
    <s v="No"/>
    <n v="46"/>
    <s v="Credit Card"/>
    <x v="5"/>
  </r>
  <r>
    <n v="2654"/>
    <x v="29"/>
    <s v="Female"/>
    <x v="0"/>
    <x v="0"/>
    <n v="36"/>
    <s v="Wisconsin"/>
    <x v="0"/>
    <x v="12"/>
    <x v="3"/>
    <n v="4.8"/>
    <x v="1"/>
    <s v="Express"/>
    <s v="No"/>
    <s v="No"/>
    <n v="24"/>
    <s v="Venmo"/>
    <x v="6"/>
  </r>
  <r>
    <n v="2655"/>
    <x v="51"/>
    <s v="Female"/>
    <x v="7"/>
    <x v="2"/>
    <n v="70"/>
    <s v="Idaho"/>
    <x v="1"/>
    <x v="6"/>
    <x v="3"/>
    <n v="4.0999999999999996"/>
    <x v="1"/>
    <s v="Next Day Air"/>
    <s v="No"/>
    <s v="No"/>
    <n v="4"/>
    <s v="PayPal"/>
    <x v="2"/>
  </r>
  <r>
    <n v="2656"/>
    <x v="8"/>
    <s v="Female"/>
    <x v="12"/>
    <x v="3"/>
    <n v="83"/>
    <s v="Wyoming"/>
    <x v="2"/>
    <x v="0"/>
    <x v="2"/>
    <n v="3.4"/>
    <x v="1"/>
    <s v="Standard"/>
    <s v="No"/>
    <s v="No"/>
    <n v="2"/>
    <s v="Credit Card"/>
    <x v="0"/>
  </r>
  <r>
    <n v="2657"/>
    <x v="16"/>
    <s v="Female"/>
    <x v="6"/>
    <x v="0"/>
    <n v="76"/>
    <s v="Indiana"/>
    <x v="0"/>
    <x v="22"/>
    <x v="0"/>
    <n v="3.6"/>
    <x v="1"/>
    <s v="Express"/>
    <s v="No"/>
    <s v="No"/>
    <n v="29"/>
    <s v="Bank Transfer"/>
    <x v="0"/>
  </r>
  <r>
    <n v="2658"/>
    <x v="16"/>
    <s v="Female"/>
    <x v="10"/>
    <x v="0"/>
    <n v="81"/>
    <s v="Texas"/>
    <x v="2"/>
    <x v="6"/>
    <x v="2"/>
    <n v="2.7"/>
    <x v="1"/>
    <s v="Express"/>
    <s v="No"/>
    <s v="No"/>
    <n v="7"/>
    <s v="Credit Card"/>
    <x v="0"/>
  </r>
  <r>
    <n v="2659"/>
    <x v="16"/>
    <s v="Female"/>
    <x v="8"/>
    <x v="3"/>
    <n v="47"/>
    <s v="Ohio"/>
    <x v="3"/>
    <x v="21"/>
    <x v="2"/>
    <n v="3.2"/>
    <x v="1"/>
    <s v="Next Day Air"/>
    <s v="No"/>
    <s v="No"/>
    <n v="39"/>
    <s v="PayPal"/>
    <x v="5"/>
  </r>
  <r>
    <n v="2660"/>
    <x v="25"/>
    <s v="Female"/>
    <x v="23"/>
    <x v="1"/>
    <n v="35"/>
    <s v="Kansas"/>
    <x v="0"/>
    <x v="0"/>
    <x v="2"/>
    <n v="4.4000000000000004"/>
    <x v="1"/>
    <s v="2-Day Shipping"/>
    <s v="No"/>
    <s v="No"/>
    <n v="46"/>
    <s v="Credit Card"/>
    <x v="0"/>
  </r>
  <r>
    <n v="2661"/>
    <x v="41"/>
    <s v="Female"/>
    <x v="13"/>
    <x v="0"/>
    <n v="85"/>
    <s v="South Carolina"/>
    <x v="0"/>
    <x v="22"/>
    <x v="1"/>
    <n v="4.9000000000000004"/>
    <x v="1"/>
    <s v="Express"/>
    <s v="No"/>
    <s v="No"/>
    <n v="44"/>
    <s v="Venmo"/>
    <x v="2"/>
  </r>
  <r>
    <n v="2662"/>
    <x v="49"/>
    <s v="Female"/>
    <x v="23"/>
    <x v="1"/>
    <n v="96"/>
    <s v="Michigan"/>
    <x v="3"/>
    <x v="8"/>
    <x v="3"/>
    <n v="4.8"/>
    <x v="1"/>
    <s v="Express"/>
    <s v="No"/>
    <s v="No"/>
    <n v="20"/>
    <s v="Bank Transfer"/>
    <x v="2"/>
  </r>
  <r>
    <n v="2663"/>
    <x v="15"/>
    <s v="Female"/>
    <x v="11"/>
    <x v="0"/>
    <n v="98"/>
    <s v="Nebraska"/>
    <x v="2"/>
    <x v="17"/>
    <x v="2"/>
    <n v="2.8"/>
    <x v="1"/>
    <s v="2-Day Shipping"/>
    <s v="No"/>
    <s v="No"/>
    <n v="44"/>
    <s v="PayPal"/>
    <x v="0"/>
  </r>
  <r>
    <n v="2664"/>
    <x v="5"/>
    <s v="Female"/>
    <x v="4"/>
    <x v="1"/>
    <n v="52"/>
    <s v="Wisconsin"/>
    <x v="0"/>
    <x v="5"/>
    <x v="3"/>
    <n v="2.9"/>
    <x v="1"/>
    <s v="Free Shipping"/>
    <s v="No"/>
    <s v="No"/>
    <n v="23"/>
    <s v="Bank Transfer"/>
    <x v="2"/>
  </r>
  <r>
    <n v="2665"/>
    <x v="40"/>
    <s v="Female"/>
    <x v="16"/>
    <x v="3"/>
    <n v="84"/>
    <s v="Illinois"/>
    <x v="0"/>
    <x v="5"/>
    <x v="0"/>
    <n v="3.2"/>
    <x v="1"/>
    <s v="Store Pickup"/>
    <s v="No"/>
    <s v="No"/>
    <n v="37"/>
    <s v="PayPal"/>
    <x v="1"/>
  </r>
  <r>
    <n v="2666"/>
    <x v="27"/>
    <s v="Female"/>
    <x v="17"/>
    <x v="0"/>
    <n v="71"/>
    <s v="Louisiana"/>
    <x v="0"/>
    <x v="16"/>
    <x v="0"/>
    <n v="3.5"/>
    <x v="1"/>
    <s v="Store Pickup"/>
    <s v="No"/>
    <s v="No"/>
    <n v="4"/>
    <s v="Venmo"/>
    <x v="1"/>
  </r>
  <r>
    <n v="2667"/>
    <x v="34"/>
    <s v="Female"/>
    <x v="3"/>
    <x v="1"/>
    <n v="95"/>
    <s v="Ohio"/>
    <x v="1"/>
    <x v="18"/>
    <x v="0"/>
    <n v="4.0999999999999996"/>
    <x v="1"/>
    <s v="Store Pickup"/>
    <s v="No"/>
    <s v="No"/>
    <n v="14"/>
    <s v="Venmo"/>
    <x v="0"/>
  </r>
  <r>
    <n v="2668"/>
    <x v="39"/>
    <s v="Female"/>
    <x v="23"/>
    <x v="1"/>
    <n v="47"/>
    <s v="Maryland"/>
    <x v="2"/>
    <x v="20"/>
    <x v="2"/>
    <n v="4.0999999999999996"/>
    <x v="1"/>
    <s v="Free Shipping"/>
    <s v="No"/>
    <s v="No"/>
    <n v="31"/>
    <s v="Cash"/>
    <x v="0"/>
  </r>
  <r>
    <n v="2669"/>
    <x v="35"/>
    <s v="Female"/>
    <x v="7"/>
    <x v="2"/>
    <n v="75"/>
    <s v="Texas"/>
    <x v="2"/>
    <x v="13"/>
    <x v="2"/>
    <n v="4.8"/>
    <x v="1"/>
    <s v="Next Day Air"/>
    <s v="No"/>
    <s v="No"/>
    <n v="9"/>
    <s v="PayPal"/>
    <x v="3"/>
  </r>
  <r>
    <n v="2670"/>
    <x v="31"/>
    <s v="Female"/>
    <x v="22"/>
    <x v="3"/>
    <n v="28"/>
    <s v="Illinois"/>
    <x v="0"/>
    <x v="11"/>
    <x v="1"/>
    <n v="2.8"/>
    <x v="1"/>
    <s v="Free Shipping"/>
    <s v="No"/>
    <s v="No"/>
    <n v="31"/>
    <s v="Credit Card"/>
    <x v="1"/>
  </r>
  <r>
    <n v="2671"/>
    <x v="11"/>
    <s v="Female"/>
    <x v="12"/>
    <x v="3"/>
    <n v="44"/>
    <s v="Pennsylvania"/>
    <x v="2"/>
    <x v="22"/>
    <x v="3"/>
    <n v="4.7"/>
    <x v="1"/>
    <s v="Express"/>
    <s v="No"/>
    <s v="No"/>
    <n v="26"/>
    <s v="Bank Transfer"/>
    <x v="4"/>
  </r>
  <r>
    <n v="2672"/>
    <x v="43"/>
    <s v="Female"/>
    <x v="3"/>
    <x v="1"/>
    <n v="64"/>
    <s v="Alabama"/>
    <x v="3"/>
    <x v="0"/>
    <x v="0"/>
    <n v="4.8"/>
    <x v="1"/>
    <s v="2-Day Shipping"/>
    <s v="No"/>
    <s v="No"/>
    <n v="41"/>
    <s v="PayPal"/>
    <x v="6"/>
  </r>
  <r>
    <n v="2673"/>
    <x v="19"/>
    <s v="Female"/>
    <x v="23"/>
    <x v="1"/>
    <n v="28"/>
    <s v="West Virginia"/>
    <x v="2"/>
    <x v="1"/>
    <x v="1"/>
    <n v="2.9"/>
    <x v="1"/>
    <s v="Standard"/>
    <s v="No"/>
    <s v="No"/>
    <n v="13"/>
    <s v="Cash"/>
    <x v="2"/>
  </r>
  <r>
    <n v="2674"/>
    <x v="29"/>
    <s v="Female"/>
    <x v="15"/>
    <x v="0"/>
    <n v="21"/>
    <s v="Nevada"/>
    <x v="2"/>
    <x v="8"/>
    <x v="2"/>
    <n v="2.6"/>
    <x v="1"/>
    <s v="2-Day Shipping"/>
    <s v="No"/>
    <s v="No"/>
    <n v="4"/>
    <s v="Cash"/>
    <x v="5"/>
  </r>
  <r>
    <n v="2675"/>
    <x v="37"/>
    <s v="Female"/>
    <x v="19"/>
    <x v="3"/>
    <n v="41"/>
    <s v="Florida"/>
    <x v="1"/>
    <x v="4"/>
    <x v="3"/>
    <n v="3.3"/>
    <x v="1"/>
    <s v="Express"/>
    <s v="No"/>
    <s v="No"/>
    <n v="15"/>
    <s v="Cash"/>
    <x v="6"/>
  </r>
  <r>
    <n v="2676"/>
    <x v="41"/>
    <s v="Female"/>
    <x v="6"/>
    <x v="0"/>
    <n v="38"/>
    <s v="Virginia"/>
    <x v="2"/>
    <x v="15"/>
    <x v="0"/>
    <n v="3.4"/>
    <x v="1"/>
    <s v="Free Shipping"/>
    <s v="No"/>
    <s v="No"/>
    <n v="38"/>
    <s v="Cash"/>
    <x v="4"/>
  </r>
  <r>
    <n v="2677"/>
    <x v="49"/>
    <s v="Female"/>
    <x v="21"/>
    <x v="3"/>
    <n v="77"/>
    <s v="Kentucky"/>
    <x v="2"/>
    <x v="1"/>
    <x v="1"/>
    <n v="3.6"/>
    <x v="1"/>
    <s v="Free Shipping"/>
    <s v="No"/>
    <s v="No"/>
    <n v="3"/>
    <s v="Cash"/>
    <x v="0"/>
  </r>
  <r>
    <n v="2678"/>
    <x v="4"/>
    <s v="Female"/>
    <x v="6"/>
    <x v="0"/>
    <n v="43"/>
    <s v="Connecticut"/>
    <x v="0"/>
    <x v="8"/>
    <x v="1"/>
    <n v="3.8"/>
    <x v="1"/>
    <s v="Next Day Air"/>
    <s v="No"/>
    <s v="No"/>
    <n v="6"/>
    <s v="PayPal"/>
    <x v="6"/>
  </r>
  <r>
    <n v="2679"/>
    <x v="23"/>
    <s v="Female"/>
    <x v="22"/>
    <x v="3"/>
    <n v="91"/>
    <s v="Montana"/>
    <x v="2"/>
    <x v="23"/>
    <x v="1"/>
    <n v="3.4"/>
    <x v="1"/>
    <s v="2-Day Shipping"/>
    <s v="No"/>
    <s v="No"/>
    <n v="34"/>
    <s v="Credit Card"/>
    <x v="4"/>
  </r>
  <r>
    <n v="2680"/>
    <x v="10"/>
    <s v="Female"/>
    <x v="6"/>
    <x v="0"/>
    <n v="68"/>
    <s v="Montana"/>
    <x v="1"/>
    <x v="22"/>
    <x v="1"/>
    <n v="3.8"/>
    <x v="1"/>
    <s v="Express"/>
    <s v="No"/>
    <s v="No"/>
    <n v="7"/>
    <s v="Debit Card"/>
    <x v="3"/>
  </r>
  <r>
    <n v="2681"/>
    <x v="42"/>
    <s v="Female"/>
    <x v="20"/>
    <x v="0"/>
    <n v="37"/>
    <s v="Nebraska"/>
    <x v="0"/>
    <x v="21"/>
    <x v="3"/>
    <n v="3.3"/>
    <x v="1"/>
    <s v="Next Day Air"/>
    <s v="No"/>
    <s v="No"/>
    <n v="21"/>
    <s v="Venmo"/>
    <x v="2"/>
  </r>
  <r>
    <n v="2682"/>
    <x v="51"/>
    <s v="Female"/>
    <x v="9"/>
    <x v="1"/>
    <n v="23"/>
    <s v="Massachusetts"/>
    <x v="0"/>
    <x v="8"/>
    <x v="2"/>
    <n v="4.8"/>
    <x v="1"/>
    <s v="Standard"/>
    <s v="No"/>
    <s v="No"/>
    <n v="17"/>
    <s v="Debit Card"/>
    <x v="5"/>
  </r>
  <r>
    <n v="2683"/>
    <x v="35"/>
    <s v="Female"/>
    <x v="4"/>
    <x v="1"/>
    <n v="65"/>
    <s v="North Carolina"/>
    <x v="0"/>
    <x v="1"/>
    <x v="0"/>
    <n v="3.9"/>
    <x v="1"/>
    <s v="2-Day Shipping"/>
    <s v="No"/>
    <s v="No"/>
    <n v="5"/>
    <s v="Venmo"/>
    <x v="6"/>
  </r>
  <r>
    <n v="2684"/>
    <x v="33"/>
    <s v="Female"/>
    <x v="21"/>
    <x v="3"/>
    <n v="30"/>
    <s v="Montana"/>
    <x v="2"/>
    <x v="21"/>
    <x v="2"/>
    <n v="4.2"/>
    <x v="1"/>
    <s v="Next Day Air"/>
    <s v="No"/>
    <s v="No"/>
    <n v="21"/>
    <s v="Cash"/>
    <x v="0"/>
  </r>
  <r>
    <n v="2685"/>
    <x v="5"/>
    <s v="Female"/>
    <x v="10"/>
    <x v="0"/>
    <n v="45"/>
    <s v="Washington"/>
    <x v="2"/>
    <x v="0"/>
    <x v="2"/>
    <n v="4.7"/>
    <x v="1"/>
    <s v="Free Shipping"/>
    <s v="No"/>
    <s v="No"/>
    <n v="42"/>
    <s v="Credit Card"/>
    <x v="4"/>
  </r>
  <r>
    <n v="2686"/>
    <x v="19"/>
    <s v="Female"/>
    <x v="23"/>
    <x v="1"/>
    <n v="25"/>
    <s v="Virginia"/>
    <x v="2"/>
    <x v="0"/>
    <x v="0"/>
    <n v="2.7"/>
    <x v="1"/>
    <s v="Express"/>
    <s v="No"/>
    <s v="No"/>
    <n v="49"/>
    <s v="Credit Card"/>
    <x v="3"/>
  </r>
  <r>
    <n v="2687"/>
    <x v="37"/>
    <s v="Female"/>
    <x v="20"/>
    <x v="0"/>
    <n v="72"/>
    <s v="Georgia"/>
    <x v="2"/>
    <x v="13"/>
    <x v="0"/>
    <n v="3.8"/>
    <x v="1"/>
    <s v="2-Day Shipping"/>
    <s v="No"/>
    <s v="No"/>
    <n v="33"/>
    <s v="Cash"/>
    <x v="0"/>
  </r>
  <r>
    <n v="2688"/>
    <x v="12"/>
    <s v="Female"/>
    <x v="10"/>
    <x v="0"/>
    <n v="75"/>
    <s v="Delaware"/>
    <x v="2"/>
    <x v="3"/>
    <x v="3"/>
    <n v="3.6"/>
    <x v="1"/>
    <s v="2-Day Shipping"/>
    <s v="No"/>
    <s v="No"/>
    <n v="12"/>
    <s v="Debit Card"/>
    <x v="4"/>
  </r>
  <r>
    <n v="2689"/>
    <x v="10"/>
    <s v="Female"/>
    <x v="8"/>
    <x v="3"/>
    <n v="63"/>
    <s v="West Virginia"/>
    <x v="3"/>
    <x v="2"/>
    <x v="1"/>
    <n v="2.9"/>
    <x v="1"/>
    <s v="2-Day Shipping"/>
    <s v="No"/>
    <s v="No"/>
    <n v="18"/>
    <s v="Credit Card"/>
    <x v="6"/>
  </r>
  <r>
    <n v="2690"/>
    <x v="26"/>
    <s v="Female"/>
    <x v="0"/>
    <x v="0"/>
    <n v="35"/>
    <s v="Wyoming"/>
    <x v="2"/>
    <x v="20"/>
    <x v="3"/>
    <n v="3.9"/>
    <x v="1"/>
    <s v="Standard"/>
    <s v="No"/>
    <s v="No"/>
    <n v="47"/>
    <s v="PayPal"/>
    <x v="3"/>
  </r>
  <r>
    <n v="2691"/>
    <x v="42"/>
    <s v="Female"/>
    <x v="22"/>
    <x v="3"/>
    <n v="32"/>
    <s v="New Mexico"/>
    <x v="0"/>
    <x v="22"/>
    <x v="2"/>
    <n v="4.7"/>
    <x v="1"/>
    <s v="Free Shipping"/>
    <s v="No"/>
    <s v="No"/>
    <n v="18"/>
    <s v="Bank Transfer"/>
    <x v="1"/>
  </r>
  <r>
    <n v="2692"/>
    <x v="49"/>
    <s v="Female"/>
    <x v="13"/>
    <x v="0"/>
    <n v="25"/>
    <s v="Nebraska"/>
    <x v="0"/>
    <x v="24"/>
    <x v="0"/>
    <n v="3.3"/>
    <x v="1"/>
    <s v="2-Day Shipping"/>
    <s v="No"/>
    <s v="No"/>
    <n v="48"/>
    <s v="Cash"/>
    <x v="5"/>
  </r>
  <r>
    <n v="2693"/>
    <x v="37"/>
    <s v="Female"/>
    <x v="4"/>
    <x v="1"/>
    <n v="90"/>
    <s v="Washington"/>
    <x v="3"/>
    <x v="10"/>
    <x v="1"/>
    <n v="4.2"/>
    <x v="1"/>
    <s v="Free Shipping"/>
    <s v="No"/>
    <s v="No"/>
    <n v="18"/>
    <s v="Debit Card"/>
    <x v="6"/>
  </r>
  <r>
    <n v="2694"/>
    <x v="0"/>
    <s v="Female"/>
    <x v="23"/>
    <x v="1"/>
    <n v="70"/>
    <s v="Hawaii"/>
    <x v="0"/>
    <x v="12"/>
    <x v="2"/>
    <n v="2.6"/>
    <x v="1"/>
    <s v="Standard"/>
    <s v="No"/>
    <s v="No"/>
    <n v="46"/>
    <s v="Cash"/>
    <x v="3"/>
  </r>
  <r>
    <n v="2695"/>
    <x v="17"/>
    <s v="Female"/>
    <x v="12"/>
    <x v="3"/>
    <n v="27"/>
    <s v="Louisiana"/>
    <x v="2"/>
    <x v="8"/>
    <x v="1"/>
    <n v="4.9000000000000004"/>
    <x v="1"/>
    <s v="Express"/>
    <s v="No"/>
    <s v="No"/>
    <n v="34"/>
    <s v="Credit Card"/>
    <x v="6"/>
  </r>
  <r>
    <n v="2696"/>
    <x v="2"/>
    <s v="Female"/>
    <x v="19"/>
    <x v="3"/>
    <n v="92"/>
    <s v="Tennessee"/>
    <x v="2"/>
    <x v="20"/>
    <x v="3"/>
    <n v="3.6"/>
    <x v="1"/>
    <s v="Standard"/>
    <s v="No"/>
    <s v="No"/>
    <n v="10"/>
    <s v="PayPal"/>
    <x v="4"/>
  </r>
  <r>
    <n v="2697"/>
    <x v="9"/>
    <s v="Female"/>
    <x v="7"/>
    <x v="2"/>
    <n v="20"/>
    <s v="South Dakota"/>
    <x v="2"/>
    <x v="3"/>
    <x v="1"/>
    <n v="4.7"/>
    <x v="1"/>
    <s v="Free Shipping"/>
    <s v="No"/>
    <s v="No"/>
    <n v="12"/>
    <s v="Debit Card"/>
    <x v="5"/>
  </r>
  <r>
    <n v="2698"/>
    <x v="32"/>
    <s v="Female"/>
    <x v="14"/>
    <x v="2"/>
    <n v="52"/>
    <s v="Delaware"/>
    <x v="0"/>
    <x v="16"/>
    <x v="0"/>
    <n v="3.2"/>
    <x v="1"/>
    <s v="Standard"/>
    <s v="No"/>
    <s v="No"/>
    <n v="36"/>
    <s v="Bank Transfer"/>
    <x v="3"/>
  </r>
  <r>
    <n v="2699"/>
    <x v="0"/>
    <s v="Female"/>
    <x v="15"/>
    <x v="0"/>
    <n v="57"/>
    <s v="Virginia"/>
    <x v="2"/>
    <x v="23"/>
    <x v="2"/>
    <n v="3.6"/>
    <x v="1"/>
    <s v="Store Pickup"/>
    <s v="No"/>
    <s v="No"/>
    <n v="34"/>
    <s v="Venmo"/>
    <x v="3"/>
  </r>
  <r>
    <n v="2700"/>
    <x v="15"/>
    <s v="Female"/>
    <x v="23"/>
    <x v="1"/>
    <n v="96"/>
    <s v="Utah"/>
    <x v="2"/>
    <x v="10"/>
    <x v="3"/>
    <n v="3.6"/>
    <x v="1"/>
    <s v="2-Day Shipping"/>
    <s v="No"/>
    <s v="No"/>
    <n v="49"/>
    <s v="Debit Card"/>
    <x v="2"/>
  </r>
  <r>
    <n v="2701"/>
    <x v="40"/>
    <s v="Female"/>
    <x v="17"/>
    <x v="0"/>
    <n v="68"/>
    <s v="California"/>
    <x v="3"/>
    <x v="8"/>
    <x v="0"/>
    <n v="3.2"/>
    <x v="1"/>
    <s v="Standard"/>
    <s v="No"/>
    <s v="No"/>
    <n v="36"/>
    <s v="Cash"/>
    <x v="1"/>
  </r>
  <r>
    <n v="2702"/>
    <x v="34"/>
    <s v="Female"/>
    <x v="1"/>
    <x v="0"/>
    <n v="30"/>
    <s v="Idaho"/>
    <x v="0"/>
    <x v="5"/>
    <x v="2"/>
    <n v="2.8"/>
    <x v="1"/>
    <s v="Store Pickup"/>
    <s v="No"/>
    <s v="No"/>
    <n v="18"/>
    <s v="Bank Transfer"/>
    <x v="0"/>
  </r>
  <r>
    <n v="2703"/>
    <x v="27"/>
    <s v="Female"/>
    <x v="9"/>
    <x v="1"/>
    <n v="37"/>
    <s v="Texas"/>
    <x v="0"/>
    <x v="0"/>
    <x v="3"/>
    <n v="4"/>
    <x v="1"/>
    <s v="Next Day Air"/>
    <s v="No"/>
    <s v="No"/>
    <n v="39"/>
    <s v="Debit Card"/>
    <x v="0"/>
  </r>
  <r>
    <n v="2704"/>
    <x v="19"/>
    <s v="Female"/>
    <x v="18"/>
    <x v="3"/>
    <n v="42"/>
    <s v="Tennessee"/>
    <x v="3"/>
    <x v="8"/>
    <x v="0"/>
    <n v="4.4000000000000004"/>
    <x v="1"/>
    <s v="Free Shipping"/>
    <s v="No"/>
    <s v="No"/>
    <n v="34"/>
    <s v="PayPal"/>
    <x v="1"/>
  </r>
  <r>
    <n v="2705"/>
    <x v="16"/>
    <s v="Female"/>
    <x v="10"/>
    <x v="0"/>
    <n v="54"/>
    <s v="Tennessee"/>
    <x v="0"/>
    <x v="19"/>
    <x v="1"/>
    <n v="3.4"/>
    <x v="1"/>
    <s v="Next Day Air"/>
    <s v="No"/>
    <s v="No"/>
    <n v="35"/>
    <s v="Debit Card"/>
    <x v="1"/>
  </r>
  <r>
    <n v="2706"/>
    <x v="13"/>
    <s v="Female"/>
    <x v="14"/>
    <x v="2"/>
    <n v="81"/>
    <s v="Washington"/>
    <x v="1"/>
    <x v="2"/>
    <x v="1"/>
    <n v="5"/>
    <x v="1"/>
    <s v="Store Pickup"/>
    <s v="No"/>
    <s v="No"/>
    <n v="1"/>
    <s v="Credit Card"/>
    <x v="4"/>
  </r>
  <r>
    <n v="2707"/>
    <x v="41"/>
    <s v="Female"/>
    <x v="9"/>
    <x v="1"/>
    <n v="40"/>
    <s v="Alabama"/>
    <x v="1"/>
    <x v="24"/>
    <x v="1"/>
    <n v="3.1"/>
    <x v="1"/>
    <s v="Express"/>
    <s v="No"/>
    <s v="No"/>
    <n v="48"/>
    <s v="Debit Card"/>
    <x v="3"/>
  </r>
  <r>
    <n v="2708"/>
    <x v="45"/>
    <s v="Female"/>
    <x v="21"/>
    <x v="3"/>
    <n v="88"/>
    <s v="Nebraska"/>
    <x v="2"/>
    <x v="6"/>
    <x v="3"/>
    <n v="4.2"/>
    <x v="1"/>
    <s v="Standard"/>
    <s v="No"/>
    <s v="No"/>
    <n v="19"/>
    <s v="Cash"/>
    <x v="1"/>
  </r>
  <r>
    <n v="2709"/>
    <x v="9"/>
    <s v="Female"/>
    <x v="10"/>
    <x v="0"/>
    <n v="94"/>
    <s v="Alabama"/>
    <x v="2"/>
    <x v="11"/>
    <x v="2"/>
    <n v="3.3"/>
    <x v="1"/>
    <s v="Store Pickup"/>
    <s v="No"/>
    <s v="No"/>
    <n v="44"/>
    <s v="Debit Card"/>
    <x v="1"/>
  </r>
  <r>
    <n v="2710"/>
    <x v="25"/>
    <s v="Female"/>
    <x v="5"/>
    <x v="0"/>
    <n v="54"/>
    <s v="Illinois"/>
    <x v="1"/>
    <x v="17"/>
    <x v="0"/>
    <n v="2.9"/>
    <x v="1"/>
    <s v="Standard"/>
    <s v="No"/>
    <s v="No"/>
    <n v="9"/>
    <s v="Credit Card"/>
    <x v="4"/>
  </r>
  <r>
    <n v="2711"/>
    <x v="28"/>
    <s v="Female"/>
    <x v="14"/>
    <x v="2"/>
    <n v="51"/>
    <s v="Wisconsin"/>
    <x v="0"/>
    <x v="7"/>
    <x v="2"/>
    <n v="4.7"/>
    <x v="1"/>
    <s v="Standard"/>
    <s v="No"/>
    <s v="No"/>
    <n v="3"/>
    <s v="Bank Transfer"/>
    <x v="0"/>
  </r>
  <r>
    <n v="2712"/>
    <x v="11"/>
    <s v="Female"/>
    <x v="12"/>
    <x v="3"/>
    <n v="22"/>
    <s v="Nebraska"/>
    <x v="0"/>
    <x v="16"/>
    <x v="1"/>
    <n v="4"/>
    <x v="1"/>
    <s v="Standard"/>
    <s v="No"/>
    <s v="No"/>
    <n v="50"/>
    <s v="Venmo"/>
    <x v="5"/>
  </r>
  <r>
    <n v="2713"/>
    <x v="43"/>
    <s v="Female"/>
    <x v="14"/>
    <x v="2"/>
    <n v="95"/>
    <s v="North Dakota"/>
    <x v="0"/>
    <x v="18"/>
    <x v="3"/>
    <n v="4.5999999999999996"/>
    <x v="1"/>
    <s v="Standard"/>
    <s v="No"/>
    <s v="No"/>
    <n v="7"/>
    <s v="Debit Card"/>
    <x v="3"/>
  </r>
  <r>
    <n v="2714"/>
    <x v="1"/>
    <s v="Female"/>
    <x v="7"/>
    <x v="2"/>
    <n v="57"/>
    <s v="Mississippi"/>
    <x v="2"/>
    <x v="23"/>
    <x v="3"/>
    <n v="3.8"/>
    <x v="1"/>
    <s v="2-Day Shipping"/>
    <s v="No"/>
    <s v="No"/>
    <n v="20"/>
    <s v="Debit Card"/>
    <x v="2"/>
  </r>
  <r>
    <n v="2715"/>
    <x v="10"/>
    <s v="Female"/>
    <x v="1"/>
    <x v="0"/>
    <n v="45"/>
    <s v="Iowa"/>
    <x v="1"/>
    <x v="8"/>
    <x v="0"/>
    <n v="3.6"/>
    <x v="1"/>
    <s v="Store Pickup"/>
    <s v="No"/>
    <s v="No"/>
    <n v="16"/>
    <s v="Credit Card"/>
    <x v="4"/>
  </r>
  <r>
    <n v="2716"/>
    <x v="15"/>
    <s v="Female"/>
    <x v="4"/>
    <x v="1"/>
    <n v="92"/>
    <s v="Mississippi"/>
    <x v="3"/>
    <x v="6"/>
    <x v="0"/>
    <n v="4.0999999999999996"/>
    <x v="1"/>
    <s v="Express"/>
    <s v="No"/>
    <s v="No"/>
    <n v="29"/>
    <s v="PayPal"/>
    <x v="0"/>
  </r>
  <r>
    <n v="2717"/>
    <x v="36"/>
    <s v="Female"/>
    <x v="9"/>
    <x v="1"/>
    <n v="40"/>
    <s v="Colorado"/>
    <x v="0"/>
    <x v="13"/>
    <x v="1"/>
    <n v="2.7"/>
    <x v="1"/>
    <s v="Store Pickup"/>
    <s v="No"/>
    <s v="No"/>
    <n v="21"/>
    <s v="Debit Card"/>
    <x v="1"/>
  </r>
  <r>
    <n v="2718"/>
    <x v="20"/>
    <s v="Female"/>
    <x v="12"/>
    <x v="3"/>
    <n v="62"/>
    <s v="Nebraska"/>
    <x v="3"/>
    <x v="19"/>
    <x v="0"/>
    <n v="4.3"/>
    <x v="1"/>
    <s v="Free Shipping"/>
    <s v="No"/>
    <s v="No"/>
    <n v="19"/>
    <s v="Credit Card"/>
    <x v="6"/>
  </r>
  <r>
    <n v="2719"/>
    <x v="40"/>
    <s v="Female"/>
    <x v="6"/>
    <x v="0"/>
    <n v="90"/>
    <s v="Virginia"/>
    <x v="2"/>
    <x v="15"/>
    <x v="0"/>
    <n v="4.9000000000000004"/>
    <x v="1"/>
    <s v="Next Day Air"/>
    <s v="No"/>
    <s v="No"/>
    <n v="10"/>
    <s v="Venmo"/>
    <x v="4"/>
  </r>
  <r>
    <n v="2720"/>
    <x v="28"/>
    <s v="Female"/>
    <x v="15"/>
    <x v="0"/>
    <n v="82"/>
    <s v="Louisiana"/>
    <x v="1"/>
    <x v="15"/>
    <x v="3"/>
    <n v="4.2"/>
    <x v="1"/>
    <s v="Free Shipping"/>
    <s v="No"/>
    <s v="No"/>
    <n v="4"/>
    <s v="Bank Transfer"/>
    <x v="5"/>
  </r>
  <r>
    <n v="2721"/>
    <x v="0"/>
    <s v="Female"/>
    <x v="18"/>
    <x v="3"/>
    <n v="52"/>
    <s v="Maryland"/>
    <x v="2"/>
    <x v="15"/>
    <x v="1"/>
    <n v="2.8"/>
    <x v="1"/>
    <s v="Store Pickup"/>
    <s v="No"/>
    <s v="No"/>
    <n v="45"/>
    <s v="Bank Transfer"/>
    <x v="3"/>
  </r>
  <r>
    <n v="2722"/>
    <x v="1"/>
    <s v="Female"/>
    <x v="3"/>
    <x v="1"/>
    <n v="70"/>
    <s v="Minnesota"/>
    <x v="1"/>
    <x v="11"/>
    <x v="1"/>
    <n v="4.9000000000000004"/>
    <x v="1"/>
    <s v="Free Shipping"/>
    <s v="No"/>
    <s v="No"/>
    <n v="17"/>
    <s v="PayPal"/>
    <x v="0"/>
  </r>
  <r>
    <n v="2723"/>
    <x v="51"/>
    <s v="Female"/>
    <x v="19"/>
    <x v="3"/>
    <n v="83"/>
    <s v="Maine"/>
    <x v="2"/>
    <x v="14"/>
    <x v="1"/>
    <n v="2.8"/>
    <x v="1"/>
    <s v="2-Day Shipping"/>
    <s v="No"/>
    <s v="No"/>
    <n v="22"/>
    <s v="PayPal"/>
    <x v="0"/>
  </r>
  <r>
    <n v="2724"/>
    <x v="22"/>
    <s v="Female"/>
    <x v="9"/>
    <x v="1"/>
    <n v="49"/>
    <s v="Texas"/>
    <x v="3"/>
    <x v="18"/>
    <x v="2"/>
    <n v="2.9"/>
    <x v="1"/>
    <s v="Store Pickup"/>
    <s v="No"/>
    <s v="No"/>
    <n v="3"/>
    <s v="PayPal"/>
    <x v="6"/>
  </r>
  <r>
    <n v="2725"/>
    <x v="16"/>
    <s v="Female"/>
    <x v="4"/>
    <x v="1"/>
    <n v="91"/>
    <s v="Missouri"/>
    <x v="2"/>
    <x v="18"/>
    <x v="1"/>
    <n v="2.5"/>
    <x v="1"/>
    <s v="Next Day Air"/>
    <s v="No"/>
    <s v="No"/>
    <n v="11"/>
    <s v="Debit Card"/>
    <x v="0"/>
  </r>
  <r>
    <n v="2726"/>
    <x v="14"/>
    <s v="Female"/>
    <x v="21"/>
    <x v="3"/>
    <n v="99"/>
    <s v="Mississippi"/>
    <x v="1"/>
    <x v="10"/>
    <x v="2"/>
    <n v="2.7"/>
    <x v="1"/>
    <s v="Free Shipping"/>
    <s v="No"/>
    <s v="No"/>
    <n v="4"/>
    <s v="Debit Card"/>
    <x v="2"/>
  </r>
  <r>
    <n v="2727"/>
    <x v="23"/>
    <s v="Female"/>
    <x v="22"/>
    <x v="3"/>
    <n v="92"/>
    <s v="Michigan"/>
    <x v="0"/>
    <x v="24"/>
    <x v="0"/>
    <n v="3.3"/>
    <x v="1"/>
    <s v="Free Shipping"/>
    <s v="No"/>
    <s v="No"/>
    <n v="11"/>
    <s v="PayPal"/>
    <x v="4"/>
  </r>
  <r>
    <n v="2728"/>
    <x v="37"/>
    <s v="Female"/>
    <x v="5"/>
    <x v="0"/>
    <n v="87"/>
    <s v="Colorado"/>
    <x v="0"/>
    <x v="4"/>
    <x v="0"/>
    <n v="3.7"/>
    <x v="1"/>
    <s v="2-Day Shipping"/>
    <s v="No"/>
    <s v="No"/>
    <n v="47"/>
    <s v="Credit Card"/>
    <x v="0"/>
  </r>
  <r>
    <n v="2729"/>
    <x v="8"/>
    <s v="Female"/>
    <x v="11"/>
    <x v="0"/>
    <n v="28"/>
    <s v="Florida"/>
    <x v="2"/>
    <x v="6"/>
    <x v="0"/>
    <n v="4"/>
    <x v="1"/>
    <s v="Express"/>
    <s v="No"/>
    <s v="No"/>
    <n v="17"/>
    <s v="Debit Card"/>
    <x v="1"/>
  </r>
  <r>
    <n v="2730"/>
    <x v="18"/>
    <s v="Female"/>
    <x v="24"/>
    <x v="3"/>
    <n v="71"/>
    <s v="Montana"/>
    <x v="1"/>
    <x v="10"/>
    <x v="2"/>
    <n v="4.0999999999999996"/>
    <x v="1"/>
    <s v="Free Shipping"/>
    <s v="No"/>
    <s v="No"/>
    <n v="32"/>
    <s v="Credit Card"/>
    <x v="5"/>
  </r>
  <r>
    <n v="2731"/>
    <x v="51"/>
    <s v="Female"/>
    <x v="24"/>
    <x v="3"/>
    <n v="32"/>
    <s v="Wisconsin"/>
    <x v="2"/>
    <x v="11"/>
    <x v="0"/>
    <n v="4.0999999999999996"/>
    <x v="1"/>
    <s v="Store Pickup"/>
    <s v="No"/>
    <s v="No"/>
    <n v="37"/>
    <s v="Bank Transfer"/>
    <x v="2"/>
  </r>
  <r>
    <n v="2732"/>
    <x v="16"/>
    <s v="Female"/>
    <x v="8"/>
    <x v="3"/>
    <n v="33"/>
    <s v="Wisconsin"/>
    <x v="2"/>
    <x v="16"/>
    <x v="2"/>
    <n v="2.5"/>
    <x v="1"/>
    <s v="2-Day Shipping"/>
    <s v="No"/>
    <s v="No"/>
    <n v="44"/>
    <s v="Bank Transfer"/>
    <x v="3"/>
  </r>
  <r>
    <n v="2733"/>
    <x v="3"/>
    <s v="Female"/>
    <x v="20"/>
    <x v="0"/>
    <n v="75"/>
    <s v="Delaware"/>
    <x v="0"/>
    <x v="20"/>
    <x v="0"/>
    <n v="4.2"/>
    <x v="1"/>
    <s v="Store Pickup"/>
    <s v="No"/>
    <s v="No"/>
    <n v="27"/>
    <s v="Debit Card"/>
    <x v="6"/>
  </r>
  <r>
    <n v="2734"/>
    <x v="18"/>
    <s v="Female"/>
    <x v="21"/>
    <x v="3"/>
    <n v="83"/>
    <s v="North Carolina"/>
    <x v="2"/>
    <x v="23"/>
    <x v="2"/>
    <n v="4.7"/>
    <x v="1"/>
    <s v="Express"/>
    <s v="No"/>
    <s v="No"/>
    <n v="46"/>
    <s v="PayPal"/>
    <x v="2"/>
  </r>
  <r>
    <n v="2735"/>
    <x v="6"/>
    <s v="Female"/>
    <x v="2"/>
    <x v="0"/>
    <n v="93"/>
    <s v="New York"/>
    <x v="3"/>
    <x v="22"/>
    <x v="2"/>
    <n v="2.7"/>
    <x v="1"/>
    <s v="2-Day Shipping"/>
    <s v="No"/>
    <s v="No"/>
    <n v="13"/>
    <s v="Cash"/>
    <x v="4"/>
  </r>
  <r>
    <n v="2736"/>
    <x v="5"/>
    <s v="Female"/>
    <x v="11"/>
    <x v="0"/>
    <n v="29"/>
    <s v="California"/>
    <x v="2"/>
    <x v="22"/>
    <x v="1"/>
    <n v="3"/>
    <x v="1"/>
    <s v="Express"/>
    <s v="No"/>
    <s v="No"/>
    <n v="2"/>
    <s v="PayPal"/>
    <x v="4"/>
  </r>
  <r>
    <n v="2737"/>
    <x v="42"/>
    <s v="Female"/>
    <x v="15"/>
    <x v="0"/>
    <n v="25"/>
    <s v="Montana"/>
    <x v="2"/>
    <x v="6"/>
    <x v="1"/>
    <n v="4.8"/>
    <x v="1"/>
    <s v="Store Pickup"/>
    <s v="No"/>
    <s v="No"/>
    <n v="45"/>
    <s v="Credit Card"/>
    <x v="2"/>
  </r>
  <r>
    <n v="2738"/>
    <x v="9"/>
    <s v="Female"/>
    <x v="16"/>
    <x v="3"/>
    <n v="76"/>
    <s v="North Carolina"/>
    <x v="1"/>
    <x v="21"/>
    <x v="1"/>
    <n v="4.4000000000000004"/>
    <x v="1"/>
    <s v="Free Shipping"/>
    <s v="No"/>
    <s v="No"/>
    <n v="35"/>
    <s v="Cash"/>
    <x v="6"/>
  </r>
  <r>
    <n v="2739"/>
    <x v="2"/>
    <s v="Female"/>
    <x v="4"/>
    <x v="1"/>
    <n v="81"/>
    <s v="Ohio"/>
    <x v="2"/>
    <x v="4"/>
    <x v="2"/>
    <n v="4.3"/>
    <x v="1"/>
    <s v="2-Day Shipping"/>
    <s v="No"/>
    <s v="No"/>
    <n v="39"/>
    <s v="Venmo"/>
    <x v="6"/>
  </r>
  <r>
    <n v="2740"/>
    <x v="23"/>
    <s v="Female"/>
    <x v="5"/>
    <x v="0"/>
    <n v="80"/>
    <s v="Alaska"/>
    <x v="3"/>
    <x v="24"/>
    <x v="0"/>
    <n v="2.5"/>
    <x v="1"/>
    <s v="Store Pickup"/>
    <s v="No"/>
    <s v="No"/>
    <n v="39"/>
    <s v="Credit Card"/>
    <x v="6"/>
  </r>
  <r>
    <n v="2741"/>
    <x v="1"/>
    <s v="Female"/>
    <x v="12"/>
    <x v="3"/>
    <n v="70"/>
    <s v="Pennsylvania"/>
    <x v="2"/>
    <x v="12"/>
    <x v="2"/>
    <n v="4.9000000000000004"/>
    <x v="1"/>
    <s v="Free Shipping"/>
    <s v="No"/>
    <s v="No"/>
    <n v="34"/>
    <s v="Bank Transfer"/>
    <x v="0"/>
  </r>
  <r>
    <n v="2742"/>
    <x v="33"/>
    <s v="Female"/>
    <x v="10"/>
    <x v="0"/>
    <n v="81"/>
    <s v="Maine"/>
    <x v="0"/>
    <x v="22"/>
    <x v="3"/>
    <n v="4.9000000000000004"/>
    <x v="1"/>
    <s v="2-Day Shipping"/>
    <s v="No"/>
    <s v="No"/>
    <n v="41"/>
    <s v="Venmo"/>
    <x v="5"/>
  </r>
  <r>
    <n v="2743"/>
    <x v="7"/>
    <s v="Female"/>
    <x v="9"/>
    <x v="1"/>
    <n v="86"/>
    <s v="Texas"/>
    <x v="2"/>
    <x v="13"/>
    <x v="1"/>
    <n v="3.9"/>
    <x v="1"/>
    <s v="Free Shipping"/>
    <s v="No"/>
    <s v="No"/>
    <n v="47"/>
    <s v="Debit Card"/>
    <x v="2"/>
  </r>
  <r>
    <n v="2744"/>
    <x v="12"/>
    <s v="Female"/>
    <x v="22"/>
    <x v="3"/>
    <n v="94"/>
    <s v="New Jersey"/>
    <x v="1"/>
    <x v="19"/>
    <x v="3"/>
    <n v="4.0999999999999996"/>
    <x v="1"/>
    <s v="2-Day Shipping"/>
    <s v="No"/>
    <s v="No"/>
    <n v="17"/>
    <s v="Venmo"/>
    <x v="3"/>
  </r>
  <r>
    <n v="2745"/>
    <x v="21"/>
    <s v="Female"/>
    <x v="5"/>
    <x v="0"/>
    <n v="66"/>
    <s v="Wyoming"/>
    <x v="2"/>
    <x v="5"/>
    <x v="0"/>
    <n v="3.3"/>
    <x v="1"/>
    <s v="Store Pickup"/>
    <s v="No"/>
    <s v="No"/>
    <n v="40"/>
    <s v="Credit Card"/>
    <x v="5"/>
  </r>
  <r>
    <n v="2746"/>
    <x v="48"/>
    <s v="Female"/>
    <x v="23"/>
    <x v="1"/>
    <n v="98"/>
    <s v="Michigan"/>
    <x v="2"/>
    <x v="23"/>
    <x v="2"/>
    <n v="4.0999999999999996"/>
    <x v="1"/>
    <s v="Standard"/>
    <s v="No"/>
    <s v="No"/>
    <n v="44"/>
    <s v="PayPal"/>
    <x v="4"/>
  </r>
  <r>
    <n v="2747"/>
    <x v="31"/>
    <s v="Female"/>
    <x v="15"/>
    <x v="0"/>
    <n v="25"/>
    <s v="Ohio"/>
    <x v="2"/>
    <x v="20"/>
    <x v="3"/>
    <n v="3.7"/>
    <x v="1"/>
    <s v="Standard"/>
    <s v="No"/>
    <s v="No"/>
    <n v="21"/>
    <s v="PayPal"/>
    <x v="6"/>
  </r>
  <r>
    <n v="2748"/>
    <x v="20"/>
    <s v="Female"/>
    <x v="2"/>
    <x v="0"/>
    <n v="62"/>
    <s v="West Virginia"/>
    <x v="2"/>
    <x v="11"/>
    <x v="0"/>
    <n v="3.1"/>
    <x v="1"/>
    <s v="Free Shipping"/>
    <s v="No"/>
    <s v="No"/>
    <n v="21"/>
    <s v="Credit Card"/>
    <x v="6"/>
  </r>
  <r>
    <n v="2749"/>
    <x v="41"/>
    <s v="Female"/>
    <x v="14"/>
    <x v="2"/>
    <n v="98"/>
    <s v="Virginia"/>
    <x v="0"/>
    <x v="2"/>
    <x v="1"/>
    <n v="3"/>
    <x v="1"/>
    <s v="Free Shipping"/>
    <s v="No"/>
    <s v="No"/>
    <n v="16"/>
    <s v="Venmo"/>
    <x v="2"/>
  </r>
  <r>
    <n v="2750"/>
    <x v="14"/>
    <s v="Female"/>
    <x v="14"/>
    <x v="2"/>
    <n v="53"/>
    <s v="Vermont"/>
    <x v="2"/>
    <x v="17"/>
    <x v="1"/>
    <n v="3.4"/>
    <x v="1"/>
    <s v="Standard"/>
    <s v="No"/>
    <s v="No"/>
    <n v="15"/>
    <s v="Bank Transfer"/>
    <x v="2"/>
  </r>
  <r>
    <n v="2751"/>
    <x v="47"/>
    <s v="Female"/>
    <x v="3"/>
    <x v="1"/>
    <n v="66"/>
    <s v="Alaska"/>
    <x v="0"/>
    <x v="6"/>
    <x v="1"/>
    <n v="2.7"/>
    <x v="1"/>
    <s v="2-Day Shipping"/>
    <s v="No"/>
    <s v="No"/>
    <n v="26"/>
    <s v="PayPal"/>
    <x v="6"/>
  </r>
  <r>
    <n v="2752"/>
    <x v="7"/>
    <s v="Female"/>
    <x v="10"/>
    <x v="0"/>
    <n v="52"/>
    <s v="Minnesota"/>
    <x v="1"/>
    <x v="21"/>
    <x v="3"/>
    <n v="3.1"/>
    <x v="1"/>
    <s v="Free Shipping"/>
    <s v="No"/>
    <s v="No"/>
    <n v="50"/>
    <s v="Venmo"/>
    <x v="5"/>
  </r>
  <r>
    <n v="2753"/>
    <x v="39"/>
    <s v="Female"/>
    <x v="1"/>
    <x v="0"/>
    <n v="64"/>
    <s v="Colorado"/>
    <x v="1"/>
    <x v="15"/>
    <x v="0"/>
    <n v="4"/>
    <x v="1"/>
    <s v="Free Shipping"/>
    <s v="No"/>
    <s v="No"/>
    <n v="30"/>
    <s v="Venmo"/>
    <x v="4"/>
  </r>
  <r>
    <n v="2754"/>
    <x v="28"/>
    <s v="Female"/>
    <x v="24"/>
    <x v="3"/>
    <n v="59"/>
    <s v="Rhode Island"/>
    <x v="2"/>
    <x v="19"/>
    <x v="1"/>
    <n v="3.6"/>
    <x v="1"/>
    <s v="Next Day Air"/>
    <s v="No"/>
    <s v="No"/>
    <n v="48"/>
    <s v="PayPal"/>
    <x v="3"/>
  </r>
  <r>
    <n v="2755"/>
    <x v="35"/>
    <s v="Female"/>
    <x v="12"/>
    <x v="3"/>
    <n v="61"/>
    <s v="New Jersey"/>
    <x v="0"/>
    <x v="9"/>
    <x v="2"/>
    <n v="3.6"/>
    <x v="1"/>
    <s v="Free Shipping"/>
    <s v="No"/>
    <s v="No"/>
    <n v="21"/>
    <s v="Venmo"/>
    <x v="4"/>
  </r>
  <r>
    <n v="2756"/>
    <x v="35"/>
    <s v="Female"/>
    <x v="22"/>
    <x v="3"/>
    <n v="97"/>
    <s v="Nevada"/>
    <x v="2"/>
    <x v="21"/>
    <x v="0"/>
    <n v="3.3"/>
    <x v="1"/>
    <s v="Store Pickup"/>
    <s v="No"/>
    <s v="No"/>
    <n v="18"/>
    <s v="Credit Card"/>
    <x v="2"/>
  </r>
  <r>
    <n v="2757"/>
    <x v="32"/>
    <s v="Female"/>
    <x v="19"/>
    <x v="3"/>
    <n v="23"/>
    <s v="Minnesota"/>
    <x v="0"/>
    <x v="10"/>
    <x v="0"/>
    <n v="4.0999999999999996"/>
    <x v="1"/>
    <s v="Free Shipping"/>
    <s v="No"/>
    <s v="No"/>
    <n v="41"/>
    <s v="PayPal"/>
    <x v="5"/>
  </r>
  <r>
    <n v="2758"/>
    <x v="31"/>
    <s v="Female"/>
    <x v="19"/>
    <x v="3"/>
    <n v="98"/>
    <s v="Delaware"/>
    <x v="3"/>
    <x v="18"/>
    <x v="3"/>
    <n v="4.3"/>
    <x v="1"/>
    <s v="Next Day Air"/>
    <s v="No"/>
    <s v="No"/>
    <n v="11"/>
    <s v="Venmo"/>
    <x v="5"/>
  </r>
  <r>
    <n v="2759"/>
    <x v="45"/>
    <s v="Female"/>
    <x v="0"/>
    <x v="0"/>
    <n v="98"/>
    <s v="Illinois"/>
    <x v="2"/>
    <x v="7"/>
    <x v="2"/>
    <n v="3.2"/>
    <x v="1"/>
    <s v="Standard"/>
    <s v="No"/>
    <s v="No"/>
    <n v="8"/>
    <s v="Bank Transfer"/>
    <x v="4"/>
  </r>
  <r>
    <n v="2760"/>
    <x v="33"/>
    <s v="Female"/>
    <x v="9"/>
    <x v="1"/>
    <n v="59"/>
    <s v="Washington"/>
    <x v="2"/>
    <x v="2"/>
    <x v="2"/>
    <n v="3.9"/>
    <x v="1"/>
    <s v="Free Shipping"/>
    <s v="No"/>
    <s v="No"/>
    <n v="42"/>
    <s v="Cash"/>
    <x v="6"/>
  </r>
  <r>
    <n v="2761"/>
    <x v="38"/>
    <s v="Female"/>
    <x v="11"/>
    <x v="0"/>
    <n v="82"/>
    <s v="Alaska"/>
    <x v="1"/>
    <x v="10"/>
    <x v="3"/>
    <n v="5"/>
    <x v="1"/>
    <s v="Next Day Air"/>
    <s v="No"/>
    <s v="No"/>
    <n v="41"/>
    <s v="Credit Card"/>
    <x v="4"/>
  </r>
  <r>
    <n v="2762"/>
    <x v="18"/>
    <s v="Female"/>
    <x v="4"/>
    <x v="1"/>
    <n v="82"/>
    <s v="Michigan"/>
    <x v="2"/>
    <x v="7"/>
    <x v="3"/>
    <n v="3.4"/>
    <x v="1"/>
    <s v="Next Day Air"/>
    <s v="No"/>
    <s v="No"/>
    <n v="3"/>
    <s v="Credit Card"/>
    <x v="6"/>
  </r>
  <r>
    <n v="2763"/>
    <x v="44"/>
    <s v="Female"/>
    <x v="17"/>
    <x v="0"/>
    <n v="41"/>
    <s v="Georgia"/>
    <x v="2"/>
    <x v="4"/>
    <x v="3"/>
    <n v="3.8"/>
    <x v="1"/>
    <s v="Store Pickup"/>
    <s v="No"/>
    <s v="No"/>
    <n v="10"/>
    <s v="Debit Card"/>
    <x v="6"/>
  </r>
  <r>
    <n v="2764"/>
    <x v="48"/>
    <s v="Female"/>
    <x v="8"/>
    <x v="3"/>
    <n v="52"/>
    <s v="West Virginia"/>
    <x v="2"/>
    <x v="14"/>
    <x v="3"/>
    <n v="2.9"/>
    <x v="1"/>
    <s v="2-Day Shipping"/>
    <s v="No"/>
    <s v="No"/>
    <n v="35"/>
    <s v="Venmo"/>
    <x v="3"/>
  </r>
  <r>
    <n v="2765"/>
    <x v="6"/>
    <s v="Female"/>
    <x v="1"/>
    <x v="0"/>
    <n v="41"/>
    <s v="Arizona"/>
    <x v="3"/>
    <x v="3"/>
    <x v="1"/>
    <n v="2.6"/>
    <x v="1"/>
    <s v="Next Day Air"/>
    <s v="No"/>
    <s v="No"/>
    <n v="2"/>
    <s v="Debit Card"/>
    <x v="1"/>
  </r>
  <r>
    <n v="2766"/>
    <x v="14"/>
    <s v="Female"/>
    <x v="24"/>
    <x v="3"/>
    <n v="70"/>
    <s v="Colorado"/>
    <x v="2"/>
    <x v="7"/>
    <x v="2"/>
    <n v="4.3"/>
    <x v="1"/>
    <s v="2-Day Shipping"/>
    <s v="No"/>
    <s v="No"/>
    <n v="24"/>
    <s v="Credit Card"/>
    <x v="3"/>
  </r>
  <r>
    <n v="2767"/>
    <x v="17"/>
    <s v="Female"/>
    <x v="10"/>
    <x v="0"/>
    <n v="91"/>
    <s v="Tennessee"/>
    <x v="2"/>
    <x v="17"/>
    <x v="0"/>
    <n v="2.8"/>
    <x v="1"/>
    <s v="Standard"/>
    <s v="No"/>
    <s v="No"/>
    <n v="47"/>
    <s v="Credit Card"/>
    <x v="5"/>
  </r>
  <r>
    <n v="2768"/>
    <x v="18"/>
    <s v="Female"/>
    <x v="10"/>
    <x v="0"/>
    <n v="95"/>
    <s v="Iowa"/>
    <x v="2"/>
    <x v="14"/>
    <x v="1"/>
    <n v="4.5"/>
    <x v="1"/>
    <s v="Free Shipping"/>
    <s v="No"/>
    <s v="No"/>
    <n v="31"/>
    <s v="Cash"/>
    <x v="5"/>
  </r>
  <r>
    <n v="2769"/>
    <x v="0"/>
    <s v="Female"/>
    <x v="0"/>
    <x v="0"/>
    <n v="25"/>
    <s v="Kansas"/>
    <x v="2"/>
    <x v="19"/>
    <x v="1"/>
    <n v="3.8"/>
    <x v="1"/>
    <s v="2-Day Shipping"/>
    <s v="No"/>
    <s v="No"/>
    <n v="28"/>
    <s v="PayPal"/>
    <x v="4"/>
  </r>
  <r>
    <n v="2770"/>
    <x v="45"/>
    <s v="Female"/>
    <x v="5"/>
    <x v="0"/>
    <n v="89"/>
    <s v="Oklahoma"/>
    <x v="0"/>
    <x v="12"/>
    <x v="3"/>
    <n v="3"/>
    <x v="1"/>
    <s v="Standard"/>
    <s v="No"/>
    <s v="No"/>
    <n v="13"/>
    <s v="Cash"/>
    <x v="1"/>
  </r>
  <r>
    <n v="2771"/>
    <x v="2"/>
    <s v="Female"/>
    <x v="23"/>
    <x v="1"/>
    <n v="44"/>
    <s v="Nebraska"/>
    <x v="1"/>
    <x v="24"/>
    <x v="3"/>
    <n v="3.3"/>
    <x v="1"/>
    <s v="Express"/>
    <s v="No"/>
    <s v="No"/>
    <n v="22"/>
    <s v="Bank Transfer"/>
    <x v="3"/>
  </r>
  <r>
    <n v="2772"/>
    <x v="44"/>
    <s v="Female"/>
    <x v="14"/>
    <x v="2"/>
    <n v="52"/>
    <s v="Maryland"/>
    <x v="1"/>
    <x v="19"/>
    <x v="2"/>
    <n v="3.1"/>
    <x v="1"/>
    <s v="2-Day Shipping"/>
    <s v="No"/>
    <s v="No"/>
    <n v="12"/>
    <s v="Bank Transfer"/>
    <x v="0"/>
  </r>
  <r>
    <n v="2773"/>
    <x v="20"/>
    <s v="Female"/>
    <x v="21"/>
    <x v="3"/>
    <n v="94"/>
    <s v="Pennsylvania"/>
    <x v="0"/>
    <x v="24"/>
    <x v="1"/>
    <n v="3.5"/>
    <x v="1"/>
    <s v="Store Pickup"/>
    <s v="No"/>
    <s v="No"/>
    <n v="10"/>
    <s v="Bank Transfer"/>
    <x v="6"/>
  </r>
  <r>
    <n v="2774"/>
    <x v="31"/>
    <s v="Female"/>
    <x v="13"/>
    <x v="0"/>
    <n v="98"/>
    <s v="Arizona"/>
    <x v="1"/>
    <x v="1"/>
    <x v="1"/>
    <n v="4.5999999999999996"/>
    <x v="1"/>
    <s v="Express"/>
    <s v="No"/>
    <s v="No"/>
    <n v="45"/>
    <s v="Bank Transfer"/>
    <x v="3"/>
  </r>
  <r>
    <n v="2775"/>
    <x v="19"/>
    <s v="Female"/>
    <x v="23"/>
    <x v="1"/>
    <n v="40"/>
    <s v="Oklahoma"/>
    <x v="0"/>
    <x v="22"/>
    <x v="3"/>
    <n v="4.0999999999999996"/>
    <x v="1"/>
    <s v="Standard"/>
    <s v="No"/>
    <s v="No"/>
    <n v="42"/>
    <s v="Credit Card"/>
    <x v="3"/>
  </r>
  <r>
    <n v="2776"/>
    <x v="43"/>
    <s v="Female"/>
    <x v="20"/>
    <x v="0"/>
    <n v="25"/>
    <s v="Montana"/>
    <x v="0"/>
    <x v="16"/>
    <x v="3"/>
    <n v="3.6"/>
    <x v="1"/>
    <s v="Free Shipping"/>
    <s v="No"/>
    <s v="No"/>
    <n v="16"/>
    <s v="Debit Card"/>
    <x v="1"/>
  </r>
  <r>
    <n v="2777"/>
    <x v="5"/>
    <s v="Female"/>
    <x v="18"/>
    <x v="3"/>
    <n v="62"/>
    <s v="Wyoming"/>
    <x v="0"/>
    <x v="14"/>
    <x v="3"/>
    <n v="2.9"/>
    <x v="1"/>
    <s v="Free Shipping"/>
    <s v="No"/>
    <s v="No"/>
    <n v="6"/>
    <s v="Bank Transfer"/>
    <x v="2"/>
  </r>
  <r>
    <n v="2778"/>
    <x v="16"/>
    <s v="Female"/>
    <x v="0"/>
    <x v="0"/>
    <n v="24"/>
    <s v="Idaho"/>
    <x v="2"/>
    <x v="23"/>
    <x v="3"/>
    <n v="4.8"/>
    <x v="1"/>
    <s v="Standard"/>
    <s v="No"/>
    <s v="No"/>
    <n v="28"/>
    <s v="Credit Card"/>
    <x v="6"/>
  </r>
  <r>
    <n v="2779"/>
    <x v="27"/>
    <s v="Female"/>
    <x v="22"/>
    <x v="3"/>
    <n v="57"/>
    <s v="Pennsylvania"/>
    <x v="0"/>
    <x v="22"/>
    <x v="1"/>
    <n v="3.2"/>
    <x v="1"/>
    <s v="Standard"/>
    <s v="No"/>
    <s v="No"/>
    <n v="24"/>
    <s v="Credit Card"/>
    <x v="4"/>
  </r>
  <r>
    <n v="2780"/>
    <x v="12"/>
    <s v="Female"/>
    <x v="12"/>
    <x v="3"/>
    <n v="66"/>
    <s v="Montana"/>
    <x v="0"/>
    <x v="24"/>
    <x v="0"/>
    <n v="4.3"/>
    <x v="1"/>
    <s v="Express"/>
    <s v="No"/>
    <s v="No"/>
    <n v="14"/>
    <s v="Credit Card"/>
    <x v="0"/>
  </r>
  <r>
    <n v="2781"/>
    <x v="23"/>
    <s v="Female"/>
    <x v="23"/>
    <x v="1"/>
    <n v="70"/>
    <s v="Ohio"/>
    <x v="2"/>
    <x v="4"/>
    <x v="0"/>
    <n v="4.0999999999999996"/>
    <x v="1"/>
    <s v="Next Day Air"/>
    <s v="No"/>
    <s v="No"/>
    <n v="29"/>
    <s v="PayPal"/>
    <x v="0"/>
  </r>
  <r>
    <n v="2782"/>
    <x v="13"/>
    <s v="Female"/>
    <x v="3"/>
    <x v="1"/>
    <n v="39"/>
    <s v="Mississippi"/>
    <x v="2"/>
    <x v="24"/>
    <x v="1"/>
    <n v="4.5999999999999996"/>
    <x v="1"/>
    <s v="Standard"/>
    <s v="No"/>
    <s v="No"/>
    <n v="33"/>
    <s v="PayPal"/>
    <x v="1"/>
  </r>
  <r>
    <n v="2783"/>
    <x v="38"/>
    <s v="Female"/>
    <x v="24"/>
    <x v="3"/>
    <n v="34"/>
    <s v="Idaho"/>
    <x v="1"/>
    <x v="17"/>
    <x v="1"/>
    <n v="3.8"/>
    <x v="1"/>
    <s v="Free Shipping"/>
    <s v="No"/>
    <s v="No"/>
    <n v="30"/>
    <s v="PayPal"/>
    <x v="2"/>
  </r>
  <r>
    <n v="2784"/>
    <x v="1"/>
    <s v="Female"/>
    <x v="11"/>
    <x v="0"/>
    <n v="38"/>
    <s v="Virginia"/>
    <x v="2"/>
    <x v="5"/>
    <x v="1"/>
    <n v="4.5"/>
    <x v="1"/>
    <s v="Next Day Air"/>
    <s v="No"/>
    <s v="No"/>
    <n v="26"/>
    <s v="Credit Card"/>
    <x v="3"/>
  </r>
  <r>
    <n v="2785"/>
    <x v="23"/>
    <s v="Female"/>
    <x v="11"/>
    <x v="0"/>
    <n v="70"/>
    <s v="Idaho"/>
    <x v="2"/>
    <x v="13"/>
    <x v="0"/>
    <n v="3.1"/>
    <x v="1"/>
    <s v="Express"/>
    <s v="No"/>
    <s v="No"/>
    <n v="12"/>
    <s v="PayPal"/>
    <x v="6"/>
  </r>
  <r>
    <n v="2786"/>
    <x v="10"/>
    <s v="Female"/>
    <x v="0"/>
    <x v="0"/>
    <n v="80"/>
    <s v="Louisiana"/>
    <x v="1"/>
    <x v="14"/>
    <x v="2"/>
    <n v="2.9"/>
    <x v="1"/>
    <s v="Next Day Air"/>
    <s v="No"/>
    <s v="No"/>
    <n v="13"/>
    <s v="Bank Transfer"/>
    <x v="5"/>
  </r>
  <r>
    <n v="2787"/>
    <x v="22"/>
    <s v="Female"/>
    <x v="8"/>
    <x v="3"/>
    <n v="51"/>
    <s v="Colorado"/>
    <x v="2"/>
    <x v="10"/>
    <x v="1"/>
    <n v="3.8"/>
    <x v="1"/>
    <s v="Next Day Air"/>
    <s v="No"/>
    <s v="No"/>
    <n v="41"/>
    <s v="Debit Card"/>
    <x v="6"/>
  </r>
  <r>
    <n v="2788"/>
    <x v="24"/>
    <s v="Female"/>
    <x v="23"/>
    <x v="1"/>
    <n v="79"/>
    <s v="West Virginia"/>
    <x v="3"/>
    <x v="6"/>
    <x v="1"/>
    <n v="4.0999999999999996"/>
    <x v="1"/>
    <s v="Next Day Air"/>
    <s v="No"/>
    <s v="No"/>
    <n v="4"/>
    <s v="Venmo"/>
    <x v="0"/>
  </r>
  <r>
    <n v="2789"/>
    <x v="19"/>
    <s v="Female"/>
    <x v="23"/>
    <x v="1"/>
    <n v="92"/>
    <s v="Rhode Island"/>
    <x v="2"/>
    <x v="8"/>
    <x v="2"/>
    <n v="3.1"/>
    <x v="1"/>
    <s v="Free Shipping"/>
    <s v="No"/>
    <s v="No"/>
    <n v="2"/>
    <s v="Credit Card"/>
    <x v="2"/>
  </r>
  <r>
    <n v="2790"/>
    <x v="48"/>
    <s v="Female"/>
    <x v="1"/>
    <x v="0"/>
    <n v="85"/>
    <s v="North Carolina"/>
    <x v="0"/>
    <x v="20"/>
    <x v="3"/>
    <n v="5"/>
    <x v="1"/>
    <s v="Express"/>
    <s v="No"/>
    <s v="No"/>
    <n v="28"/>
    <s v="Credit Card"/>
    <x v="4"/>
  </r>
  <r>
    <n v="2791"/>
    <x v="50"/>
    <s v="Female"/>
    <x v="20"/>
    <x v="0"/>
    <n v="63"/>
    <s v="Maine"/>
    <x v="2"/>
    <x v="13"/>
    <x v="1"/>
    <n v="4.5"/>
    <x v="1"/>
    <s v="Free Shipping"/>
    <s v="No"/>
    <s v="No"/>
    <n v="24"/>
    <s v="Debit Card"/>
    <x v="2"/>
  </r>
  <r>
    <n v="2792"/>
    <x v="49"/>
    <s v="Female"/>
    <x v="24"/>
    <x v="3"/>
    <n v="60"/>
    <s v="Iowa"/>
    <x v="2"/>
    <x v="22"/>
    <x v="3"/>
    <n v="2.8"/>
    <x v="1"/>
    <s v="Express"/>
    <s v="No"/>
    <s v="No"/>
    <n v="14"/>
    <s v="Venmo"/>
    <x v="0"/>
  </r>
  <r>
    <n v="2793"/>
    <x v="22"/>
    <s v="Female"/>
    <x v="6"/>
    <x v="0"/>
    <n v="44"/>
    <s v="Kentucky"/>
    <x v="0"/>
    <x v="10"/>
    <x v="0"/>
    <n v="3.2"/>
    <x v="1"/>
    <s v="Express"/>
    <s v="No"/>
    <s v="No"/>
    <n v="11"/>
    <s v="Credit Card"/>
    <x v="1"/>
  </r>
  <r>
    <n v="2794"/>
    <x v="43"/>
    <s v="Female"/>
    <x v="23"/>
    <x v="1"/>
    <n v="57"/>
    <s v="Massachusetts"/>
    <x v="2"/>
    <x v="5"/>
    <x v="1"/>
    <n v="3.1"/>
    <x v="1"/>
    <s v="Standard"/>
    <s v="No"/>
    <s v="No"/>
    <n v="27"/>
    <s v="Debit Card"/>
    <x v="4"/>
  </r>
  <r>
    <n v="2795"/>
    <x v="23"/>
    <s v="Female"/>
    <x v="14"/>
    <x v="2"/>
    <n v="24"/>
    <s v="New York"/>
    <x v="2"/>
    <x v="9"/>
    <x v="3"/>
    <n v="3.3"/>
    <x v="1"/>
    <s v="Standard"/>
    <s v="No"/>
    <s v="No"/>
    <n v="7"/>
    <s v="Cash"/>
    <x v="0"/>
  </r>
  <r>
    <n v="2796"/>
    <x v="23"/>
    <s v="Female"/>
    <x v="18"/>
    <x v="3"/>
    <n v="35"/>
    <s v="Nebraska"/>
    <x v="2"/>
    <x v="23"/>
    <x v="0"/>
    <n v="3.4"/>
    <x v="1"/>
    <s v="Store Pickup"/>
    <s v="No"/>
    <s v="No"/>
    <n v="49"/>
    <s v="PayPal"/>
    <x v="2"/>
  </r>
  <r>
    <n v="2797"/>
    <x v="0"/>
    <s v="Female"/>
    <x v="14"/>
    <x v="2"/>
    <n v="73"/>
    <s v="Oklahoma"/>
    <x v="2"/>
    <x v="16"/>
    <x v="0"/>
    <n v="3.8"/>
    <x v="1"/>
    <s v="Store Pickup"/>
    <s v="No"/>
    <s v="No"/>
    <n v="21"/>
    <s v="Cash"/>
    <x v="2"/>
  </r>
  <r>
    <n v="2798"/>
    <x v="6"/>
    <s v="Female"/>
    <x v="16"/>
    <x v="3"/>
    <n v="42"/>
    <s v="Oklahoma"/>
    <x v="2"/>
    <x v="14"/>
    <x v="0"/>
    <n v="3.5"/>
    <x v="1"/>
    <s v="Express"/>
    <s v="No"/>
    <s v="No"/>
    <n v="10"/>
    <s v="Venmo"/>
    <x v="6"/>
  </r>
  <r>
    <n v="2799"/>
    <x v="16"/>
    <s v="Female"/>
    <x v="15"/>
    <x v="0"/>
    <n v="20"/>
    <s v="Rhode Island"/>
    <x v="3"/>
    <x v="16"/>
    <x v="0"/>
    <n v="4.8"/>
    <x v="1"/>
    <s v="Store Pickup"/>
    <s v="No"/>
    <s v="No"/>
    <n v="37"/>
    <s v="PayPal"/>
    <x v="1"/>
  </r>
  <r>
    <n v="2800"/>
    <x v="51"/>
    <s v="Female"/>
    <x v="17"/>
    <x v="0"/>
    <n v="89"/>
    <s v="Maine"/>
    <x v="0"/>
    <x v="6"/>
    <x v="1"/>
    <n v="3.9"/>
    <x v="1"/>
    <s v="Free Shipping"/>
    <s v="No"/>
    <s v="No"/>
    <n v="9"/>
    <s v="Bank Transfer"/>
    <x v="6"/>
  </r>
  <r>
    <n v="2801"/>
    <x v="27"/>
    <s v="Female"/>
    <x v="5"/>
    <x v="0"/>
    <n v="76"/>
    <s v="Arkansas"/>
    <x v="0"/>
    <x v="10"/>
    <x v="3"/>
    <n v="3.4"/>
    <x v="1"/>
    <s v="Free Shipping"/>
    <s v="No"/>
    <s v="No"/>
    <n v="14"/>
    <s v="Cash"/>
    <x v="4"/>
  </r>
  <r>
    <n v="2802"/>
    <x v="14"/>
    <s v="Female"/>
    <x v="5"/>
    <x v="0"/>
    <n v="56"/>
    <s v="New Mexico"/>
    <x v="2"/>
    <x v="21"/>
    <x v="0"/>
    <n v="2.6"/>
    <x v="1"/>
    <s v="Express"/>
    <s v="No"/>
    <s v="No"/>
    <n v="30"/>
    <s v="PayPal"/>
    <x v="2"/>
  </r>
  <r>
    <n v="2803"/>
    <x v="40"/>
    <s v="Female"/>
    <x v="7"/>
    <x v="2"/>
    <n v="100"/>
    <s v="Hawaii"/>
    <x v="0"/>
    <x v="16"/>
    <x v="3"/>
    <n v="3.1"/>
    <x v="1"/>
    <s v="Store Pickup"/>
    <s v="No"/>
    <s v="No"/>
    <n v="42"/>
    <s v="Credit Card"/>
    <x v="0"/>
  </r>
  <r>
    <n v="2804"/>
    <x v="5"/>
    <s v="Female"/>
    <x v="17"/>
    <x v="0"/>
    <n v="44"/>
    <s v="Idaho"/>
    <x v="2"/>
    <x v="10"/>
    <x v="0"/>
    <n v="3.3"/>
    <x v="1"/>
    <s v="Free Shipping"/>
    <s v="No"/>
    <s v="No"/>
    <n v="31"/>
    <s v="Bank Transfer"/>
    <x v="5"/>
  </r>
  <r>
    <n v="2805"/>
    <x v="13"/>
    <s v="Female"/>
    <x v="15"/>
    <x v="0"/>
    <n v="76"/>
    <s v="South Carolina"/>
    <x v="2"/>
    <x v="17"/>
    <x v="1"/>
    <n v="2.8"/>
    <x v="1"/>
    <s v="Standard"/>
    <s v="No"/>
    <s v="No"/>
    <n v="48"/>
    <s v="Bank Transfer"/>
    <x v="6"/>
  </r>
  <r>
    <n v="2806"/>
    <x v="20"/>
    <s v="Female"/>
    <x v="12"/>
    <x v="3"/>
    <n v="97"/>
    <s v="Nevada"/>
    <x v="1"/>
    <x v="13"/>
    <x v="3"/>
    <n v="4.3"/>
    <x v="1"/>
    <s v="Standard"/>
    <s v="No"/>
    <s v="No"/>
    <n v="48"/>
    <s v="Cash"/>
    <x v="3"/>
  </r>
  <r>
    <n v="2807"/>
    <x v="4"/>
    <s v="Female"/>
    <x v="0"/>
    <x v="0"/>
    <n v="39"/>
    <s v="South Carolina"/>
    <x v="0"/>
    <x v="7"/>
    <x v="1"/>
    <n v="2.7"/>
    <x v="1"/>
    <s v="Standard"/>
    <s v="No"/>
    <s v="No"/>
    <n v="50"/>
    <s v="Credit Card"/>
    <x v="2"/>
  </r>
  <r>
    <n v="2808"/>
    <x v="19"/>
    <s v="Female"/>
    <x v="15"/>
    <x v="0"/>
    <n v="100"/>
    <s v="Maryland"/>
    <x v="2"/>
    <x v="4"/>
    <x v="1"/>
    <n v="4.4000000000000004"/>
    <x v="1"/>
    <s v="2-Day Shipping"/>
    <s v="No"/>
    <s v="No"/>
    <n v="10"/>
    <s v="Debit Card"/>
    <x v="0"/>
  </r>
  <r>
    <n v="2809"/>
    <x v="34"/>
    <s v="Female"/>
    <x v="11"/>
    <x v="0"/>
    <n v="62"/>
    <s v="Tennessee"/>
    <x v="2"/>
    <x v="19"/>
    <x v="1"/>
    <n v="3.9"/>
    <x v="1"/>
    <s v="Free Shipping"/>
    <s v="No"/>
    <s v="No"/>
    <n v="45"/>
    <s v="PayPal"/>
    <x v="6"/>
  </r>
  <r>
    <n v="2810"/>
    <x v="17"/>
    <s v="Female"/>
    <x v="6"/>
    <x v="0"/>
    <n v="98"/>
    <s v="Arkansas"/>
    <x v="3"/>
    <x v="11"/>
    <x v="2"/>
    <n v="3"/>
    <x v="1"/>
    <s v="Standard"/>
    <s v="No"/>
    <s v="No"/>
    <n v="27"/>
    <s v="Debit Card"/>
    <x v="3"/>
  </r>
  <r>
    <n v="2811"/>
    <x v="7"/>
    <s v="Female"/>
    <x v="2"/>
    <x v="0"/>
    <n v="31"/>
    <s v="Arizona"/>
    <x v="2"/>
    <x v="7"/>
    <x v="2"/>
    <n v="4"/>
    <x v="1"/>
    <s v="Standard"/>
    <s v="No"/>
    <s v="No"/>
    <n v="10"/>
    <s v="Debit Card"/>
    <x v="0"/>
  </r>
  <r>
    <n v="2812"/>
    <x v="28"/>
    <s v="Female"/>
    <x v="14"/>
    <x v="2"/>
    <n v="89"/>
    <s v="Ohio"/>
    <x v="2"/>
    <x v="24"/>
    <x v="3"/>
    <n v="3.7"/>
    <x v="1"/>
    <s v="Store Pickup"/>
    <s v="No"/>
    <s v="No"/>
    <n v="19"/>
    <s v="Credit Card"/>
    <x v="3"/>
  </r>
  <r>
    <n v="2813"/>
    <x v="17"/>
    <s v="Female"/>
    <x v="15"/>
    <x v="0"/>
    <n v="91"/>
    <s v="North Dakota"/>
    <x v="3"/>
    <x v="23"/>
    <x v="3"/>
    <n v="3.8"/>
    <x v="1"/>
    <s v="Store Pickup"/>
    <s v="No"/>
    <s v="No"/>
    <n v="1"/>
    <s v="Credit Card"/>
    <x v="6"/>
  </r>
  <r>
    <n v="2814"/>
    <x v="4"/>
    <s v="Female"/>
    <x v="5"/>
    <x v="0"/>
    <n v="50"/>
    <s v="Vermont"/>
    <x v="1"/>
    <x v="1"/>
    <x v="2"/>
    <n v="3.3"/>
    <x v="1"/>
    <s v="2-Day Shipping"/>
    <s v="No"/>
    <s v="No"/>
    <n v="39"/>
    <s v="Debit Card"/>
    <x v="3"/>
  </r>
  <r>
    <n v="2815"/>
    <x v="18"/>
    <s v="Female"/>
    <x v="17"/>
    <x v="0"/>
    <n v="32"/>
    <s v="Minnesota"/>
    <x v="0"/>
    <x v="9"/>
    <x v="0"/>
    <n v="3.6"/>
    <x v="1"/>
    <s v="Standard"/>
    <s v="No"/>
    <s v="No"/>
    <n v="14"/>
    <s v="Bank Transfer"/>
    <x v="5"/>
  </r>
  <r>
    <n v="2816"/>
    <x v="23"/>
    <s v="Female"/>
    <x v="0"/>
    <x v="0"/>
    <n v="67"/>
    <s v="Idaho"/>
    <x v="0"/>
    <x v="13"/>
    <x v="3"/>
    <n v="3.9"/>
    <x v="1"/>
    <s v="Free Shipping"/>
    <s v="No"/>
    <s v="No"/>
    <n v="40"/>
    <s v="Venmo"/>
    <x v="6"/>
  </r>
  <r>
    <n v="2817"/>
    <x v="49"/>
    <s v="Female"/>
    <x v="11"/>
    <x v="0"/>
    <n v="28"/>
    <s v="Maryland"/>
    <x v="2"/>
    <x v="13"/>
    <x v="1"/>
    <n v="3.5"/>
    <x v="1"/>
    <s v="Free Shipping"/>
    <s v="No"/>
    <s v="No"/>
    <n v="45"/>
    <s v="Venmo"/>
    <x v="1"/>
  </r>
  <r>
    <n v="2818"/>
    <x v="15"/>
    <s v="Female"/>
    <x v="21"/>
    <x v="3"/>
    <n v="65"/>
    <s v="South Carolina"/>
    <x v="3"/>
    <x v="22"/>
    <x v="0"/>
    <n v="3.4"/>
    <x v="1"/>
    <s v="Standard"/>
    <s v="No"/>
    <s v="No"/>
    <n v="6"/>
    <s v="Venmo"/>
    <x v="1"/>
  </r>
  <r>
    <n v="2819"/>
    <x v="5"/>
    <s v="Female"/>
    <x v="6"/>
    <x v="0"/>
    <n v="73"/>
    <s v="California"/>
    <x v="2"/>
    <x v="2"/>
    <x v="3"/>
    <n v="4.7"/>
    <x v="1"/>
    <s v="Next Day Air"/>
    <s v="No"/>
    <s v="No"/>
    <n v="12"/>
    <s v="Debit Card"/>
    <x v="2"/>
  </r>
  <r>
    <n v="2820"/>
    <x v="29"/>
    <s v="Female"/>
    <x v="5"/>
    <x v="0"/>
    <n v="27"/>
    <s v="Georgia"/>
    <x v="0"/>
    <x v="12"/>
    <x v="1"/>
    <n v="3"/>
    <x v="1"/>
    <s v="Free Shipping"/>
    <s v="No"/>
    <s v="No"/>
    <n v="19"/>
    <s v="Cash"/>
    <x v="5"/>
  </r>
  <r>
    <n v="2821"/>
    <x v="8"/>
    <s v="Female"/>
    <x v="21"/>
    <x v="3"/>
    <n v="89"/>
    <s v="Vermont"/>
    <x v="0"/>
    <x v="22"/>
    <x v="2"/>
    <n v="3.9"/>
    <x v="1"/>
    <s v="Free Shipping"/>
    <s v="No"/>
    <s v="No"/>
    <n v="5"/>
    <s v="Cash"/>
    <x v="4"/>
  </r>
  <r>
    <n v="2822"/>
    <x v="25"/>
    <s v="Female"/>
    <x v="9"/>
    <x v="1"/>
    <n v="72"/>
    <s v="Georgia"/>
    <x v="0"/>
    <x v="8"/>
    <x v="2"/>
    <n v="4.5"/>
    <x v="1"/>
    <s v="Standard"/>
    <s v="No"/>
    <s v="No"/>
    <n v="37"/>
    <s v="Venmo"/>
    <x v="5"/>
  </r>
  <r>
    <n v="2823"/>
    <x v="12"/>
    <s v="Female"/>
    <x v="11"/>
    <x v="0"/>
    <n v="37"/>
    <s v="New Jersey"/>
    <x v="1"/>
    <x v="18"/>
    <x v="3"/>
    <n v="4.0999999999999996"/>
    <x v="1"/>
    <s v="Standard"/>
    <s v="No"/>
    <s v="No"/>
    <n v="33"/>
    <s v="PayPal"/>
    <x v="3"/>
  </r>
  <r>
    <n v="2824"/>
    <x v="8"/>
    <s v="Female"/>
    <x v="10"/>
    <x v="0"/>
    <n v="63"/>
    <s v="Utah"/>
    <x v="2"/>
    <x v="8"/>
    <x v="2"/>
    <n v="4.5"/>
    <x v="1"/>
    <s v="Standard"/>
    <s v="No"/>
    <s v="No"/>
    <n v="47"/>
    <s v="Debit Card"/>
    <x v="4"/>
  </r>
  <r>
    <n v="2825"/>
    <x v="31"/>
    <s v="Female"/>
    <x v="19"/>
    <x v="3"/>
    <n v="90"/>
    <s v="Utah"/>
    <x v="2"/>
    <x v="7"/>
    <x v="3"/>
    <n v="4"/>
    <x v="1"/>
    <s v="Free Shipping"/>
    <s v="No"/>
    <s v="No"/>
    <n v="49"/>
    <s v="Debit Card"/>
    <x v="3"/>
  </r>
  <r>
    <n v="2826"/>
    <x v="28"/>
    <s v="Female"/>
    <x v="8"/>
    <x v="3"/>
    <n v="62"/>
    <s v="North Carolina"/>
    <x v="2"/>
    <x v="22"/>
    <x v="0"/>
    <n v="4.3"/>
    <x v="1"/>
    <s v="2-Day Shipping"/>
    <s v="No"/>
    <s v="No"/>
    <n v="28"/>
    <s v="Bank Transfer"/>
    <x v="2"/>
  </r>
  <r>
    <n v="2827"/>
    <x v="45"/>
    <s v="Female"/>
    <x v="8"/>
    <x v="3"/>
    <n v="43"/>
    <s v="Florida"/>
    <x v="0"/>
    <x v="18"/>
    <x v="3"/>
    <n v="3.6"/>
    <x v="1"/>
    <s v="Express"/>
    <s v="No"/>
    <s v="No"/>
    <n v="23"/>
    <s v="Venmo"/>
    <x v="2"/>
  </r>
  <r>
    <n v="2828"/>
    <x v="30"/>
    <s v="Female"/>
    <x v="0"/>
    <x v="0"/>
    <n v="96"/>
    <s v="Wisconsin"/>
    <x v="2"/>
    <x v="23"/>
    <x v="3"/>
    <n v="3.1"/>
    <x v="1"/>
    <s v="Next Day Air"/>
    <s v="No"/>
    <s v="No"/>
    <n v="11"/>
    <s v="Bank Transfer"/>
    <x v="4"/>
  </r>
  <r>
    <n v="2829"/>
    <x v="15"/>
    <s v="Female"/>
    <x v="18"/>
    <x v="3"/>
    <n v="83"/>
    <s v="Tennessee"/>
    <x v="0"/>
    <x v="12"/>
    <x v="3"/>
    <n v="2.6"/>
    <x v="1"/>
    <s v="Standard"/>
    <s v="No"/>
    <s v="No"/>
    <n v="33"/>
    <s v="PayPal"/>
    <x v="3"/>
  </r>
  <r>
    <n v="2830"/>
    <x v="19"/>
    <s v="Female"/>
    <x v="16"/>
    <x v="3"/>
    <n v="67"/>
    <s v="Arizona"/>
    <x v="3"/>
    <x v="11"/>
    <x v="3"/>
    <n v="3.4"/>
    <x v="1"/>
    <s v="Next Day Air"/>
    <s v="No"/>
    <s v="No"/>
    <n v="47"/>
    <s v="Cash"/>
    <x v="1"/>
  </r>
  <r>
    <n v="2831"/>
    <x v="6"/>
    <s v="Female"/>
    <x v="11"/>
    <x v="0"/>
    <n v="90"/>
    <s v="Oregon"/>
    <x v="0"/>
    <x v="17"/>
    <x v="1"/>
    <n v="2.9"/>
    <x v="1"/>
    <s v="Store Pickup"/>
    <s v="No"/>
    <s v="No"/>
    <n v="13"/>
    <s v="Venmo"/>
    <x v="6"/>
  </r>
  <r>
    <n v="2832"/>
    <x v="50"/>
    <s v="Female"/>
    <x v="15"/>
    <x v="0"/>
    <n v="53"/>
    <s v="Virginia"/>
    <x v="0"/>
    <x v="6"/>
    <x v="0"/>
    <n v="5"/>
    <x v="1"/>
    <s v="Express"/>
    <s v="No"/>
    <s v="No"/>
    <n v="4"/>
    <s v="Credit Card"/>
    <x v="1"/>
  </r>
  <r>
    <n v="2833"/>
    <x v="26"/>
    <s v="Female"/>
    <x v="18"/>
    <x v="3"/>
    <n v="37"/>
    <s v="Maryland"/>
    <x v="2"/>
    <x v="23"/>
    <x v="2"/>
    <n v="4.5999999999999996"/>
    <x v="1"/>
    <s v="Standard"/>
    <s v="No"/>
    <s v="No"/>
    <n v="40"/>
    <s v="PayPal"/>
    <x v="3"/>
  </r>
  <r>
    <n v="2834"/>
    <x v="49"/>
    <s v="Female"/>
    <x v="2"/>
    <x v="0"/>
    <n v="56"/>
    <s v="Arkansas"/>
    <x v="2"/>
    <x v="11"/>
    <x v="3"/>
    <n v="3.3"/>
    <x v="1"/>
    <s v="Free Shipping"/>
    <s v="No"/>
    <s v="No"/>
    <n v="19"/>
    <s v="Cash"/>
    <x v="5"/>
  </r>
  <r>
    <n v="2835"/>
    <x v="31"/>
    <s v="Female"/>
    <x v="14"/>
    <x v="2"/>
    <n v="43"/>
    <s v="Texas"/>
    <x v="2"/>
    <x v="21"/>
    <x v="3"/>
    <n v="2.9"/>
    <x v="1"/>
    <s v="2-Day Shipping"/>
    <s v="No"/>
    <s v="No"/>
    <n v="17"/>
    <s v="Credit Card"/>
    <x v="1"/>
  </r>
  <r>
    <n v="2836"/>
    <x v="23"/>
    <s v="Female"/>
    <x v="17"/>
    <x v="0"/>
    <n v="84"/>
    <s v="Vermont"/>
    <x v="1"/>
    <x v="6"/>
    <x v="0"/>
    <n v="4.9000000000000004"/>
    <x v="1"/>
    <s v="Free Shipping"/>
    <s v="No"/>
    <s v="No"/>
    <n v="7"/>
    <s v="Venmo"/>
    <x v="2"/>
  </r>
  <r>
    <n v="2837"/>
    <x v="47"/>
    <s v="Female"/>
    <x v="13"/>
    <x v="0"/>
    <n v="50"/>
    <s v="Wyoming"/>
    <x v="2"/>
    <x v="4"/>
    <x v="0"/>
    <n v="5"/>
    <x v="1"/>
    <s v="2-Day Shipping"/>
    <s v="No"/>
    <s v="No"/>
    <n v="21"/>
    <s v="Cash"/>
    <x v="4"/>
  </r>
  <r>
    <n v="2838"/>
    <x v="13"/>
    <s v="Female"/>
    <x v="9"/>
    <x v="1"/>
    <n v="88"/>
    <s v="Alabama"/>
    <x v="2"/>
    <x v="18"/>
    <x v="2"/>
    <n v="4.5"/>
    <x v="1"/>
    <s v="Express"/>
    <s v="No"/>
    <s v="No"/>
    <n v="44"/>
    <s v="PayPal"/>
    <x v="1"/>
  </r>
  <r>
    <n v="2839"/>
    <x v="47"/>
    <s v="Female"/>
    <x v="14"/>
    <x v="2"/>
    <n v="50"/>
    <s v="Maine"/>
    <x v="2"/>
    <x v="24"/>
    <x v="3"/>
    <n v="3.7"/>
    <x v="1"/>
    <s v="Free Shipping"/>
    <s v="No"/>
    <s v="No"/>
    <n v="2"/>
    <s v="Bank Transfer"/>
    <x v="1"/>
  </r>
  <r>
    <n v="2840"/>
    <x v="27"/>
    <s v="Female"/>
    <x v="18"/>
    <x v="3"/>
    <n v="80"/>
    <s v="South Dakota"/>
    <x v="0"/>
    <x v="11"/>
    <x v="2"/>
    <n v="2.8"/>
    <x v="1"/>
    <s v="Store Pickup"/>
    <s v="No"/>
    <s v="No"/>
    <n v="30"/>
    <s v="Bank Transfer"/>
    <x v="5"/>
  </r>
  <r>
    <n v="2841"/>
    <x v="37"/>
    <s v="Female"/>
    <x v="17"/>
    <x v="0"/>
    <n v="47"/>
    <s v="West Virginia"/>
    <x v="0"/>
    <x v="6"/>
    <x v="1"/>
    <n v="3.5"/>
    <x v="1"/>
    <s v="Store Pickup"/>
    <s v="No"/>
    <s v="No"/>
    <n v="41"/>
    <s v="Cash"/>
    <x v="2"/>
  </r>
  <r>
    <n v="2842"/>
    <x v="1"/>
    <s v="Female"/>
    <x v="10"/>
    <x v="0"/>
    <n v="33"/>
    <s v="Ohio"/>
    <x v="3"/>
    <x v="23"/>
    <x v="0"/>
    <n v="3"/>
    <x v="1"/>
    <s v="2-Day Shipping"/>
    <s v="No"/>
    <s v="No"/>
    <n v="31"/>
    <s v="Cash"/>
    <x v="1"/>
  </r>
  <r>
    <n v="2843"/>
    <x v="48"/>
    <s v="Female"/>
    <x v="7"/>
    <x v="2"/>
    <n v="100"/>
    <s v="Arizona"/>
    <x v="0"/>
    <x v="14"/>
    <x v="3"/>
    <n v="4.3"/>
    <x v="1"/>
    <s v="Standard"/>
    <s v="No"/>
    <s v="No"/>
    <n v="48"/>
    <s v="Debit Card"/>
    <x v="3"/>
  </r>
  <r>
    <n v="2844"/>
    <x v="47"/>
    <s v="Female"/>
    <x v="1"/>
    <x v="0"/>
    <n v="26"/>
    <s v="Ohio"/>
    <x v="2"/>
    <x v="3"/>
    <x v="2"/>
    <n v="3.6"/>
    <x v="1"/>
    <s v="Store Pickup"/>
    <s v="No"/>
    <s v="No"/>
    <n v="41"/>
    <s v="Venmo"/>
    <x v="1"/>
  </r>
  <r>
    <n v="2845"/>
    <x v="45"/>
    <s v="Female"/>
    <x v="19"/>
    <x v="3"/>
    <n v="79"/>
    <s v="New Mexico"/>
    <x v="2"/>
    <x v="21"/>
    <x v="2"/>
    <n v="4.4000000000000004"/>
    <x v="1"/>
    <s v="Standard"/>
    <s v="No"/>
    <s v="No"/>
    <n v="42"/>
    <s v="Venmo"/>
    <x v="2"/>
  </r>
  <r>
    <n v="2846"/>
    <x v="8"/>
    <s v="Female"/>
    <x v="21"/>
    <x v="3"/>
    <n v="77"/>
    <s v="South Dakota"/>
    <x v="0"/>
    <x v="12"/>
    <x v="2"/>
    <n v="4.0999999999999996"/>
    <x v="1"/>
    <s v="Express"/>
    <s v="No"/>
    <s v="No"/>
    <n v="39"/>
    <s v="Debit Card"/>
    <x v="6"/>
  </r>
  <r>
    <n v="2847"/>
    <x v="2"/>
    <s v="Female"/>
    <x v="20"/>
    <x v="0"/>
    <n v="36"/>
    <s v="Oklahoma"/>
    <x v="3"/>
    <x v="13"/>
    <x v="3"/>
    <n v="2.8"/>
    <x v="1"/>
    <s v="Next Day Air"/>
    <s v="No"/>
    <s v="No"/>
    <n v="15"/>
    <s v="PayPal"/>
    <x v="4"/>
  </r>
  <r>
    <n v="2848"/>
    <x v="33"/>
    <s v="Female"/>
    <x v="16"/>
    <x v="3"/>
    <n v="21"/>
    <s v="Connecticut"/>
    <x v="0"/>
    <x v="4"/>
    <x v="0"/>
    <n v="2.8"/>
    <x v="1"/>
    <s v="Free Shipping"/>
    <s v="No"/>
    <s v="No"/>
    <n v="3"/>
    <s v="PayPal"/>
    <x v="6"/>
  </r>
  <r>
    <n v="2849"/>
    <x v="23"/>
    <s v="Female"/>
    <x v="23"/>
    <x v="1"/>
    <n v="72"/>
    <s v="Wisconsin"/>
    <x v="0"/>
    <x v="0"/>
    <x v="3"/>
    <n v="4.9000000000000004"/>
    <x v="1"/>
    <s v="Store Pickup"/>
    <s v="No"/>
    <s v="No"/>
    <n v="28"/>
    <s v="Bank Transfer"/>
    <x v="3"/>
  </r>
  <r>
    <n v="2850"/>
    <x v="19"/>
    <s v="Female"/>
    <x v="7"/>
    <x v="2"/>
    <n v="25"/>
    <s v="New Hampshire"/>
    <x v="2"/>
    <x v="9"/>
    <x v="1"/>
    <n v="4.0999999999999996"/>
    <x v="1"/>
    <s v="Express"/>
    <s v="No"/>
    <s v="No"/>
    <n v="27"/>
    <s v="PayPal"/>
    <x v="4"/>
  </r>
  <r>
    <n v="2851"/>
    <x v="9"/>
    <s v="Female"/>
    <x v="1"/>
    <x v="0"/>
    <n v="79"/>
    <s v="Nebraska"/>
    <x v="2"/>
    <x v="5"/>
    <x v="1"/>
    <n v="3"/>
    <x v="1"/>
    <s v="Store Pickup"/>
    <s v="No"/>
    <s v="No"/>
    <n v="36"/>
    <s v="Debit Card"/>
    <x v="2"/>
  </r>
  <r>
    <n v="2852"/>
    <x v="44"/>
    <s v="Female"/>
    <x v="0"/>
    <x v="0"/>
    <n v="73"/>
    <s v="Nevada"/>
    <x v="0"/>
    <x v="11"/>
    <x v="2"/>
    <n v="3"/>
    <x v="1"/>
    <s v="Store Pickup"/>
    <s v="No"/>
    <s v="No"/>
    <n v="42"/>
    <s v="Debit Card"/>
    <x v="5"/>
  </r>
  <r>
    <n v="2853"/>
    <x v="37"/>
    <s v="Female"/>
    <x v="22"/>
    <x v="3"/>
    <n v="71"/>
    <s v="New York"/>
    <x v="2"/>
    <x v="23"/>
    <x v="1"/>
    <n v="3"/>
    <x v="1"/>
    <s v="Store Pickup"/>
    <s v="No"/>
    <s v="No"/>
    <n v="30"/>
    <s v="Venmo"/>
    <x v="1"/>
  </r>
  <r>
    <n v="2854"/>
    <x v="43"/>
    <s v="Female"/>
    <x v="19"/>
    <x v="3"/>
    <n v="48"/>
    <s v="Pennsylvania"/>
    <x v="2"/>
    <x v="23"/>
    <x v="0"/>
    <n v="3.2"/>
    <x v="1"/>
    <s v="Next Day Air"/>
    <s v="No"/>
    <s v="No"/>
    <n v="9"/>
    <s v="PayPal"/>
    <x v="1"/>
  </r>
  <r>
    <n v="2855"/>
    <x v="24"/>
    <s v="Female"/>
    <x v="3"/>
    <x v="1"/>
    <n v="28"/>
    <s v="Delaware"/>
    <x v="2"/>
    <x v="19"/>
    <x v="3"/>
    <n v="2.7"/>
    <x v="1"/>
    <s v="Store Pickup"/>
    <s v="No"/>
    <s v="No"/>
    <n v="25"/>
    <s v="Venmo"/>
    <x v="5"/>
  </r>
  <r>
    <n v="2856"/>
    <x v="26"/>
    <s v="Female"/>
    <x v="23"/>
    <x v="1"/>
    <n v="95"/>
    <s v="Mississippi"/>
    <x v="1"/>
    <x v="1"/>
    <x v="0"/>
    <n v="3.8"/>
    <x v="1"/>
    <s v="2-Day Shipping"/>
    <s v="No"/>
    <s v="No"/>
    <n v="33"/>
    <s v="PayPal"/>
    <x v="3"/>
  </r>
  <r>
    <n v="2857"/>
    <x v="13"/>
    <s v="Female"/>
    <x v="14"/>
    <x v="2"/>
    <n v="48"/>
    <s v="Iowa"/>
    <x v="2"/>
    <x v="21"/>
    <x v="0"/>
    <n v="3.5"/>
    <x v="1"/>
    <s v="2-Day Shipping"/>
    <s v="No"/>
    <s v="No"/>
    <n v="31"/>
    <s v="Credit Card"/>
    <x v="5"/>
  </r>
  <r>
    <n v="2858"/>
    <x v="42"/>
    <s v="Female"/>
    <x v="10"/>
    <x v="0"/>
    <n v="93"/>
    <s v="Utah"/>
    <x v="1"/>
    <x v="1"/>
    <x v="1"/>
    <n v="3.8"/>
    <x v="1"/>
    <s v="Next Day Air"/>
    <s v="No"/>
    <s v="No"/>
    <n v="35"/>
    <s v="Debit Card"/>
    <x v="5"/>
  </r>
  <r>
    <n v="2859"/>
    <x v="50"/>
    <s v="Female"/>
    <x v="2"/>
    <x v="0"/>
    <n v="87"/>
    <s v="Maryland"/>
    <x v="0"/>
    <x v="11"/>
    <x v="2"/>
    <n v="3.8"/>
    <x v="1"/>
    <s v="2-Day Shipping"/>
    <s v="No"/>
    <s v="No"/>
    <n v="46"/>
    <s v="Bank Transfer"/>
    <x v="5"/>
  </r>
  <r>
    <n v="2860"/>
    <x v="18"/>
    <s v="Female"/>
    <x v="6"/>
    <x v="0"/>
    <n v="32"/>
    <s v="Utah"/>
    <x v="0"/>
    <x v="22"/>
    <x v="3"/>
    <n v="3.4"/>
    <x v="1"/>
    <s v="Express"/>
    <s v="No"/>
    <s v="No"/>
    <n v="29"/>
    <s v="Bank Transfer"/>
    <x v="2"/>
  </r>
  <r>
    <n v="2861"/>
    <x v="48"/>
    <s v="Female"/>
    <x v="5"/>
    <x v="0"/>
    <n v="38"/>
    <s v="Rhode Island"/>
    <x v="2"/>
    <x v="9"/>
    <x v="1"/>
    <n v="2.9"/>
    <x v="1"/>
    <s v="Next Day Air"/>
    <s v="No"/>
    <s v="No"/>
    <n v="49"/>
    <s v="Bank Transfer"/>
    <x v="1"/>
  </r>
  <r>
    <n v="2862"/>
    <x v="17"/>
    <s v="Female"/>
    <x v="7"/>
    <x v="2"/>
    <n v="54"/>
    <s v="Maryland"/>
    <x v="2"/>
    <x v="11"/>
    <x v="3"/>
    <n v="3.4"/>
    <x v="1"/>
    <s v="Free Shipping"/>
    <s v="No"/>
    <s v="No"/>
    <n v="27"/>
    <s v="Credit Card"/>
    <x v="5"/>
  </r>
  <r>
    <n v="2863"/>
    <x v="33"/>
    <s v="Female"/>
    <x v="7"/>
    <x v="2"/>
    <n v="75"/>
    <s v="Hawaii"/>
    <x v="1"/>
    <x v="10"/>
    <x v="2"/>
    <n v="4.7"/>
    <x v="1"/>
    <s v="Store Pickup"/>
    <s v="No"/>
    <s v="No"/>
    <n v="5"/>
    <s v="Bank Transfer"/>
    <x v="6"/>
  </r>
  <r>
    <n v="2864"/>
    <x v="43"/>
    <s v="Female"/>
    <x v="17"/>
    <x v="0"/>
    <n v="56"/>
    <s v="Connecticut"/>
    <x v="2"/>
    <x v="22"/>
    <x v="3"/>
    <n v="3.9"/>
    <x v="1"/>
    <s v="2-Day Shipping"/>
    <s v="No"/>
    <s v="No"/>
    <n v="18"/>
    <s v="Venmo"/>
    <x v="5"/>
  </r>
  <r>
    <n v="2865"/>
    <x v="44"/>
    <s v="Female"/>
    <x v="1"/>
    <x v="0"/>
    <n v="43"/>
    <s v="Illinois"/>
    <x v="1"/>
    <x v="1"/>
    <x v="3"/>
    <n v="3.6"/>
    <x v="1"/>
    <s v="Store Pickup"/>
    <s v="No"/>
    <s v="No"/>
    <n v="31"/>
    <s v="Venmo"/>
    <x v="1"/>
  </r>
  <r>
    <n v="2866"/>
    <x v="48"/>
    <s v="Female"/>
    <x v="11"/>
    <x v="0"/>
    <n v="97"/>
    <s v="California"/>
    <x v="2"/>
    <x v="5"/>
    <x v="3"/>
    <n v="3.7"/>
    <x v="1"/>
    <s v="Free Shipping"/>
    <s v="No"/>
    <s v="No"/>
    <n v="27"/>
    <s v="Cash"/>
    <x v="0"/>
  </r>
  <r>
    <n v="2867"/>
    <x v="22"/>
    <s v="Female"/>
    <x v="0"/>
    <x v="0"/>
    <n v="75"/>
    <s v="Connecticut"/>
    <x v="1"/>
    <x v="10"/>
    <x v="2"/>
    <n v="3.1"/>
    <x v="1"/>
    <s v="Free Shipping"/>
    <s v="No"/>
    <s v="No"/>
    <n v="19"/>
    <s v="Cash"/>
    <x v="2"/>
  </r>
  <r>
    <n v="2868"/>
    <x v="3"/>
    <s v="Female"/>
    <x v="4"/>
    <x v="1"/>
    <n v="55"/>
    <s v="Colorado"/>
    <x v="0"/>
    <x v="3"/>
    <x v="2"/>
    <n v="4.9000000000000004"/>
    <x v="1"/>
    <s v="Next Day Air"/>
    <s v="No"/>
    <s v="No"/>
    <n v="33"/>
    <s v="Cash"/>
    <x v="0"/>
  </r>
  <r>
    <n v="2869"/>
    <x v="4"/>
    <s v="Female"/>
    <x v="21"/>
    <x v="3"/>
    <n v="49"/>
    <s v="Colorado"/>
    <x v="2"/>
    <x v="13"/>
    <x v="0"/>
    <n v="2.6"/>
    <x v="1"/>
    <s v="Next Day Air"/>
    <s v="No"/>
    <s v="No"/>
    <n v="42"/>
    <s v="PayPal"/>
    <x v="6"/>
  </r>
  <r>
    <n v="2870"/>
    <x v="9"/>
    <s v="Female"/>
    <x v="20"/>
    <x v="0"/>
    <n v="58"/>
    <s v="Georgia"/>
    <x v="2"/>
    <x v="3"/>
    <x v="2"/>
    <n v="4.2"/>
    <x v="1"/>
    <s v="Standard"/>
    <s v="No"/>
    <s v="No"/>
    <n v="16"/>
    <s v="Bank Transfer"/>
    <x v="1"/>
  </r>
  <r>
    <n v="2871"/>
    <x v="36"/>
    <s v="Female"/>
    <x v="16"/>
    <x v="3"/>
    <n v="34"/>
    <s v="North Dakota"/>
    <x v="2"/>
    <x v="24"/>
    <x v="0"/>
    <n v="4.8"/>
    <x v="1"/>
    <s v="Free Shipping"/>
    <s v="No"/>
    <s v="No"/>
    <n v="49"/>
    <s v="Debit Card"/>
    <x v="6"/>
  </r>
  <r>
    <n v="2872"/>
    <x v="5"/>
    <s v="Female"/>
    <x v="6"/>
    <x v="0"/>
    <n v="43"/>
    <s v="Idaho"/>
    <x v="1"/>
    <x v="13"/>
    <x v="2"/>
    <n v="2.7"/>
    <x v="1"/>
    <s v="2-Day Shipping"/>
    <s v="No"/>
    <s v="No"/>
    <n v="40"/>
    <s v="Venmo"/>
    <x v="4"/>
  </r>
  <r>
    <n v="2873"/>
    <x v="6"/>
    <s v="Female"/>
    <x v="16"/>
    <x v="3"/>
    <n v="48"/>
    <s v="Connecticut"/>
    <x v="0"/>
    <x v="8"/>
    <x v="3"/>
    <n v="2.6"/>
    <x v="1"/>
    <s v="Next Day Air"/>
    <s v="No"/>
    <s v="No"/>
    <n v="5"/>
    <s v="Cash"/>
    <x v="2"/>
  </r>
  <r>
    <n v="2874"/>
    <x v="42"/>
    <s v="Female"/>
    <x v="1"/>
    <x v="0"/>
    <n v="40"/>
    <s v="Montana"/>
    <x v="2"/>
    <x v="11"/>
    <x v="1"/>
    <n v="2.6"/>
    <x v="1"/>
    <s v="Free Shipping"/>
    <s v="No"/>
    <s v="No"/>
    <n v="8"/>
    <s v="Bank Transfer"/>
    <x v="5"/>
  </r>
  <r>
    <n v="2875"/>
    <x v="24"/>
    <s v="Female"/>
    <x v="5"/>
    <x v="0"/>
    <n v="29"/>
    <s v="Colorado"/>
    <x v="0"/>
    <x v="5"/>
    <x v="2"/>
    <n v="3.1"/>
    <x v="1"/>
    <s v="Standard"/>
    <s v="No"/>
    <s v="No"/>
    <n v="2"/>
    <s v="Debit Card"/>
    <x v="2"/>
  </r>
  <r>
    <n v="2876"/>
    <x v="41"/>
    <s v="Female"/>
    <x v="13"/>
    <x v="0"/>
    <n v="81"/>
    <s v="Kentucky"/>
    <x v="2"/>
    <x v="6"/>
    <x v="3"/>
    <n v="2.6"/>
    <x v="1"/>
    <s v="Free Shipping"/>
    <s v="No"/>
    <s v="No"/>
    <n v="14"/>
    <s v="Debit Card"/>
    <x v="1"/>
  </r>
  <r>
    <n v="2877"/>
    <x v="13"/>
    <s v="Female"/>
    <x v="15"/>
    <x v="0"/>
    <n v="84"/>
    <s v="New Mexico"/>
    <x v="2"/>
    <x v="4"/>
    <x v="1"/>
    <n v="3.4"/>
    <x v="1"/>
    <s v="2-Day Shipping"/>
    <s v="No"/>
    <s v="No"/>
    <n v="5"/>
    <s v="Bank Transfer"/>
    <x v="0"/>
  </r>
  <r>
    <n v="2878"/>
    <x v="45"/>
    <s v="Female"/>
    <x v="20"/>
    <x v="0"/>
    <n v="46"/>
    <s v="New Jersey"/>
    <x v="2"/>
    <x v="5"/>
    <x v="2"/>
    <n v="3.6"/>
    <x v="1"/>
    <s v="Standard"/>
    <s v="No"/>
    <s v="No"/>
    <n v="34"/>
    <s v="Venmo"/>
    <x v="5"/>
  </r>
  <r>
    <n v="2879"/>
    <x v="6"/>
    <s v="Female"/>
    <x v="10"/>
    <x v="0"/>
    <n v="86"/>
    <s v="California"/>
    <x v="0"/>
    <x v="2"/>
    <x v="2"/>
    <n v="4.3"/>
    <x v="1"/>
    <s v="Next Day Air"/>
    <s v="No"/>
    <s v="No"/>
    <n v="13"/>
    <s v="Bank Transfer"/>
    <x v="2"/>
  </r>
  <r>
    <n v="2880"/>
    <x v="46"/>
    <s v="Female"/>
    <x v="0"/>
    <x v="0"/>
    <n v="57"/>
    <s v="North Dakota"/>
    <x v="3"/>
    <x v="2"/>
    <x v="0"/>
    <n v="4.9000000000000004"/>
    <x v="1"/>
    <s v="Free Shipping"/>
    <s v="No"/>
    <s v="No"/>
    <n v="31"/>
    <s v="Venmo"/>
    <x v="2"/>
  </r>
  <r>
    <n v="2881"/>
    <x v="1"/>
    <s v="Female"/>
    <x v="11"/>
    <x v="0"/>
    <n v="61"/>
    <s v="Florida"/>
    <x v="0"/>
    <x v="19"/>
    <x v="0"/>
    <n v="4.8"/>
    <x v="1"/>
    <s v="Store Pickup"/>
    <s v="No"/>
    <s v="No"/>
    <n v="43"/>
    <s v="PayPal"/>
    <x v="3"/>
  </r>
  <r>
    <n v="2882"/>
    <x v="21"/>
    <s v="Female"/>
    <x v="21"/>
    <x v="3"/>
    <n v="90"/>
    <s v="Texas"/>
    <x v="2"/>
    <x v="17"/>
    <x v="0"/>
    <n v="4.2"/>
    <x v="1"/>
    <s v="Free Shipping"/>
    <s v="No"/>
    <s v="No"/>
    <n v="6"/>
    <s v="Bank Transfer"/>
    <x v="2"/>
  </r>
  <r>
    <n v="2883"/>
    <x v="35"/>
    <s v="Female"/>
    <x v="0"/>
    <x v="0"/>
    <n v="51"/>
    <s v="Oklahoma"/>
    <x v="0"/>
    <x v="9"/>
    <x v="0"/>
    <n v="2.6"/>
    <x v="1"/>
    <s v="Store Pickup"/>
    <s v="No"/>
    <s v="No"/>
    <n v="23"/>
    <s v="Credit Card"/>
    <x v="4"/>
  </r>
  <r>
    <n v="2884"/>
    <x v="40"/>
    <s v="Female"/>
    <x v="20"/>
    <x v="0"/>
    <n v="48"/>
    <s v="Rhode Island"/>
    <x v="3"/>
    <x v="5"/>
    <x v="1"/>
    <n v="3.2"/>
    <x v="1"/>
    <s v="Standard"/>
    <s v="No"/>
    <s v="No"/>
    <n v="10"/>
    <s v="PayPal"/>
    <x v="1"/>
  </r>
  <r>
    <n v="2885"/>
    <x v="0"/>
    <s v="Female"/>
    <x v="23"/>
    <x v="1"/>
    <n v="50"/>
    <s v="Arkansas"/>
    <x v="2"/>
    <x v="7"/>
    <x v="2"/>
    <n v="3.4"/>
    <x v="1"/>
    <s v="2-Day Shipping"/>
    <s v="No"/>
    <s v="No"/>
    <n v="47"/>
    <s v="Credit Card"/>
    <x v="6"/>
  </r>
  <r>
    <n v="2886"/>
    <x v="26"/>
    <s v="Female"/>
    <x v="21"/>
    <x v="3"/>
    <n v="82"/>
    <s v="Nevada"/>
    <x v="2"/>
    <x v="22"/>
    <x v="2"/>
    <n v="3.5"/>
    <x v="1"/>
    <s v="Next Day Air"/>
    <s v="No"/>
    <s v="No"/>
    <n v="14"/>
    <s v="Credit Card"/>
    <x v="4"/>
  </r>
  <r>
    <n v="2887"/>
    <x v="32"/>
    <s v="Female"/>
    <x v="19"/>
    <x v="3"/>
    <n v="33"/>
    <s v="Utah"/>
    <x v="0"/>
    <x v="24"/>
    <x v="1"/>
    <n v="4.2"/>
    <x v="1"/>
    <s v="Free Shipping"/>
    <s v="No"/>
    <s v="No"/>
    <n v="29"/>
    <s v="PayPal"/>
    <x v="1"/>
  </r>
  <r>
    <n v="2888"/>
    <x v="51"/>
    <s v="Female"/>
    <x v="3"/>
    <x v="1"/>
    <n v="28"/>
    <s v="Kentucky"/>
    <x v="0"/>
    <x v="24"/>
    <x v="0"/>
    <n v="2.8"/>
    <x v="1"/>
    <s v="Express"/>
    <s v="No"/>
    <s v="No"/>
    <n v="12"/>
    <s v="Cash"/>
    <x v="4"/>
  </r>
  <r>
    <n v="2889"/>
    <x v="27"/>
    <s v="Female"/>
    <x v="15"/>
    <x v="0"/>
    <n v="42"/>
    <s v="Wisconsin"/>
    <x v="0"/>
    <x v="14"/>
    <x v="1"/>
    <n v="5"/>
    <x v="1"/>
    <s v="2-Day Shipping"/>
    <s v="No"/>
    <s v="No"/>
    <n v="25"/>
    <s v="Debit Card"/>
    <x v="3"/>
  </r>
  <r>
    <n v="2890"/>
    <x v="14"/>
    <s v="Female"/>
    <x v="12"/>
    <x v="3"/>
    <n v="43"/>
    <s v="Minnesota"/>
    <x v="2"/>
    <x v="4"/>
    <x v="3"/>
    <n v="3.3"/>
    <x v="1"/>
    <s v="Store Pickup"/>
    <s v="No"/>
    <s v="No"/>
    <n v="21"/>
    <s v="Venmo"/>
    <x v="2"/>
  </r>
  <r>
    <n v="2891"/>
    <x v="31"/>
    <s v="Female"/>
    <x v="2"/>
    <x v="0"/>
    <n v="55"/>
    <s v="North Dakota"/>
    <x v="2"/>
    <x v="10"/>
    <x v="0"/>
    <n v="3.7"/>
    <x v="1"/>
    <s v="Free Shipping"/>
    <s v="No"/>
    <s v="No"/>
    <n v="23"/>
    <s v="Credit Card"/>
    <x v="5"/>
  </r>
  <r>
    <n v="2892"/>
    <x v="36"/>
    <s v="Female"/>
    <x v="17"/>
    <x v="0"/>
    <n v="73"/>
    <s v="Ohio"/>
    <x v="3"/>
    <x v="13"/>
    <x v="0"/>
    <n v="2.5"/>
    <x v="1"/>
    <s v="Free Shipping"/>
    <s v="No"/>
    <s v="No"/>
    <n v="10"/>
    <s v="PayPal"/>
    <x v="5"/>
  </r>
  <r>
    <n v="2893"/>
    <x v="40"/>
    <s v="Female"/>
    <x v="10"/>
    <x v="0"/>
    <n v="39"/>
    <s v="Nevada"/>
    <x v="2"/>
    <x v="11"/>
    <x v="1"/>
    <n v="3.2"/>
    <x v="1"/>
    <s v="Standard"/>
    <s v="No"/>
    <s v="No"/>
    <n v="47"/>
    <s v="Credit Card"/>
    <x v="5"/>
  </r>
  <r>
    <n v="2894"/>
    <x v="28"/>
    <s v="Female"/>
    <x v="22"/>
    <x v="3"/>
    <n v="20"/>
    <s v="Kentucky"/>
    <x v="1"/>
    <x v="20"/>
    <x v="1"/>
    <n v="3.1"/>
    <x v="1"/>
    <s v="Free Shipping"/>
    <s v="No"/>
    <s v="No"/>
    <n v="44"/>
    <s v="Debit Card"/>
    <x v="6"/>
  </r>
  <r>
    <n v="2895"/>
    <x v="25"/>
    <s v="Female"/>
    <x v="16"/>
    <x v="3"/>
    <n v="32"/>
    <s v="Kentucky"/>
    <x v="1"/>
    <x v="18"/>
    <x v="1"/>
    <n v="3.5"/>
    <x v="1"/>
    <s v="Standard"/>
    <s v="No"/>
    <s v="No"/>
    <n v="41"/>
    <s v="Venmo"/>
    <x v="2"/>
  </r>
  <r>
    <n v="2896"/>
    <x v="19"/>
    <s v="Female"/>
    <x v="15"/>
    <x v="0"/>
    <n v="86"/>
    <s v="Montana"/>
    <x v="0"/>
    <x v="14"/>
    <x v="2"/>
    <n v="4.5999999999999996"/>
    <x v="1"/>
    <s v="Standard"/>
    <s v="No"/>
    <s v="No"/>
    <n v="29"/>
    <s v="Bank Transfer"/>
    <x v="5"/>
  </r>
  <r>
    <n v="2897"/>
    <x v="11"/>
    <s v="Female"/>
    <x v="0"/>
    <x v="0"/>
    <n v="91"/>
    <s v="Delaware"/>
    <x v="2"/>
    <x v="5"/>
    <x v="2"/>
    <n v="3.3"/>
    <x v="1"/>
    <s v="Free Shipping"/>
    <s v="No"/>
    <s v="No"/>
    <n v="2"/>
    <s v="Venmo"/>
    <x v="6"/>
  </r>
  <r>
    <n v="2898"/>
    <x v="49"/>
    <s v="Female"/>
    <x v="14"/>
    <x v="2"/>
    <n v="59"/>
    <s v="Montana"/>
    <x v="0"/>
    <x v="10"/>
    <x v="3"/>
    <n v="2.5"/>
    <x v="1"/>
    <s v="Free Shipping"/>
    <s v="No"/>
    <s v="No"/>
    <n v="2"/>
    <s v="Cash"/>
    <x v="0"/>
  </r>
  <r>
    <n v="2899"/>
    <x v="51"/>
    <s v="Female"/>
    <x v="4"/>
    <x v="1"/>
    <n v="33"/>
    <s v="New Jersey"/>
    <x v="3"/>
    <x v="15"/>
    <x v="2"/>
    <n v="4.5999999999999996"/>
    <x v="1"/>
    <s v="Express"/>
    <s v="No"/>
    <s v="No"/>
    <n v="29"/>
    <s v="Credit Card"/>
    <x v="2"/>
  </r>
  <r>
    <n v="2900"/>
    <x v="2"/>
    <s v="Female"/>
    <x v="23"/>
    <x v="1"/>
    <n v="64"/>
    <s v="Nebraska"/>
    <x v="2"/>
    <x v="9"/>
    <x v="1"/>
    <n v="4.2"/>
    <x v="1"/>
    <s v="2-Day Shipping"/>
    <s v="No"/>
    <s v="No"/>
    <n v="22"/>
    <s v="Bank Transfer"/>
    <x v="0"/>
  </r>
  <r>
    <n v="2901"/>
    <x v="38"/>
    <s v="Female"/>
    <x v="0"/>
    <x v="0"/>
    <n v="67"/>
    <s v="Maryland"/>
    <x v="3"/>
    <x v="10"/>
    <x v="0"/>
    <n v="4"/>
    <x v="1"/>
    <s v="Standard"/>
    <s v="No"/>
    <s v="No"/>
    <n v="23"/>
    <s v="Cash"/>
    <x v="4"/>
  </r>
  <r>
    <n v="2902"/>
    <x v="38"/>
    <s v="Female"/>
    <x v="0"/>
    <x v="0"/>
    <n v="43"/>
    <s v="Alabama"/>
    <x v="0"/>
    <x v="8"/>
    <x v="0"/>
    <n v="2.6"/>
    <x v="1"/>
    <s v="Free Shipping"/>
    <s v="No"/>
    <s v="No"/>
    <n v="46"/>
    <s v="Credit Card"/>
    <x v="3"/>
  </r>
  <r>
    <n v="2903"/>
    <x v="7"/>
    <s v="Female"/>
    <x v="23"/>
    <x v="1"/>
    <n v="32"/>
    <s v="North Carolina"/>
    <x v="1"/>
    <x v="20"/>
    <x v="1"/>
    <n v="4.5999999999999996"/>
    <x v="1"/>
    <s v="Standard"/>
    <s v="No"/>
    <s v="No"/>
    <n v="19"/>
    <s v="PayPal"/>
    <x v="4"/>
  </r>
  <r>
    <n v="2904"/>
    <x v="21"/>
    <s v="Female"/>
    <x v="18"/>
    <x v="3"/>
    <n v="39"/>
    <s v="Delaware"/>
    <x v="1"/>
    <x v="11"/>
    <x v="1"/>
    <n v="3.5"/>
    <x v="1"/>
    <s v="2-Day Shipping"/>
    <s v="No"/>
    <s v="No"/>
    <n v="24"/>
    <s v="Credit Card"/>
    <x v="6"/>
  </r>
  <r>
    <n v="2905"/>
    <x v="38"/>
    <s v="Female"/>
    <x v="3"/>
    <x v="1"/>
    <n v="41"/>
    <s v="Iowa"/>
    <x v="2"/>
    <x v="0"/>
    <x v="1"/>
    <n v="4"/>
    <x v="1"/>
    <s v="2-Day Shipping"/>
    <s v="No"/>
    <s v="No"/>
    <n v="43"/>
    <s v="Venmo"/>
    <x v="5"/>
  </r>
  <r>
    <n v="2906"/>
    <x v="44"/>
    <s v="Female"/>
    <x v="12"/>
    <x v="3"/>
    <n v="53"/>
    <s v="New York"/>
    <x v="0"/>
    <x v="13"/>
    <x v="0"/>
    <n v="4.8"/>
    <x v="1"/>
    <s v="Standard"/>
    <s v="No"/>
    <s v="No"/>
    <n v="14"/>
    <s v="Debit Card"/>
    <x v="0"/>
  </r>
  <r>
    <n v="2907"/>
    <x v="44"/>
    <s v="Female"/>
    <x v="7"/>
    <x v="2"/>
    <n v="27"/>
    <s v="Virginia"/>
    <x v="2"/>
    <x v="21"/>
    <x v="1"/>
    <n v="3.9"/>
    <x v="1"/>
    <s v="Standard"/>
    <s v="No"/>
    <s v="No"/>
    <n v="7"/>
    <s v="Venmo"/>
    <x v="2"/>
  </r>
  <r>
    <n v="2908"/>
    <x v="1"/>
    <s v="Female"/>
    <x v="12"/>
    <x v="3"/>
    <n v="82"/>
    <s v="Maryland"/>
    <x v="3"/>
    <x v="12"/>
    <x v="2"/>
    <n v="3.7"/>
    <x v="1"/>
    <s v="Next Day Air"/>
    <s v="No"/>
    <s v="No"/>
    <n v="50"/>
    <s v="PayPal"/>
    <x v="4"/>
  </r>
  <r>
    <n v="2909"/>
    <x v="49"/>
    <s v="Female"/>
    <x v="0"/>
    <x v="0"/>
    <n v="87"/>
    <s v="Texas"/>
    <x v="2"/>
    <x v="19"/>
    <x v="0"/>
    <n v="3.1"/>
    <x v="1"/>
    <s v="Store Pickup"/>
    <s v="No"/>
    <s v="No"/>
    <n v="15"/>
    <s v="Debit Card"/>
    <x v="6"/>
  </r>
  <r>
    <n v="2910"/>
    <x v="7"/>
    <s v="Female"/>
    <x v="21"/>
    <x v="3"/>
    <n v="78"/>
    <s v="Louisiana"/>
    <x v="2"/>
    <x v="21"/>
    <x v="0"/>
    <n v="3"/>
    <x v="1"/>
    <s v="Next Day Air"/>
    <s v="No"/>
    <s v="No"/>
    <n v="40"/>
    <s v="Credit Card"/>
    <x v="6"/>
  </r>
  <r>
    <n v="2911"/>
    <x v="45"/>
    <s v="Female"/>
    <x v="22"/>
    <x v="3"/>
    <n v="32"/>
    <s v="Mississippi"/>
    <x v="2"/>
    <x v="24"/>
    <x v="2"/>
    <n v="2.9"/>
    <x v="1"/>
    <s v="Store Pickup"/>
    <s v="No"/>
    <s v="No"/>
    <n v="41"/>
    <s v="Credit Card"/>
    <x v="5"/>
  </r>
  <r>
    <n v="2912"/>
    <x v="48"/>
    <s v="Female"/>
    <x v="20"/>
    <x v="0"/>
    <n v="38"/>
    <s v="Ohio"/>
    <x v="3"/>
    <x v="20"/>
    <x v="3"/>
    <n v="2.9"/>
    <x v="1"/>
    <s v="Next Day Air"/>
    <s v="No"/>
    <s v="No"/>
    <n v="34"/>
    <s v="Venmo"/>
    <x v="3"/>
  </r>
  <r>
    <n v="2913"/>
    <x v="39"/>
    <s v="Female"/>
    <x v="9"/>
    <x v="1"/>
    <n v="37"/>
    <s v="Oregon"/>
    <x v="2"/>
    <x v="22"/>
    <x v="0"/>
    <n v="4"/>
    <x v="1"/>
    <s v="Standard"/>
    <s v="No"/>
    <s v="No"/>
    <n v="27"/>
    <s v="Cash"/>
    <x v="4"/>
  </r>
  <r>
    <n v="2914"/>
    <x v="49"/>
    <s v="Female"/>
    <x v="7"/>
    <x v="2"/>
    <n v="83"/>
    <s v="Wyoming"/>
    <x v="0"/>
    <x v="17"/>
    <x v="0"/>
    <n v="3.5"/>
    <x v="1"/>
    <s v="Express"/>
    <s v="No"/>
    <s v="No"/>
    <n v="12"/>
    <s v="Cash"/>
    <x v="6"/>
  </r>
  <r>
    <n v="2915"/>
    <x v="4"/>
    <s v="Female"/>
    <x v="1"/>
    <x v="0"/>
    <n v="72"/>
    <s v="Pennsylvania"/>
    <x v="2"/>
    <x v="22"/>
    <x v="3"/>
    <n v="3.8"/>
    <x v="1"/>
    <s v="Express"/>
    <s v="No"/>
    <s v="No"/>
    <n v="1"/>
    <s v="Debit Card"/>
    <x v="4"/>
  </r>
  <r>
    <n v="2916"/>
    <x v="8"/>
    <s v="Female"/>
    <x v="5"/>
    <x v="0"/>
    <n v="30"/>
    <s v="Oregon"/>
    <x v="2"/>
    <x v="17"/>
    <x v="3"/>
    <n v="4.5"/>
    <x v="1"/>
    <s v="Express"/>
    <s v="No"/>
    <s v="No"/>
    <n v="39"/>
    <s v="Debit Card"/>
    <x v="4"/>
  </r>
  <r>
    <n v="2917"/>
    <x v="46"/>
    <s v="Female"/>
    <x v="6"/>
    <x v="0"/>
    <n v="66"/>
    <s v="Oklahoma"/>
    <x v="2"/>
    <x v="14"/>
    <x v="0"/>
    <n v="2.7"/>
    <x v="1"/>
    <s v="Express"/>
    <s v="No"/>
    <s v="No"/>
    <n v="13"/>
    <s v="Credit Card"/>
    <x v="4"/>
  </r>
  <r>
    <n v="2918"/>
    <x v="44"/>
    <s v="Female"/>
    <x v="5"/>
    <x v="0"/>
    <n v="45"/>
    <s v="Colorado"/>
    <x v="3"/>
    <x v="3"/>
    <x v="0"/>
    <n v="2.9"/>
    <x v="1"/>
    <s v="Store Pickup"/>
    <s v="No"/>
    <s v="No"/>
    <n v="50"/>
    <s v="Venmo"/>
    <x v="2"/>
  </r>
  <r>
    <n v="2919"/>
    <x v="1"/>
    <s v="Female"/>
    <x v="12"/>
    <x v="3"/>
    <n v="73"/>
    <s v="New York"/>
    <x v="1"/>
    <x v="13"/>
    <x v="3"/>
    <n v="4.9000000000000004"/>
    <x v="1"/>
    <s v="Free Shipping"/>
    <s v="No"/>
    <s v="No"/>
    <n v="36"/>
    <s v="Cash"/>
    <x v="1"/>
  </r>
  <r>
    <n v="2920"/>
    <x v="14"/>
    <s v="Female"/>
    <x v="9"/>
    <x v="1"/>
    <n v="67"/>
    <s v="Minnesota"/>
    <x v="0"/>
    <x v="4"/>
    <x v="0"/>
    <n v="3.8"/>
    <x v="1"/>
    <s v="Standard"/>
    <s v="No"/>
    <s v="No"/>
    <n v="31"/>
    <s v="Debit Card"/>
    <x v="5"/>
  </r>
  <r>
    <n v="2921"/>
    <x v="23"/>
    <s v="Female"/>
    <x v="12"/>
    <x v="3"/>
    <n v="72"/>
    <s v="Texas"/>
    <x v="3"/>
    <x v="18"/>
    <x v="1"/>
    <n v="4.9000000000000004"/>
    <x v="1"/>
    <s v="Free Shipping"/>
    <s v="No"/>
    <s v="No"/>
    <n v="3"/>
    <s v="Debit Card"/>
    <x v="4"/>
  </r>
  <r>
    <n v="2922"/>
    <x v="30"/>
    <s v="Female"/>
    <x v="8"/>
    <x v="3"/>
    <n v="24"/>
    <s v="Wisconsin"/>
    <x v="2"/>
    <x v="17"/>
    <x v="3"/>
    <n v="4.5999999999999996"/>
    <x v="1"/>
    <s v="Standard"/>
    <s v="No"/>
    <s v="No"/>
    <n v="11"/>
    <s v="Cash"/>
    <x v="0"/>
  </r>
  <r>
    <n v="2923"/>
    <x v="4"/>
    <s v="Female"/>
    <x v="12"/>
    <x v="3"/>
    <n v="68"/>
    <s v="Kentucky"/>
    <x v="0"/>
    <x v="19"/>
    <x v="0"/>
    <n v="3.5"/>
    <x v="1"/>
    <s v="Express"/>
    <s v="No"/>
    <s v="No"/>
    <n v="16"/>
    <s v="PayPal"/>
    <x v="3"/>
  </r>
  <r>
    <n v="2924"/>
    <x v="48"/>
    <s v="Female"/>
    <x v="5"/>
    <x v="0"/>
    <n v="70"/>
    <s v="Pennsylvania"/>
    <x v="2"/>
    <x v="23"/>
    <x v="1"/>
    <n v="4.2"/>
    <x v="1"/>
    <s v="2-Day Shipping"/>
    <s v="No"/>
    <s v="No"/>
    <n v="12"/>
    <s v="Cash"/>
    <x v="3"/>
  </r>
  <r>
    <n v="2925"/>
    <x v="36"/>
    <s v="Female"/>
    <x v="5"/>
    <x v="0"/>
    <n v="64"/>
    <s v="Rhode Island"/>
    <x v="0"/>
    <x v="21"/>
    <x v="0"/>
    <n v="3.7"/>
    <x v="1"/>
    <s v="Free Shipping"/>
    <s v="No"/>
    <s v="No"/>
    <n v="37"/>
    <s v="Debit Card"/>
    <x v="6"/>
  </r>
  <r>
    <n v="2926"/>
    <x v="22"/>
    <s v="Female"/>
    <x v="1"/>
    <x v="0"/>
    <n v="91"/>
    <s v="Illinois"/>
    <x v="2"/>
    <x v="1"/>
    <x v="1"/>
    <n v="2.8"/>
    <x v="1"/>
    <s v="Store Pickup"/>
    <s v="No"/>
    <s v="No"/>
    <n v="43"/>
    <s v="Credit Card"/>
    <x v="6"/>
  </r>
  <r>
    <n v="2927"/>
    <x v="14"/>
    <s v="Female"/>
    <x v="8"/>
    <x v="3"/>
    <n v="82"/>
    <s v="Maryland"/>
    <x v="2"/>
    <x v="0"/>
    <x v="0"/>
    <n v="4.8"/>
    <x v="1"/>
    <s v="2-Day Shipping"/>
    <s v="No"/>
    <s v="No"/>
    <n v="9"/>
    <s v="Cash"/>
    <x v="1"/>
  </r>
  <r>
    <n v="2928"/>
    <x v="4"/>
    <s v="Female"/>
    <x v="5"/>
    <x v="0"/>
    <n v="24"/>
    <s v="Missouri"/>
    <x v="2"/>
    <x v="13"/>
    <x v="2"/>
    <n v="2.7"/>
    <x v="1"/>
    <s v="Express"/>
    <s v="No"/>
    <s v="No"/>
    <n v="15"/>
    <s v="Venmo"/>
    <x v="4"/>
  </r>
  <r>
    <n v="2929"/>
    <x v="37"/>
    <s v="Female"/>
    <x v="16"/>
    <x v="3"/>
    <n v="80"/>
    <s v="Alabama"/>
    <x v="0"/>
    <x v="22"/>
    <x v="1"/>
    <n v="3.6"/>
    <x v="1"/>
    <s v="Store Pickup"/>
    <s v="No"/>
    <s v="No"/>
    <n v="17"/>
    <s v="Credit Card"/>
    <x v="1"/>
  </r>
  <r>
    <n v="2930"/>
    <x v="18"/>
    <s v="Female"/>
    <x v="20"/>
    <x v="0"/>
    <n v="53"/>
    <s v="Maine"/>
    <x v="3"/>
    <x v="3"/>
    <x v="0"/>
    <n v="4.5"/>
    <x v="1"/>
    <s v="Next Day Air"/>
    <s v="No"/>
    <s v="No"/>
    <n v="42"/>
    <s v="Venmo"/>
    <x v="0"/>
  </r>
  <r>
    <n v="2931"/>
    <x v="21"/>
    <s v="Female"/>
    <x v="17"/>
    <x v="0"/>
    <n v="50"/>
    <s v="Mississippi"/>
    <x v="2"/>
    <x v="20"/>
    <x v="1"/>
    <n v="4"/>
    <x v="1"/>
    <s v="Free Shipping"/>
    <s v="No"/>
    <s v="No"/>
    <n v="14"/>
    <s v="Venmo"/>
    <x v="5"/>
  </r>
  <r>
    <n v="2932"/>
    <x v="24"/>
    <s v="Female"/>
    <x v="16"/>
    <x v="3"/>
    <n v="31"/>
    <s v="Alabama"/>
    <x v="2"/>
    <x v="23"/>
    <x v="3"/>
    <n v="4.5"/>
    <x v="1"/>
    <s v="2-Day Shipping"/>
    <s v="No"/>
    <s v="No"/>
    <n v="49"/>
    <s v="Credit Card"/>
    <x v="4"/>
  </r>
  <r>
    <n v="2933"/>
    <x v="13"/>
    <s v="Female"/>
    <x v="21"/>
    <x v="3"/>
    <n v="88"/>
    <s v="Alaska"/>
    <x v="0"/>
    <x v="13"/>
    <x v="1"/>
    <n v="3.9"/>
    <x v="1"/>
    <s v="Express"/>
    <s v="No"/>
    <s v="No"/>
    <n v="3"/>
    <s v="PayPal"/>
    <x v="3"/>
  </r>
  <r>
    <n v="2934"/>
    <x v="7"/>
    <s v="Female"/>
    <x v="19"/>
    <x v="3"/>
    <n v="52"/>
    <s v="Illinois"/>
    <x v="2"/>
    <x v="18"/>
    <x v="2"/>
    <n v="3.8"/>
    <x v="1"/>
    <s v="Standard"/>
    <s v="No"/>
    <s v="No"/>
    <n v="28"/>
    <s v="Venmo"/>
    <x v="5"/>
  </r>
  <r>
    <n v="2935"/>
    <x v="21"/>
    <s v="Female"/>
    <x v="24"/>
    <x v="3"/>
    <n v="22"/>
    <s v="Idaho"/>
    <x v="2"/>
    <x v="20"/>
    <x v="3"/>
    <n v="4.7"/>
    <x v="1"/>
    <s v="Next Day Air"/>
    <s v="No"/>
    <s v="No"/>
    <n v="41"/>
    <s v="Bank Transfer"/>
    <x v="3"/>
  </r>
  <r>
    <n v="2936"/>
    <x v="44"/>
    <s v="Female"/>
    <x v="4"/>
    <x v="1"/>
    <n v="27"/>
    <s v="North Carolina"/>
    <x v="3"/>
    <x v="0"/>
    <x v="1"/>
    <n v="4.5999999999999996"/>
    <x v="1"/>
    <s v="Standard"/>
    <s v="No"/>
    <s v="No"/>
    <n v="11"/>
    <s v="Venmo"/>
    <x v="1"/>
  </r>
  <r>
    <n v="2937"/>
    <x v="18"/>
    <s v="Female"/>
    <x v="11"/>
    <x v="0"/>
    <n v="34"/>
    <s v="Washington"/>
    <x v="2"/>
    <x v="3"/>
    <x v="1"/>
    <n v="3.6"/>
    <x v="1"/>
    <s v="Express"/>
    <s v="No"/>
    <s v="No"/>
    <n v="46"/>
    <s v="PayPal"/>
    <x v="1"/>
  </r>
  <r>
    <n v="2938"/>
    <x v="48"/>
    <s v="Female"/>
    <x v="8"/>
    <x v="3"/>
    <n v="39"/>
    <s v="West Virginia"/>
    <x v="2"/>
    <x v="3"/>
    <x v="1"/>
    <n v="4.3"/>
    <x v="1"/>
    <s v="2-Day Shipping"/>
    <s v="No"/>
    <s v="No"/>
    <n v="15"/>
    <s v="Credit Card"/>
    <x v="1"/>
  </r>
  <r>
    <n v="2939"/>
    <x v="48"/>
    <s v="Female"/>
    <x v="12"/>
    <x v="3"/>
    <n v="53"/>
    <s v="Maine"/>
    <x v="2"/>
    <x v="10"/>
    <x v="3"/>
    <n v="3"/>
    <x v="1"/>
    <s v="Standard"/>
    <s v="No"/>
    <s v="No"/>
    <n v="15"/>
    <s v="Cash"/>
    <x v="5"/>
  </r>
  <r>
    <n v="2940"/>
    <x v="45"/>
    <s v="Female"/>
    <x v="1"/>
    <x v="0"/>
    <n v="46"/>
    <s v="Kentucky"/>
    <x v="2"/>
    <x v="19"/>
    <x v="0"/>
    <n v="4.3"/>
    <x v="1"/>
    <s v="Express"/>
    <s v="No"/>
    <s v="No"/>
    <n v="34"/>
    <s v="Venmo"/>
    <x v="1"/>
  </r>
  <r>
    <n v="2941"/>
    <x v="12"/>
    <s v="Female"/>
    <x v="8"/>
    <x v="3"/>
    <n v="85"/>
    <s v="Massachusetts"/>
    <x v="0"/>
    <x v="19"/>
    <x v="2"/>
    <n v="4.8"/>
    <x v="1"/>
    <s v="Next Day Air"/>
    <s v="No"/>
    <s v="No"/>
    <n v="13"/>
    <s v="Cash"/>
    <x v="5"/>
  </r>
  <r>
    <n v="2942"/>
    <x v="21"/>
    <s v="Female"/>
    <x v="11"/>
    <x v="0"/>
    <n v="86"/>
    <s v="Pennsylvania"/>
    <x v="0"/>
    <x v="7"/>
    <x v="1"/>
    <n v="3.7"/>
    <x v="1"/>
    <s v="Free Shipping"/>
    <s v="No"/>
    <s v="No"/>
    <n v="27"/>
    <s v="PayPal"/>
    <x v="5"/>
  </r>
  <r>
    <n v="2943"/>
    <x v="22"/>
    <s v="Female"/>
    <x v="20"/>
    <x v="0"/>
    <n v="63"/>
    <s v="Hawaii"/>
    <x v="2"/>
    <x v="18"/>
    <x v="2"/>
    <n v="2.6"/>
    <x v="1"/>
    <s v="Free Shipping"/>
    <s v="No"/>
    <s v="No"/>
    <n v="37"/>
    <s v="Bank Transfer"/>
    <x v="1"/>
  </r>
  <r>
    <n v="2944"/>
    <x v="26"/>
    <s v="Female"/>
    <x v="5"/>
    <x v="0"/>
    <n v="44"/>
    <s v="Virginia"/>
    <x v="2"/>
    <x v="20"/>
    <x v="1"/>
    <n v="3.4"/>
    <x v="1"/>
    <s v="Standard"/>
    <s v="No"/>
    <s v="No"/>
    <n v="37"/>
    <s v="Credit Card"/>
    <x v="5"/>
  </r>
  <r>
    <n v="2945"/>
    <x v="2"/>
    <s v="Female"/>
    <x v="4"/>
    <x v="1"/>
    <n v="95"/>
    <s v="New York"/>
    <x v="3"/>
    <x v="17"/>
    <x v="2"/>
    <n v="3.9"/>
    <x v="1"/>
    <s v="Free Shipping"/>
    <s v="No"/>
    <s v="No"/>
    <n v="4"/>
    <s v="Venmo"/>
    <x v="6"/>
  </r>
  <r>
    <n v="2946"/>
    <x v="45"/>
    <s v="Female"/>
    <x v="22"/>
    <x v="3"/>
    <n v="49"/>
    <s v="Delaware"/>
    <x v="2"/>
    <x v="4"/>
    <x v="2"/>
    <n v="4.8"/>
    <x v="1"/>
    <s v="Free Shipping"/>
    <s v="No"/>
    <s v="No"/>
    <n v="1"/>
    <s v="Credit Card"/>
    <x v="6"/>
  </r>
  <r>
    <n v="2947"/>
    <x v="21"/>
    <s v="Female"/>
    <x v="13"/>
    <x v="0"/>
    <n v="77"/>
    <s v="Hawaii"/>
    <x v="0"/>
    <x v="7"/>
    <x v="1"/>
    <n v="2.8"/>
    <x v="1"/>
    <s v="Free Shipping"/>
    <s v="No"/>
    <s v="No"/>
    <n v="29"/>
    <s v="Bank Transfer"/>
    <x v="3"/>
  </r>
  <r>
    <n v="2948"/>
    <x v="16"/>
    <s v="Female"/>
    <x v="16"/>
    <x v="3"/>
    <n v="63"/>
    <s v="Nebraska"/>
    <x v="0"/>
    <x v="15"/>
    <x v="1"/>
    <n v="4.4000000000000004"/>
    <x v="1"/>
    <s v="Standard"/>
    <s v="No"/>
    <s v="No"/>
    <n v="50"/>
    <s v="Venmo"/>
    <x v="2"/>
  </r>
  <r>
    <n v="2949"/>
    <x v="12"/>
    <s v="Female"/>
    <x v="13"/>
    <x v="0"/>
    <n v="83"/>
    <s v="Vermont"/>
    <x v="2"/>
    <x v="10"/>
    <x v="0"/>
    <n v="3.1"/>
    <x v="1"/>
    <s v="Standard"/>
    <s v="No"/>
    <s v="No"/>
    <n v="38"/>
    <s v="Debit Card"/>
    <x v="4"/>
  </r>
  <r>
    <n v="2950"/>
    <x v="15"/>
    <s v="Female"/>
    <x v="16"/>
    <x v="3"/>
    <n v="93"/>
    <s v="Iowa"/>
    <x v="2"/>
    <x v="15"/>
    <x v="1"/>
    <n v="3.8"/>
    <x v="1"/>
    <s v="Store Pickup"/>
    <s v="No"/>
    <s v="No"/>
    <n v="15"/>
    <s v="PayPal"/>
    <x v="2"/>
  </r>
  <r>
    <n v="2951"/>
    <x v="40"/>
    <s v="Female"/>
    <x v="2"/>
    <x v="0"/>
    <n v="91"/>
    <s v="Iowa"/>
    <x v="1"/>
    <x v="1"/>
    <x v="0"/>
    <n v="4.0999999999999996"/>
    <x v="1"/>
    <s v="2-Day Shipping"/>
    <s v="No"/>
    <s v="No"/>
    <n v="44"/>
    <s v="Debit Card"/>
    <x v="6"/>
  </r>
  <r>
    <n v="2952"/>
    <x v="36"/>
    <s v="Female"/>
    <x v="18"/>
    <x v="3"/>
    <n v="99"/>
    <s v="Arkansas"/>
    <x v="0"/>
    <x v="1"/>
    <x v="3"/>
    <n v="4.5999999999999996"/>
    <x v="1"/>
    <s v="Free Shipping"/>
    <s v="No"/>
    <s v="No"/>
    <n v="14"/>
    <s v="Cash"/>
    <x v="1"/>
  </r>
  <r>
    <n v="2953"/>
    <x v="2"/>
    <s v="Female"/>
    <x v="22"/>
    <x v="3"/>
    <n v="24"/>
    <s v="Alabama"/>
    <x v="2"/>
    <x v="15"/>
    <x v="1"/>
    <n v="4.9000000000000004"/>
    <x v="1"/>
    <s v="Next Day Air"/>
    <s v="No"/>
    <s v="No"/>
    <n v="5"/>
    <s v="Debit Card"/>
    <x v="5"/>
  </r>
  <r>
    <n v="2954"/>
    <x v="4"/>
    <s v="Female"/>
    <x v="10"/>
    <x v="0"/>
    <n v="82"/>
    <s v="Maryland"/>
    <x v="2"/>
    <x v="5"/>
    <x v="2"/>
    <n v="4.8"/>
    <x v="1"/>
    <s v="Next Day Air"/>
    <s v="No"/>
    <s v="No"/>
    <n v="11"/>
    <s v="Credit Card"/>
    <x v="2"/>
  </r>
  <r>
    <n v="2955"/>
    <x v="23"/>
    <s v="Female"/>
    <x v="17"/>
    <x v="0"/>
    <n v="28"/>
    <s v="South Dakota"/>
    <x v="2"/>
    <x v="21"/>
    <x v="0"/>
    <n v="3.9"/>
    <x v="1"/>
    <s v="Express"/>
    <s v="No"/>
    <s v="No"/>
    <n v="15"/>
    <s v="Credit Card"/>
    <x v="2"/>
  </r>
  <r>
    <n v="2956"/>
    <x v="32"/>
    <s v="Female"/>
    <x v="23"/>
    <x v="1"/>
    <n v="67"/>
    <s v="Vermont"/>
    <x v="2"/>
    <x v="5"/>
    <x v="0"/>
    <n v="2.6"/>
    <x v="1"/>
    <s v="Free Shipping"/>
    <s v="No"/>
    <s v="No"/>
    <n v="46"/>
    <s v="Credit Card"/>
    <x v="2"/>
  </r>
  <r>
    <n v="2957"/>
    <x v="16"/>
    <s v="Female"/>
    <x v="10"/>
    <x v="0"/>
    <n v="88"/>
    <s v="Montana"/>
    <x v="2"/>
    <x v="8"/>
    <x v="3"/>
    <n v="3.7"/>
    <x v="1"/>
    <s v="Standard"/>
    <s v="No"/>
    <s v="No"/>
    <n v="30"/>
    <s v="Venmo"/>
    <x v="5"/>
  </r>
  <r>
    <n v="2958"/>
    <x v="28"/>
    <s v="Female"/>
    <x v="16"/>
    <x v="3"/>
    <n v="70"/>
    <s v="South Dakota"/>
    <x v="1"/>
    <x v="0"/>
    <x v="3"/>
    <n v="4.7"/>
    <x v="1"/>
    <s v="Standard"/>
    <s v="No"/>
    <s v="No"/>
    <n v="2"/>
    <s v="Cash"/>
    <x v="2"/>
  </r>
  <r>
    <n v="2959"/>
    <x v="0"/>
    <s v="Female"/>
    <x v="11"/>
    <x v="0"/>
    <n v="100"/>
    <s v="Ohio"/>
    <x v="2"/>
    <x v="13"/>
    <x v="2"/>
    <n v="4.5"/>
    <x v="1"/>
    <s v="Standard"/>
    <s v="No"/>
    <s v="No"/>
    <n v="28"/>
    <s v="PayPal"/>
    <x v="5"/>
  </r>
  <r>
    <n v="2960"/>
    <x v="21"/>
    <s v="Female"/>
    <x v="8"/>
    <x v="3"/>
    <n v="28"/>
    <s v="Texas"/>
    <x v="0"/>
    <x v="1"/>
    <x v="2"/>
    <n v="4.7"/>
    <x v="1"/>
    <s v="Free Shipping"/>
    <s v="No"/>
    <s v="No"/>
    <n v="9"/>
    <s v="PayPal"/>
    <x v="3"/>
  </r>
  <r>
    <n v="2961"/>
    <x v="9"/>
    <s v="Female"/>
    <x v="7"/>
    <x v="2"/>
    <n v="48"/>
    <s v="Indiana"/>
    <x v="1"/>
    <x v="8"/>
    <x v="1"/>
    <n v="3.6"/>
    <x v="1"/>
    <s v="Standard"/>
    <s v="No"/>
    <s v="No"/>
    <n v="47"/>
    <s v="Credit Card"/>
    <x v="1"/>
  </r>
  <r>
    <n v="2962"/>
    <x v="23"/>
    <s v="Female"/>
    <x v="15"/>
    <x v="0"/>
    <n v="43"/>
    <s v="New Hampshire"/>
    <x v="1"/>
    <x v="9"/>
    <x v="3"/>
    <n v="2.8"/>
    <x v="1"/>
    <s v="Free Shipping"/>
    <s v="No"/>
    <s v="No"/>
    <n v="21"/>
    <s v="Debit Card"/>
    <x v="4"/>
  </r>
  <r>
    <n v="2963"/>
    <x v="9"/>
    <s v="Female"/>
    <x v="13"/>
    <x v="0"/>
    <n v="40"/>
    <s v="California"/>
    <x v="0"/>
    <x v="6"/>
    <x v="3"/>
    <n v="4"/>
    <x v="1"/>
    <s v="Express"/>
    <s v="No"/>
    <s v="No"/>
    <n v="42"/>
    <s v="Credit Card"/>
    <x v="6"/>
  </r>
  <r>
    <n v="2964"/>
    <x v="16"/>
    <s v="Female"/>
    <x v="23"/>
    <x v="1"/>
    <n v="97"/>
    <s v="Maine"/>
    <x v="2"/>
    <x v="18"/>
    <x v="1"/>
    <n v="3.6"/>
    <x v="1"/>
    <s v="Free Shipping"/>
    <s v="No"/>
    <s v="No"/>
    <n v="28"/>
    <s v="Credit Card"/>
    <x v="1"/>
  </r>
  <r>
    <n v="2965"/>
    <x v="42"/>
    <s v="Female"/>
    <x v="7"/>
    <x v="2"/>
    <n v="25"/>
    <s v="Ohio"/>
    <x v="1"/>
    <x v="3"/>
    <x v="3"/>
    <n v="3.8"/>
    <x v="1"/>
    <s v="2-Day Shipping"/>
    <s v="No"/>
    <s v="No"/>
    <n v="13"/>
    <s v="Venmo"/>
    <x v="0"/>
  </r>
  <r>
    <n v="2966"/>
    <x v="39"/>
    <s v="Female"/>
    <x v="18"/>
    <x v="3"/>
    <n v="45"/>
    <s v="Delaware"/>
    <x v="2"/>
    <x v="24"/>
    <x v="2"/>
    <n v="4.4000000000000004"/>
    <x v="1"/>
    <s v="Standard"/>
    <s v="No"/>
    <s v="No"/>
    <n v="25"/>
    <s v="PayPal"/>
    <x v="0"/>
  </r>
  <r>
    <n v="2967"/>
    <x v="16"/>
    <s v="Female"/>
    <x v="23"/>
    <x v="1"/>
    <n v="49"/>
    <s v="Oklahoma"/>
    <x v="0"/>
    <x v="20"/>
    <x v="3"/>
    <n v="2.8"/>
    <x v="1"/>
    <s v="Store Pickup"/>
    <s v="No"/>
    <s v="No"/>
    <n v="38"/>
    <s v="Debit Card"/>
    <x v="6"/>
  </r>
  <r>
    <n v="2968"/>
    <x v="50"/>
    <s v="Female"/>
    <x v="4"/>
    <x v="1"/>
    <n v="36"/>
    <s v="Indiana"/>
    <x v="0"/>
    <x v="5"/>
    <x v="2"/>
    <n v="3.4"/>
    <x v="1"/>
    <s v="Free Shipping"/>
    <s v="No"/>
    <s v="No"/>
    <n v="40"/>
    <s v="Venmo"/>
    <x v="2"/>
  </r>
  <r>
    <n v="2969"/>
    <x v="8"/>
    <s v="Female"/>
    <x v="1"/>
    <x v="0"/>
    <n v="48"/>
    <s v="South Carolina"/>
    <x v="1"/>
    <x v="0"/>
    <x v="3"/>
    <n v="4.9000000000000004"/>
    <x v="1"/>
    <s v="Express"/>
    <s v="No"/>
    <s v="No"/>
    <n v="25"/>
    <s v="Cash"/>
    <x v="6"/>
  </r>
  <r>
    <n v="2970"/>
    <x v="24"/>
    <s v="Female"/>
    <x v="22"/>
    <x v="3"/>
    <n v="62"/>
    <s v="Vermont"/>
    <x v="1"/>
    <x v="24"/>
    <x v="3"/>
    <n v="4.3"/>
    <x v="1"/>
    <s v="Next Day Air"/>
    <s v="No"/>
    <s v="No"/>
    <n v="20"/>
    <s v="Cash"/>
    <x v="6"/>
  </r>
  <r>
    <n v="2971"/>
    <x v="41"/>
    <s v="Female"/>
    <x v="16"/>
    <x v="3"/>
    <n v="74"/>
    <s v="Kansas"/>
    <x v="2"/>
    <x v="3"/>
    <x v="0"/>
    <n v="3.4"/>
    <x v="1"/>
    <s v="Free Shipping"/>
    <s v="No"/>
    <s v="No"/>
    <n v="44"/>
    <s v="Credit Card"/>
    <x v="4"/>
  </r>
  <r>
    <n v="2972"/>
    <x v="11"/>
    <s v="Female"/>
    <x v="8"/>
    <x v="3"/>
    <n v="100"/>
    <s v="Utah"/>
    <x v="0"/>
    <x v="22"/>
    <x v="3"/>
    <n v="3.9"/>
    <x v="1"/>
    <s v="Next Day Air"/>
    <s v="No"/>
    <s v="No"/>
    <n v="9"/>
    <s v="PayPal"/>
    <x v="6"/>
  </r>
  <r>
    <n v="2973"/>
    <x v="18"/>
    <s v="Female"/>
    <x v="14"/>
    <x v="2"/>
    <n v="39"/>
    <s v="New York"/>
    <x v="1"/>
    <x v="21"/>
    <x v="3"/>
    <n v="4.2"/>
    <x v="1"/>
    <s v="Free Shipping"/>
    <s v="No"/>
    <s v="No"/>
    <n v="11"/>
    <s v="Venmo"/>
    <x v="6"/>
  </r>
  <r>
    <n v="2974"/>
    <x v="15"/>
    <s v="Female"/>
    <x v="23"/>
    <x v="1"/>
    <n v="65"/>
    <s v="Indiana"/>
    <x v="2"/>
    <x v="24"/>
    <x v="2"/>
    <n v="2.7"/>
    <x v="1"/>
    <s v="Store Pickup"/>
    <s v="No"/>
    <s v="No"/>
    <n v="3"/>
    <s v="Bank Transfer"/>
    <x v="0"/>
  </r>
  <r>
    <n v="2975"/>
    <x v="9"/>
    <s v="Female"/>
    <x v="4"/>
    <x v="1"/>
    <n v="99"/>
    <s v="Tennessee"/>
    <x v="3"/>
    <x v="15"/>
    <x v="2"/>
    <n v="4.0999999999999996"/>
    <x v="1"/>
    <s v="Store Pickup"/>
    <s v="No"/>
    <s v="No"/>
    <n v="34"/>
    <s v="Credit Card"/>
    <x v="1"/>
  </r>
  <r>
    <n v="2976"/>
    <x v="12"/>
    <s v="Female"/>
    <x v="18"/>
    <x v="3"/>
    <n v="68"/>
    <s v="Georgia"/>
    <x v="3"/>
    <x v="12"/>
    <x v="0"/>
    <n v="4.5"/>
    <x v="1"/>
    <s v="2-Day Shipping"/>
    <s v="No"/>
    <s v="No"/>
    <n v="48"/>
    <s v="Cash"/>
    <x v="6"/>
  </r>
  <r>
    <n v="2977"/>
    <x v="11"/>
    <s v="Female"/>
    <x v="7"/>
    <x v="2"/>
    <n v="97"/>
    <s v="Nebraska"/>
    <x v="2"/>
    <x v="5"/>
    <x v="2"/>
    <n v="2.8"/>
    <x v="1"/>
    <s v="Express"/>
    <s v="No"/>
    <s v="No"/>
    <n v="28"/>
    <s v="Cash"/>
    <x v="0"/>
  </r>
  <r>
    <n v="2978"/>
    <x v="21"/>
    <s v="Female"/>
    <x v="6"/>
    <x v="0"/>
    <n v="47"/>
    <s v="Washington"/>
    <x v="0"/>
    <x v="9"/>
    <x v="0"/>
    <n v="3.4"/>
    <x v="1"/>
    <s v="Standard"/>
    <s v="No"/>
    <s v="No"/>
    <n v="20"/>
    <s v="Venmo"/>
    <x v="2"/>
  </r>
  <r>
    <n v="2979"/>
    <x v="10"/>
    <s v="Female"/>
    <x v="6"/>
    <x v="0"/>
    <n v="56"/>
    <s v="Idaho"/>
    <x v="1"/>
    <x v="17"/>
    <x v="1"/>
    <n v="3.9"/>
    <x v="1"/>
    <s v="Free Shipping"/>
    <s v="No"/>
    <s v="No"/>
    <n v="49"/>
    <s v="Bank Transfer"/>
    <x v="0"/>
  </r>
  <r>
    <n v="2980"/>
    <x v="18"/>
    <s v="Female"/>
    <x v="2"/>
    <x v="0"/>
    <n v="91"/>
    <s v="Louisiana"/>
    <x v="0"/>
    <x v="8"/>
    <x v="3"/>
    <n v="2.6"/>
    <x v="1"/>
    <s v="Next Day Air"/>
    <s v="No"/>
    <s v="No"/>
    <n v="14"/>
    <s v="PayPal"/>
    <x v="1"/>
  </r>
  <r>
    <n v="2981"/>
    <x v="27"/>
    <s v="Female"/>
    <x v="24"/>
    <x v="3"/>
    <n v="93"/>
    <s v="New Jersey"/>
    <x v="0"/>
    <x v="11"/>
    <x v="3"/>
    <n v="4.4000000000000004"/>
    <x v="1"/>
    <s v="2-Day Shipping"/>
    <s v="No"/>
    <s v="No"/>
    <n v="9"/>
    <s v="Bank Transfer"/>
    <x v="5"/>
  </r>
  <r>
    <n v="2982"/>
    <x v="3"/>
    <s v="Female"/>
    <x v="13"/>
    <x v="0"/>
    <n v="36"/>
    <s v="Delaware"/>
    <x v="0"/>
    <x v="6"/>
    <x v="0"/>
    <n v="4.9000000000000004"/>
    <x v="1"/>
    <s v="Standard"/>
    <s v="No"/>
    <s v="No"/>
    <n v="37"/>
    <s v="Venmo"/>
    <x v="2"/>
  </r>
  <r>
    <n v="2983"/>
    <x v="23"/>
    <s v="Female"/>
    <x v="10"/>
    <x v="0"/>
    <n v="45"/>
    <s v="Wisconsin"/>
    <x v="2"/>
    <x v="20"/>
    <x v="2"/>
    <n v="3.6"/>
    <x v="1"/>
    <s v="Store Pickup"/>
    <s v="No"/>
    <s v="No"/>
    <n v="4"/>
    <s v="Credit Card"/>
    <x v="1"/>
  </r>
  <r>
    <n v="2984"/>
    <x v="52"/>
    <s v="Female"/>
    <x v="13"/>
    <x v="0"/>
    <n v="44"/>
    <s v="West Virginia"/>
    <x v="2"/>
    <x v="4"/>
    <x v="0"/>
    <n v="2.8"/>
    <x v="1"/>
    <s v="2-Day Shipping"/>
    <s v="No"/>
    <s v="No"/>
    <n v="1"/>
    <s v="Credit Card"/>
    <x v="3"/>
  </r>
  <r>
    <n v="2985"/>
    <x v="4"/>
    <s v="Female"/>
    <x v="24"/>
    <x v="3"/>
    <n v="32"/>
    <s v="Texas"/>
    <x v="0"/>
    <x v="16"/>
    <x v="1"/>
    <n v="4.3"/>
    <x v="1"/>
    <s v="2-Day Shipping"/>
    <s v="No"/>
    <s v="No"/>
    <n v="36"/>
    <s v="Debit Card"/>
    <x v="4"/>
  </r>
  <r>
    <n v="2986"/>
    <x v="5"/>
    <s v="Female"/>
    <x v="22"/>
    <x v="3"/>
    <n v="36"/>
    <s v="Hawaii"/>
    <x v="1"/>
    <x v="11"/>
    <x v="2"/>
    <n v="3"/>
    <x v="1"/>
    <s v="Express"/>
    <s v="No"/>
    <s v="No"/>
    <n v="21"/>
    <s v="Cash"/>
    <x v="4"/>
  </r>
  <r>
    <n v="2987"/>
    <x v="46"/>
    <s v="Female"/>
    <x v="22"/>
    <x v="3"/>
    <n v="85"/>
    <s v="Arizona"/>
    <x v="1"/>
    <x v="5"/>
    <x v="2"/>
    <n v="3.3"/>
    <x v="1"/>
    <s v="2-Day Shipping"/>
    <s v="No"/>
    <s v="No"/>
    <n v="16"/>
    <s v="Credit Card"/>
    <x v="5"/>
  </r>
  <r>
    <n v="2988"/>
    <x v="6"/>
    <s v="Female"/>
    <x v="11"/>
    <x v="0"/>
    <n v="36"/>
    <s v="Louisiana"/>
    <x v="0"/>
    <x v="13"/>
    <x v="0"/>
    <n v="2.5"/>
    <x v="1"/>
    <s v="Store Pickup"/>
    <s v="No"/>
    <s v="No"/>
    <n v="42"/>
    <s v="Cash"/>
    <x v="5"/>
  </r>
  <r>
    <n v="2989"/>
    <x v="28"/>
    <s v="Female"/>
    <x v="20"/>
    <x v="0"/>
    <n v="55"/>
    <s v="Nevada"/>
    <x v="1"/>
    <x v="6"/>
    <x v="1"/>
    <n v="5"/>
    <x v="1"/>
    <s v="2-Day Shipping"/>
    <s v="No"/>
    <s v="No"/>
    <n v="31"/>
    <s v="Debit Card"/>
    <x v="5"/>
  </r>
  <r>
    <n v="2990"/>
    <x v="5"/>
    <s v="Female"/>
    <x v="22"/>
    <x v="3"/>
    <n v="20"/>
    <s v="Rhode Island"/>
    <x v="3"/>
    <x v="11"/>
    <x v="2"/>
    <n v="4.3"/>
    <x v="1"/>
    <s v="2-Day Shipping"/>
    <s v="No"/>
    <s v="No"/>
    <n v="6"/>
    <s v="Credit Card"/>
    <x v="1"/>
  </r>
  <r>
    <n v="2991"/>
    <x v="28"/>
    <s v="Female"/>
    <x v="5"/>
    <x v="0"/>
    <n v="91"/>
    <s v="Illinois"/>
    <x v="2"/>
    <x v="11"/>
    <x v="3"/>
    <n v="4.2"/>
    <x v="1"/>
    <s v="Free Shipping"/>
    <s v="No"/>
    <s v="No"/>
    <n v="24"/>
    <s v="Venmo"/>
    <x v="5"/>
  </r>
  <r>
    <n v="2992"/>
    <x v="17"/>
    <s v="Female"/>
    <x v="10"/>
    <x v="0"/>
    <n v="71"/>
    <s v="Utah"/>
    <x v="0"/>
    <x v="14"/>
    <x v="2"/>
    <n v="3.9"/>
    <x v="1"/>
    <s v="Standard"/>
    <s v="No"/>
    <s v="No"/>
    <n v="7"/>
    <s v="PayPal"/>
    <x v="4"/>
  </r>
  <r>
    <n v="2993"/>
    <x v="38"/>
    <s v="Female"/>
    <x v="20"/>
    <x v="0"/>
    <n v="64"/>
    <s v="North Dakota"/>
    <x v="2"/>
    <x v="4"/>
    <x v="1"/>
    <n v="3.9"/>
    <x v="1"/>
    <s v="Store Pickup"/>
    <s v="No"/>
    <s v="No"/>
    <n v="25"/>
    <s v="Venmo"/>
    <x v="1"/>
  </r>
  <r>
    <n v="2994"/>
    <x v="45"/>
    <s v="Female"/>
    <x v="14"/>
    <x v="2"/>
    <n v="21"/>
    <s v="Kansas"/>
    <x v="0"/>
    <x v="21"/>
    <x v="1"/>
    <n v="4.2"/>
    <x v="1"/>
    <s v="Free Shipping"/>
    <s v="No"/>
    <s v="No"/>
    <n v="18"/>
    <s v="Cash"/>
    <x v="4"/>
  </r>
  <r>
    <n v="2995"/>
    <x v="28"/>
    <s v="Female"/>
    <x v="1"/>
    <x v="0"/>
    <n v="100"/>
    <s v="Nevada"/>
    <x v="1"/>
    <x v="3"/>
    <x v="0"/>
    <n v="3.5"/>
    <x v="1"/>
    <s v="Store Pickup"/>
    <s v="No"/>
    <s v="No"/>
    <n v="14"/>
    <s v="Bank Transfer"/>
    <x v="3"/>
  </r>
  <r>
    <n v="2996"/>
    <x v="26"/>
    <s v="Female"/>
    <x v="2"/>
    <x v="0"/>
    <n v="96"/>
    <s v="Virginia"/>
    <x v="2"/>
    <x v="20"/>
    <x v="2"/>
    <n v="2.5"/>
    <x v="1"/>
    <s v="Standard"/>
    <s v="No"/>
    <s v="No"/>
    <n v="42"/>
    <s v="Debit Card"/>
    <x v="4"/>
  </r>
  <r>
    <n v="2997"/>
    <x v="27"/>
    <s v="Female"/>
    <x v="16"/>
    <x v="3"/>
    <n v="91"/>
    <s v="Utah"/>
    <x v="2"/>
    <x v="3"/>
    <x v="1"/>
    <n v="2.9"/>
    <x v="1"/>
    <s v="Express"/>
    <s v="No"/>
    <s v="No"/>
    <n v="6"/>
    <s v="Venmo"/>
    <x v="6"/>
  </r>
  <r>
    <n v="2998"/>
    <x v="38"/>
    <s v="Female"/>
    <x v="1"/>
    <x v="0"/>
    <n v="40"/>
    <s v="Idaho"/>
    <x v="1"/>
    <x v="22"/>
    <x v="1"/>
    <n v="2.7"/>
    <x v="1"/>
    <s v="Next Day Air"/>
    <s v="No"/>
    <s v="No"/>
    <n v="14"/>
    <s v="Venmo"/>
    <x v="6"/>
  </r>
  <r>
    <n v="2999"/>
    <x v="18"/>
    <s v="Female"/>
    <x v="15"/>
    <x v="0"/>
    <n v="53"/>
    <s v="Alaska"/>
    <x v="2"/>
    <x v="16"/>
    <x v="2"/>
    <n v="4.7"/>
    <x v="1"/>
    <s v="Express"/>
    <s v="No"/>
    <s v="No"/>
    <n v="30"/>
    <s v="Debit Card"/>
    <x v="3"/>
  </r>
  <r>
    <n v="3000"/>
    <x v="18"/>
    <s v="Female"/>
    <x v="12"/>
    <x v="3"/>
    <n v="48"/>
    <s v="New Hampshire"/>
    <x v="1"/>
    <x v="4"/>
    <x v="0"/>
    <n v="3.8"/>
    <x v="1"/>
    <s v="Standard"/>
    <s v="No"/>
    <s v="No"/>
    <n v="10"/>
    <s v="Cash"/>
    <x v="5"/>
  </r>
  <r>
    <n v="3001"/>
    <x v="9"/>
    <s v="Female"/>
    <x v="3"/>
    <x v="1"/>
    <n v="70"/>
    <s v="Ohio"/>
    <x v="2"/>
    <x v="12"/>
    <x v="0"/>
    <n v="3.7"/>
    <x v="1"/>
    <s v="Express"/>
    <s v="No"/>
    <s v="No"/>
    <n v="7"/>
    <s v="PayPal"/>
    <x v="1"/>
  </r>
  <r>
    <n v="3002"/>
    <x v="26"/>
    <s v="Female"/>
    <x v="7"/>
    <x v="2"/>
    <n v="29"/>
    <s v="Montana"/>
    <x v="0"/>
    <x v="4"/>
    <x v="2"/>
    <n v="4.7"/>
    <x v="1"/>
    <s v="Express"/>
    <s v="No"/>
    <s v="No"/>
    <n v="28"/>
    <s v="Credit Card"/>
    <x v="3"/>
  </r>
  <r>
    <n v="3003"/>
    <x v="27"/>
    <s v="Female"/>
    <x v="22"/>
    <x v="3"/>
    <n v="29"/>
    <s v="Louisiana"/>
    <x v="2"/>
    <x v="1"/>
    <x v="3"/>
    <n v="3.6"/>
    <x v="1"/>
    <s v="Next Day Air"/>
    <s v="No"/>
    <s v="No"/>
    <n v="19"/>
    <s v="Bank Transfer"/>
    <x v="3"/>
  </r>
  <r>
    <n v="3004"/>
    <x v="47"/>
    <s v="Female"/>
    <x v="0"/>
    <x v="0"/>
    <n v="53"/>
    <s v="Oregon"/>
    <x v="2"/>
    <x v="18"/>
    <x v="3"/>
    <n v="2.8"/>
    <x v="1"/>
    <s v="Express"/>
    <s v="No"/>
    <s v="No"/>
    <n v="13"/>
    <s v="Credit Card"/>
    <x v="6"/>
  </r>
  <r>
    <n v="3005"/>
    <x v="4"/>
    <s v="Female"/>
    <x v="11"/>
    <x v="0"/>
    <n v="79"/>
    <s v="Arizona"/>
    <x v="2"/>
    <x v="12"/>
    <x v="0"/>
    <n v="3.7"/>
    <x v="1"/>
    <s v="Store Pickup"/>
    <s v="No"/>
    <s v="No"/>
    <n v="23"/>
    <s v="Venmo"/>
    <x v="0"/>
  </r>
  <r>
    <n v="3006"/>
    <x v="20"/>
    <s v="Female"/>
    <x v="6"/>
    <x v="0"/>
    <n v="65"/>
    <s v="Alaska"/>
    <x v="3"/>
    <x v="18"/>
    <x v="1"/>
    <n v="3.5"/>
    <x v="1"/>
    <s v="Express"/>
    <s v="No"/>
    <s v="No"/>
    <n v="5"/>
    <s v="Venmo"/>
    <x v="1"/>
  </r>
  <r>
    <n v="3007"/>
    <x v="43"/>
    <s v="Female"/>
    <x v="10"/>
    <x v="0"/>
    <n v="99"/>
    <s v="Utah"/>
    <x v="2"/>
    <x v="8"/>
    <x v="2"/>
    <n v="3.7"/>
    <x v="1"/>
    <s v="Store Pickup"/>
    <s v="No"/>
    <s v="No"/>
    <n v="17"/>
    <s v="Venmo"/>
    <x v="4"/>
  </r>
  <r>
    <n v="3008"/>
    <x v="51"/>
    <s v="Female"/>
    <x v="12"/>
    <x v="3"/>
    <n v="60"/>
    <s v="New York"/>
    <x v="0"/>
    <x v="12"/>
    <x v="0"/>
    <n v="3"/>
    <x v="1"/>
    <s v="Next Day Air"/>
    <s v="No"/>
    <s v="No"/>
    <n v="31"/>
    <s v="Venmo"/>
    <x v="1"/>
  </r>
  <r>
    <n v="3009"/>
    <x v="31"/>
    <s v="Female"/>
    <x v="9"/>
    <x v="1"/>
    <n v="86"/>
    <s v="New Mexico"/>
    <x v="2"/>
    <x v="9"/>
    <x v="0"/>
    <n v="4.9000000000000004"/>
    <x v="1"/>
    <s v="Free Shipping"/>
    <s v="No"/>
    <s v="No"/>
    <n v="19"/>
    <s v="PayPal"/>
    <x v="1"/>
  </r>
  <r>
    <n v="3010"/>
    <x v="46"/>
    <s v="Female"/>
    <x v="22"/>
    <x v="3"/>
    <n v="73"/>
    <s v="Louisiana"/>
    <x v="2"/>
    <x v="5"/>
    <x v="0"/>
    <n v="4.5999999999999996"/>
    <x v="1"/>
    <s v="Free Shipping"/>
    <s v="No"/>
    <s v="No"/>
    <n v="8"/>
    <s v="Venmo"/>
    <x v="0"/>
  </r>
  <r>
    <n v="3011"/>
    <x v="27"/>
    <s v="Female"/>
    <x v="22"/>
    <x v="3"/>
    <n v="45"/>
    <s v="Ohio"/>
    <x v="2"/>
    <x v="10"/>
    <x v="0"/>
    <n v="3.3"/>
    <x v="1"/>
    <s v="Free Shipping"/>
    <s v="No"/>
    <s v="No"/>
    <n v="15"/>
    <s v="Credit Card"/>
    <x v="2"/>
  </r>
  <r>
    <n v="3012"/>
    <x v="30"/>
    <s v="Female"/>
    <x v="22"/>
    <x v="3"/>
    <n v="70"/>
    <s v="Nevada"/>
    <x v="1"/>
    <x v="18"/>
    <x v="2"/>
    <n v="3"/>
    <x v="1"/>
    <s v="Next Day Air"/>
    <s v="No"/>
    <s v="No"/>
    <n v="18"/>
    <s v="Credit Card"/>
    <x v="6"/>
  </r>
  <r>
    <n v="3013"/>
    <x v="32"/>
    <s v="Female"/>
    <x v="22"/>
    <x v="3"/>
    <n v="65"/>
    <s v="Idaho"/>
    <x v="2"/>
    <x v="11"/>
    <x v="3"/>
    <n v="3.5"/>
    <x v="1"/>
    <s v="Standard"/>
    <s v="No"/>
    <s v="No"/>
    <n v="16"/>
    <s v="PayPal"/>
    <x v="2"/>
  </r>
  <r>
    <n v="3014"/>
    <x v="38"/>
    <s v="Female"/>
    <x v="11"/>
    <x v="0"/>
    <n v="55"/>
    <s v="Arizona"/>
    <x v="0"/>
    <x v="15"/>
    <x v="2"/>
    <n v="4.2"/>
    <x v="1"/>
    <s v="Store Pickup"/>
    <s v="No"/>
    <s v="No"/>
    <n v="13"/>
    <s v="Cash"/>
    <x v="5"/>
  </r>
  <r>
    <n v="3015"/>
    <x v="41"/>
    <s v="Female"/>
    <x v="17"/>
    <x v="0"/>
    <n v="65"/>
    <s v="Utah"/>
    <x v="2"/>
    <x v="1"/>
    <x v="1"/>
    <n v="4.5"/>
    <x v="1"/>
    <s v="Express"/>
    <s v="No"/>
    <s v="No"/>
    <n v="38"/>
    <s v="PayPal"/>
    <x v="6"/>
  </r>
  <r>
    <n v="3016"/>
    <x v="43"/>
    <s v="Female"/>
    <x v="18"/>
    <x v="3"/>
    <n v="21"/>
    <s v="Wyoming"/>
    <x v="3"/>
    <x v="12"/>
    <x v="1"/>
    <n v="2.8"/>
    <x v="1"/>
    <s v="Express"/>
    <s v="No"/>
    <s v="No"/>
    <n v="27"/>
    <s v="Bank Transfer"/>
    <x v="4"/>
  </r>
  <r>
    <n v="3017"/>
    <x v="11"/>
    <s v="Female"/>
    <x v="0"/>
    <x v="0"/>
    <n v="26"/>
    <s v="Indiana"/>
    <x v="0"/>
    <x v="12"/>
    <x v="2"/>
    <n v="4.9000000000000004"/>
    <x v="1"/>
    <s v="Store Pickup"/>
    <s v="No"/>
    <s v="No"/>
    <n v="31"/>
    <s v="Bank Transfer"/>
    <x v="3"/>
  </r>
  <r>
    <n v="3018"/>
    <x v="44"/>
    <s v="Female"/>
    <x v="12"/>
    <x v="3"/>
    <n v="71"/>
    <s v="Wisconsin"/>
    <x v="1"/>
    <x v="7"/>
    <x v="2"/>
    <n v="3.3"/>
    <x v="1"/>
    <s v="Next Day Air"/>
    <s v="No"/>
    <s v="No"/>
    <n v="24"/>
    <s v="Cash"/>
    <x v="4"/>
  </r>
  <r>
    <n v="3019"/>
    <x v="49"/>
    <s v="Female"/>
    <x v="23"/>
    <x v="1"/>
    <n v="41"/>
    <s v="Texas"/>
    <x v="2"/>
    <x v="14"/>
    <x v="2"/>
    <n v="3"/>
    <x v="1"/>
    <s v="Free Shipping"/>
    <s v="No"/>
    <s v="No"/>
    <n v="21"/>
    <s v="Debit Card"/>
    <x v="4"/>
  </r>
  <r>
    <n v="3020"/>
    <x v="1"/>
    <s v="Female"/>
    <x v="14"/>
    <x v="2"/>
    <n v="44"/>
    <s v="Utah"/>
    <x v="2"/>
    <x v="22"/>
    <x v="0"/>
    <n v="3.9"/>
    <x v="1"/>
    <s v="2-Day Shipping"/>
    <s v="No"/>
    <s v="No"/>
    <n v="15"/>
    <s v="PayPal"/>
    <x v="2"/>
  </r>
  <r>
    <n v="3021"/>
    <x v="51"/>
    <s v="Female"/>
    <x v="2"/>
    <x v="0"/>
    <n v="81"/>
    <s v="Arkansas"/>
    <x v="1"/>
    <x v="4"/>
    <x v="3"/>
    <n v="2.8"/>
    <x v="1"/>
    <s v="Store Pickup"/>
    <s v="No"/>
    <s v="No"/>
    <n v="48"/>
    <s v="Venmo"/>
    <x v="6"/>
  </r>
  <r>
    <n v="3022"/>
    <x v="13"/>
    <s v="Female"/>
    <x v="12"/>
    <x v="3"/>
    <n v="77"/>
    <s v="Pennsylvania"/>
    <x v="1"/>
    <x v="24"/>
    <x v="2"/>
    <n v="4.5"/>
    <x v="1"/>
    <s v="2-Day Shipping"/>
    <s v="No"/>
    <s v="No"/>
    <n v="47"/>
    <s v="Cash"/>
    <x v="3"/>
  </r>
  <r>
    <n v="3023"/>
    <x v="44"/>
    <s v="Female"/>
    <x v="3"/>
    <x v="1"/>
    <n v="26"/>
    <s v="Georgia"/>
    <x v="2"/>
    <x v="12"/>
    <x v="3"/>
    <n v="4"/>
    <x v="1"/>
    <s v="Free Shipping"/>
    <s v="No"/>
    <s v="No"/>
    <n v="23"/>
    <s v="PayPal"/>
    <x v="1"/>
  </r>
  <r>
    <n v="3024"/>
    <x v="2"/>
    <s v="Female"/>
    <x v="21"/>
    <x v="3"/>
    <n v="31"/>
    <s v="Indiana"/>
    <x v="2"/>
    <x v="18"/>
    <x v="2"/>
    <n v="2.9"/>
    <x v="1"/>
    <s v="Express"/>
    <s v="No"/>
    <s v="No"/>
    <n v="4"/>
    <s v="PayPal"/>
    <x v="3"/>
  </r>
  <r>
    <n v="3025"/>
    <x v="29"/>
    <s v="Female"/>
    <x v="0"/>
    <x v="0"/>
    <n v="82"/>
    <s v="Idaho"/>
    <x v="1"/>
    <x v="3"/>
    <x v="1"/>
    <n v="4"/>
    <x v="1"/>
    <s v="Free Shipping"/>
    <s v="No"/>
    <s v="No"/>
    <n v="47"/>
    <s v="Credit Card"/>
    <x v="6"/>
  </r>
  <r>
    <n v="3026"/>
    <x v="37"/>
    <s v="Female"/>
    <x v="9"/>
    <x v="1"/>
    <n v="60"/>
    <s v="Montana"/>
    <x v="3"/>
    <x v="14"/>
    <x v="2"/>
    <n v="3.4"/>
    <x v="1"/>
    <s v="Store Pickup"/>
    <s v="No"/>
    <s v="No"/>
    <n v="7"/>
    <s v="PayPal"/>
    <x v="5"/>
  </r>
  <r>
    <n v="3027"/>
    <x v="0"/>
    <s v="Female"/>
    <x v="5"/>
    <x v="0"/>
    <n v="70"/>
    <s v="Tennessee"/>
    <x v="0"/>
    <x v="23"/>
    <x v="3"/>
    <n v="2.5"/>
    <x v="1"/>
    <s v="Free Shipping"/>
    <s v="No"/>
    <s v="No"/>
    <n v="6"/>
    <s v="Credit Card"/>
    <x v="2"/>
  </r>
  <r>
    <n v="3028"/>
    <x v="16"/>
    <s v="Female"/>
    <x v="15"/>
    <x v="0"/>
    <n v="26"/>
    <s v="West Virginia"/>
    <x v="3"/>
    <x v="15"/>
    <x v="0"/>
    <n v="2.8"/>
    <x v="1"/>
    <s v="2-Day Shipping"/>
    <s v="No"/>
    <s v="No"/>
    <n v="47"/>
    <s v="Credit Card"/>
    <x v="3"/>
  </r>
  <r>
    <n v="3029"/>
    <x v="46"/>
    <s v="Female"/>
    <x v="10"/>
    <x v="0"/>
    <n v="100"/>
    <s v="California"/>
    <x v="0"/>
    <x v="4"/>
    <x v="2"/>
    <n v="3"/>
    <x v="1"/>
    <s v="Free Shipping"/>
    <s v="No"/>
    <s v="No"/>
    <n v="7"/>
    <s v="PayPal"/>
    <x v="6"/>
  </r>
  <r>
    <n v="3030"/>
    <x v="14"/>
    <s v="Female"/>
    <x v="10"/>
    <x v="0"/>
    <n v="82"/>
    <s v="Georgia"/>
    <x v="2"/>
    <x v="9"/>
    <x v="2"/>
    <n v="3.1"/>
    <x v="1"/>
    <s v="Free Shipping"/>
    <s v="No"/>
    <s v="No"/>
    <n v="1"/>
    <s v="Debit Card"/>
    <x v="3"/>
  </r>
  <r>
    <n v="3031"/>
    <x v="49"/>
    <s v="Female"/>
    <x v="4"/>
    <x v="1"/>
    <n v="24"/>
    <s v="Maryland"/>
    <x v="3"/>
    <x v="7"/>
    <x v="1"/>
    <n v="2.6"/>
    <x v="1"/>
    <s v="2-Day Shipping"/>
    <s v="No"/>
    <s v="No"/>
    <n v="23"/>
    <s v="Credit Card"/>
    <x v="1"/>
  </r>
  <r>
    <n v="3032"/>
    <x v="12"/>
    <s v="Female"/>
    <x v="0"/>
    <x v="0"/>
    <n v="74"/>
    <s v="Idaho"/>
    <x v="0"/>
    <x v="11"/>
    <x v="2"/>
    <n v="4.9000000000000004"/>
    <x v="1"/>
    <s v="2-Day Shipping"/>
    <s v="No"/>
    <s v="No"/>
    <n v="30"/>
    <s v="Credit Card"/>
    <x v="5"/>
  </r>
  <r>
    <n v="3033"/>
    <x v="8"/>
    <s v="Female"/>
    <x v="21"/>
    <x v="3"/>
    <n v="58"/>
    <s v="California"/>
    <x v="3"/>
    <x v="14"/>
    <x v="2"/>
    <n v="3.5"/>
    <x v="1"/>
    <s v="Next Day Air"/>
    <s v="No"/>
    <s v="No"/>
    <n v="24"/>
    <s v="Credit Card"/>
    <x v="3"/>
  </r>
  <r>
    <n v="3034"/>
    <x v="40"/>
    <s v="Female"/>
    <x v="1"/>
    <x v="0"/>
    <n v="56"/>
    <s v="Alabama"/>
    <x v="0"/>
    <x v="20"/>
    <x v="1"/>
    <n v="2.6"/>
    <x v="1"/>
    <s v="Store Pickup"/>
    <s v="No"/>
    <s v="No"/>
    <n v="9"/>
    <s v="PayPal"/>
    <x v="1"/>
  </r>
  <r>
    <n v="3035"/>
    <x v="47"/>
    <s v="Female"/>
    <x v="23"/>
    <x v="1"/>
    <n v="37"/>
    <s v="Utah"/>
    <x v="0"/>
    <x v="15"/>
    <x v="1"/>
    <n v="3.5"/>
    <x v="1"/>
    <s v="2-Day Shipping"/>
    <s v="No"/>
    <s v="No"/>
    <n v="25"/>
    <s v="Credit Card"/>
    <x v="3"/>
  </r>
  <r>
    <n v="3036"/>
    <x v="28"/>
    <s v="Female"/>
    <x v="8"/>
    <x v="3"/>
    <n v="64"/>
    <s v="Kentucky"/>
    <x v="2"/>
    <x v="9"/>
    <x v="1"/>
    <n v="4.5"/>
    <x v="1"/>
    <s v="Free Shipping"/>
    <s v="No"/>
    <s v="No"/>
    <n v="18"/>
    <s v="Cash"/>
    <x v="4"/>
  </r>
  <r>
    <n v="3037"/>
    <x v="2"/>
    <s v="Female"/>
    <x v="15"/>
    <x v="0"/>
    <n v="58"/>
    <s v="Vermont"/>
    <x v="1"/>
    <x v="10"/>
    <x v="1"/>
    <n v="4.3"/>
    <x v="1"/>
    <s v="Next Day Air"/>
    <s v="No"/>
    <s v="No"/>
    <n v="7"/>
    <s v="Venmo"/>
    <x v="0"/>
  </r>
  <r>
    <n v="3038"/>
    <x v="47"/>
    <s v="Female"/>
    <x v="22"/>
    <x v="3"/>
    <n v="44"/>
    <s v="Iowa"/>
    <x v="0"/>
    <x v="4"/>
    <x v="2"/>
    <n v="4.8"/>
    <x v="1"/>
    <s v="Next Day Air"/>
    <s v="No"/>
    <s v="No"/>
    <n v="2"/>
    <s v="Cash"/>
    <x v="2"/>
  </r>
  <r>
    <n v="3039"/>
    <x v="19"/>
    <s v="Female"/>
    <x v="16"/>
    <x v="3"/>
    <n v="39"/>
    <s v="Georgia"/>
    <x v="2"/>
    <x v="18"/>
    <x v="2"/>
    <n v="4.2"/>
    <x v="1"/>
    <s v="Free Shipping"/>
    <s v="No"/>
    <s v="No"/>
    <n v="36"/>
    <s v="Debit Card"/>
    <x v="2"/>
  </r>
  <r>
    <n v="3040"/>
    <x v="35"/>
    <s v="Female"/>
    <x v="0"/>
    <x v="0"/>
    <n v="48"/>
    <s v="Alabama"/>
    <x v="0"/>
    <x v="24"/>
    <x v="1"/>
    <n v="3.2"/>
    <x v="1"/>
    <s v="Next Day Air"/>
    <s v="No"/>
    <s v="No"/>
    <n v="31"/>
    <s v="PayPal"/>
    <x v="4"/>
  </r>
  <r>
    <n v="3041"/>
    <x v="20"/>
    <s v="Female"/>
    <x v="8"/>
    <x v="3"/>
    <n v="32"/>
    <s v="Nebraska"/>
    <x v="2"/>
    <x v="9"/>
    <x v="3"/>
    <n v="4.0999999999999996"/>
    <x v="1"/>
    <s v="Express"/>
    <s v="No"/>
    <s v="No"/>
    <n v="10"/>
    <s v="Cash"/>
    <x v="0"/>
  </r>
  <r>
    <n v="3042"/>
    <x v="39"/>
    <s v="Female"/>
    <x v="8"/>
    <x v="3"/>
    <n v="79"/>
    <s v="Rhode Island"/>
    <x v="2"/>
    <x v="20"/>
    <x v="0"/>
    <n v="4"/>
    <x v="1"/>
    <s v="Express"/>
    <s v="No"/>
    <s v="No"/>
    <n v="27"/>
    <s v="PayPal"/>
    <x v="5"/>
  </r>
  <r>
    <n v="3043"/>
    <x v="10"/>
    <s v="Female"/>
    <x v="7"/>
    <x v="2"/>
    <n v="27"/>
    <s v="South Dakota"/>
    <x v="0"/>
    <x v="2"/>
    <x v="0"/>
    <n v="2.9"/>
    <x v="1"/>
    <s v="Next Day Air"/>
    <s v="No"/>
    <s v="No"/>
    <n v="14"/>
    <s v="PayPal"/>
    <x v="6"/>
  </r>
  <r>
    <n v="3044"/>
    <x v="4"/>
    <s v="Female"/>
    <x v="22"/>
    <x v="3"/>
    <n v="98"/>
    <s v="Illinois"/>
    <x v="1"/>
    <x v="15"/>
    <x v="3"/>
    <n v="2.6"/>
    <x v="1"/>
    <s v="Store Pickup"/>
    <s v="No"/>
    <s v="No"/>
    <n v="17"/>
    <s v="Credit Card"/>
    <x v="5"/>
  </r>
  <r>
    <n v="3045"/>
    <x v="3"/>
    <s v="Female"/>
    <x v="23"/>
    <x v="1"/>
    <n v="67"/>
    <s v="North Carolina"/>
    <x v="2"/>
    <x v="23"/>
    <x v="0"/>
    <n v="2.7"/>
    <x v="1"/>
    <s v="Free Shipping"/>
    <s v="No"/>
    <s v="No"/>
    <n v="10"/>
    <s v="Bank Transfer"/>
    <x v="3"/>
  </r>
  <r>
    <n v="3046"/>
    <x v="32"/>
    <s v="Female"/>
    <x v="20"/>
    <x v="0"/>
    <n v="37"/>
    <s v="Florida"/>
    <x v="0"/>
    <x v="13"/>
    <x v="0"/>
    <n v="4.5999999999999996"/>
    <x v="1"/>
    <s v="2-Day Shipping"/>
    <s v="No"/>
    <s v="No"/>
    <n v="4"/>
    <s v="PayPal"/>
    <x v="4"/>
  </r>
  <r>
    <n v="3047"/>
    <x v="52"/>
    <s v="Female"/>
    <x v="9"/>
    <x v="1"/>
    <n v="49"/>
    <s v="Pennsylvania"/>
    <x v="2"/>
    <x v="3"/>
    <x v="1"/>
    <n v="3.2"/>
    <x v="1"/>
    <s v="Store Pickup"/>
    <s v="No"/>
    <s v="No"/>
    <n v="25"/>
    <s v="Cash"/>
    <x v="6"/>
  </r>
  <r>
    <n v="3048"/>
    <x v="3"/>
    <s v="Female"/>
    <x v="4"/>
    <x v="1"/>
    <n v="74"/>
    <s v="Vermont"/>
    <x v="2"/>
    <x v="10"/>
    <x v="3"/>
    <n v="4.0999999999999996"/>
    <x v="1"/>
    <s v="2-Day Shipping"/>
    <s v="No"/>
    <s v="No"/>
    <n v="3"/>
    <s v="PayPal"/>
    <x v="4"/>
  </r>
  <r>
    <n v="3049"/>
    <x v="28"/>
    <s v="Female"/>
    <x v="16"/>
    <x v="3"/>
    <n v="93"/>
    <s v="Colorado"/>
    <x v="2"/>
    <x v="8"/>
    <x v="2"/>
    <n v="3.9"/>
    <x v="1"/>
    <s v="Standard"/>
    <s v="No"/>
    <s v="No"/>
    <n v="47"/>
    <s v="Venmo"/>
    <x v="0"/>
  </r>
  <r>
    <n v="3050"/>
    <x v="37"/>
    <s v="Female"/>
    <x v="8"/>
    <x v="3"/>
    <n v="60"/>
    <s v="Utah"/>
    <x v="0"/>
    <x v="16"/>
    <x v="2"/>
    <n v="3"/>
    <x v="1"/>
    <s v="Next Day Air"/>
    <s v="No"/>
    <s v="No"/>
    <n v="41"/>
    <s v="Bank Transfer"/>
    <x v="4"/>
  </r>
  <r>
    <n v="3051"/>
    <x v="18"/>
    <s v="Female"/>
    <x v="7"/>
    <x v="2"/>
    <n v="76"/>
    <s v="Kentucky"/>
    <x v="1"/>
    <x v="14"/>
    <x v="1"/>
    <n v="3.6"/>
    <x v="1"/>
    <s v="Standard"/>
    <s v="No"/>
    <s v="No"/>
    <n v="28"/>
    <s v="Venmo"/>
    <x v="6"/>
  </r>
  <r>
    <n v="3052"/>
    <x v="42"/>
    <s v="Female"/>
    <x v="12"/>
    <x v="3"/>
    <n v="64"/>
    <s v="Wyoming"/>
    <x v="0"/>
    <x v="9"/>
    <x v="2"/>
    <n v="4.5999999999999996"/>
    <x v="1"/>
    <s v="Express"/>
    <s v="No"/>
    <s v="No"/>
    <n v="49"/>
    <s v="Debit Card"/>
    <x v="6"/>
  </r>
  <r>
    <n v="3053"/>
    <x v="39"/>
    <s v="Female"/>
    <x v="9"/>
    <x v="1"/>
    <n v="38"/>
    <s v="Maine"/>
    <x v="3"/>
    <x v="8"/>
    <x v="1"/>
    <n v="4.5"/>
    <x v="1"/>
    <s v="Store Pickup"/>
    <s v="No"/>
    <s v="No"/>
    <n v="7"/>
    <s v="Bank Transfer"/>
    <x v="0"/>
  </r>
  <r>
    <n v="3054"/>
    <x v="45"/>
    <s v="Female"/>
    <x v="9"/>
    <x v="1"/>
    <n v="91"/>
    <s v="Maine"/>
    <x v="0"/>
    <x v="18"/>
    <x v="0"/>
    <n v="3.2"/>
    <x v="1"/>
    <s v="Next Day Air"/>
    <s v="No"/>
    <s v="No"/>
    <n v="22"/>
    <s v="Bank Transfer"/>
    <x v="5"/>
  </r>
  <r>
    <n v="3055"/>
    <x v="32"/>
    <s v="Female"/>
    <x v="23"/>
    <x v="1"/>
    <n v="70"/>
    <s v="New Hampshire"/>
    <x v="1"/>
    <x v="23"/>
    <x v="2"/>
    <n v="4.9000000000000004"/>
    <x v="1"/>
    <s v="2-Day Shipping"/>
    <s v="No"/>
    <s v="No"/>
    <n v="34"/>
    <s v="Venmo"/>
    <x v="5"/>
  </r>
  <r>
    <n v="3056"/>
    <x v="7"/>
    <s v="Female"/>
    <x v="3"/>
    <x v="1"/>
    <n v="22"/>
    <s v="Kansas"/>
    <x v="2"/>
    <x v="10"/>
    <x v="3"/>
    <n v="5"/>
    <x v="1"/>
    <s v="Standard"/>
    <s v="No"/>
    <s v="No"/>
    <n v="5"/>
    <s v="Debit Card"/>
    <x v="4"/>
  </r>
  <r>
    <n v="3057"/>
    <x v="28"/>
    <s v="Female"/>
    <x v="24"/>
    <x v="3"/>
    <n v="59"/>
    <s v="New Jersey"/>
    <x v="2"/>
    <x v="19"/>
    <x v="1"/>
    <n v="3.8"/>
    <x v="1"/>
    <s v="Standard"/>
    <s v="No"/>
    <s v="No"/>
    <n v="15"/>
    <s v="Cash"/>
    <x v="4"/>
  </r>
  <r>
    <n v="3058"/>
    <x v="29"/>
    <s v="Female"/>
    <x v="21"/>
    <x v="3"/>
    <n v="22"/>
    <s v="North Carolina"/>
    <x v="2"/>
    <x v="24"/>
    <x v="1"/>
    <n v="3.4"/>
    <x v="1"/>
    <s v="Next Day Air"/>
    <s v="No"/>
    <s v="No"/>
    <n v="26"/>
    <s v="Bank Transfer"/>
    <x v="1"/>
  </r>
  <r>
    <n v="3059"/>
    <x v="38"/>
    <s v="Female"/>
    <x v="8"/>
    <x v="3"/>
    <n v="74"/>
    <s v="West Virginia"/>
    <x v="1"/>
    <x v="20"/>
    <x v="0"/>
    <n v="3.8"/>
    <x v="1"/>
    <s v="Store Pickup"/>
    <s v="No"/>
    <s v="No"/>
    <n v="3"/>
    <s v="Bank Transfer"/>
    <x v="0"/>
  </r>
  <r>
    <n v="3060"/>
    <x v="5"/>
    <s v="Female"/>
    <x v="1"/>
    <x v="0"/>
    <n v="71"/>
    <s v="Kentucky"/>
    <x v="0"/>
    <x v="1"/>
    <x v="1"/>
    <n v="3.2"/>
    <x v="1"/>
    <s v="Express"/>
    <s v="No"/>
    <s v="No"/>
    <n v="42"/>
    <s v="Credit Card"/>
    <x v="3"/>
  </r>
  <r>
    <n v="3061"/>
    <x v="36"/>
    <s v="Female"/>
    <x v="7"/>
    <x v="2"/>
    <n v="80"/>
    <s v="California"/>
    <x v="1"/>
    <x v="4"/>
    <x v="2"/>
    <n v="4.7"/>
    <x v="1"/>
    <s v="Store Pickup"/>
    <s v="No"/>
    <s v="No"/>
    <n v="1"/>
    <s v="Venmo"/>
    <x v="5"/>
  </r>
  <r>
    <n v="3062"/>
    <x v="23"/>
    <s v="Female"/>
    <x v="17"/>
    <x v="0"/>
    <n v="59"/>
    <s v="South Dakota"/>
    <x v="0"/>
    <x v="8"/>
    <x v="3"/>
    <n v="4.5"/>
    <x v="1"/>
    <s v="Express"/>
    <s v="No"/>
    <s v="No"/>
    <n v="20"/>
    <s v="PayPal"/>
    <x v="6"/>
  </r>
  <r>
    <n v="3063"/>
    <x v="47"/>
    <s v="Female"/>
    <x v="21"/>
    <x v="3"/>
    <n v="96"/>
    <s v="California"/>
    <x v="0"/>
    <x v="14"/>
    <x v="3"/>
    <n v="3.3"/>
    <x v="1"/>
    <s v="Standard"/>
    <s v="No"/>
    <s v="No"/>
    <n v="39"/>
    <s v="PayPal"/>
    <x v="5"/>
  </r>
  <r>
    <n v="3064"/>
    <x v="8"/>
    <s v="Female"/>
    <x v="12"/>
    <x v="3"/>
    <n v="43"/>
    <s v="Connecticut"/>
    <x v="0"/>
    <x v="18"/>
    <x v="0"/>
    <n v="3.9"/>
    <x v="1"/>
    <s v="Store Pickup"/>
    <s v="No"/>
    <s v="No"/>
    <n v="24"/>
    <s v="Credit Card"/>
    <x v="0"/>
  </r>
  <r>
    <n v="3065"/>
    <x v="40"/>
    <s v="Female"/>
    <x v="22"/>
    <x v="3"/>
    <n v="76"/>
    <s v="Idaho"/>
    <x v="1"/>
    <x v="17"/>
    <x v="0"/>
    <n v="3.6"/>
    <x v="1"/>
    <s v="Express"/>
    <s v="No"/>
    <s v="No"/>
    <n v="49"/>
    <s v="Bank Transfer"/>
    <x v="3"/>
  </r>
  <r>
    <n v="3066"/>
    <x v="34"/>
    <s v="Female"/>
    <x v="14"/>
    <x v="2"/>
    <n v="59"/>
    <s v="North Dakota"/>
    <x v="2"/>
    <x v="19"/>
    <x v="3"/>
    <n v="2.8"/>
    <x v="1"/>
    <s v="Store Pickup"/>
    <s v="No"/>
    <s v="No"/>
    <n v="7"/>
    <s v="Venmo"/>
    <x v="4"/>
  </r>
  <r>
    <n v="3067"/>
    <x v="44"/>
    <s v="Female"/>
    <x v="11"/>
    <x v="0"/>
    <n v="48"/>
    <s v="Michigan"/>
    <x v="0"/>
    <x v="11"/>
    <x v="2"/>
    <n v="4.3"/>
    <x v="1"/>
    <s v="Free Shipping"/>
    <s v="No"/>
    <s v="No"/>
    <n v="13"/>
    <s v="Venmo"/>
    <x v="6"/>
  </r>
  <r>
    <n v="3068"/>
    <x v="27"/>
    <s v="Female"/>
    <x v="22"/>
    <x v="3"/>
    <n v="22"/>
    <s v="Missouri"/>
    <x v="1"/>
    <x v="0"/>
    <x v="1"/>
    <n v="3.5"/>
    <x v="1"/>
    <s v="Free Shipping"/>
    <s v="No"/>
    <s v="No"/>
    <n v="2"/>
    <s v="Cash"/>
    <x v="1"/>
  </r>
  <r>
    <n v="3069"/>
    <x v="45"/>
    <s v="Female"/>
    <x v="23"/>
    <x v="1"/>
    <n v="40"/>
    <s v="California"/>
    <x v="2"/>
    <x v="21"/>
    <x v="0"/>
    <n v="4.2"/>
    <x v="1"/>
    <s v="Express"/>
    <s v="No"/>
    <s v="No"/>
    <n v="4"/>
    <s v="Debit Card"/>
    <x v="1"/>
  </r>
  <r>
    <n v="3070"/>
    <x v="46"/>
    <s v="Female"/>
    <x v="2"/>
    <x v="0"/>
    <n v="73"/>
    <s v="Delaware"/>
    <x v="0"/>
    <x v="23"/>
    <x v="1"/>
    <n v="4.5999999999999996"/>
    <x v="1"/>
    <s v="Express"/>
    <s v="No"/>
    <s v="No"/>
    <n v="17"/>
    <s v="Debit Card"/>
    <x v="3"/>
  </r>
  <r>
    <n v="3071"/>
    <x v="16"/>
    <s v="Female"/>
    <x v="9"/>
    <x v="1"/>
    <n v="26"/>
    <s v="Alabama"/>
    <x v="3"/>
    <x v="16"/>
    <x v="3"/>
    <n v="2.6"/>
    <x v="1"/>
    <s v="Free Shipping"/>
    <s v="No"/>
    <s v="No"/>
    <n v="43"/>
    <s v="PayPal"/>
    <x v="4"/>
  </r>
  <r>
    <n v="3072"/>
    <x v="51"/>
    <s v="Female"/>
    <x v="1"/>
    <x v="0"/>
    <n v="41"/>
    <s v="New Hampshire"/>
    <x v="0"/>
    <x v="2"/>
    <x v="1"/>
    <n v="3.4"/>
    <x v="1"/>
    <s v="Next Day Air"/>
    <s v="No"/>
    <s v="No"/>
    <n v="6"/>
    <s v="PayPal"/>
    <x v="5"/>
  </r>
  <r>
    <n v="3073"/>
    <x v="8"/>
    <s v="Female"/>
    <x v="16"/>
    <x v="3"/>
    <n v="98"/>
    <s v="New York"/>
    <x v="0"/>
    <x v="15"/>
    <x v="1"/>
    <n v="3.1"/>
    <x v="1"/>
    <s v="Standard"/>
    <s v="No"/>
    <s v="No"/>
    <n v="46"/>
    <s v="PayPal"/>
    <x v="3"/>
  </r>
  <r>
    <n v="3074"/>
    <x v="44"/>
    <s v="Female"/>
    <x v="5"/>
    <x v="0"/>
    <n v="63"/>
    <s v="Oregon"/>
    <x v="0"/>
    <x v="3"/>
    <x v="0"/>
    <n v="3.6"/>
    <x v="1"/>
    <s v="Free Shipping"/>
    <s v="No"/>
    <s v="No"/>
    <n v="7"/>
    <s v="Debit Card"/>
    <x v="4"/>
  </r>
  <r>
    <n v="3075"/>
    <x v="8"/>
    <s v="Female"/>
    <x v="23"/>
    <x v="1"/>
    <n v="55"/>
    <s v="Massachusetts"/>
    <x v="0"/>
    <x v="1"/>
    <x v="0"/>
    <n v="4.2"/>
    <x v="1"/>
    <s v="Next Day Air"/>
    <s v="No"/>
    <s v="No"/>
    <n v="34"/>
    <s v="Debit Card"/>
    <x v="0"/>
  </r>
  <r>
    <n v="3076"/>
    <x v="22"/>
    <s v="Female"/>
    <x v="6"/>
    <x v="0"/>
    <n v="90"/>
    <s v="Utah"/>
    <x v="3"/>
    <x v="19"/>
    <x v="0"/>
    <n v="3.6"/>
    <x v="1"/>
    <s v="Standard"/>
    <s v="No"/>
    <s v="No"/>
    <n v="21"/>
    <s v="PayPal"/>
    <x v="6"/>
  </r>
  <r>
    <n v="3077"/>
    <x v="17"/>
    <s v="Female"/>
    <x v="8"/>
    <x v="3"/>
    <n v="46"/>
    <s v="New Hampshire"/>
    <x v="2"/>
    <x v="24"/>
    <x v="2"/>
    <n v="3.6"/>
    <x v="1"/>
    <s v="Express"/>
    <s v="No"/>
    <s v="No"/>
    <n v="13"/>
    <s v="Venmo"/>
    <x v="4"/>
  </r>
  <r>
    <n v="3078"/>
    <x v="52"/>
    <s v="Female"/>
    <x v="1"/>
    <x v="0"/>
    <n v="88"/>
    <s v="Illinois"/>
    <x v="1"/>
    <x v="16"/>
    <x v="1"/>
    <n v="3"/>
    <x v="1"/>
    <s v="Store Pickup"/>
    <s v="No"/>
    <s v="No"/>
    <n v="33"/>
    <s v="Debit Card"/>
    <x v="4"/>
  </r>
  <r>
    <n v="3079"/>
    <x v="45"/>
    <s v="Female"/>
    <x v="22"/>
    <x v="3"/>
    <n v="95"/>
    <s v="Alaska"/>
    <x v="2"/>
    <x v="24"/>
    <x v="1"/>
    <n v="2.5"/>
    <x v="1"/>
    <s v="2-Day Shipping"/>
    <s v="No"/>
    <s v="No"/>
    <n v="24"/>
    <s v="Bank Transfer"/>
    <x v="4"/>
  </r>
  <r>
    <n v="3080"/>
    <x v="39"/>
    <s v="Female"/>
    <x v="22"/>
    <x v="3"/>
    <n v="31"/>
    <s v="Wyoming"/>
    <x v="2"/>
    <x v="1"/>
    <x v="3"/>
    <n v="4"/>
    <x v="1"/>
    <s v="Store Pickup"/>
    <s v="No"/>
    <s v="No"/>
    <n v="4"/>
    <s v="Bank Transfer"/>
    <x v="2"/>
  </r>
  <r>
    <n v="3081"/>
    <x v="28"/>
    <s v="Female"/>
    <x v="15"/>
    <x v="0"/>
    <n v="42"/>
    <s v="Colorado"/>
    <x v="0"/>
    <x v="22"/>
    <x v="1"/>
    <n v="4.0999999999999996"/>
    <x v="1"/>
    <s v="Next Day Air"/>
    <s v="No"/>
    <s v="No"/>
    <n v="5"/>
    <s v="Cash"/>
    <x v="4"/>
  </r>
  <r>
    <n v="3082"/>
    <x v="14"/>
    <s v="Female"/>
    <x v="4"/>
    <x v="1"/>
    <n v="44"/>
    <s v="Vermont"/>
    <x v="0"/>
    <x v="6"/>
    <x v="0"/>
    <n v="4.9000000000000004"/>
    <x v="1"/>
    <s v="Next Day Air"/>
    <s v="No"/>
    <s v="No"/>
    <n v="11"/>
    <s v="Credit Card"/>
    <x v="1"/>
  </r>
  <r>
    <n v="3083"/>
    <x v="19"/>
    <s v="Female"/>
    <x v="17"/>
    <x v="0"/>
    <n v="99"/>
    <s v="Utah"/>
    <x v="2"/>
    <x v="1"/>
    <x v="1"/>
    <n v="4"/>
    <x v="1"/>
    <s v="Next Day Air"/>
    <s v="No"/>
    <s v="No"/>
    <n v="20"/>
    <s v="Bank Transfer"/>
    <x v="2"/>
  </r>
  <r>
    <n v="3084"/>
    <x v="40"/>
    <s v="Female"/>
    <x v="13"/>
    <x v="0"/>
    <n v="20"/>
    <s v="Illinois"/>
    <x v="1"/>
    <x v="7"/>
    <x v="2"/>
    <n v="3.5"/>
    <x v="1"/>
    <s v="Store Pickup"/>
    <s v="No"/>
    <s v="No"/>
    <n v="28"/>
    <s v="PayPal"/>
    <x v="3"/>
  </r>
  <r>
    <n v="3085"/>
    <x v="5"/>
    <s v="Female"/>
    <x v="18"/>
    <x v="3"/>
    <n v="37"/>
    <s v="Idaho"/>
    <x v="1"/>
    <x v="21"/>
    <x v="1"/>
    <n v="3.2"/>
    <x v="1"/>
    <s v="Store Pickup"/>
    <s v="No"/>
    <s v="No"/>
    <n v="43"/>
    <s v="PayPal"/>
    <x v="5"/>
  </r>
  <r>
    <n v="3086"/>
    <x v="41"/>
    <s v="Female"/>
    <x v="1"/>
    <x v="0"/>
    <n v="50"/>
    <s v="Nevada"/>
    <x v="0"/>
    <x v="0"/>
    <x v="0"/>
    <n v="2.8"/>
    <x v="1"/>
    <s v="Store Pickup"/>
    <s v="No"/>
    <s v="No"/>
    <n v="10"/>
    <s v="Venmo"/>
    <x v="6"/>
  </r>
  <r>
    <n v="3087"/>
    <x v="36"/>
    <s v="Female"/>
    <x v="8"/>
    <x v="3"/>
    <n v="73"/>
    <s v="Utah"/>
    <x v="2"/>
    <x v="12"/>
    <x v="2"/>
    <n v="3.5"/>
    <x v="1"/>
    <s v="Next Day Air"/>
    <s v="No"/>
    <s v="No"/>
    <n v="26"/>
    <s v="Venmo"/>
    <x v="6"/>
  </r>
  <r>
    <n v="3088"/>
    <x v="46"/>
    <s v="Female"/>
    <x v="5"/>
    <x v="0"/>
    <n v="84"/>
    <s v="North Carolina"/>
    <x v="2"/>
    <x v="4"/>
    <x v="1"/>
    <n v="3.1"/>
    <x v="1"/>
    <s v="Free Shipping"/>
    <s v="No"/>
    <s v="No"/>
    <n v="29"/>
    <s v="Bank Transfer"/>
    <x v="5"/>
  </r>
  <r>
    <n v="3089"/>
    <x v="50"/>
    <s v="Female"/>
    <x v="10"/>
    <x v="0"/>
    <n v="64"/>
    <s v="Arkansas"/>
    <x v="2"/>
    <x v="11"/>
    <x v="1"/>
    <n v="3.3"/>
    <x v="1"/>
    <s v="Store Pickup"/>
    <s v="No"/>
    <s v="No"/>
    <n v="35"/>
    <s v="Bank Transfer"/>
    <x v="3"/>
  </r>
  <r>
    <n v="3090"/>
    <x v="2"/>
    <s v="Female"/>
    <x v="3"/>
    <x v="1"/>
    <n v="21"/>
    <s v="North Carolina"/>
    <x v="0"/>
    <x v="24"/>
    <x v="3"/>
    <n v="4.5999999999999996"/>
    <x v="1"/>
    <s v="Free Shipping"/>
    <s v="No"/>
    <s v="No"/>
    <n v="23"/>
    <s v="Cash"/>
    <x v="4"/>
  </r>
  <r>
    <n v="3091"/>
    <x v="26"/>
    <s v="Female"/>
    <x v="5"/>
    <x v="0"/>
    <n v="36"/>
    <s v="Texas"/>
    <x v="2"/>
    <x v="15"/>
    <x v="2"/>
    <n v="4.9000000000000004"/>
    <x v="1"/>
    <s v="Store Pickup"/>
    <s v="No"/>
    <s v="No"/>
    <n v="15"/>
    <s v="Bank Transfer"/>
    <x v="3"/>
  </r>
  <r>
    <n v="3092"/>
    <x v="33"/>
    <s v="Female"/>
    <x v="10"/>
    <x v="0"/>
    <n v="81"/>
    <s v="Nevada"/>
    <x v="0"/>
    <x v="20"/>
    <x v="0"/>
    <n v="3.4"/>
    <x v="1"/>
    <s v="2-Day Shipping"/>
    <s v="No"/>
    <s v="No"/>
    <n v="46"/>
    <s v="Credit Card"/>
    <x v="2"/>
  </r>
  <r>
    <n v="3093"/>
    <x v="16"/>
    <s v="Female"/>
    <x v="12"/>
    <x v="3"/>
    <n v="54"/>
    <s v="Utah"/>
    <x v="0"/>
    <x v="5"/>
    <x v="3"/>
    <n v="3.5"/>
    <x v="1"/>
    <s v="Next Day Air"/>
    <s v="No"/>
    <s v="No"/>
    <n v="14"/>
    <s v="Bank Transfer"/>
    <x v="4"/>
  </r>
  <r>
    <n v="3094"/>
    <x v="26"/>
    <s v="Female"/>
    <x v="20"/>
    <x v="0"/>
    <n v="63"/>
    <s v="Pennsylvania"/>
    <x v="0"/>
    <x v="16"/>
    <x v="2"/>
    <n v="4.8"/>
    <x v="1"/>
    <s v="Store Pickup"/>
    <s v="No"/>
    <s v="No"/>
    <n v="17"/>
    <s v="Cash"/>
    <x v="6"/>
  </r>
  <r>
    <n v="3095"/>
    <x v="40"/>
    <s v="Female"/>
    <x v="3"/>
    <x v="1"/>
    <n v="59"/>
    <s v="Georgia"/>
    <x v="2"/>
    <x v="0"/>
    <x v="2"/>
    <n v="2.7"/>
    <x v="1"/>
    <s v="Store Pickup"/>
    <s v="No"/>
    <s v="No"/>
    <n v="9"/>
    <s v="Cash"/>
    <x v="1"/>
  </r>
  <r>
    <n v="3096"/>
    <x v="46"/>
    <s v="Female"/>
    <x v="19"/>
    <x v="3"/>
    <n v="53"/>
    <s v="Minnesota"/>
    <x v="1"/>
    <x v="19"/>
    <x v="3"/>
    <n v="3.4"/>
    <x v="1"/>
    <s v="Standard"/>
    <s v="No"/>
    <s v="No"/>
    <n v="13"/>
    <s v="Venmo"/>
    <x v="0"/>
  </r>
  <r>
    <n v="3097"/>
    <x v="28"/>
    <s v="Female"/>
    <x v="5"/>
    <x v="0"/>
    <n v="63"/>
    <s v="Kansas"/>
    <x v="0"/>
    <x v="3"/>
    <x v="0"/>
    <n v="3.5"/>
    <x v="1"/>
    <s v="Next Day Air"/>
    <s v="No"/>
    <s v="No"/>
    <n v="20"/>
    <s v="Bank Transfer"/>
    <x v="5"/>
  </r>
  <r>
    <n v="3098"/>
    <x v="39"/>
    <s v="Female"/>
    <x v="9"/>
    <x v="1"/>
    <n v="33"/>
    <s v="Delaware"/>
    <x v="2"/>
    <x v="5"/>
    <x v="3"/>
    <n v="3.7"/>
    <x v="1"/>
    <s v="Free Shipping"/>
    <s v="No"/>
    <s v="No"/>
    <n v="39"/>
    <s v="Bank Transfer"/>
    <x v="3"/>
  </r>
  <r>
    <n v="3099"/>
    <x v="17"/>
    <s v="Female"/>
    <x v="13"/>
    <x v="0"/>
    <n v="64"/>
    <s v="New Mexico"/>
    <x v="0"/>
    <x v="17"/>
    <x v="2"/>
    <n v="3.3"/>
    <x v="1"/>
    <s v="Next Day Air"/>
    <s v="No"/>
    <s v="No"/>
    <n v="50"/>
    <s v="Bank Transfer"/>
    <x v="3"/>
  </r>
  <r>
    <n v="3100"/>
    <x v="32"/>
    <s v="Female"/>
    <x v="5"/>
    <x v="0"/>
    <n v="98"/>
    <s v="Michigan"/>
    <x v="1"/>
    <x v="1"/>
    <x v="3"/>
    <n v="2.9"/>
    <x v="1"/>
    <s v="Free Shipping"/>
    <s v="No"/>
    <s v="No"/>
    <n v="21"/>
    <s v="Bank Transfer"/>
    <x v="4"/>
  </r>
  <r>
    <n v="3101"/>
    <x v="2"/>
    <s v="Female"/>
    <x v="19"/>
    <x v="3"/>
    <n v="85"/>
    <s v="Vermont"/>
    <x v="0"/>
    <x v="7"/>
    <x v="0"/>
    <n v="3.9"/>
    <x v="1"/>
    <s v="Express"/>
    <s v="No"/>
    <s v="No"/>
    <n v="3"/>
    <s v="Bank Transfer"/>
    <x v="1"/>
  </r>
  <r>
    <n v="3102"/>
    <x v="45"/>
    <s v="Female"/>
    <x v="16"/>
    <x v="3"/>
    <n v="82"/>
    <s v="Idaho"/>
    <x v="1"/>
    <x v="18"/>
    <x v="2"/>
    <n v="2.7"/>
    <x v="1"/>
    <s v="Express"/>
    <s v="No"/>
    <s v="No"/>
    <n v="9"/>
    <s v="PayPal"/>
    <x v="0"/>
  </r>
  <r>
    <n v="3103"/>
    <x v="47"/>
    <s v="Female"/>
    <x v="14"/>
    <x v="2"/>
    <n v="85"/>
    <s v="South Dakota"/>
    <x v="2"/>
    <x v="14"/>
    <x v="2"/>
    <n v="4.3"/>
    <x v="1"/>
    <s v="Standard"/>
    <s v="No"/>
    <s v="No"/>
    <n v="29"/>
    <s v="Cash"/>
    <x v="4"/>
  </r>
  <r>
    <n v="3104"/>
    <x v="7"/>
    <s v="Female"/>
    <x v="5"/>
    <x v="0"/>
    <n v="37"/>
    <s v="Illinois"/>
    <x v="1"/>
    <x v="15"/>
    <x v="0"/>
    <n v="3"/>
    <x v="1"/>
    <s v="2-Day Shipping"/>
    <s v="No"/>
    <s v="No"/>
    <n v="42"/>
    <s v="Bank Transfer"/>
    <x v="1"/>
  </r>
  <r>
    <n v="3105"/>
    <x v="49"/>
    <s v="Female"/>
    <x v="13"/>
    <x v="0"/>
    <n v="56"/>
    <s v="Georgia"/>
    <x v="1"/>
    <x v="2"/>
    <x v="2"/>
    <n v="5"/>
    <x v="1"/>
    <s v="2-Day Shipping"/>
    <s v="No"/>
    <s v="No"/>
    <n v="41"/>
    <s v="Debit Card"/>
    <x v="0"/>
  </r>
  <r>
    <n v="3106"/>
    <x v="39"/>
    <s v="Female"/>
    <x v="11"/>
    <x v="0"/>
    <n v="33"/>
    <s v="Oregon"/>
    <x v="2"/>
    <x v="8"/>
    <x v="3"/>
    <n v="2.7"/>
    <x v="1"/>
    <s v="Express"/>
    <s v="No"/>
    <s v="No"/>
    <n v="17"/>
    <s v="Debit Card"/>
    <x v="5"/>
  </r>
  <r>
    <n v="3107"/>
    <x v="46"/>
    <s v="Female"/>
    <x v="3"/>
    <x v="1"/>
    <n v="57"/>
    <s v="Alabama"/>
    <x v="2"/>
    <x v="22"/>
    <x v="0"/>
    <n v="4.7"/>
    <x v="1"/>
    <s v="Next Day Air"/>
    <s v="No"/>
    <s v="No"/>
    <n v="20"/>
    <s v="PayPal"/>
    <x v="2"/>
  </r>
  <r>
    <n v="3108"/>
    <x v="13"/>
    <s v="Female"/>
    <x v="0"/>
    <x v="0"/>
    <n v="31"/>
    <s v="Hawaii"/>
    <x v="0"/>
    <x v="0"/>
    <x v="0"/>
    <n v="4.5999999999999996"/>
    <x v="1"/>
    <s v="Standard"/>
    <s v="No"/>
    <s v="No"/>
    <n v="18"/>
    <s v="Credit Card"/>
    <x v="4"/>
  </r>
  <r>
    <n v="3109"/>
    <x v="2"/>
    <s v="Female"/>
    <x v="20"/>
    <x v="0"/>
    <n v="69"/>
    <s v="Oregon"/>
    <x v="2"/>
    <x v="7"/>
    <x v="3"/>
    <n v="3.2"/>
    <x v="1"/>
    <s v="2-Day Shipping"/>
    <s v="No"/>
    <s v="No"/>
    <n v="7"/>
    <s v="PayPal"/>
    <x v="5"/>
  </r>
  <r>
    <n v="3110"/>
    <x v="52"/>
    <s v="Female"/>
    <x v="14"/>
    <x v="2"/>
    <n v="92"/>
    <s v="Illinois"/>
    <x v="2"/>
    <x v="0"/>
    <x v="0"/>
    <n v="4.3"/>
    <x v="1"/>
    <s v="Free Shipping"/>
    <s v="No"/>
    <s v="No"/>
    <n v="47"/>
    <s v="Bank Transfer"/>
    <x v="0"/>
  </r>
  <r>
    <n v="3111"/>
    <x v="1"/>
    <s v="Female"/>
    <x v="8"/>
    <x v="3"/>
    <n v="46"/>
    <s v="Texas"/>
    <x v="0"/>
    <x v="12"/>
    <x v="3"/>
    <n v="4.5999999999999996"/>
    <x v="1"/>
    <s v="Next Day Air"/>
    <s v="No"/>
    <s v="No"/>
    <n v="2"/>
    <s v="Bank Transfer"/>
    <x v="4"/>
  </r>
  <r>
    <n v="3112"/>
    <x v="3"/>
    <s v="Female"/>
    <x v="22"/>
    <x v="3"/>
    <n v="81"/>
    <s v="Kansas"/>
    <x v="3"/>
    <x v="21"/>
    <x v="1"/>
    <n v="4.9000000000000004"/>
    <x v="1"/>
    <s v="Free Shipping"/>
    <s v="No"/>
    <s v="No"/>
    <n v="25"/>
    <s v="Debit Card"/>
    <x v="3"/>
  </r>
  <r>
    <n v="3113"/>
    <x v="1"/>
    <s v="Female"/>
    <x v="0"/>
    <x v="0"/>
    <n v="97"/>
    <s v="Texas"/>
    <x v="1"/>
    <x v="14"/>
    <x v="3"/>
    <n v="3.8"/>
    <x v="1"/>
    <s v="Express"/>
    <s v="No"/>
    <s v="No"/>
    <n v="26"/>
    <s v="Venmo"/>
    <x v="2"/>
  </r>
  <r>
    <n v="3114"/>
    <x v="5"/>
    <s v="Female"/>
    <x v="5"/>
    <x v="0"/>
    <n v="93"/>
    <s v="Nebraska"/>
    <x v="0"/>
    <x v="14"/>
    <x v="2"/>
    <n v="2.6"/>
    <x v="1"/>
    <s v="Express"/>
    <s v="No"/>
    <s v="No"/>
    <n v="2"/>
    <s v="Debit Card"/>
    <x v="1"/>
  </r>
  <r>
    <n v="3115"/>
    <x v="3"/>
    <s v="Female"/>
    <x v="8"/>
    <x v="3"/>
    <n v="56"/>
    <s v="Arkansas"/>
    <x v="2"/>
    <x v="8"/>
    <x v="1"/>
    <n v="4.7"/>
    <x v="1"/>
    <s v="Store Pickup"/>
    <s v="No"/>
    <s v="No"/>
    <n v="45"/>
    <s v="Venmo"/>
    <x v="4"/>
  </r>
  <r>
    <n v="3116"/>
    <x v="8"/>
    <s v="Female"/>
    <x v="18"/>
    <x v="3"/>
    <n v="53"/>
    <s v="South Dakota"/>
    <x v="2"/>
    <x v="4"/>
    <x v="3"/>
    <n v="4.0999999999999996"/>
    <x v="1"/>
    <s v="Free Shipping"/>
    <s v="No"/>
    <s v="No"/>
    <n v="9"/>
    <s v="Bank Transfer"/>
    <x v="4"/>
  </r>
  <r>
    <n v="3117"/>
    <x v="2"/>
    <s v="Female"/>
    <x v="7"/>
    <x v="2"/>
    <n v="66"/>
    <s v="Montana"/>
    <x v="0"/>
    <x v="0"/>
    <x v="1"/>
    <n v="3.7"/>
    <x v="1"/>
    <s v="Store Pickup"/>
    <s v="No"/>
    <s v="No"/>
    <n v="1"/>
    <s v="Venmo"/>
    <x v="1"/>
  </r>
  <r>
    <n v="3118"/>
    <x v="49"/>
    <s v="Female"/>
    <x v="15"/>
    <x v="0"/>
    <n v="50"/>
    <s v="Florida"/>
    <x v="2"/>
    <x v="8"/>
    <x v="3"/>
    <n v="3"/>
    <x v="1"/>
    <s v="Free Shipping"/>
    <s v="No"/>
    <s v="No"/>
    <n v="4"/>
    <s v="PayPal"/>
    <x v="4"/>
  </r>
  <r>
    <n v="3119"/>
    <x v="12"/>
    <s v="Female"/>
    <x v="6"/>
    <x v="0"/>
    <n v="97"/>
    <s v="Virginia"/>
    <x v="0"/>
    <x v="24"/>
    <x v="2"/>
    <n v="4.7"/>
    <x v="1"/>
    <s v="Standard"/>
    <s v="No"/>
    <s v="No"/>
    <n v="31"/>
    <s v="Debit Card"/>
    <x v="3"/>
  </r>
  <r>
    <n v="3120"/>
    <x v="6"/>
    <s v="Female"/>
    <x v="3"/>
    <x v="1"/>
    <n v="79"/>
    <s v="Louisiana"/>
    <x v="3"/>
    <x v="5"/>
    <x v="0"/>
    <n v="4.7"/>
    <x v="1"/>
    <s v="2-Day Shipping"/>
    <s v="No"/>
    <s v="No"/>
    <n v="21"/>
    <s v="Credit Card"/>
    <x v="6"/>
  </r>
  <r>
    <n v="3121"/>
    <x v="5"/>
    <s v="Female"/>
    <x v="5"/>
    <x v="0"/>
    <n v="76"/>
    <s v="Louisiana"/>
    <x v="2"/>
    <x v="23"/>
    <x v="3"/>
    <n v="4"/>
    <x v="1"/>
    <s v="Store Pickup"/>
    <s v="No"/>
    <s v="No"/>
    <n v="32"/>
    <s v="Debit Card"/>
    <x v="0"/>
  </r>
  <r>
    <n v="3122"/>
    <x v="6"/>
    <s v="Female"/>
    <x v="15"/>
    <x v="0"/>
    <n v="38"/>
    <s v="Louisiana"/>
    <x v="0"/>
    <x v="13"/>
    <x v="3"/>
    <n v="2.6"/>
    <x v="1"/>
    <s v="Standard"/>
    <s v="No"/>
    <s v="No"/>
    <n v="16"/>
    <s v="Venmo"/>
    <x v="1"/>
  </r>
  <r>
    <n v="3123"/>
    <x v="51"/>
    <s v="Female"/>
    <x v="20"/>
    <x v="0"/>
    <n v="45"/>
    <s v="Georgia"/>
    <x v="2"/>
    <x v="6"/>
    <x v="3"/>
    <n v="3"/>
    <x v="1"/>
    <s v="Express"/>
    <s v="No"/>
    <s v="No"/>
    <n v="34"/>
    <s v="Credit Card"/>
    <x v="0"/>
  </r>
  <r>
    <n v="3124"/>
    <x v="9"/>
    <s v="Female"/>
    <x v="8"/>
    <x v="3"/>
    <n v="77"/>
    <s v="Iowa"/>
    <x v="3"/>
    <x v="16"/>
    <x v="3"/>
    <n v="3.3"/>
    <x v="1"/>
    <s v="Next Day Air"/>
    <s v="No"/>
    <s v="No"/>
    <n v="40"/>
    <s v="Venmo"/>
    <x v="4"/>
  </r>
  <r>
    <n v="3125"/>
    <x v="9"/>
    <s v="Female"/>
    <x v="16"/>
    <x v="3"/>
    <n v="51"/>
    <s v="California"/>
    <x v="2"/>
    <x v="15"/>
    <x v="2"/>
    <n v="3.4"/>
    <x v="1"/>
    <s v="Standard"/>
    <s v="No"/>
    <s v="No"/>
    <n v="4"/>
    <s v="Cash"/>
    <x v="6"/>
  </r>
  <r>
    <n v="3126"/>
    <x v="23"/>
    <s v="Female"/>
    <x v="7"/>
    <x v="2"/>
    <n v="26"/>
    <s v="Oregon"/>
    <x v="0"/>
    <x v="12"/>
    <x v="1"/>
    <n v="4"/>
    <x v="1"/>
    <s v="Standard"/>
    <s v="No"/>
    <s v="No"/>
    <n v="3"/>
    <s v="Cash"/>
    <x v="3"/>
  </r>
  <r>
    <n v="3127"/>
    <x v="9"/>
    <s v="Female"/>
    <x v="12"/>
    <x v="3"/>
    <n v="76"/>
    <s v="Maine"/>
    <x v="0"/>
    <x v="12"/>
    <x v="0"/>
    <n v="2.6"/>
    <x v="1"/>
    <s v="Store Pickup"/>
    <s v="No"/>
    <s v="No"/>
    <n v="28"/>
    <s v="Bank Transfer"/>
    <x v="4"/>
  </r>
  <r>
    <n v="3128"/>
    <x v="0"/>
    <s v="Female"/>
    <x v="24"/>
    <x v="3"/>
    <n v="94"/>
    <s v="Louisiana"/>
    <x v="2"/>
    <x v="19"/>
    <x v="0"/>
    <n v="3.4"/>
    <x v="1"/>
    <s v="Free Shipping"/>
    <s v="No"/>
    <s v="No"/>
    <n v="43"/>
    <s v="Credit Card"/>
    <x v="6"/>
  </r>
  <r>
    <n v="3129"/>
    <x v="13"/>
    <s v="Female"/>
    <x v="14"/>
    <x v="2"/>
    <n v="32"/>
    <s v="Arkansas"/>
    <x v="1"/>
    <x v="21"/>
    <x v="3"/>
    <n v="4.4000000000000004"/>
    <x v="1"/>
    <s v="Standard"/>
    <s v="No"/>
    <s v="No"/>
    <n v="20"/>
    <s v="Cash"/>
    <x v="2"/>
  </r>
  <r>
    <n v="3130"/>
    <x v="52"/>
    <s v="Female"/>
    <x v="3"/>
    <x v="1"/>
    <n v="20"/>
    <s v="Maryland"/>
    <x v="1"/>
    <x v="17"/>
    <x v="2"/>
    <n v="4.7"/>
    <x v="1"/>
    <s v="Express"/>
    <s v="No"/>
    <s v="No"/>
    <n v="40"/>
    <s v="Venmo"/>
    <x v="6"/>
  </r>
  <r>
    <n v="3131"/>
    <x v="16"/>
    <s v="Female"/>
    <x v="13"/>
    <x v="0"/>
    <n v="20"/>
    <s v="Vermont"/>
    <x v="2"/>
    <x v="22"/>
    <x v="2"/>
    <n v="4.5"/>
    <x v="1"/>
    <s v="Store Pickup"/>
    <s v="No"/>
    <s v="No"/>
    <n v="34"/>
    <s v="Venmo"/>
    <x v="6"/>
  </r>
  <r>
    <n v="3132"/>
    <x v="50"/>
    <s v="Female"/>
    <x v="14"/>
    <x v="2"/>
    <n v="59"/>
    <s v="North Dakota"/>
    <x v="2"/>
    <x v="15"/>
    <x v="3"/>
    <n v="2.9"/>
    <x v="1"/>
    <s v="Store Pickup"/>
    <s v="No"/>
    <s v="No"/>
    <n v="11"/>
    <s v="Bank Transfer"/>
    <x v="6"/>
  </r>
  <r>
    <n v="3133"/>
    <x v="23"/>
    <s v="Female"/>
    <x v="1"/>
    <x v="0"/>
    <n v="97"/>
    <s v="Michigan"/>
    <x v="2"/>
    <x v="22"/>
    <x v="2"/>
    <n v="4.2"/>
    <x v="1"/>
    <s v="Express"/>
    <s v="No"/>
    <s v="No"/>
    <n v="26"/>
    <s v="Cash"/>
    <x v="3"/>
  </r>
  <r>
    <n v="3134"/>
    <x v="44"/>
    <s v="Female"/>
    <x v="17"/>
    <x v="0"/>
    <n v="68"/>
    <s v="Arkansas"/>
    <x v="2"/>
    <x v="20"/>
    <x v="1"/>
    <n v="4.0999999999999996"/>
    <x v="1"/>
    <s v="Next Day Air"/>
    <s v="No"/>
    <s v="No"/>
    <n v="29"/>
    <s v="Cash"/>
    <x v="4"/>
  </r>
  <r>
    <n v="3135"/>
    <x v="25"/>
    <s v="Female"/>
    <x v="23"/>
    <x v="1"/>
    <n v="66"/>
    <s v="Kentucky"/>
    <x v="0"/>
    <x v="0"/>
    <x v="1"/>
    <n v="4.4000000000000004"/>
    <x v="1"/>
    <s v="Store Pickup"/>
    <s v="No"/>
    <s v="No"/>
    <n v="47"/>
    <s v="Bank Transfer"/>
    <x v="1"/>
  </r>
  <r>
    <n v="3136"/>
    <x v="33"/>
    <s v="Female"/>
    <x v="9"/>
    <x v="1"/>
    <n v="85"/>
    <s v="Indiana"/>
    <x v="0"/>
    <x v="22"/>
    <x v="1"/>
    <n v="4.7"/>
    <x v="1"/>
    <s v="Free Shipping"/>
    <s v="No"/>
    <s v="No"/>
    <n v="48"/>
    <s v="Venmo"/>
    <x v="0"/>
  </r>
  <r>
    <n v="3137"/>
    <x v="44"/>
    <s v="Female"/>
    <x v="11"/>
    <x v="0"/>
    <n v="32"/>
    <s v="Minnesota"/>
    <x v="2"/>
    <x v="0"/>
    <x v="3"/>
    <n v="3.1"/>
    <x v="1"/>
    <s v="Next Day Air"/>
    <s v="No"/>
    <s v="No"/>
    <n v="29"/>
    <s v="Cash"/>
    <x v="4"/>
  </r>
  <r>
    <n v="3138"/>
    <x v="50"/>
    <s v="Female"/>
    <x v="7"/>
    <x v="2"/>
    <n v="44"/>
    <s v="Louisiana"/>
    <x v="2"/>
    <x v="2"/>
    <x v="1"/>
    <n v="2.7"/>
    <x v="1"/>
    <s v="2-Day Shipping"/>
    <s v="No"/>
    <s v="No"/>
    <n v="14"/>
    <s v="Bank Transfer"/>
    <x v="5"/>
  </r>
  <r>
    <n v="3139"/>
    <x v="36"/>
    <s v="Female"/>
    <x v="0"/>
    <x v="0"/>
    <n v="95"/>
    <s v="Kentucky"/>
    <x v="0"/>
    <x v="0"/>
    <x v="3"/>
    <n v="4.5999999999999996"/>
    <x v="1"/>
    <s v="Next Day Air"/>
    <s v="No"/>
    <s v="No"/>
    <n v="40"/>
    <s v="Cash"/>
    <x v="6"/>
  </r>
  <r>
    <n v="3140"/>
    <x v="25"/>
    <s v="Female"/>
    <x v="12"/>
    <x v="3"/>
    <n v="85"/>
    <s v="Georgia"/>
    <x v="2"/>
    <x v="8"/>
    <x v="0"/>
    <n v="4.4000000000000004"/>
    <x v="1"/>
    <s v="Next Day Air"/>
    <s v="No"/>
    <s v="No"/>
    <n v="4"/>
    <s v="Venmo"/>
    <x v="1"/>
  </r>
  <r>
    <n v="3141"/>
    <x v="50"/>
    <s v="Female"/>
    <x v="24"/>
    <x v="3"/>
    <n v="44"/>
    <s v="Alaska"/>
    <x v="3"/>
    <x v="15"/>
    <x v="2"/>
    <n v="4.5999999999999996"/>
    <x v="1"/>
    <s v="Free Shipping"/>
    <s v="No"/>
    <s v="No"/>
    <n v="37"/>
    <s v="Bank Transfer"/>
    <x v="1"/>
  </r>
  <r>
    <n v="3142"/>
    <x v="24"/>
    <s v="Female"/>
    <x v="12"/>
    <x v="3"/>
    <n v="30"/>
    <s v="Mississippi"/>
    <x v="1"/>
    <x v="15"/>
    <x v="0"/>
    <n v="4.9000000000000004"/>
    <x v="1"/>
    <s v="Express"/>
    <s v="No"/>
    <s v="No"/>
    <n v="47"/>
    <s v="Credit Card"/>
    <x v="4"/>
  </r>
  <r>
    <n v="3143"/>
    <x v="51"/>
    <s v="Female"/>
    <x v="4"/>
    <x v="1"/>
    <n v="21"/>
    <s v="Kansas"/>
    <x v="0"/>
    <x v="23"/>
    <x v="0"/>
    <n v="4"/>
    <x v="1"/>
    <s v="2-Day Shipping"/>
    <s v="No"/>
    <s v="No"/>
    <n v="1"/>
    <s v="Venmo"/>
    <x v="3"/>
  </r>
  <r>
    <n v="3144"/>
    <x v="33"/>
    <s v="Female"/>
    <x v="15"/>
    <x v="0"/>
    <n v="22"/>
    <s v="Arizona"/>
    <x v="2"/>
    <x v="7"/>
    <x v="2"/>
    <n v="2.9"/>
    <x v="1"/>
    <s v="Store Pickup"/>
    <s v="No"/>
    <s v="No"/>
    <n v="26"/>
    <s v="Cash"/>
    <x v="3"/>
  </r>
  <r>
    <n v="3145"/>
    <x v="51"/>
    <s v="Female"/>
    <x v="23"/>
    <x v="1"/>
    <n v="70"/>
    <s v="Maine"/>
    <x v="0"/>
    <x v="19"/>
    <x v="1"/>
    <n v="2.6"/>
    <x v="1"/>
    <s v="Free Shipping"/>
    <s v="No"/>
    <s v="No"/>
    <n v="12"/>
    <s v="Debit Card"/>
    <x v="3"/>
  </r>
  <r>
    <n v="3146"/>
    <x v="9"/>
    <s v="Female"/>
    <x v="8"/>
    <x v="3"/>
    <n v="29"/>
    <s v="Texas"/>
    <x v="3"/>
    <x v="7"/>
    <x v="1"/>
    <n v="4.5999999999999996"/>
    <x v="1"/>
    <s v="Standard"/>
    <s v="No"/>
    <s v="No"/>
    <n v="16"/>
    <s v="PayPal"/>
    <x v="0"/>
  </r>
  <r>
    <n v="3147"/>
    <x v="3"/>
    <s v="Female"/>
    <x v="5"/>
    <x v="0"/>
    <n v="83"/>
    <s v="Virginia"/>
    <x v="1"/>
    <x v="22"/>
    <x v="0"/>
    <n v="4.9000000000000004"/>
    <x v="1"/>
    <s v="Free Shipping"/>
    <s v="No"/>
    <s v="No"/>
    <n v="19"/>
    <s v="PayPal"/>
    <x v="2"/>
  </r>
  <r>
    <n v="3148"/>
    <x v="4"/>
    <s v="Female"/>
    <x v="1"/>
    <x v="0"/>
    <n v="99"/>
    <s v="North Dakota"/>
    <x v="2"/>
    <x v="6"/>
    <x v="0"/>
    <n v="4.3"/>
    <x v="1"/>
    <s v="Express"/>
    <s v="No"/>
    <s v="No"/>
    <n v="21"/>
    <s v="Credit Card"/>
    <x v="1"/>
  </r>
  <r>
    <n v="3149"/>
    <x v="43"/>
    <s v="Female"/>
    <x v="6"/>
    <x v="0"/>
    <n v="35"/>
    <s v="West Virginia"/>
    <x v="0"/>
    <x v="7"/>
    <x v="3"/>
    <n v="4.3"/>
    <x v="1"/>
    <s v="Free Shipping"/>
    <s v="No"/>
    <s v="No"/>
    <n v="15"/>
    <s v="Venmo"/>
    <x v="1"/>
  </r>
  <r>
    <n v="3150"/>
    <x v="20"/>
    <s v="Female"/>
    <x v="22"/>
    <x v="3"/>
    <n v="40"/>
    <s v="North Carolina"/>
    <x v="2"/>
    <x v="12"/>
    <x v="0"/>
    <n v="4.5999999999999996"/>
    <x v="1"/>
    <s v="Free Shipping"/>
    <s v="No"/>
    <s v="No"/>
    <n v="9"/>
    <s v="Venmo"/>
    <x v="2"/>
  </r>
  <r>
    <n v="3151"/>
    <x v="0"/>
    <s v="Female"/>
    <x v="0"/>
    <x v="0"/>
    <n v="25"/>
    <s v="Georgia"/>
    <x v="2"/>
    <x v="15"/>
    <x v="1"/>
    <n v="2.6"/>
    <x v="1"/>
    <s v="Express"/>
    <s v="No"/>
    <s v="No"/>
    <n v="7"/>
    <s v="Bank Transfer"/>
    <x v="4"/>
  </r>
  <r>
    <n v="3152"/>
    <x v="16"/>
    <s v="Female"/>
    <x v="17"/>
    <x v="0"/>
    <n v="64"/>
    <s v="New Mexico"/>
    <x v="0"/>
    <x v="20"/>
    <x v="3"/>
    <n v="3.1"/>
    <x v="1"/>
    <s v="2-Day Shipping"/>
    <s v="No"/>
    <s v="No"/>
    <n v="47"/>
    <s v="Bank Transfer"/>
    <x v="3"/>
  </r>
  <r>
    <n v="3153"/>
    <x v="34"/>
    <s v="Female"/>
    <x v="22"/>
    <x v="3"/>
    <n v="90"/>
    <s v="North Carolina"/>
    <x v="2"/>
    <x v="16"/>
    <x v="3"/>
    <n v="3.1"/>
    <x v="1"/>
    <s v="Store Pickup"/>
    <s v="No"/>
    <s v="No"/>
    <n v="17"/>
    <s v="PayPal"/>
    <x v="5"/>
  </r>
  <r>
    <n v="3154"/>
    <x v="19"/>
    <s v="Female"/>
    <x v="20"/>
    <x v="0"/>
    <n v="88"/>
    <s v="Alabama"/>
    <x v="0"/>
    <x v="16"/>
    <x v="3"/>
    <n v="3.1"/>
    <x v="1"/>
    <s v="Next Day Air"/>
    <s v="No"/>
    <s v="No"/>
    <n v="46"/>
    <s v="Venmo"/>
    <x v="0"/>
  </r>
  <r>
    <n v="3155"/>
    <x v="7"/>
    <s v="Female"/>
    <x v="22"/>
    <x v="3"/>
    <n v="55"/>
    <s v="Connecticut"/>
    <x v="2"/>
    <x v="9"/>
    <x v="0"/>
    <n v="4.4000000000000004"/>
    <x v="1"/>
    <s v="Standard"/>
    <s v="No"/>
    <s v="No"/>
    <n v="32"/>
    <s v="Cash"/>
    <x v="3"/>
  </r>
  <r>
    <n v="3156"/>
    <x v="40"/>
    <s v="Female"/>
    <x v="8"/>
    <x v="3"/>
    <n v="90"/>
    <s v="Montana"/>
    <x v="2"/>
    <x v="18"/>
    <x v="3"/>
    <n v="4.3"/>
    <x v="1"/>
    <s v="Free Shipping"/>
    <s v="No"/>
    <s v="No"/>
    <n v="34"/>
    <s v="Cash"/>
    <x v="2"/>
  </r>
  <r>
    <n v="3157"/>
    <x v="20"/>
    <s v="Female"/>
    <x v="5"/>
    <x v="0"/>
    <n v="50"/>
    <s v="Montana"/>
    <x v="2"/>
    <x v="13"/>
    <x v="0"/>
    <n v="3.1"/>
    <x v="1"/>
    <s v="2-Day Shipping"/>
    <s v="No"/>
    <s v="No"/>
    <n v="18"/>
    <s v="Cash"/>
    <x v="5"/>
  </r>
  <r>
    <n v="3158"/>
    <x v="3"/>
    <s v="Female"/>
    <x v="22"/>
    <x v="3"/>
    <n v="34"/>
    <s v="Maine"/>
    <x v="0"/>
    <x v="16"/>
    <x v="3"/>
    <n v="3.1"/>
    <x v="1"/>
    <s v="Store Pickup"/>
    <s v="No"/>
    <s v="No"/>
    <n v="5"/>
    <s v="Debit Card"/>
    <x v="0"/>
  </r>
  <r>
    <n v="3159"/>
    <x v="11"/>
    <s v="Female"/>
    <x v="16"/>
    <x v="3"/>
    <n v="77"/>
    <s v="Mississippi"/>
    <x v="2"/>
    <x v="0"/>
    <x v="0"/>
    <n v="4.9000000000000004"/>
    <x v="1"/>
    <s v="2-Day Shipping"/>
    <s v="No"/>
    <s v="No"/>
    <n v="44"/>
    <s v="Credit Card"/>
    <x v="5"/>
  </r>
  <r>
    <n v="3160"/>
    <x v="46"/>
    <s v="Female"/>
    <x v="19"/>
    <x v="3"/>
    <n v="89"/>
    <s v="Louisiana"/>
    <x v="0"/>
    <x v="6"/>
    <x v="0"/>
    <n v="2.9"/>
    <x v="1"/>
    <s v="Store Pickup"/>
    <s v="No"/>
    <s v="No"/>
    <n v="4"/>
    <s v="Bank Transfer"/>
    <x v="3"/>
  </r>
  <r>
    <n v="3161"/>
    <x v="48"/>
    <s v="Female"/>
    <x v="21"/>
    <x v="3"/>
    <n v="87"/>
    <s v="Nebraska"/>
    <x v="3"/>
    <x v="2"/>
    <x v="3"/>
    <n v="3.8"/>
    <x v="1"/>
    <s v="Next Day Air"/>
    <s v="No"/>
    <s v="No"/>
    <n v="37"/>
    <s v="Cash"/>
    <x v="0"/>
  </r>
  <r>
    <n v="3162"/>
    <x v="17"/>
    <s v="Female"/>
    <x v="10"/>
    <x v="0"/>
    <n v="77"/>
    <s v="Massachusetts"/>
    <x v="1"/>
    <x v="4"/>
    <x v="0"/>
    <n v="4.2"/>
    <x v="1"/>
    <s v="2-Day Shipping"/>
    <s v="No"/>
    <s v="No"/>
    <n v="43"/>
    <s v="Cash"/>
    <x v="5"/>
  </r>
  <r>
    <n v="3163"/>
    <x v="17"/>
    <s v="Female"/>
    <x v="9"/>
    <x v="1"/>
    <n v="85"/>
    <s v="Wisconsin"/>
    <x v="0"/>
    <x v="24"/>
    <x v="0"/>
    <n v="3.9"/>
    <x v="1"/>
    <s v="Standard"/>
    <s v="No"/>
    <s v="No"/>
    <n v="28"/>
    <s v="Bank Transfer"/>
    <x v="3"/>
  </r>
  <r>
    <n v="3164"/>
    <x v="34"/>
    <s v="Female"/>
    <x v="13"/>
    <x v="0"/>
    <n v="66"/>
    <s v="Nebraska"/>
    <x v="3"/>
    <x v="2"/>
    <x v="2"/>
    <n v="2.8"/>
    <x v="1"/>
    <s v="Express"/>
    <s v="No"/>
    <s v="No"/>
    <n v="36"/>
    <s v="Cash"/>
    <x v="5"/>
  </r>
  <r>
    <n v="3165"/>
    <x v="37"/>
    <s v="Female"/>
    <x v="10"/>
    <x v="0"/>
    <n v="32"/>
    <s v="Arizona"/>
    <x v="0"/>
    <x v="5"/>
    <x v="0"/>
    <n v="2.6"/>
    <x v="1"/>
    <s v="Standard"/>
    <s v="No"/>
    <s v="No"/>
    <n v="16"/>
    <s v="Credit Card"/>
    <x v="2"/>
  </r>
  <r>
    <n v="3166"/>
    <x v="34"/>
    <s v="Female"/>
    <x v="14"/>
    <x v="2"/>
    <n v="92"/>
    <s v="Hawaii"/>
    <x v="2"/>
    <x v="12"/>
    <x v="1"/>
    <n v="3"/>
    <x v="1"/>
    <s v="Store Pickup"/>
    <s v="No"/>
    <s v="No"/>
    <n v="38"/>
    <s v="Bank Transfer"/>
    <x v="6"/>
  </r>
  <r>
    <n v="3167"/>
    <x v="1"/>
    <s v="Female"/>
    <x v="5"/>
    <x v="0"/>
    <n v="80"/>
    <s v="Georgia"/>
    <x v="2"/>
    <x v="9"/>
    <x v="0"/>
    <n v="2.7"/>
    <x v="1"/>
    <s v="Next Day Air"/>
    <s v="No"/>
    <s v="No"/>
    <n v="37"/>
    <s v="Bank Transfer"/>
    <x v="0"/>
  </r>
  <r>
    <n v="3168"/>
    <x v="41"/>
    <s v="Female"/>
    <x v="10"/>
    <x v="0"/>
    <n v="78"/>
    <s v="Oregon"/>
    <x v="2"/>
    <x v="24"/>
    <x v="3"/>
    <n v="2.8"/>
    <x v="1"/>
    <s v="2-Day Shipping"/>
    <s v="No"/>
    <s v="No"/>
    <n v="9"/>
    <s v="Cash"/>
    <x v="4"/>
  </r>
  <r>
    <n v="3169"/>
    <x v="18"/>
    <s v="Female"/>
    <x v="2"/>
    <x v="0"/>
    <n v="24"/>
    <s v="Montana"/>
    <x v="2"/>
    <x v="20"/>
    <x v="1"/>
    <n v="2.9"/>
    <x v="1"/>
    <s v="2-Day Shipping"/>
    <s v="No"/>
    <s v="No"/>
    <n v="14"/>
    <s v="PayPal"/>
    <x v="0"/>
  </r>
  <r>
    <n v="3170"/>
    <x v="25"/>
    <s v="Female"/>
    <x v="17"/>
    <x v="0"/>
    <n v="59"/>
    <s v="Georgia"/>
    <x v="2"/>
    <x v="3"/>
    <x v="3"/>
    <n v="3.8"/>
    <x v="1"/>
    <s v="Free Shipping"/>
    <s v="No"/>
    <s v="No"/>
    <n v="3"/>
    <s v="Venmo"/>
    <x v="1"/>
  </r>
  <r>
    <n v="3171"/>
    <x v="13"/>
    <s v="Female"/>
    <x v="12"/>
    <x v="3"/>
    <n v="41"/>
    <s v="Rhode Island"/>
    <x v="3"/>
    <x v="4"/>
    <x v="1"/>
    <n v="4.4000000000000004"/>
    <x v="1"/>
    <s v="Express"/>
    <s v="No"/>
    <s v="No"/>
    <n v="10"/>
    <s v="Credit Card"/>
    <x v="0"/>
  </r>
  <r>
    <n v="3172"/>
    <x v="33"/>
    <s v="Female"/>
    <x v="16"/>
    <x v="3"/>
    <n v="26"/>
    <s v="Tennessee"/>
    <x v="2"/>
    <x v="1"/>
    <x v="1"/>
    <n v="3.1"/>
    <x v="1"/>
    <s v="Express"/>
    <s v="No"/>
    <s v="No"/>
    <n v="26"/>
    <s v="Bank Transfer"/>
    <x v="4"/>
  </r>
  <r>
    <n v="3173"/>
    <x v="9"/>
    <s v="Female"/>
    <x v="20"/>
    <x v="0"/>
    <n v="52"/>
    <s v="Missouri"/>
    <x v="2"/>
    <x v="8"/>
    <x v="3"/>
    <n v="3.7"/>
    <x v="1"/>
    <s v="Standard"/>
    <s v="No"/>
    <s v="No"/>
    <n v="30"/>
    <s v="Debit Card"/>
    <x v="4"/>
  </r>
  <r>
    <n v="3174"/>
    <x v="28"/>
    <s v="Female"/>
    <x v="11"/>
    <x v="0"/>
    <n v="46"/>
    <s v="Washington"/>
    <x v="0"/>
    <x v="11"/>
    <x v="2"/>
    <n v="4.9000000000000004"/>
    <x v="1"/>
    <s v="Next Day Air"/>
    <s v="No"/>
    <s v="No"/>
    <n v="32"/>
    <s v="PayPal"/>
    <x v="0"/>
  </r>
  <r>
    <n v="3175"/>
    <x v="4"/>
    <s v="Female"/>
    <x v="13"/>
    <x v="0"/>
    <n v="52"/>
    <s v="Oklahoma"/>
    <x v="0"/>
    <x v="20"/>
    <x v="0"/>
    <n v="3.8"/>
    <x v="1"/>
    <s v="Store Pickup"/>
    <s v="No"/>
    <s v="No"/>
    <n v="35"/>
    <s v="PayPal"/>
    <x v="5"/>
  </r>
  <r>
    <n v="3176"/>
    <x v="25"/>
    <s v="Female"/>
    <x v="20"/>
    <x v="0"/>
    <n v="42"/>
    <s v="Connecticut"/>
    <x v="2"/>
    <x v="1"/>
    <x v="3"/>
    <n v="3.4"/>
    <x v="1"/>
    <s v="Store Pickup"/>
    <s v="No"/>
    <s v="No"/>
    <n v="26"/>
    <s v="Debit Card"/>
    <x v="6"/>
  </r>
  <r>
    <n v="3177"/>
    <x v="24"/>
    <s v="Female"/>
    <x v="3"/>
    <x v="1"/>
    <n v="37"/>
    <s v="Arkansas"/>
    <x v="3"/>
    <x v="2"/>
    <x v="1"/>
    <n v="4.5999999999999996"/>
    <x v="1"/>
    <s v="2-Day Shipping"/>
    <s v="No"/>
    <s v="No"/>
    <n v="39"/>
    <s v="Credit Card"/>
    <x v="5"/>
  </r>
  <r>
    <n v="3178"/>
    <x v="0"/>
    <s v="Female"/>
    <x v="22"/>
    <x v="3"/>
    <n v="52"/>
    <s v="Missouri"/>
    <x v="0"/>
    <x v="19"/>
    <x v="3"/>
    <n v="3.2"/>
    <x v="1"/>
    <s v="Standard"/>
    <s v="No"/>
    <s v="No"/>
    <n v="31"/>
    <s v="Credit Card"/>
    <x v="5"/>
  </r>
  <r>
    <n v="3179"/>
    <x v="17"/>
    <s v="Female"/>
    <x v="3"/>
    <x v="1"/>
    <n v="34"/>
    <s v="Washington"/>
    <x v="0"/>
    <x v="19"/>
    <x v="1"/>
    <n v="2.7"/>
    <x v="1"/>
    <s v="Free Shipping"/>
    <s v="No"/>
    <s v="No"/>
    <n v="28"/>
    <s v="Credit Card"/>
    <x v="2"/>
  </r>
  <r>
    <n v="3180"/>
    <x v="9"/>
    <s v="Female"/>
    <x v="6"/>
    <x v="0"/>
    <n v="88"/>
    <s v="Idaho"/>
    <x v="2"/>
    <x v="8"/>
    <x v="1"/>
    <n v="4.3"/>
    <x v="1"/>
    <s v="Free Shipping"/>
    <s v="No"/>
    <s v="No"/>
    <n v="12"/>
    <s v="Debit Card"/>
    <x v="4"/>
  </r>
  <r>
    <n v="3181"/>
    <x v="20"/>
    <s v="Female"/>
    <x v="8"/>
    <x v="3"/>
    <n v="88"/>
    <s v="Montana"/>
    <x v="0"/>
    <x v="2"/>
    <x v="3"/>
    <n v="3.8"/>
    <x v="1"/>
    <s v="Standard"/>
    <s v="No"/>
    <s v="No"/>
    <n v="46"/>
    <s v="PayPal"/>
    <x v="1"/>
  </r>
  <r>
    <n v="3182"/>
    <x v="18"/>
    <s v="Female"/>
    <x v="14"/>
    <x v="2"/>
    <n v="51"/>
    <s v="Montana"/>
    <x v="2"/>
    <x v="4"/>
    <x v="2"/>
    <n v="4.4000000000000004"/>
    <x v="1"/>
    <s v="Free Shipping"/>
    <s v="No"/>
    <s v="No"/>
    <n v="27"/>
    <s v="PayPal"/>
    <x v="6"/>
  </r>
  <r>
    <n v="3183"/>
    <x v="2"/>
    <s v="Female"/>
    <x v="12"/>
    <x v="3"/>
    <n v="97"/>
    <s v="Georgia"/>
    <x v="0"/>
    <x v="14"/>
    <x v="3"/>
    <n v="3.6"/>
    <x v="1"/>
    <s v="Free Shipping"/>
    <s v="No"/>
    <s v="No"/>
    <n v="4"/>
    <s v="Credit Card"/>
    <x v="2"/>
  </r>
  <r>
    <n v="3184"/>
    <x v="2"/>
    <s v="Female"/>
    <x v="4"/>
    <x v="1"/>
    <n v="56"/>
    <s v="Mississippi"/>
    <x v="2"/>
    <x v="14"/>
    <x v="0"/>
    <n v="3.5"/>
    <x v="1"/>
    <s v="Standard"/>
    <s v="No"/>
    <s v="No"/>
    <n v="14"/>
    <s v="Cash"/>
    <x v="6"/>
  </r>
  <r>
    <n v="3185"/>
    <x v="12"/>
    <s v="Female"/>
    <x v="1"/>
    <x v="0"/>
    <n v="53"/>
    <s v="Hawaii"/>
    <x v="0"/>
    <x v="14"/>
    <x v="1"/>
    <n v="4.2"/>
    <x v="1"/>
    <s v="2-Day Shipping"/>
    <s v="No"/>
    <s v="No"/>
    <n v="30"/>
    <s v="Venmo"/>
    <x v="3"/>
  </r>
  <r>
    <n v="3186"/>
    <x v="16"/>
    <s v="Female"/>
    <x v="11"/>
    <x v="0"/>
    <n v="71"/>
    <s v="Ohio"/>
    <x v="0"/>
    <x v="9"/>
    <x v="3"/>
    <n v="4.7"/>
    <x v="1"/>
    <s v="Express"/>
    <s v="No"/>
    <s v="No"/>
    <n v="6"/>
    <s v="PayPal"/>
    <x v="2"/>
  </r>
  <r>
    <n v="3187"/>
    <x v="21"/>
    <s v="Female"/>
    <x v="16"/>
    <x v="3"/>
    <n v="93"/>
    <s v="Virginia"/>
    <x v="1"/>
    <x v="17"/>
    <x v="0"/>
    <n v="4.8"/>
    <x v="1"/>
    <s v="Store Pickup"/>
    <s v="No"/>
    <s v="No"/>
    <n v="43"/>
    <s v="Venmo"/>
    <x v="2"/>
  </r>
  <r>
    <n v="3188"/>
    <x v="29"/>
    <s v="Female"/>
    <x v="0"/>
    <x v="0"/>
    <n v="72"/>
    <s v="Texas"/>
    <x v="0"/>
    <x v="21"/>
    <x v="0"/>
    <n v="3.2"/>
    <x v="1"/>
    <s v="Free Shipping"/>
    <s v="No"/>
    <s v="No"/>
    <n v="28"/>
    <s v="Debit Card"/>
    <x v="1"/>
  </r>
  <r>
    <n v="3189"/>
    <x v="32"/>
    <s v="Female"/>
    <x v="0"/>
    <x v="0"/>
    <n v="59"/>
    <s v="Vermont"/>
    <x v="2"/>
    <x v="12"/>
    <x v="0"/>
    <n v="3.5"/>
    <x v="1"/>
    <s v="Standard"/>
    <s v="No"/>
    <s v="No"/>
    <n v="39"/>
    <s v="Bank Transfer"/>
    <x v="5"/>
  </r>
  <r>
    <n v="3190"/>
    <x v="15"/>
    <s v="Female"/>
    <x v="23"/>
    <x v="1"/>
    <n v="87"/>
    <s v="Kansas"/>
    <x v="2"/>
    <x v="19"/>
    <x v="2"/>
    <n v="4.2"/>
    <x v="1"/>
    <s v="Store Pickup"/>
    <s v="No"/>
    <s v="No"/>
    <n v="30"/>
    <s v="PayPal"/>
    <x v="4"/>
  </r>
  <r>
    <n v="3191"/>
    <x v="38"/>
    <s v="Female"/>
    <x v="2"/>
    <x v="0"/>
    <n v="78"/>
    <s v="California"/>
    <x v="1"/>
    <x v="7"/>
    <x v="3"/>
    <n v="3.4"/>
    <x v="1"/>
    <s v="Free Shipping"/>
    <s v="No"/>
    <s v="No"/>
    <n v="5"/>
    <s v="Credit Card"/>
    <x v="0"/>
  </r>
  <r>
    <n v="3192"/>
    <x v="46"/>
    <s v="Female"/>
    <x v="15"/>
    <x v="0"/>
    <n v="68"/>
    <s v="Mississippi"/>
    <x v="3"/>
    <x v="1"/>
    <x v="0"/>
    <n v="4.7"/>
    <x v="1"/>
    <s v="Store Pickup"/>
    <s v="No"/>
    <s v="No"/>
    <n v="42"/>
    <s v="Credit Card"/>
    <x v="6"/>
  </r>
  <r>
    <n v="3193"/>
    <x v="1"/>
    <s v="Female"/>
    <x v="1"/>
    <x v="0"/>
    <n v="76"/>
    <s v="Iowa"/>
    <x v="1"/>
    <x v="1"/>
    <x v="3"/>
    <n v="3"/>
    <x v="1"/>
    <s v="Free Shipping"/>
    <s v="No"/>
    <s v="No"/>
    <n v="20"/>
    <s v="Cash"/>
    <x v="0"/>
  </r>
  <r>
    <n v="3194"/>
    <x v="6"/>
    <s v="Female"/>
    <x v="24"/>
    <x v="3"/>
    <n v="99"/>
    <s v="Virginia"/>
    <x v="0"/>
    <x v="11"/>
    <x v="0"/>
    <n v="4"/>
    <x v="1"/>
    <s v="Express"/>
    <s v="No"/>
    <s v="No"/>
    <n v="35"/>
    <s v="Credit Card"/>
    <x v="0"/>
  </r>
  <r>
    <n v="3195"/>
    <x v="49"/>
    <s v="Female"/>
    <x v="4"/>
    <x v="1"/>
    <n v="52"/>
    <s v="Maryland"/>
    <x v="0"/>
    <x v="9"/>
    <x v="2"/>
    <n v="4.5999999999999996"/>
    <x v="1"/>
    <s v="Standard"/>
    <s v="No"/>
    <s v="No"/>
    <n v="10"/>
    <s v="Credit Card"/>
    <x v="4"/>
  </r>
  <r>
    <n v="3196"/>
    <x v="33"/>
    <s v="Female"/>
    <x v="12"/>
    <x v="3"/>
    <n v="58"/>
    <s v="Missouri"/>
    <x v="1"/>
    <x v="16"/>
    <x v="1"/>
    <n v="4.9000000000000004"/>
    <x v="1"/>
    <s v="Next Day Air"/>
    <s v="No"/>
    <s v="No"/>
    <n v="36"/>
    <s v="Credit Card"/>
    <x v="3"/>
  </r>
  <r>
    <n v="3197"/>
    <x v="41"/>
    <s v="Female"/>
    <x v="22"/>
    <x v="3"/>
    <n v="59"/>
    <s v="Wisconsin"/>
    <x v="0"/>
    <x v="1"/>
    <x v="0"/>
    <n v="2.8"/>
    <x v="1"/>
    <s v="Express"/>
    <s v="No"/>
    <s v="No"/>
    <n v="21"/>
    <s v="Debit Card"/>
    <x v="0"/>
  </r>
  <r>
    <n v="3198"/>
    <x v="7"/>
    <s v="Female"/>
    <x v="1"/>
    <x v="0"/>
    <n v="71"/>
    <s v="Maine"/>
    <x v="2"/>
    <x v="11"/>
    <x v="1"/>
    <n v="3.2"/>
    <x v="1"/>
    <s v="Free Shipping"/>
    <s v="No"/>
    <s v="No"/>
    <n v="29"/>
    <s v="Credit Card"/>
    <x v="6"/>
  </r>
  <r>
    <n v="3199"/>
    <x v="12"/>
    <s v="Female"/>
    <x v="24"/>
    <x v="3"/>
    <n v="94"/>
    <s v="Pennsylvania"/>
    <x v="0"/>
    <x v="15"/>
    <x v="0"/>
    <n v="2.8"/>
    <x v="1"/>
    <s v="Free Shipping"/>
    <s v="No"/>
    <s v="No"/>
    <n v="39"/>
    <s v="Debit Card"/>
    <x v="1"/>
  </r>
  <r>
    <n v="3200"/>
    <x v="35"/>
    <s v="Female"/>
    <x v="8"/>
    <x v="3"/>
    <n v="40"/>
    <s v="Maine"/>
    <x v="3"/>
    <x v="6"/>
    <x v="0"/>
    <n v="4.2"/>
    <x v="1"/>
    <s v="Express"/>
    <s v="No"/>
    <s v="No"/>
    <n v="16"/>
    <s v="PayPal"/>
    <x v="5"/>
  </r>
  <r>
    <n v="3201"/>
    <x v="29"/>
    <s v="Female"/>
    <x v="20"/>
    <x v="0"/>
    <n v="24"/>
    <s v="Missouri"/>
    <x v="0"/>
    <x v="13"/>
    <x v="1"/>
    <n v="4.8"/>
    <x v="1"/>
    <s v="Free Shipping"/>
    <s v="No"/>
    <s v="No"/>
    <n v="32"/>
    <s v="Credit Card"/>
    <x v="5"/>
  </r>
  <r>
    <n v="3202"/>
    <x v="5"/>
    <s v="Female"/>
    <x v="13"/>
    <x v="0"/>
    <n v="38"/>
    <s v="Vermont"/>
    <x v="1"/>
    <x v="21"/>
    <x v="3"/>
    <n v="2.8"/>
    <x v="1"/>
    <s v="2-Day Shipping"/>
    <s v="No"/>
    <s v="No"/>
    <n v="34"/>
    <s v="Cash"/>
    <x v="5"/>
  </r>
  <r>
    <n v="3203"/>
    <x v="13"/>
    <s v="Female"/>
    <x v="18"/>
    <x v="3"/>
    <n v="37"/>
    <s v="Wisconsin"/>
    <x v="0"/>
    <x v="14"/>
    <x v="3"/>
    <n v="4.5"/>
    <x v="1"/>
    <s v="Standard"/>
    <s v="No"/>
    <s v="No"/>
    <n v="38"/>
    <s v="Venmo"/>
    <x v="2"/>
  </r>
  <r>
    <n v="3204"/>
    <x v="6"/>
    <s v="Female"/>
    <x v="7"/>
    <x v="2"/>
    <n v="29"/>
    <s v="New Jersey"/>
    <x v="0"/>
    <x v="11"/>
    <x v="1"/>
    <n v="4.0999999999999996"/>
    <x v="1"/>
    <s v="Express"/>
    <s v="No"/>
    <s v="No"/>
    <n v="14"/>
    <s v="Venmo"/>
    <x v="2"/>
  </r>
  <r>
    <n v="3205"/>
    <x v="9"/>
    <s v="Female"/>
    <x v="14"/>
    <x v="2"/>
    <n v="92"/>
    <s v="New Mexico"/>
    <x v="3"/>
    <x v="12"/>
    <x v="3"/>
    <n v="4.3"/>
    <x v="1"/>
    <s v="Free Shipping"/>
    <s v="No"/>
    <s v="No"/>
    <n v="23"/>
    <s v="Debit Card"/>
    <x v="4"/>
  </r>
  <r>
    <n v="3206"/>
    <x v="37"/>
    <s v="Female"/>
    <x v="15"/>
    <x v="0"/>
    <n v="24"/>
    <s v="Colorado"/>
    <x v="3"/>
    <x v="23"/>
    <x v="3"/>
    <n v="4.4000000000000004"/>
    <x v="1"/>
    <s v="2-Day Shipping"/>
    <s v="No"/>
    <s v="No"/>
    <n v="50"/>
    <s v="Bank Transfer"/>
    <x v="6"/>
  </r>
  <r>
    <n v="3207"/>
    <x v="24"/>
    <s v="Female"/>
    <x v="23"/>
    <x v="1"/>
    <n v="52"/>
    <s v="California"/>
    <x v="2"/>
    <x v="18"/>
    <x v="0"/>
    <n v="3"/>
    <x v="1"/>
    <s v="Free Shipping"/>
    <s v="No"/>
    <s v="No"/>
    <n v="49"/>
    <s v="PayPal"/>
    <x v="5"/>
  </r>
  <r>
    <n v="3208"/>
    <x v="29"/>
    <s v="Female"/>
    <x v="20"/>
    <x v="0"/>
    <n v="29"/>
    <s v="Arizona"/>
    <x v="3"/>
    <x v="19"/>
    <x v="2"/>
    <n v="2.7"/>
    <x v="1"/>
    <s v="Next Day Air"/>
    <s v="No"/>
    <s v="No"/>
    <n v="14"/>
    <s v="PayPal"/>
    <x v="2"/>
  </r>
  <r>
    <n v="3209"/>
    <x v="12"/>
    <s v="Female"/>
    <x v="16"/>
    <x v="3"/>
    <n v="30"/>
    <s v="Indiana"/>
    <x v="0"/>
    <x v="21"/>
    <x v="0"/>
    <n v="3.3"/>
    <x v="1"/>
    <s v="2-Day Shipping"/>
    <s v="No"/>
    <s v="No"/>
    <n v="42"/>
    <s v="PayPal"/>
    <x v="1"/>
  </r>
  <r>
    <n v="3210"/>
    <x v="14"/>
    <s v="Female"/>
    <x v="9"/>
    <x v="1"/>
    <n v="31"/>
    <s v="Arkansas"/>
    <x v="0"/>
    <x v="15"/>
    <x v="3"/>
    <n v="4.3"/>
    <x v="1"/>
    <s v="Standard"/>
    <s v="No"/>
    <s v="No"/>
    <n v="39"/>
    <s v="Debit Card"/>
    <x v="2"/>
  </r>
  <r>
    <n v="3211"/>
    <x v="11"/>
    <s v="Female"/>
    <x v="20"/>
    <x v="0"/>
    <n v="67"/>
    <s v="Nevada"/>
    <x v="2"/>
    <x v="23"/>
    <x v="2"/>
    <n v="2.9"/>
    <x v="1"/>
    <s v="Express"/>
    <s v="No"/>
    <s v="No"/>
    <n v="43"/>
    <s v="Venmo"/>
    <x v="4"/>
  </r>
  <r>
    <n v="3212"/>
    <x v="10"/>
    <s v="Female"/>
    <x v="13"/>
    <x v="0"/>
    <n v="65"/>
    <s v="Rhode Island"/>
    <x v="0"/>
    <x v="2"/>
    <x v="0"/>
    <n v="4.9000000000000004"/>
    <x v="1"/>
    <s v="Standard"/>
    <s v="No"/>
    <s v="No"/>
    <n v="12"/>
    <s v="Cash"/>
    <x v="5"/>
  </r>
  <r>
    <n v="3213"/>
    <x v="7"/>
    <s v="Female"/>
    <x v="4"/>
    <x v="1"/>
    <n v="22"/>
    <s v="Wyoming"/>
    <x v="2"/>
    <x v="21"/>
    <x v="0"/>
    <n v="3.6"/>
    <x v="1"/>
    <s v="2-Day Shipping"/>
    <s v="No"/>
    <s v="No"/>
    <n v="21"/>
    <s v="Debit Card"/>
    <x v="1"/>
  </r>
  <r>
    <n v="3214"/>
    <x v="7"/>
    <s v="Female"/>
    <x v="12"/>
    <x v="3"/>
    <n v="56"/>
    <s v="Texas"/>
    <x v="2"/>
    <x v="18"/>
    <x v="0"/>
    <n v="3.3"/>
    <x v="1"/>
    <s v="Standard"/>
    <s v="No"/>
    <s v="No"/>
    <n v="33"/>
    <s v="Credit Card"/>
    <x v="5"/>
  </r>
  <r>
    <n v="3215"/>
    <x v="10"/>
    <s v="Female"/>
    <x v="11"/>
    <x v="0"/>
    <n v="78"/>
    <s v="Washington"/>
    <x v="2"/>
    <x v="22"/>
    <x v="1"/>
    <n v="3.1"/>
    <x v="1"/>
    <s v="Free Shipping"/>
    <s v="No"/>
    <s v="No"/>
    <n v="6"/>
    <s v="Debit Card"/>
    <x v="2"/>
  </r>
  <r>
    <n v="3216"/>
    <x v="50"/>
    <s v="Female"/>
    <x v="7"/>
    <x v="2"/>
    <n v="90"/>
    <s v="Rhode Island"/>
    <x v="2"/>
    <x v="23"/>
    <x v="2"/>
    <n v="2.7"/>
    <x v="1"/>
    <s v="Free Shipping"/>
    <s v="No"/>
    <s v="No"/>
    <n v="10"/>
    <s v="PayPal"/>
    <x v="6"/>
  </r>
  <r>
    <n v="3217"/>
    <x v="31"/>
    <s v="Female"/>
    <x v="15"/>
    <x v="0"/>
    <n v="85"/>
    <s v="Illinois"/>
    <x v="1"/>
    <x v="8"/>
    <x v="0"/>
    <n v="3.4"/>
    <x v="1"/>
    <s v="Next Day Air"/>
    <s v="No"/>
    <s v="No"/>
    <n v="18"/>
    <s v="Cash"/>
    <x v="1"/>
  </r>
  <r>
    <n v="3218"/>
    <x v="42"/>
    <s v="Female"/>
    <x v="12"/>
    <x v="3"/>
    <n v="58"/>
    <s v="Oregon"/>
    <x v="2"/>
    <x v="5"/>
    <x v="3"/>
    <n v="3.4"/>
    <x v="1"/>
    <s v="Express"/>
    <s v="No"/>
    <s v="No"/>
    <n v="46"/>
    <s v="Venmo"/>
    <x v="1"/>
  </r>
  <r>
    <n v="3219"/>
    <x v="43"/>
    <s v="Female"/>
    <x v="11"/>
    <x v="0"/>
    <n v="34"/>
    <s v="Florida"/>
    <x v="2"/>
    <x v="11"/>
    <x v="3"/>
    <n v="3.9"/>
    <x v="1"/>
    <s v="Express"/>
    <s v="No"/>
    <s v="No"/>
    <n v="49"/>
    <s v="PayPal"/>
    <x v="5"/>
  </r>
  <r>
    <n v="3220"/>
    <x v="9"/>
    <s v="Female"/>
    <x v="7"/>
    <x v="2"/>
    <n v="40"/>
    <s v="Kansas"/>
    <x v="0"/>
    <x v="3"/>
    <x v="2"/>
    <n v="3.5"/>
    <x v="1"/>
    <s v="2-Day Shipping"/>
    <s v="No"/>
    <s v="No"/>
    <n v="39"/>
    <s v="Credit Card"/>
    <x v="1"/>
  </r>
  <r>
    <n v="3221"/>
    <x v="21"/>
    <s v="Female"/>
    <x v="8"/>
    <x v="3"/>
    <n v="29"/>
    <s v="North Dakota"/>
    <x v="2"/>
    <x v="24"/>
    <x v="3"/>
    <n v="4.0999999999999996"/>
    <x v="1"/>
    <s v="Free Shipping"/>
    <s v="No"/>
    <s v="No"/>
    <n v="16"/>
    <s v="Cash"/>
    <x v="5"/>
  </r>
  <r>
    <n v="3222"/>
    <x v="3"/>
    <s v="Female"/>
    <x v="17"/>
    <x v="0"/>
    <n v="76"/>
    <s v="New Hampshire"/>
    <x v="2"/>
    <x v="22"/>
    <x v="0"/>
    <n v="3.2"/>
    <x v="1"/>
    <s v="Standard"/>
    <s v="No"/>
    <s v="No"/>
    <n v="28"/>
    <s v="Cash"/>
    <x v="2"/>
  </r>
  <r>
    <n v="3223"/>
    <x v="4"/>
    <s v="Female"/>
    <x v="12"/>
    <x v="3"/>
    <n v="84"/>
    <s v="Texas"/>
    <x v="1"/>
    <x v="1"/>
    <x v="3"/>
    <n v="4.5999999999999996"/>
    <x v="1"/>
    <s v="Store Pickup"/>
    <s v="No"/>
    <s v="No"/>
    <n v="22"/>
    <s v="PayPal"/>
    <x v="3"/>
  </r>
  <r>
    <n v="3224"/>
    <x v="33"/>
    <s v="Female"/>
    <x v="5"/>
    <x v="0"/>
    <n v="65"/>
    <s v="Montana"/>
    <x v="1"/>
    <x v="0"/>
    <x v="1"/>
    <n v="3.9"/>
    <x v="1"/>
    <s v="Standard"/>
    <s v="No"/>
    <s v="No"/>
    <n v="36"/>
    <s v="Venmo"/>
    <x v="4"/>
  </r>
  <r>
    <n v="3225"/>
    <x v="43"/>
    <s v="Female"/>
    <x v="15"/>
    <x v="0"/>
    <n v="80"/>
    <s v="Delaware"/>
    <x v="0"/>
    <x v="21"/>
    <x v="0"/>
    <n v="2.7"/>
    <x v="1"/>
    <s v="Free Shipping"/>
    <s v="No"/>
    <s v="No"/>
    <n v="18"/>
    <s v="PayPal"/>
    <x v="5"/>
  </r>
  <r>
    <n v="3226"/>
    <x v="10"/>
    <s v="Female"/>
    <x v="0"/>
    <x v="0"/>
    <n v="98"/>
    <s v="New Hampshire"/>
    <x v="2"/>
    <x v="6"/>
    <x v="3"/>
    <n v="3"/>
    <x v="1"/>
    <s v="Store Pickup"/>
    <s v="No"/>
    <s v="No"/>
    <n v="31"/>
    <s v="Credit Card"/>
    <x v="1"/>
  </r>
  <r>
    <n v="3227"/>
    <x v="9"/>
    <s v="Female"/>
    <x v="4"/>
    <x v="1"/>
    <n v="71"/>
    <s v="Minnesota"/>
    <x v="3"/>
    <x v="19"/>
    <x v="1"/>
    <n v="3.3"/>
    <x v="1"/>
    <s v="Next Day Air"/>
    <s v="No"/>
    <s v="No"/>
    <n v="38"/>
    <s v="Bank Transfer"/>
    <x v="0"/>
  </r>
  <r>
    <n v="3228"/>
    <x v="48"/>
    <s v="Female"/>
    <x v="18"/>
    <x v="3"/>
    <n v="69"/>
    <s v="Alaska"/>
    <x v="3"/>
    <x v="3"/>
    <x v="3"/>
    <n v="2.7"/>
    <x v="1"/>
    <s v="Free Shipping"/>
    <s v="No"/>
    <s v="No"/>
    <n v="42"/>
    <s v="Debit Card"/>
    <x v="3"/>
  </r>
  <r>
    <n v="3229"/>
    <x v="43"/>
    <s v="Female"/>
    <x v="16"/>
    <x v="3"/>
    <n v="95"/>
    <s v="Connecticut"/>
    <x v="2"/>
    <x v="22"/>
    <x v="1"/>
    <n v="4.5999999999999996"/>
    <x v="1"/>
    <s v="2-Day Shipping"/>
    <s v="No"/>
    <s v="No"/>
    <n v="27"/>
    <s v="PayPal"/>
    <x v="2"/>
  </r>
  <r>
    <n v="3230"/>
    <x v="22"/>
    <s v="Female"/>
    <x v="13"/>
    <x v="0"/>
    <n v="67"/>
    <s v="Connecticut"/>
    <x v="2"/>
    <x v="11"/>
    <x v="3"/>
    <n v="2.7"/>
    <x v="1"/>
    <s v="Express"/>
    <s v="No"/>
    <s v="No"/>
    <n v="24"/>
    <s v="Cash"/>
    <x v="5"/>
  </r>
  <r>
    <n v="3231"/>
    <x v="34"/>
    <s v="Female"/>
    <x v="4"/>
    <x v="1"/>
    <n v="49"/>
    <s v="Kansas"/>
    <x v="2"/>
    <x v="8"/>
    <x v="2"/>
    <n v="2.5"/>
    <x v="1"/>
    <s v="Next Day Air"/>
    <s v="No"/>
    <s v="No"/>
    <n v="38"/>
    <s v="Debit Card"/>
    <x v="2"/>
  </r>
  <r>
    <n v="3232"/>
    <x v="46"/>
    <s v="Female"/>
    <x v="9"/>
    <x v="1"/>
    <n v="97"/>
    <s v="Nevada"/>
    <x v="2"/>
    <x v="1"/>
    <x v="0"/>
    <n v="4.4000000000000004"/>
    <x v="1"/>
    <s v="Free Shipping"/>
    <s v="No"/>
    <s v="No"/>
    <n v="9"/>
    <s v="Credit Card"/>
    <x v="2"/>
  </r>
  <r>
    <n v="3233"/>
    <x v="4"/>
    <s v="Female"/>
    <x v="17"/>
    <x v="0"/>
    <n v="34"/>
    <s v="Massachusetts"/>
    <x v="2"/>
    <x v="3"/>
    <x v="1"/>
    <n v="4"/>
    <x v="1"/>
    <s v="Next Day Air"/>
    <s v="No"/>
    <s v="No"/>
    <n v="19"/>
    <s v="Bank Transfer"/>
    <x v="5"/>
  </r>
  <r>
    <n v="3234"/>
    <x v="4"/>
    <s v="Female"/>
    <x v="22"/>
    <x v="3"/>
    <n v="74"/>
    <s v="Indiana"/>
    <x v="2"/>
    <x v="12"/>
    <x v="3"/>
    <n v="3.8"/>
    <x v="1"/>
    <s v="Express"/>
    <s v="No"/>
    <s v="No"/>
    <n v="11"/>
    <s v="Debit Card"/>
    <x v="4"/>
  </r>
  <r>
    <n v="3235"/>
    <x v="34"/>
    <s v="Female"/>
    <x v="16"/>
    <x v="3"/>
    <n v="96"/>
    <s v="Washington"/>
    <x v="2"/>
    <x v="13"/>
    <x v="0"/>
    <n v="2.5"/>
    <x v="1"/>
    <s v="2-Day Shipping"/>
    <s v="No"/>
    <s v="No"/>
    <n v="16"/>
    <s v="Debit Card"/>
    <x v="3"/>
  </r>
  <r>
    <n v="3236"/>
    <x v="7"/>
    <s v="Female"/>
    <x v="22"/>
    <x v="3"/>
    <n v="68"/>
    <s v="Kansas"/>
    <x v="2"/>
    <x v="14"/>
    <x v="2"/>
    <n v="4"/>
    <x v="1"/>
    <s v="Free Shipping"/>
    <s v="No"/>
    <s v="No"/>
    <n v="18"/>
    <s v="Venmo"/>
    <x v="5"/>
  </r>
  <r>
    <n v="3237"/>
    <x v="6"/>
    <s v="Female"/>
    <x v="22"/>
    <x v="3"/>
    <n v="84"/>
    <s v="South Carolina"/>
    <x v="0"/>
    <x v="8"/>
    <x v="3"/>
    <n v="4.0999999999999996"/>
    <x v="1"/>
    <s v="Next Day Air"/>
    <s v="No"/>
    <s v="No"/>
    <n v="8"/>
    <s v="Cash"/>
    <x v="5"/>
  </r>
  <r>
    <n v="3238"/>
    <x v="12"/>
    <s v="Female"/>
    <x v="17"/>
    <x v="0"/>
    <n v="57"/>
    <s v="Vermont"/>
    <x v="2"/>
    <x v="0"/>
    <x v="2"/>
    <n v="2.8"/>
    <x v="1"/>
    <s v="Express"/>
    <s v="No"/>
    <s v="No"/>
    <n v="4"/>
    <s v="Cash"/>
    <x v="1"/>
  </r>
  <r>
    <n v="3239"/>
    <x v="15"/>
    <s v="Female"/>
    <x v="4"/>
    <x v="1"/>
    <n v="84"/>
    <s v="Wyoming"/>
    <x v="3"/>
    <x v="11"/>
    <x v="3"/>
    <n v="3.4"/>
    <x v="1"/>
    <s v="2-Day Shipping"/>
    <s v="No"/>
    <s v="No"/>
    <n v="37"/>
    <s v="Cash"/>
    <x v="3"/>
  </r>
  <r>
    <n v="3240"/>
    <x v="23"/>
    <s v="Female"/>
    <x v="12"/>
    <x v="3"/>
    <n v="32"/>
    <s v="Colorado"/>
    <x v="2"/>
    <x v="4"/>
    <x v="3"/>
    <n v="2.7"/>
    <x v="1"/>
    <s v="2-Day Shipping"/>
    <s v="No"/>
    <s v="No"/>
    <n v="30"/>
    <s v="Cash"/>
    <x v="5"/>
  </r>
  <r>
    <n v="3241"/>
    <x v="19"/>
    <s v="Female"/>
    <x v="3"/>
    <x v="1"/>
    <n v="37"/>
    <s v="West Virginia"/>
    <x v="2"/>
    <x v="10"/>
    <x v="3"/>
    <n v="3.8"/>
    <x v="1"/>
    <s v="2-Day Shipping"/>
    <s v="No"/>
    <s v="No"/>
    <n v="37"/>
    <s v="Bank Transfer"/>
    <x v="5"/>
  </r>
  <r>
    <n v="3242"/>
    <x v="2"/>
    <s v="Female"/>
    <x v="8"/>
    <x v="3"/>
    <n v="58"/>
    <s v="Connecticut"/>
    <x v="2"/>
    <x v="12"/>
    <x v="2"/>
    <n v="4.4000000000000004"/>
    <x v="1"/>
    <s v="Store Pickup"/>
    <s v="No"/>
    <s v="No"/>
    <n v="30"/>
    <s v="PayPal"/>
    <x v="3"/>
  </r>
  <r>
    <n v="3243"/>
    <x v="4"/>
    <s v="Female"/>
    <x v="20"/>
    <x v="0"/>
    <n v="74"/>
    <s v="Oregon"/>
    <x v="1"/>
    <x v="19"/>
    <x v="3"/>
    <n v="2.8"/>
    <x v="1"/>
    <s v="Express"/>
    <s v="No"/>
    <s v="No"/>
    <n v="17"/>
    <s v="Venmo"/>
    <x v="1"/>
  </r>
  <r>
    <n v="3244"/>
    <x v="4"/>
    <s v="Female"/>
    <x v="15"/>
    <x v="0"/>
    <n v="99"/>
    <s v="Idaho"/>
    <x v="0"/>
    <x v="13"/>
    <x v="2"/>
    <n v="5"/>
    <x v="1"/>
    <s v="Store Pickup"/>
    <s v="No"/>
    <s v="No"/>
    <n v="11"/>
    <s v="Bank Transfer"/>
    <x v="6"/>
  </r>
  <r>
    <n v="3245"/>
    <x v="13"/>
    <s v="Female"/>
    <x v="1"/>
    <x v="0"/>
    <n v="81"/>
    <s v="Arkansas"/>
    <x v="2"/>
    <x v="13"/>
    <x v="3"/>
    <n v="4.7"/>
    <x v="1"/>
    <s v="Express"/>
    <s v="No"/>
    <s v="No"/>
    <n v="42"/>
    <s v="Credit Card"/>
    <x v="2"/>
  </r>
  <r>
    <n v="3246"/>
    <x v="6"/>
    <s v="Female"/>
    <x v="13"/>
    <x v="0"/>
    <n v="76"/>
    <s v="Kansas"/>
    <x v="2"/>
    <x v="7"/>
    <x v="3"/>
    <n v="3.2"/>
    <x v="1"/>
    <s v="Next Day Air"/>
    <s v="No"/>
    <s v="No"/>
    <n v="20"/>
    <s v="Cash"/>
    <x v="1"/>
  </r>
  <r>
    <n v="3247"/>
    <x v="27"/>
    <s v="Female"/>
    <x v="4"/>
    <x v="1"/>
    <n v="98"/>
    <s v="Michigan"/>
    <x v="2"/>
    <x v="23"/>
    <x v="2"/>
    <n v="2.9"/>
    <x v="1"/>
    <s v="Store Pickup"/>
    <s v="No"/>
    <s v="No"/>
    <n v="37"/>
    <s v="Cash"/>
    <x v="5"/>
  </r>
  <r>
    <n v="3248"/>
    <x v="10"/>
    <s v="Female"/>
    <x v="24"/>
    <x v="3"/>
    <n v="91"/>
    <s v="Arkansas"/>
    <x v="2"/>
    <x v="11"/>
    <x v="2"/>
    <n v="3.7"/>
    <x v="1"/>
    <s v="Express"/>
    <s v="No"/>
    <s v="No"/>
    <n v="12"/>
    <s v="PayPal"/>
    <x v="0"/>
  </r>
  <r>
    <n v="3249"/>
    <x v="40"/>
    <s v="Female"/>
    <x v="17"/>
    <x v="0"/>
    <n v="79"/>
    <s v="Pennsylvania"/>
    <x v="1"/>
    <x v="11"/>
    <x v="2"/>
    <n v="4.2"/>
    <x v="1"/>
    <s v="Free Shipping"/>
    <s v="No"/>
    <s v="No"/>
    <n v="41"/>
    <s v="Bank Transfer"/>
    <x v="3"/>
  </r>
  <r>
    <n v="3250"/>
    <x v="8"/>
    <s v="Female"/>
    <x v="21"/>
    <x v="3"/>
    <n v="83"/>
    <s v="Virginia"/>
    <x v="2"/>
    <x v="6"/>
    <x v="2"/>
    <n v="3.4"/>
    <x v="1"/>
    <s v="Express"/>
    <s v="No"/>
    <s v="No"/>
    <n v="32"/>
    <s v="Credit Card"/>
    <x v="3"/>
  </r>
  <r>
    <n v="3251"/>
    <x v="51"/>
    <s v="Female"/>
    <x v="7"/>
    <x v="2"/>
    <n v="90"/>
    <s v="Minnesota"/>
    <x v="2"/>
    <x v="11"/>
    <x v="1"/>
    <n v="2.9"/>
    <x v="1"/>
    <s v="2-Day Shipping"/>
    <s v="No"/>
    <s v="No"/>
    <n v="15"/>
    <s v="Venmo"/>
    <x v="1"/>
  </r>
  <r>
    <n v="3252"/>
    <x v="15"/>
    <s v="Female"/>
    <x v="7"/>
    <x v="2"/>
    <n v="20"/>
    <s v="Nevada"/>
    <x v="2"/>
    <x v="9"/>
    <x v="0"/>
    <n v="3.7"/>
    <x v="1"/>
    <s v="Standard"/>
    <s v="No"/>
    <s v="No"/>
    <n v="39"/>
    <s v="Venmo"/>
    <x v="3"/>
  </r>
  <r>
    <n v="3253"/>
    <x v="28"/>
    <s v="Female"/>
    <x v="3"/>
    <x v="1"/>
    <n v="21"/>
    <s v="Montana"/>
    <x v="0"/>
    <x v="18"/>
    <x v="1"/>
    <n v="2.7"/>
    <x v="1"/>
    <s v="Store Pickup"/>
    <s v="No"/>
    <s v="No"/>
    <n v="48"/>
    <s v="Credit Card"/>
    <x v="0"/>
  </r>
  <r>
    <n v="3254"/>
    <x v="24"/>
    <s v="Female"/>
    <x v="21"/>
    <x v="3"/>
    <n v="60"/>
    <s v="Nebraska"/>
    <x v="2"/>
    <x v="18"/>
    <x v="3"/>
    <n v="3.2"/>
    <x v="1"/>
    <s v="2-Day Shipping"/>
    <s v="No"/>
    <s v="No"/>
    <n v="8"/>
    <s v="Venmo"/>
    <x v="0"/>
  </r>
  <r>
    <n v="3255"/>
    <x v="3"/>
    <s v="Female"/>
    <x v="1"/>
    <x v="0"/>
    <n v="31"/>
    <s v="Indiana"/>
    <x v="1"/>
    <x v="23"/>
    <x v="0"/>
    <n v="4.9000000000000004"/>
    <x v="1"/>
    <s v="Store Pickup"/>
    <s v="No"/>
    <s v="No"/>
    <n v="11"/>
    <s v="Bank Transfer"/>
    <x v="6"/>
  </r>
  <r>
    <n v="3256"/>
    <x v="9"/>
    <s v="Female"/>
    <x v="6"/>
    <x v="0"/>
    <n v="40"/>
    <s v="New Jersey"/>
    <x v="2"/>
    <x v="13"/>
    <x v="3"/>
    <n v="2.8"/>
    <x v="1"/>
    <s v="Next Day Air"/>
    <s v="No"/>
    <s v="No"/>
    <n v="36"/>
    <s v="Bank Transfer"/>
    <x v="5"/>
  </r>
  <r>
    <n v="3257"/>
    <x v="52"/>
    <s v="Female"/>
    <x v="12"/>
    <x v="3"/>
    <n v="26"/>
    <s v="Wisconsin"/>
    <x v="0"/>
    <x v="11"/>
    <x v="0"/>
    <n v="4.7"/>
    <x v="1"/>
    <s v="Free Shipping"/>
    <s v="No"/>
    <s v="No"/>
    <n v="50"/>
    <s v="Venmo"/>
    <x v="6"/>
  </r>
  <r>
    <n v="3258"/>
    <x v="42"/>
    <s v="Female"/>
    <x v="5"/>
    <x v="0"/>
    <n v="98"/>
    <s v="Minnesota"/>
    <x v="2"/>
    <x v="18"/>
    <x v="3"/>
    <n v="3.3"/>
    <x v="1"/>
    <s v="Express"/>
    <s v="No"/>
    <s v="No"/>
    <n v="39"/>
    <s v="Venmo"/>
    <x v="6"/>
  </r>
  <r>
    <n v="3259"/>
    <x v="18"/>
    <s v="Female"/>
    <x v="9"/>
    <x v="1"/>
    <n v="51"/>
    <s v="New Jersey"/>
    <x v="2"/>
    <x v="23"/>
    <x v="1"/>
    <n v="4.3"/>
    <x v="1"/>
    <s v="Express"/>
    <s v="No"/>
    <s v="No"/>
    <n v="11"/>
    <s v="Credit Card"/>
    <x v="4"/>
  </r>
  <r>
    <n v="3260"/>
    <x v="9"/>
    <s v="Female"/>
    <x v="19"/>
    <x v="3"/>
    <n v="95"/>
    <s v="Oklahoma"/>
    <x v="3"/>
    <x v="21"/>
    <x v="3"/>
    <n v="3.7"/>
    <x v="1"/>
    <s v="2-Day Shipping"/>
    <s v="No"/>
    <s v="No"/>
    <n v="5"/>
    <s v="Debit Card"/>
    <x v="6"/>
  </r>
  <r>
    <n v="3261"/>
    <x v="31"/>
    <s v="Female"/>
    <x v="18"/>
    <x v="3"/>
    <n v="36"/>
    <s v="Wisconsin"/>
    <x v="2"/>
    <x v="10"/>
    <x v="2"/>
    <n v="4.5"/>
    <x v="1"/>
    <s v="2-Day Shipping"/>
    <s v="No"/>
    <s v="No"/>
    <n v="7"/>
    <s v="Credit Card"/>
    <x v="2"/>
  </r>
  <r>
    <n v="3262"/>
    <x v="39"/>
    <s v="Female"/>
    <x v="22"/>
    <x v="3"/>
    <n v="52"/>
    <s v="Rhode Island"/>
    <x v="0"/>
    <x v="17"/>
    <x v="0"/>
    <n v="3.4"/>
    <x v="1"/>
    <s v="Store Pickup"/>
    <s v="No"/>
    <s v="No"/>
    <n v="50"/>
    <s v="Debit Card"/>
    <x v="1"/>
  </r>
  <r>
    <n v="3263"/>
    <x v="32"/>
    <s v="Female"/>
    <x v="17"/>
    <x v="0"/>
    <n v="35"/>
    <s v="Indiana"/>
    <x v="2"/>
    <x v="10"/>
    <x v="1"/>
    <n v="2.7"/>
    <x v="1"/>
    <s v="Standard"/>
    <s v="No"/>
    <s v="No"/>
    <n v="21"/>
    <s v="Cash"/>
    <x v="6"/>
  </r>
  <r>
    <n v="3264"/>
    <x v="19"/>
    <s v="Female"/>
    <x v="6"/>
    <x v="0"/>
    <n v="68"/>
    <s v="Vermont"/>
    <x v="1"/>
    <x v="13"/>
    <x v="3"/>
    <n v="4.4000000000000004"/>
    <x v="1"/>
    <s v="Express"/>
    <s v="No"/>
    <s v="No"/>
    <n v="31"/>
    <s v="Debit Card"/>
    <x v="0"/>
  </r>
  <r>
    <n v="3265"/>
    <x v="48"/>
    <s v="Female"/>
    <x v="13"/>
    <x v="0"/>
    <n v="50"/>
    <s v="Maine"/>
    <x v="1"/>
    <x v="4"/>
    <x v="0"/>
    <n v="4"/>
    <x v="1"/>
    <s v="Express"/>
    <s v="No"/>
    <s v="No"/>
    <n v="39"/>
    <s v="Cash"/>
    <x v="4"/>
  </r>
  <r>
    <n v="3266"/>
    <x v="37"/>
    <s v="Female"/>
    <x v="12"/>
    <x v="3"/>
    <n v="100"/>
    <s v="Alabama"/>
    <x v="2"/>
    <x v="3"/>
    <x v="0"/>
    <n v="3.2"/>
    <x v="1"/>
    <s v="Express"/>
    <s v="No"/>
    <s v="No"/>
    <n v="28"/>
    <s v="Credit Card"/>
    <x v="0"/>
  </r>
  <r>
    <n v="3267"/>
    <x v="34"/>
    <s v="Female"/>
    <x v="7"/>
    <x v="2"/>
    <n v="74"/>
    <s v="Alabama"/>
    <x v="1"/>
    <x v="0"/>
    <x v="0"/>
    <n v="4.2"/>
    <x v="1"/>
    <s v="Next Day Air"/>
    <s v="No"/>
    <s v="No"/>
    <n v="33"/>
    <s v="Bank Transfer"/>
    <x v="1"/>
  </r>
  <r>
    <n v="3268"/>
    <x v="43"/>
    <s v="Female"/>
    <x v="15"/>
    <x v="0"/>
    <n v="45"/>
    <s v="Idaho"/>
    <x v="0"/>
    <x v="6"/>
    <x v="0"/>
    <n v="3"/>
    <x v="1"/>
    <s v="Store Pickup"/>
    <s v="No"/>
    <s v="No"/>
    <n v="42"/>
    <s v="Credit Card"/>
    <x v="3"/>
  </r>
  <r>
    <n v="3269"/>
    <x v="40"/>
    <s v="Female"/>
    <x v="10"/>
    <x v="0"/>
    <n v="97"/>
    <s v="Arkansas"/>
    <x v="2"/>
    <x v="17"/>
    <x v="3"/>
    <n v="2.8"/>
    <x v="1"/>
    <s v="Free Shipping"/>
    <s v="No"/>
    <s v="No"/>
    <n v="5"/>
    <s v="Bank Transfer"/>
    <x v="6"/>
  </r>
  <r>
    <n v="3270"/>
    <x v="7"/>
    <s v="Female"/>
    <x v="0"/>
    <x v="0"/>
    <n v="60"/>
    <s v="Ohio"/>
    <x v="2"/>
    <x v="24"/>
    <x v="0"/>
    <n v="4.9000000000000004"/>
    <x v="1"/>
    <s v="Express"/>
    <s v="No"/>
    <s v="No"/>
    <n v="25"/>
    <s v="Cash"/>
    <x v="5"/>
  </r>
  <r>
    <n v="3271"/>
    <x v="35"/>
    <s v="Female"/>
    <x v="20"/>
    <x v="0"/>
    <n v="25"/>
    <s v="Illinois"/>
    <x v="2"/>
    <x v="21"/>
    <x v="0"/>
    <n v="4.7"/>
    <x v="1"/>
    <s v="Express"/>
    <s v="No"/>
    <s v="No"/>
    <n v="48"/>
    <s v="PayPal"/>
    <x v="2"/>
  </r>
  <r>
    <n v="3272"/>
    <x v="25"/>
    <s v="Female"/>
    <x v="20"/>
    <x v="0"/>
    <n v="55"/>
    <s v="Nevada"/>
    <x v="3"/>
    <x v="23"/>
    <x v="1"/>
    <n v="4.4000000000000004"/>
    <x v="1"/>
    <s v="Standard"/>
    <s v="No"/>
    <s v="No"/>
    <n v="30"/>
    <s v="Credit Card"/>
    <x v="1"/>
  </r>
  <r>
    <n v="3273"/>
    <x v="44"/>
    <s v="Female"/>
    <x v="9"/>
    <x v="1"/>
    <n v="99"/>
    <s v="Texas"/>
    <x v="2"/>
    <x v="12"/>
    <x v="0"/>
    <n v="3.1"/>
    <x v="1"/>
    <s v="Next Day Air"/>
    <s v="No"/>
    <s v="No"/>
    <n v="34"/>
    <s v="PayPal"/>
    <x v="3"/>
  </r>
  <r>
    <n v="3274"/>
    <x v="44"/>
    <s v="Female"/>
    <x v="22"/>
    <x v="3"/>
    <n v="45"/>
    <s v="Nevada"/>
    <x v="1"/>
    <x v="20"/>
    <x v="2"/>
    <n v="2.6"/>
    <x v="1"/>
    <s v="Free Shipping"/>
    <s v="No"/>
    <s v="No"/>
    <n v="34"/>
    <s v="PayPal"/>
    <x v="6"/>
  </r>
  <r>
    <n v="3275"/>
    <x v="5"/>
    <s v="Female"/>
    <x v="1"/>
    <x v="0"/>
    <n v="20"/>
    <s v="Oklahoma"/>
    <x v="2"/>
    <x v="17"/>
    <x v="1"/>
    <n v="3.9"/>
    <x v="1"/>
    <s v="Store Pickup"/>
    <s v="No"/>
    <s v="No"/>
    <n v="14"/>
    <s v="Cash"/>
    <x v="0"/>
  </r>
  <r>
    <n v="3276"/>
    <x v="49"/>
    <s v="Female"/>
    <x v="13"/>
    <x v="0"/>
    <n v="88"/>
    <s v="Alabama"/>
    <x v="3"/>
    <x v="14"/>
    <x v="2"/>
    <n v="2.6"/>
    <x v="1"/>
    <s v="2-Day Shipping"/>
    <s v="No"/>
    <s v="No"/>
    <n v="2"/>
    <s v="Debit Card"/>
    <x v="1"/>
  </r>
  <r>
    <n v="3277"/>
    <x v="31"/>
    <s v="Female"/>
    <x v="18"/>
    <x v="3"/>
    <n v="99"/>
    <s v="South Dakota"/>
    <x v="2"/>
    <x v="3"/>
    <x v="2"/>
    <n v="4"/>
    <x v="1"/>
    <s v="Store Pickup"/>
    <s v="No"/>
    <s v="No"/>
    <n v="41"/>
    <s v="PayPal"/>
    <x v="6"/>
  </r>
  <r>
    <n v="3278"/>
    <x v="35"/>
    <s v="Female"/>
    <x v="11"/>
    <x v="0"/>
    <n v="86"/>
    <s v="Texas"/>
    <x v="2"/>
    <x v="24"/>
    <x v="1"/>
    <n v="4.9000000000000004"/>
    <x v="1"/>
    <s v="Store Pickup"/>
    <s v="No"/>
    <s v="No"/>
    <n v="3"/>
    <s v="Credit Card"/>
    <x v="5"/>
  </r>
  <r>
    <n v="3279"/>
    <x v="35"/>
    <s v="Female"/>
    <x v="10"/>
    <x v="0"/>
    <n v="70"/>
    <s v="Montana"/>
    <x v="2"/>
    <x v="13"/>
    <x v="2"/>
    <n v="3.3"/>
    <x v="1"/>
    <s v="2-Day Shipping"/>
    <s v="No"/>
    <s v="No"/>
    <n v="18"/>
    <s v="Bank Transfer"/>
    <x v="1"/>
  </r>
  <r>
    <n v="3280"/>
    <x v="35"/>
    <s v="Female"/>
    <x v="19"/>
    <x v="3"/>
    <n v="50"/>
    <s v="Wyoming"/>
    <x v="1"/>
    <x v="16"/>
    <x v="3"/>
    <n v="3"/>
    <x v="1"/>
    <s v="Express"/>
    <s v="No"/>
    <s v="No"/>
    <n v="1"/>
    <s v="Debit Card"/>
    <x v="0"/>
  </r>
  <r>
    <n v="3281"/>
    <x v="4"/>
    <s v="Female"/>
    <x v="8"/>
    <x v="3"/>
    <n v="57"/>
    <s v="New York"/>
    <x v="0"/>
    <x v="16"/>
    <x v="0"/>
    <n v="2.7"/>
    <x v="1"/>
    <s v="Next Day Air"/>
    <s v="No"/>
    <s v="No"/>
    <n v="5"/>
    <s v="PayPal"/>
    <x v="5"/>
  </r>
  <r>
    <n v="3282"/>
    <x v="7"/>
    <s v="Female"/>
    <x v="13"/>
    <x v="0"/>
    <n v="69"/>
    <s v="Oregon"/>
    <x v="0"/>
    <x v="9"/>
    <x v="0"/>
    <n v="3.1"/>
    <x v="1"/>
    <s v="Free Shipping"/>
    <s v="No"/>
    <s v="No"/>
    <n v="41"/>
    <s v="Bank Transfer"/>
    <x v="2"/>
  </r>
  <r>
    <n v="3283"/>
    <x v="41"/>
    <s v="Female"/>
    <x v="17"/>
    <x v="0"/>
    <n v="94"/>
    <s v="California"/>
    <x v="2"/>
    <x v="16"/>
    <x v="3"/>
    <n v="4.8"/>
    <x v="1"/>
    <s v="Next Day Air"/>
    <s v="No"/>
    <s v="No"/>
    <n v="5"/>
    <s v="Credit Card"/>
    <x v="5"/>
  </r>
  <r>
    <n v="3284"/>
    <x v="36"/>
    <s v="Female"/>
    <x v="14"/>
    <x v="2"/>
    <n v="24"/>
    <s v="North Carolina"/>
    <x v="0"/>
    <x v="7"/>
    <x v="1"/>
    <n v="2.9"/>
    <x v="1"/>
    <s v="Express"/>
    <s v="No"/>
    <s v="No"/>
    <n v="10"/>
    <s v="Debit Card"/>
    <x v="6"/>
  </r>
  <r>
    <n v="3285"/>
    <x v="27"/>
    <s v="Female"/>
    <x v="18"/>
    <x v="3"/>
    <n v="79"/>
    <s v="Kentucky"/>
    <x v="0"/>
    <x v="3"/>
    <x v="1"/>
    <n v="4.5"/>
    <x v="1"/>
    <s v="2-Day Shipping"/>
    <s v="No"/>
    <s v="No"/>
    <n v="20"/>
    <s v="Venmo"/>
    <x v="2"/>
  </r>
  <r>
    <n v="3286"/>
    <x v="44"/>
    <s v="Female"/>
    <x v="19"/>
    <x v="3"/>
    <n v="31"/>
    <s v="Hawaii"/>
    <x v="3"/>
    <x v="23"/>
    <x v="3"/>
    <n v="4.5999999999999996"/>
    <x v="1"/>
    <s v="Free Shipping"/>
    <s v="No"/>
    <s v="No"/>
    <n v="11"/>
    <s v="Cash"/>
    <x v="1"/>
  </r>
  <r>
    <n v="3287"/>
    <x v="4"/>
    <s v="Female"/>
    <x v="14"/>
    <x v="2"/>
    <n v="67"/>
    <s v="Illinois"/>
    <x v="0"/>
    <x v="6"/>
    <x v="0"/>
    <n v="5"/>
    <x v="1"/>
    <s v="Express"/>
    <s v="No"/>
    <s v="No"/>
    <n v="4"/>
    <s v="Venmo"/>
    <x v="0"/>
  </r>
  <r>
    <n v="3288"/>
    <x v="41"/>
    <s v="Female"/>
    <x v="11"/>
    <x v="0"/>
    <n v="63"/>
    <s v="West Virginia"/>
    <x v="0"/>
    <x v="13"/>
    <x v="1"/>
    <n v="4.3"/>
    <x v="1"/>
    <s v="2-Day Shipping"/>
    <s v="No"/>
    <s v="No"/>
    <n v="38"/>
    <s v="Credit Card"/>
    <x v="1"/>
  </r>
  <r>
    <n v="3289"/>
    <x v="29"/>
    <s v="Female"/>
    <x v="8"/>
    <x v="3"/>
    <n v="61"/>
    <s v="South Carolina"/>
    <x v="3"/>
    <x v="3"/>
    <x v="1"/>
    <n v="4.9000000000000004"/>
    <x v="1"/>
    <s v="Next Day Air"/>
    <s v="No"/>
    <s v="No"/>
    <n v="19"/>
    <s v="Credit Card"/>
    <x v="4"/>
  </r>
  <r>
    <n v="3290"/>
    <x v="18"/>
    <s v="Female"/>
    <x v="21"/>
    <x v="3"/>
    <n v="50"/>
    <s v="Montana"/>
    <x v="2"/>
    <x v="1"/>
    <x v="2"/>
    <n v="4"/>
    <x v="1"/>
    <s v="2-Day Shipping"/>
    <s v="No"/>
    <s v="No"/>
    <n v="16"/>
    <s v="Venmo"/>
    <x v="6"/>
  </r>
  <r>
    <n v="3291"/>
    <x v="16"/>
    <s v="Female"/>
    <x v="7"/>
    <x v="2"/>
    <n v="82"/>
    <s v="North Dakota"/>
    <x v="0"/>
    <x v="13"/>
    <x v="1"/>
    <n v="3.1"/>
    <x v="1"/>
    <s v="Free Shipping"/>
    <s v="No"/>
    <s v="No"/>
    <n v="2"/>
    <s v="PayPal"/>
    <x v="5"/>
  </r>
  <r>
    <n v="3292"/>
    <x v="26"/>
    <s v="Female"/>
    <x v="22"/>
    <x v="3"/>
    <n v="51"/>
    <s v="New Mexico"/>
    <x v="0"/>
    <x v="8"/>
    <x v="3"/>
    <n v="2.6"/>
    <x v="1"/>
    <s v="2-Day Shipping"/>
    <s v="No"/>
    <s v="No"/>
    <n v="11"/>
    <s v="Cash"/>
    <x v="5"/>
  </r>
  <r>
    <n v="3293"/>
    <x v="46"/>
    <s v="Female"/>
    <x v="8"/>
    <x v="3"/>
    <n v="23"/>
    <s v="Missouri"/>
    <x v="0"/>
    <x v="0"/>
    <x v="1"/>
    <n v="4.9000000000000004"/>
    <x v="1"/>
    <s v="Standard"/>
    <s v="No"/>
    <s v="No"/>
    <n v="18"/>
    <s v="Bank Transfer"/>
    <x v="0"/>
  </r>
  <r>
    <n v="3294"/>
    <x v="1"/>
    <s v="Female"/>
    <x v="7"/>
    <x v="2"/>
    <n v="91"/>
    <s v="West Virginia"/>
    <x v="2"/>
    <x v="9"/>
    <x v="1"/>
    <n v="3.5"/>
    <x v="1"/>
    <s v="2-Day Shipping"/>
    <s v="No"/>
    <s v="No"/>
    <n v="47"/>
    <s v="Credit Card"/>
    <x v="0"/>
  </r>
  <r>
    <n v="3295"/>
    <x v="46"/>
    <s v="Female"/>
    <x v="1"/>
    <x v="0"/>
    <n v="60"/>
    <s v="South Carolina"/>
    <x v="1"/>
    <x v="23"/>
    <x v="1"/>
    <n v="4.5"/>
    <x v="1"/>
    <s v="Store Pickup"/>
    <s v="No"/>
    <s v="No"/>
    <n v="15"/>
    <s v="Bank Transfer"/>
    <x v="4"/>
  </r>
  <r>
    <n v="3296"/>
    <x v="27"/>
    <s v="Female"/>
    <x v="0"/>
    <x v="0"/>
    <n v="34"/>
    <s v="West Virginia"/>
    <x v="1"/>
    <x v="12"/>
    <x v="2"/>
    <n v="2.8"/>
    <x v="1"/>
    <s v="Next Day Air"/>
    <s v="No"/>
    <s v="No"/>
    <n v="15"/>
    <s v="Cash"/>
    <x v="1"/>
  </r>
  <r>
    <n v="3297"/>
    <x v="30"/>
    <s v="Female"/>
    <x v="0"/>
    <x v="0"/>
    <n v="23"/>
    <s v="Alaska"/>
    <x v="2"/>
    <x v="14"/>
    <x v="1"/>
    <n v="4.2"/>
    <x v="1"/>
    <s v="Next Day Air"/>
    <s v="No"/>
    <s v="No"/>
    <n v="47"/>
    <s v="Venmo"/>
    <x v="3"/>
  </r>
  <r>
    <n v="3298"/>
    <x v="29"/>
    <s v="Female"/>
    <x v="22"/>
    <x v="3"/>
    <n v="82"/>
    <s v="West Virginia"/>
    <x v="2"/>
    <x v="10"/>
    <x v="3"/>
    <n v="4.0999999999999996"/>
    <x v="1"/>
    <s v="Free Shipping"/>
    <s v="No"/>
    <s v="No"/>
    <n v="47"/>
    <s v="PayPal"/>
    <x v="5"/>
  </r>
  <r>
    <n v="3299"/>
    <x v="13"/>
    <s v="Female"/>
    <x v="14"/>
    <x v="2"/>
    <n v="73"/>
    <s v="New Mexico"/>
    <x v="2"/>
    <x v="18"/>
    <x v="3"/>
    <n v="3.5"/>
    <x v="1"/>
    <s v="Express"/>
    <s v="No"/>
    <s v="No"/>
    <n v="6"/>
    <s v="Bank Transfer"/>
    <x v="6"/>
  </r>
  <r>
    <n v="3300"/>
    <x v="4"/>
    <s v="Female"/>
    <x v="6"/>
    <x v="0"/>
    <n v="32"/>
    <s v="South Dakota"/>
    <x v="0"/>
    <x v="11"/>
    <x v="1"/>
    <n v="4"/>
    <x v="1"/>
    <s v="2-Day Shipping"/>
    <s v="No"/>
    <s v="No"/>
    <n v="18"/>
    <s v="Venmo"/>
    <x v="5"/>
  </r>
  <r>
    <n v="3301"/>
    <x v="8"/>
    <s v="Female"/>
    <x v="19"/>
    <x v="3"/>
    <n v="80"/>
    <s v="Oklahoma"/>
    <x v="2"/>
    <x v="4"/>
    <x v="1"/>
    <n v="4"/>
    <x v="1"/>
    <s v="Express"/>
    <s v="No"/>
    <s v="No"/>
    <n v="40"/>
    <s v="Bank Transfer"/>
    <x v="4"/>
  </r>
  <r>
    <n v="3302"/>
    <x v="24"/>
    <s v="Female"/>
    <x v="13"/>
    <x v="0"/>
    <n v="58"/>
    <s v="Oklahoma"/>
    <x v="3"/>
    <x v="4"/>
    <x v="2"/>
    <n v="2.5"/>
    <x v="1"/>
    <s v="Free Shipping"/>
    <s v="No"/>
    <s v="No"/>
    <n v="31"/>
    <s v="Credit Card"/>
    <x v="0"/>
  </r>
  <r>
    <n v="3303"/>
    <x v="24"/>
    <s v="Female"/>
    <x v="0"/>
    <x v="0"/>
    <n v="82"/>
    <s v="Alabama"/>
    <x v="3"/>
    <x v="19"/>
    <x v="0"/>
    <n v="4.2"/>
    <x v="1"/>
    <s v="Standard"/>
    <s v="No"/>
    <s v="No"/>
    <n v="31"/>
    <s v="Venmo"/>
    <x v="4"/>
  </r>
  <r>
    <n v="3304"/>
    <x v="30"/>
    <s v="Female"/>
    <x v="22"/>
    <x v="3"/>
    <n v="60"/>
    <s v="Mississippi"/>
    <x v="1"/>
    <x v="2"/>
    <x v="2"/>
    <n v="3.4"/>
    <x v="1"/>
    <s v="Next Day Air"/>
    <s v="No"/>
    <s v="No"/>
    <n v="4"/>
    <s v="Credit Card"/>
    <x v="0"/>
  </r>
  <r>
    <n v="3305"/>
    <x v="11"/>
    <s v="Female"/>
    <x v="8"/>
    <x v="3"/>
    <n v="79"/>
    <s v="Mississippi"/>
    <x v="3"/>
    <x v="20"/>
    <x v="3"/>
    <n v="4.8"/>
    <x v="1"/>
    <s v="Next Day Air"/>
    <s v="No"/>
    <s v="No"/>
    <n v="36"/>
    <s v="Bank Transfer"/>
    <x v="6"/>
  </r>
  <r>
    <n v="3306"/>
    <x v="50"/>
    <s v="Female"/>
    <x v="15"/>
    <x v="0"/>
    <n v="41"/>
    <s v="Nebraska"/>
    <x v="0"/>
    <x v="17"/>
    <x v="2"/>
    <n v="4.9000000000000004"/>
    <x v="1"/>
    <s v="Standard"/>
    <s v="No"/>
    <s v="No"/>
    <n v="31"/>
    <s v="PayPal"/>
    <x v="4"/>
  </r>
  <r>
    <n v="3307"/>
    <x v="6"/>
    <s v="Female"/>
    <x v="14"/>
    <x v="2"/>
    <n v="39"/>
    <s v="Colorado"/>
    <x v="0"/>
    <x v="20"/>
    <x v="2"/>
    <n v="3.6"/>
    <x v="1"/>
    <s v="Store Pickup"/>
    <s v="No"/>
    <s v="No"/>
    <n v="6"/>
    <s v="Venmo"/>
    <x v="0"/>
  </r>
  <r>
    <n v="3308"/>
    <x v="20"/>
    <s v="Female"/>
    <x v="18"/>
    <x v="3"/>
    <n v="36"/>
    <s v="Pennsylvania"/>
    <x v="1"/>
    <x v="14"/>
    <x v="0"/>
    <n v="4"/>
    <x v="1"/>
    <s v="Store Pickup"/>
    <s v="No"/>
    <s v="No"/>
    <n v="1"/>
    <s v="Cash"/>
    <x v="5"/>
  </r>
  <r>
    <n v="3309"/>
    <x v="0"/>
    <s v="Female"/>
    <x v="2"/>
    <x v="0"/>
    <n v="70"/>
    <s v="Utah"/>
    <x v="2"/>
    <x v="6"/>
    <x v="3"/>
    <n v="2.6"/>
    <x v="1"/>
    <s v="Express"/>
    <s v="No"/>
    <s v="No"/>
    <n v="29"/>
    <s v="Cash"/>
    <x v="5"/>
  </r>
  <r>
    <n v="3310"/>
    <x v="39"/>
    <s v="Female"/>
    <x v="8"/>
    <x v="3"/>
    <n v="47"/>
    <s v="Massachusetts"/>
    <x v="2"/>
    <x v="24"/>
    <x v="2"/>
    <n v="3.1"/>
    <x v="1"/>
    <s v="Store Pickup"/>
    <s v="No"/>
    <s v="No"/>
    <n v="19"/>
    <s v="PayPal"/>
    <x v="5"/>
  </r>
  <r>
    <n v="3311"/>
    <x v="4"/>
    <s v="Female"/>
    <x v="14"/>
    <x v="2"/>
    <n v="27"/>
    <s v="Iowa"/>
    <x v="2"/>
    <x v="6"/>
    <x v="0"/>
    <n v="3.6"/>
    <x v="1"/>
    <s v="Free Shipping"/>
    <s v="No"/>
    <s v="No"/>
    <n v="12"/>
    <s v="PayPal"/>
    <x v="0"/>
  </r>
  <r>
    <n v="3312"/>
    <x v="26"/>
    <s v="Female"/>
    <x v="19"/>
    <x v="3"/>
    <n v="52"/>
    <s v="Florida"/>
    <x v="0"/>
    <x v="24"/>
    <x v="2"/>
    <n v="4"/>
    <x v="1"/>
    <s v="Express"/>
    <s v="No"/>
    <s v="No"/>
    <n v="18"/>
    <s v="Bank Transfer"/>
    <x v="2"/>
  </r>
  <r>
    <n v="3313"/>
    <x v="0"/>
    <s v="Female"/>
    <x v="4"/>
    <x v="1"/>
    <n v="75"/>
    <s v="Louisiana"/>
    <x v="0"/>
    <x v="13"/>
    <x v="2"/>
    <n v="3.9"/>
    <x v="1"/>
    <s v="Next Day Air"/>
    <s v="No"/>
    <s v="No"/>
    <n v="45"/>
    <s v="Cash"/>
    <x v="3"/>
  </r>
  <r>
    <n v="3314"/>
    <x v="0"/>
    <s v="Female"/>
    <x v="19"/>
    <x v="3"/>
    <n v="30"/>
    <s v="Kansas"/>
    <x v="3"/>
    <x v="13"/>
    <x v="3"/>
    <n v="3.9"/>
    <x v="1"/>
    <s v="Express"/>
    <s v="No"/>
    <s v="No"/>
    <n v="45"/>
    <s v="Credit Card"/>
    <x v="5"/>
  </r>
  <r>
    <n v="3315"/>
    <x v="0"/>
    <s v="Female"/>
    <x v="20"/>
    <x v="0"/>
    <n v="94"/>
    <s v="Kansas"/>
    <x v="2"/>
    <x v="10"/>
    <x v="1"/>
    <n v="3.3"/>
    <x v="1"/>
    <s v="Standard"/>
    <s v="No"/>
    <s v="No"/>
    <n v="8"/>
    <s v="Credit Card"/>
    <x v="3"/>
  </r>
  <r>
    <n v="3316"/>
    <x v="39"/>
    <s v="Female"/>
    <x v="18"/>
    <x v="3"/>
    <n v="68"/>
    <s v="Kentucky"/>
    <x v="1"/>
    <x v="9"/>
    <x v="2"/>
    <n v="2.9"/>
    <x v="1"/>
    <s v="Standard"/>
    <s v="No"/>
    <s v="No"/>
    <n v="4"/>
    <s v="PayPal"/>
    <x v="6"/>
  </r>
  <r>
    <n v="3317"/>
    <x v="32"/>
    <s v="Female"/>
    <x v="20"/>
    <x v="0"/>
    <n v="45"/>
    <s v="New Mexico"/>
    <x v="2"/>
    <x v="8"/>
    <x v="2"/>
    <n v="3.1"/>
    <x v="1"/>
    <s v="Free Shipping"/>
    <s v="No"/>
    <s v="No"/>
    <n v="5"/>
    <s v="Debit Card"/>
    <x v="0"/>
  </r>
  <r>
    <n v="3318"/>
    <x v="3"/>
    <s v="Female"/>
    <x v="19"/>
    <x v="3"/>
    <n v="67"/>
    <s v="North Carolina"/>
    <x v="3"/>
    <x v="6"/>
    <x v="2"/>
    <n v="4.7"/>
    <x v="1"/>
    <s v="Standard"/>
    <s v="No"/>
    <s v="No"/>
    <n v="30"/>
    <s v="Cash"/>
    <x v="3"/>
  </r>
  <r>
    <n v="3319"/>
    <x v="4"/>
    <s v="Female"/>
    <x v="14"/>
    <x v="2"/>
    <n v="46"/>
    <s v="North Dakota"/>
    <x v="2"/>
    <x v="8"/>
    <x v="2"/>
    <n v="3.9"/>
    <x v="1"/>
    <s v="Free Shipping"/>
    <s v="No"/>
    <s v="No"/>
    <n v="15"/>
    <s v="PayPal"/>
    <x v="5"/>
  </r>
  <r>
    <n v="3320"/>
    <x v="51"/>
    <s v="Female"/>
    <x v="6"/>
    <x v="0"/>
    <n v="31"/>
    <s v="North Dakota"/>
    <x v="2"/>
    <x v="21"/>
    <x v="2"/>
    <n v="4.3"/>
    <x v="1"/>
    <s v="Next Day Air"/>
    <s v="No"/>
    <s v="No"/>
    <n v="17"/>
    <s v="Credit Card"/>
    <x v="6"/>
  </r>
  <r>
    <n v="3321"/>
    <x v="17"/>
    <s v="Female"/>
    <x v="0"/>
    <x v="0"/>
    <n v="44"/>
    <s v="Illinois"/>
    <x v="3"/>
    <x v="5"/>
    <x v="3"/>
    <n v="4.2"/>
    <x v="1"/>
    <s v="2-Day Shipping"/>
    <s v="No"/>
    <s v="No"/>
    <n v="45"/>
    <s v="Cash"/>
    <x v="6"/>
  </r>
  <r>
    <n v="3322"/>
    <x v="45"/>
    <s v="Female"/>
    <x v="7"/>
    <x v="2"/>
    <n v="100"/>
    <s v="Maine"/>
    <x v="1"/>
    <x v="4"/>
    <x v="0"/>
    <n v="4.3"/>
    <x v="1"/>
    <s v="Next Day Air"/>
    <s v="No"/>
    <s v="No"/>
    <n v="3"/>
    <s v="Venmo"/>
    <x v="2"/>
  </r>
  <r>
    <n v="3323"/>
    <x v="16"/>
    <s v="Female"/>
    <x v="1"/>
    <x v="0"/>
    <n v="92"/>
    <s v="Indiana"/>
    <x v="3"/>
    <x v="20"/>
    <x v="0"/>
    <n v="4.5999999999999996"/>
    <x v="1"/>
    <s v="Next Day Air"/>
    <s v="No"/>
    <s v="No"/>
    <n v="43"/>
    <s v="PayPal"/>
    <x v="1"/>
  </r>
  <r>
    <n v="3324"/>
    <x v="22"/>
    <s v="Female"/>
    <x v="8"/>
    <x v="3"/>
    <n v="78"/>
    <s v="North Dakota"/>
    <x v="2"/>
    <x v="22"/>
    <x v="0"/>
    <n v="3.8"/>
    <x v="1"/>
    <s v="Free Shipping"/>
    <s v="No"/>
    <s v="No"/>
    <n v="4"/>
    <s v="Credit Card"/>
    <x v="5"/>
  </r>
  <r>
    <n v="3325"/>
    <x v="43"/>
    <s v="Female"/>
    <x v="17"/>
    <x v="0"/>
    <n v="32"/>
    <s v="Missouri"/>
    <x v="1"/>
    <x v="16"/>
    <x v="3"/>
    <n v="3.3"/>
    <x v="1"/>
    <s v="Standard"/>
    <s v="No"/>
    <s v="No"/>
    <n v="41"/>
    <s v="Venmo"/>
    <x v="1"/>
  </r>
  <r>
    <n v="3326"/>
    <x v="26"/>
    <s v="Female"/>
    <x v="3"/>
    <x v="1"/>
    <n v="97"/>
    <s v="Alaska"/>
    <x v="2"/>
    <x v="1"/>
    <x v="3"/>
    <n v="3.7"/>
    <x v="1"/>
    <s v="2-Day Shipping"/>
    <s v="No"/>
    <s v="No"/>
    <n v="16"/>
    <s v="Venmo"/>
    <x v="5"/>
  </r>
  <r>
    <n v="3327"/>
    <x v="36"/>
    <s v="Female"/>
    <x v="24"/>
    <x v="3"/>
    <n v="95"/>
    <s v="North Dakota"/>
    <x v="2"/>
    <x v="23"/>
    <x v="2"/>
    <n v="4.3"/>
    <x v="1"/>
    <s v="Standard"/>
    <s v="No"/>
    <s v="No"/>
    <n v="10"/>
    <s v="Debit Card"/>
    <x v="2"/>
  </r>
  <r>
    <n v="3328"/>
    <x v="36"/>
    <s v="Female"/>
    <x v="6"/>
    <x v="0"/>
    <n v="64"/>
    <s v="Connecticut"/>
    <x v="2"/>
    <x v="13"/>
    <x v="1"/>
    <n v="4.0999999999999996"/>
    <x v="1"/>
    <s v="Express"/>
    <s v="No"/>
    <s v="No"/>
    <n v="2"/>
    <s v="Debit Card"/>
    <x v="3"/>
  </r>
  <r>
    <n v="3329"/>
    <x v="32"/>
    <s v="Female"/>
    <x v="3"/>
    <x v="1"/>
    <n v="35"/>
    <s v="Wisconsin"/>
    <x v="2"/>
    <x v="10"/>
    <x v="1"/>
    <n v="3.2"/>
    <x v="1"/>
    <s v="Free Shipping"/>
    <s v="No"/>
    <s v="No"/>
    <n v="11"/>
    <s v="Cash"/>
    <x v="4"/>
  </r>
  <r>
    <n v="3330"/>
    <x v="50"/>
    <s v="Female"/>
    <x v="21"/>
    <x v="3"/>
    <n v="54"/>
    <s v="New Jersey"/>
    <x v="2"/>
    <x v="0"/>
    <x v="0"/>
    <n v="3.8"/>
    <x v="1"/>
    <s v="Express"/>
    <s v="No"/>
    <s v="No"/>
    <n v="1"/>
    <s v="Debit Card"/>
    <x v="4"/>
  </r>
  <r>
    <n v="3331"/>
    <x v="21"/>
    <s v="Female"/>
    <x v="4"/>
    <x v="1"/>
    <n v="96"/>
    <s v="Missouri"/>
    <x v="2"/>
    <x v="13"/>
    <x v="1"/>
    <n v="3.2"/>
    <x v="1"/>
    <s v="2-Day Shipping"/>
    <s v="No"/>
    <s v="No"/>
    <n v="41"/>
    <s v="Bank Transfer"/>
    <x v="3"/>
  </r>
  <r>
    <n v="3332"/>
    <x v="0"/>
    <s v="Female"/>
    <x v="12"/>
    <x v="3"/>
    <n v="58"/>
    <s v="California"/>
    <x v="2"/>
    <x v="6"/>
    <x v="2"/>
    <n v="3.5"/>
    <x v="1"/>
    <s v="Free Shipping"/>
    <s v="No"/>
    <s v="No"/>
    <n v="39"/>
    <s v="PayPal"/>
    <x v="3"/>
  </r>
  <r>
    <n v="3333"/>
    <x v="7"/>
    <s v="Female"/>
    <x v="17"/>
    <x v="0"/>
    <n v="23"/>
    <s v="Washington"/>
    <x v="2"/>
    <x v="5"/>
    <x v="2"/>
    <n v="3.1"/>
    <x v="1"/>
    <s v="2-Day Shipping"/>
    <s v="No"/>
    <s v="No"/>
    <n v="1"/>
    <s v="PayPal"/>
    <x v="4"/>
  </r>
  <r>
    <n v="3334"/>
    <x v="0"/>
    <s v="Female"/>
    <x v="2"/>
    <x v="0"/>
    <n v="35"/>
    <s v="Minnesota"/>
    <x v="2"/>
    <x v="10"/>
    <x v="1"/>
    <n v="4.2"/>
    <x v="1"/>
    <s v="Express"/>
    <s v="No"/>
    <s v="No"/>
    <n v="3"/>
    <s v="PayPal"/>
    <x v="5"/>
  </r>
  <r>
    <n v="3335"/>
    <x v="17"/>
    <s v="Female"/>
    <x v="5"/>
    <x v="0"/>
    <n v="23"/>
    <s v="California"/>
    <x v="2"/>
    <x v="19"/>
    <x v="2"/>
    <n v="3.4"/>
    <x v="1"/>
    <s v="Free Shipping"/>
    <s v="No"/>
    <s v="No"/>
    <n v="21"/>
    <s v="Credit Card"/>
    <x v="2"/>
  </r>
  <r>
    <n v="3336"/>
    <x v="42"/>
    <s v="Female"/>
    <x v="19"/>
    <x v="3"/>
    <n v="94"/>
    <s v="Texas"/>
    <x v="3"/>
    <x v="17"/>
    <x v="0"/>
    <n v="3.5"/>
    <x v="1"/>
    <s v="Express"/>
    <s v="No"/>
    <s v="No"/>
    <n v="48"/>
    <s v="Bank Transfer"/>
    <x v="3"/>
  </r>
  <r>
    <n v="3337"/>
    <x v="31"/>
    <s v="Female"/>
    <x v="0"/>
    <x v="0"/>
    <n v="45"/>
    <s v="Montana"/>
    <x v="2"/>
    <x v="18"/>
    <x v="3"/>
    <n v="4"/>
    <x v="1"/>
    <s v="Free Shipping"/>
    <s v="No"/>
    <s v="No"/>
    <n v="24"/>
    <s v="Debit Card"/>
    <x v="2"/>
  </r>
  <r>
    <n v="3338"/>
    <x v="51"/>
    <s v="Female"/>
    <x v="14"/>
    <x v="2"/>
    <n v="23"/>
    <s v="Arizona"/>
    <x v="0"/>
    <x v="24"/>
    <x v="0"/>
    <n v="4.4000000000000004"/>
    <x v="1"/>
    <s v="2-Day Shipping"/>
    <s v="No"/>
    <s v="No"/>
    <n v="45"/>
    <s v="Bank Transfer"/>
    <x v="4"/>
  </r>
  <r>
    <n v="3339"/>
    <x v="26"/>
    <s v="Female"/>
    <x v="11"/>
    <x v="0"/>
    <n v="94"/>
    <s v="Minnesota"/>
    <x v="0"/>
    <x v="3"/>
    <x v="0"/>
    <n v="2.9"/>
    <x v="1"/>
    <s v="2-Day Shipping"/>
    <s v="No"/>
    <s v="No"/>
    <n v="46"/>
    <s v="Credit Card"/>
    <x v="5"/>
  </r>
  <r>
    <n v="3340"/>
    <x v="30"/>
    <s v="Female"/>
    <x v="24"/>
    <x v="3"/>
    <n v="99"/>
    <s v="Nebraska"/>
    <x v="2"/>
    <x v="17"/>
    <x v="3"/>
    <n v="3.6"/>
    <x v="1"/>
    <s v="Store Pickup"/>
    <s v="No"/>
    <s v="No"/>
    <n v="35"/>
    <s v="Cash"/>
    <x v="0"/>
  </r>
  <r>
    <n v="3341"/>
    <x v="32"/>
    <s v="Female"/>
    <x v="17"/>
    <x v="0"/>
    <n v="36"/>
    <s v="Virginia"/>
    <x v="3"/>
    <x v="1"/>
    <x v="3"/>
    <n v="4.4000000000000004"/>
    <x v="1"/>
    <s v="Free Shipping"/>
    <s v="No"/>
    <s v="No"/>
    <n v="47"/>
    <s v="Credit Card"/>
    <x v="0"/>
  </r>
  <r>
    <n v="3342"/>
    <x v="0"/>
    <s v="Female"/>
    <x v="14"/>
    <x v="2"/>
    <n v="50"/>
    <s v="Connecticut"/>
    <x v="3"/>
    <x v="8"/>
    <x v="2"/>
    <n v="4.5"/>
    <x v="1"/>
    <s v="Standard"/>
    <s v="No"/>
    <s v="No"/>
    <n v="35"/>
    <s v="Credit Card"/>
    <x v="5"/>
  </r>
  <r>
    <n v="3343"/>
    <x v="17"/>
    <s v="Female"/>
    <x v="14"/>
    <x v="2"/>
    <n v="81"/>
    <s v="New Jersey"/>
    <x v="2"/>
    <x v="10"/>
    <x v="1"/>
    <n v="3.8"/>
    <x v="1"/>
    <s v="Free Shipping"/>
    <s v="No"/>
    <s v="No"/>
    <n v="45"/>
    <s v="Credit Card"/>
    <x v="1"/>
  </r>
  <r>
    <n v="3344"/>
    <x v="41"/>
    <s v="Female"/>
    <x v="6"/>
    <x v="0"/>
    <n v="31"/>
    <s v="Kentucky"/>
    <x v="3"/>
    <x v="14"/>
    <x v="0"/>
    <n v="3.6"/>
    <x v="1"/>
    <s v="2-Day Shipping"/>
    <s v="No"/>
    <s v="No"/>
    <n v="6"/>
    <s v="Cash"/>
    <x v="4"/>
  </r>
  <r>
    <n v="3345"/>
    <x v="46"/>
    <s v="Female"/>
    <x v="19"/>
    <x v="3"/>
    <n v="48"/>
    <s v="Washington"/>
    <x v="3"/>
    <x v="23"/>
    <x v="3"/>
    <n v="4.3"/>
    <x v="1"/>
    <s v="Free Shipping"/>
    <s v="No"/>
    <s v="No"/>
    <n v="20"/>
    <s v="Cash"/>
    <x v="2"/>
  </r>
  <r>
    <n v="3346"/>
    <x v="48"/>
    <s v="Female"/>
    <x v="8"/>
    <x v="3"/>
    <n v="91"/>
    <s v="Florida"/>
    <x v="2"/>
    <x v="2"/>
    <x v="2"/>
    <n v="4"/>
    <x v="1"/>
    <s v="2-Day Shipping"/>
    <s v="No"/>
    <s v="No"/>
    <n v="3"/>
    <s v="Venmo"/>
    <x v="4"/>
  </r>
  <r>
    <n v="3347"/>
    <x v="11"/>
    <s v="Female"/>
    <x v="2"/>
    <x v="0"/>
    <n v="99"/>
    <s v="Oklahoma"/>
    <x v="2"/>
    <x v="13"/>
    <x v="2"/>
    <n v="3.4"/>
    <x v="1"/>
    <s v="Express"/>
    <s v="No"/>
    <s v="No"/>
    <n v="30"/>
    <s v="Venmo"/>
    <x v="3"/>
  </r>
  <r>
    <n v="3348"/>
    <x v="40"/>
    <s v="Female"/>
    <x v="9"/>
    <x v="1"/>
    <n v="70"/>
    <s v="Iowa"/>
    <x v="3"/>
    <x v="17"/>
    <x v="2"/>
    <n v="4.4000000000000004"/>
    <x v="1"/>
    <s v="Standard"/>
    <s v="No"/>
    <s v="No"/>
    <n v="28"/>
    <s v="PayPal"/>
    <x v="4"/>
  </r>
  <r>
    <n v="3349"/>
    <x v="48"/>
    <s v="Female"/>
    <x v="17"/>
    <x v="0"/>
    <n v="74"/>
    <s v="New Hampshire"/>
    <x v="0"/>
    <x v="0"/>
    <x v="0"/>
    <n v="2.8"/>
    <x v="1"/>
    <s v="Standard"/>
    <s v="No"/>
    <s v="No"/>
    <n v="15"/>
    <s v="Cash"/>
    <x v="6"/>
  </r>
  <r>
    <n v="3350"/>
    <x v="25"/>
    <s v="Female"/>
    <x v="16"/>
    <x v="3"/>
    <n v="79"/>
    <s v="Georgia"/>
    <x v="2"/>
    <x v="16"/>
    <x v="3"/>
    <n v="2.8"/>
    <x v="1"/>
    <s v="Store Pickup"/>
    <s v="No"/>
    <s v="No"/>
    <n v="29"/>
    <s v="PayPal"/>
    <x v="3"/>
  </r>
  <r>
    <n v="3351"/>
    <x v="4"/>
    <s v="Female"/>
    <x v="8"/>
    <x v="3"/>
    <n v="33"/>
    <s v="Mississippi"/>
    <x v="1"/>
    <x v="8"/>
    <x v="3"/>
    <n v="4.9000000000000004"/>
    <x v="1"/>
    <s v="2-Day Shipping"/>
    <s v="No"/>
    <s v="No"/>
    <n v="15"/>
    <s v="Cash"/>
    <x v="4"/>
  </r>
  <r>
    <n v="3352"/>
    <x v="49"/>
    <s v="Female"/>
    <x v="5"/>
    <x v="0"/>
    <n v="49"/>
    <s v="New Hampshire"/>
    <x v="0"/>
    <x v="17"/>
    <x v="1"/>
    <n v="4.2"/>
    <x v="1"/>
    <s v="2-Day Shipping"/>
    <s v="No"/>
    <s v="No"/>
    <n v="18"/>
    <s v="Bank Transfer"/>
    <x v="0"/>
  </r>
  <r>
    <n v="3353"/>
    <x v="0"/>
    <s v="Female"/>
    <x v="22"/>
    <x v="3"/>
    <n v="96"/>
    <s v="Washington"/>
    <x v="2"/>
    <x v="11"/>
    <x v="2"/>
    <n v="2.9"/>
    <x v="1"/>
    <s v="Next Day Air"/>
    <s v="No"/>
    <s v="No"/>
    <n v="7"/>
    <s v="Bank Transfer"/>
    <x v="4"/>
  </r>
  <r>
    <n v="3354"/>
    <x v="18"/>
    <s v="Female"/>
    <x v="10"/>
    <x v="0"/>
    <n v="66"/>
    <s v="Ohio"/>
    <x v="0"/>
    <x v="11"/>
    <x v="3"/>
    <n v="4.5999999999999996"/>
    <x v="1"/>
    <s v="Free Shipping"/>
    <s v="No"/>
    <s v="No"/>
    <n v="19"/>
    <s v="Credit Card"/>
    <x v="6"/>
  </r>
  <r>
    <n v="3355"/>
    <x v="32"/>
    <s v="Female"/>
    <x v="11"/>
    <x v="0"/>
    <n v="45"/>
    <s v="Maryland"/>
    <x v="2"/>
    <x v="20"/>
    <x v="3"/>
    <n v="2.8"/>
    <x v="1"/>
    <s v="Next Day Air"/>
    <s v="No"/>
    <s v="No"/>
    <n v="15"/>
    <s v="PayPal"/>
    <x v="1"/>
  </r>
  <r>
    <n v="3356"/>
    <x v="37"/>
    <s v="Female"/>
    <x v="0"/>
    <x v="0"/>
    <n v="28"/>
    <s v="Delaware"/>
    <x v="2"/>
    <x v="15"/>
    <x v="1"/>
    <n v="2.6"/>
    <x v="1"/>
    <s v="Store Pickup"/>
    <s v="No"/>
    <s v="No"/>
    <n v="3"/>
    <s v="Bank Transfer"/>
    <x v="4"/>
  </r>
  <r>
    <n v="3357"/>
    <x v="31"/>
    <s v="Female"/>
    <x v="2"/>
    <x v="0"/>
    <n v="48"/>
    <s v="Tennessee"/>
    <x v="2"/>
    <x v="5"/>
    <x v="2"/>
    <n v="3.5"/>
    <x v="1"/>
    <s v="Store Pickup"/>
    <s v="No"/>
    <s v="No"/>
    <n v="13"/>
    <s v="PayPal"/>
    <x v="4"/>
  </r>
  <r>
    <n v="3358"/>
    <x v="38"/>
    <s v="Female"/>
    <x v="15"/>
    <x v="0"/>
    <n v="67"/>
    <s v="Arkansas"/>
    <x v="2"/>
    <x v="6"/>
    <x v="0"/>
    <n v="3.5"/>
    <x v="1"/>
    <s v="Free Shipping"/>
    <s v="No"/>
    <s v="No"/>
    <n v="37"/>
    <s v="Credit Card"/>
    <x v="5"/>
  </r>
  <r>
    <n v="3359"/>
    <x v="19"/>
    <s v="Female"/>
    <x v="17"/>
    <x v="0"/>
    <n v="59"/>
    <s v="Tennessee"/>
    <x v="2"/>
    <x v="23"/>
    <x v="3"/>
    <n v="3.4"/>
    <x v="1"/>
    <s v="2-Day Shipping"/>
    <s v="No"/>
    <s v="No"/>
    <n v="26"/>
    <s v="Cash"/>
    <x v="2"/>
  </r>
  <r>
    <n v="3360"/>
    <x v="49"/>
    <s v="Female"/>
    <x v="12"/>
    <x v="3"/>
    <n v="74"/>
    <s v="New Hampshire"/>
    <x v="0"/>
    <x v="16"/>
    <x v="3"/>
    <n v="3.9"/>
    <x v="1"/>
    <s v="Next Day Air"/>
    <s v="No"/>
    <s v="No"/>
    <n v="29"/>
    <s v="Debit Card"/>
    <x v="5"/>
  </r>
  <r>
    <n v="3361"/>
    <x v="40"/>
    <s v="Female"/>
    <x v="14"/>
    <x v="2"/>
    <n v="81"/>
    <s v="Minnesota"/>
    <x v="2"/>
    <x v="1"/>
    <x v="1"/>
    <n v="3.3"/>
    <x v="1"/>
    <s v="2-Day Shipping"/>
    <s v="No"/>
    <s v="No"/>
    <n v="47"/>
    <s v="Cash"/>
    <x v="6"/>
  </r>
  <r>
    <n v="3362"/>
    <x v="36"/>
    <s v="Female"/>
    <x v="9"/>
    <x v="1"/>
    <n v="26"/>
    <s v="Florida"/>
    <x v="2"/>
    <x v="5"/>
    <x v="1"/>
    <n v="4.0999999999999996"/>
    <x v="1"/>
    <s v="Free Shipping"/>
    <s v="No"/>
    <s v="No"/>
    <n v="47"/>
    <s v="Credit Card"/>
    <x v="4"/>
  </r>
  <r>
    <n v="3363"/>
    <x v="2"/>
    <s v="Female"/>
    <x v="8"/>
    <x v="3"/>
    <n v="61"/>
    <s v="Tennessee"/>
    <x v="2"/>
    <x v="0"/>
    <x v="2"/>
    <n v="3"/>
    <x v="1"/>
    <s v="Next Day Air"/>
    <s v="No"/>
    <s v="No"/>
    <n v="48"/>
    <s v="Venmo"/>
    <x v="0"/>
  </r>
  <r>
    <n v="3364"/>
    <x v="44"/>
    <s v="Female"/>
    <x v="1"/>
    <x v="0"/>
    <n v="23"/>
    <s v="California"/>
    <x v="2"/>
    <x v="2"/>
    <x v="0"/>
    <n v="3"/>
    <x v="1"/>
    <s v="Next Day Air"/>
    <s v="No"/>
    <s v="No"/>
    <n v="46"/>
    <s v="Bank Transfer"/>
    <x v="4"/>
  </r>
  <r>
    <n v="3365"/>
    <x v="2"/>
    <s v="Female"/>
    <x v="18"/>
    <x v="3"/>
    <n v="33"/>
    <s v="Oregon"/>
    <x v="2"/>
    <x v="15"/>
    <x v="3"/>
    <n v="3.2"/>
    <x v="1"/>
    <s v="Standard"/>
    <s v="No"/>
    <s v="No"/>
    <n v="7"/>
    <s v="Credit Card"/>
    <x v="5"/>
  </r>
  <r>
    <n v="3366"/>
    <x v="49"/>
    <s v="Female"/>
    <x v="11"/>
    <x v="0"/>
    <n v="58"/>
    <s v="Tennessee"/>
    <x v="0"/>
    <x v="11"/>
    <x v="3"/>
    <n v="3.9"/>
    <x v="1"/>
    <s v="Express"/>
    <s v="No"/>
    <s v="No"/>
    <n v="45"/>
    <s v="Credit Card"/>
    <x v="6"/>
  </r>
  <r>
    <n v="3367"/>
    <x v="21"/>
    <s v="Female"/>
    <x v="24"/>
    <x v="3"/>
    <n v="65"/>
    <s v="North Carolina"/>
    <x v="2"/>
    <x v="16"/>
    <x v="1"/>
    <n v="3.6"/>
    <x v="1"/>
    <s v="2-Day Shipping"/>
    <s v="No"/>
    <s v="No"/>
    <n v="47"/>
    <s v="Debit Card"/>
    <x v="3"/>
  </r>
  <r>
    <n v="3368"/>
    <x v="42"/>
    <s v="Female"/>
    <x v="17"/>
    <x v="0"/>
    <n v="48"/>
    <s v="Tennessee"/>
    <x v="2"/>
    <x v="24"/>
    <x v="2"/>
    <n v="3.1"/>
    <x v="1"/>
    <s v="Store Pickup"/>
    <s v="No"/>
    <s v="No"/>
    <n v="6"/>
    <s v="Venmo"/>
    <x v="0"/>
  </r>
  <r>
    <n v="3369"/>
    <x v="11"/>
    <s v="Female"/>
    <x v="3"/>
    <x v="1"/>
    <n v="25"/>
    <s v="Nebraska"/>
    <x v="2"/>
    <x v="24"/>
    <x v="1"/>
    <n v="4.8"/>
    <x v="1"/>
    <s v="Express"/>
    <s v="No"/>
    <s v="No"/>
    <n v="29"/>
    <s v="Bank Transfer"/>
    <x v="6"/>
  </r>
  <r>
    <n v="3370"/>
    <x v="36"/>
    <s v="Female"/>
    <x v="1"/>
    <x v="0"/>
    <n v="51"/>
    <s v="Maine"/>
    <x v="2"/>
    <x v="21"/>
    <x v="0"/>
    <n v="3.8"/>
    <x v="1"/>
    <s v="2-Day Shipping"/>
    <s v="No"/>
    <s v="No"/>
    <n v="42"/>
    <s v="Cash"/>
    <x v="5"/>
  </r>
  <r>
    <n v="3371"/>
    <x v="11"/>
    <s v="Female"/>
    <x v="22"/>
    <x v="3"/>
    <n v="31"/>
    <s v="Illinois"/>
    <x v="2"/>
    <x v="4"/>
    <x v="2"/>
    <n v="2.8"/>
    <x v="1"/>
    <s v="Store Pickup"/>
    <s v="No"/>
    <s v="No"/>
    <n v="46"/>
    <s v="Cash"/>
    <x v="0"/>
  </r>
  <r>
    <n v="3372"/>
    <x v="34"/>
    <s v="Female"/>
    <x v="15"/>
    <x v="0"/>
    <n v="99"/>
    <s v="Colorado"/>
    <x v="1"/>
    <x v="2"/>
    <x v="0"/>
    <n v="4"/>
    <x v="1"/>
    <s v="Next Day Air"/>
    <s v="No"/>
    <s v="No"/>
    <n v="28"/>
    <s v="PayPal"/>
    <x v="2"/>
  </r>
  <r>
    <n v="3373"/>
    <x v="19"/>
    <s v="Female"/>
    <x v="20"/>
    <x v="0"/>
    <n v="25"/>
    <s v="Pennsylvania"/>
    <x v="2"/>
    <x v="1"/>
    <x v="0"/>
    <n v="4.5999999999999996"/>
    <x v="1"/>
    <s v="Free Shipping"/>
    <s v="No"/>
    <s v="No"/>
    <n v="14"/>
    <s v="Credit Card"/>
    <x v="6"/>
  </r>
  <r>
    <n v="3374"/>
    <x v="27"/>
    <s v="Female"/>
    <x v="3"/>
    <x v="1"/>
    <n v="52"/>
    <s v="Minnesota"/>
    <x v="2"/>
    <x v="7"/>
    <x v="1"/>
    <n v="3.5"/>
    <x v="1"/>
    <s v="Store Pickup"/>
    <s v="No"/>
    <s v="No"/>
    <n v="12"/>
    <s v="Debit Card"/>
    <x v="6"/>
  </r>
  <r>
    <n v="3375"/>
    <x v="40"/>
    <s v="Female"/>
    <x v="0"/>
    <x v="0"/>
    <n v="47"/>
    <s v="Nevada"/>
    <x v="1"/>
    <x v="12"/>
    <x v="1"/>
    <n v="3.7"/>
    <x v="1"/>
    <s v="2-Day Shipping"/>
    <s v="No"/>
    <s v="No"/>
    <n v="41"/>
    <s v="Debit Card"/>
    <x v="2"/>
  </r>
  <r>
    <n v="3376"/>
    <x v="47"/>
    <s v="Female"/>
    <x v="23"/>
    <x v="1"/>
    <n v="98"/>
    <s v="Connecticut"/>
    <x v="3"/>
    <x v="22"/>
    <x v="3"/>
    <n v="4.9000000000000004"/>
    <x v="1"/>
    <s v="Express"/>
    <s v="No"/>
    <s v="No"/>
    <n v="8"/>
    <s v="Credit Card"/>
    <x v="2"/>
  </r>
  <r>
    <n v="3377"/>
    <x v="40"/>
    <s v="Female"/>
    <x v="19"/>
    <x v="3"/>
    <n v="46"/>
    <s v="Ohio"/>
    <x v="2"/>
    <x v="14"/>
    <x v="0"/>
    <n v="4.0999999999999996"/>
    <x v="1"/>
    <s v="Store Pickup"/>
    <s v="No"/>
    <s v="No"/>
    <n v="24"/>
    <s v="Cash"/>
    <x v="3"/>
  </r>
  <r>
    <n v="3378"/>
    <x v="43"/>
    <s v="Female"/>
    <x v="5"/>
    <x v="0"/>
    <n v="32"/>
    <s v="Kentucky"/>
    <x v="2"/>
    <x v="22"/>
    <x v="0"/>
    <n v="4.5999999999999996"/>
    <x v="1"/>
    <s v="Next Day Air"/>
    <s v="No"/>
    <s v="No"/>
    <n v="18"/>
    <s v="PayPal"/>
    <x v="0"/>
  </r>
  <r>
    <n v="3379"/>
    <x v="34"/>
    <s v="Female"/>
    <x v="6"/>
    <x v="0"/>
    <n v="75"/>
    <s v="Minnesota"/>
    <x v="0"/>
    <x v="9"/>
    <x v="3"/>
    <n v="4.5"/>
    <x v="1"/>
    <s v="Next Day Air"/>
    <s v="No"/>
    <s v="No"/>
    <n v="6"/>
    <s v="Cash"/>
    <x v="3"/>
  </r>
  <r>
    <n v="3380"/>
    <x v="12"/>
    <s v="Female"/>
    <x v="8"/>
    <x v="3"/>
    <n v="51"/>
    <s v="Tennessee"/>
    <x v="0"/>
    <x v="2"/>
    <x v="2"/>
    <n v="5"/>
    <x v="1"/>
    <s v="Store Pickup"/>
    <s v="No"/>
    <s v="No"/>
    <n v="40"/>
    <s v="Cash"/>
    <x v="1"/>
  </r>
  <r>
    <n v="3381"/>
    <x v="38"/>
    <s v="Female"/>
    <x v="10"/>
    <x v="0"/>
    <n v="52"/>
    <s v="North Dakota"/>
    <x v="0"/>
    <x v="24"/>
    <x v="2"/>
    <n v="3.8"/>
    <x v="1"/>
    <s v="Standard"/>
    <s v="No"/>
    <s v="No"/>
    <n v="6"/>
    <s v="PayPal"/>
    <x v="6"/>
  </r>
  <r>
    <n v="3382"/>
    <x v="9"/>
    <s v="Female"/>
    <x v="19"/>
    <x v="3"/>
    <n v="66"/>
    <s v="Minnesota"/>
    <x v="0"/>
    <x v="2"/>
    <x v="0"/>
    <n v="4.7"/>
    <x v="1"/>
    <s v="Standard"/>
    <s v="No"/>
    <s v="No"/>
    <n v="27"/>
    <s v="Credit Card"/>
    <x v="3"/>
  </r>
  <r>
    <n v="3383"/>
    <x v="50"/>
    <s v="Female"/>
    <x v="1"/>
    <x v="0"/>
    <n v="35"/>
    <s v="Nebraska"/>
    <x v="2"/>
    <x v="1"/>
    <x v="1"/>
    <n v="2.8"/>
    <x v="1"/>
    <s v="Express"/>
    <s v="No"/>
    <s v="No"/>
    <n v="2"/>
    <s v="Bank Transfer"/>
    <x v="1"/>
  </r>
  <r>
    <n v="3384"/>
    <x v="7"/>
    <s v="Female"/>
    <x v="7"/>
    <x v="2"/>
    <n v="43"/>
    <s v="Delaware"/>
    <x v="2"/>
    <x v="6"/>
    <x v="3"/>
    <n v="2.6"/>
    <x v="1"/>
    <s v="Next Day Air"/>
    <s v="No"/>
    <s v="No"/>
    <n v="39"/>
    <s v="Venmo"/>
    <x v="4"/>
  </r>
  <r>
    <n v="3385"/>
    <x v="31"/>
    <s v="Female"/>
    <x v="15"/>
    <x v="0"/>
    <n v="24"/>
    <s v="Minnesota"/>
    <x v="0"/>
    <x v="1"/>
    <x v="2"/>
    <n v="3.8"/>
    <x v="1"/>
    <s v="Free Shipping"/>
    <s v="No"/>
    <s v="No"/>
    <n v="9"/>
    <s v="Venmo"/>
    <x v="3"/>
  </r>
  <r>
    <n v="3386"/>
    <x v="46"/>
    <s v="Female"/>
    <x v="16"/>
    <x v="3"/>
    <n v="83"/>
    <s v="Rhode Island"/>
    <x v="2"/>
    <x v="8"/>
    <x v="0"/>
    <n v="2.8"/>
    <x v="1"/>
    <s v="Standard"/>
    <s v="No"/>
    <s v="No"/>
    <n v="16"/>
    <s v="Credit Card"/>
    <x v="6"/>
  </r>
  <r>
    <n v="3387"/>
    <x v="50"/>
    <s v="Female"/>
    <x v="17"/>
    <x v="0"/>
    <n v="62"/>
    <s v="Michigan"/>
    <x v="2"/>
    <x v="12"/>
    <x v="3"/>
    <n v="2.6"/>
    <x v="1"/>
    <s v="2-Day Shipping"/>
    <s v="No"/>
    <s v="No"/>
    <n v="36"/>
    <s v="Cash"/>
    <x v="3"/>
  </r>
  <r>
    <n v="3388"/>
    <x v="10"/>
    <s v="Female"/>
    <x v="13"/>
    <x v="0"/>
    <n v="78"/>
    <s v="New Jersey"/>
    <x v="1"/>
    <x v="6"/>
    <x v="1"/>
    <n v="3.4"/>
    <x v="1"/>
    <s v="2-Day Shipping"/>
    <s v="No"/>
    <s v="No"/>
    <n v="2"/>
    <s v="Credit Card"/>
    <x v="4"/>
  </r>
  <r>
    <n v="3389"/>
    <x v="25"/>
    <s v="Female"/>
    <x v="1"/>
    <x v="0"/>
    <n v="61"/>
    <s v="South Dakota"/>
    <x v="2"/>
    <x v="17"/>
    <x v="1"/>
    <n v="4.5"/>
    <x v="1"/>
    <s v="Store Pickup"/>
    <s v="No"/>
    <s v="No"/>
    <n v="21"/>
    <s v="Credit Card"/>
    <x v="1"/>
  </r>
  <r>
    <n v="3390"/>
    <x v="21"/>
    <s v="Female"/>
    <x v="13"/>
    <x v="0"/>
    <n v="57"/>
    <s v="North Carolina"/>
    <x v="0"/>
    <x v="1"/>
    <x v="3"/>
    <n v="3.8"/>
    <x v="1"/>
    <s v="Free Shipping"/>
    <s v="No"/>
    <s v="No"/>
    <n v="39"/>
    <s v="Venmo"/>
    <x v="2"/>
  </r>
  <r>
    <n v="3391"/>
    <x v="45"/>
    <s v="Female"/>
    <x v="20"/>
    <x v="0"/>
    <n v="70"/>
    <s v="Oregon"/>
    <x v="1"/>
    <x v="16"/>
    <x v="2"/>
    <n v="3"/>
    <x v="1"/>
    <s v="Next Day Air"/>
    <s v="No"/>
    <s v="No"/>
    <n v="38"/>
    <s v="PayPal"/>
    <x v="2"/>
  </r>
  <r>
    <n v="3392"/>
    <x v="36"/>
    <s v="Female"/>
    <x v="15"/>
    <x v="0"/>
    <n v="57"/>
    <s v="Montana"/>
    <x v="2"/>
    <x v="5"/>
    <x v="3"/>
    <n v="3.7"/>
    <x v="1"/>
    <s v="2-Day Shipping"/>
    <s v="No"/>
    <s v="No"/>
    <n v="6"/>
    <s v="Debit Card"/>
    <x v="6"/>
  </r>
  <r>
    <n v="3393"/>
    <x v="10"/>
    <s v="Female"/>
    <x v="18"/>
    <x v="3"/>
    <n v="74"/>
    <s v="New Jersey"/>
    <x v="3"/>
    <x v="24"/>
    <x v="0"/>
    <n v="4.4000000000000004"/>
    <x v="1"/>
    <s v="Free Shipping"/>
    <s v="No"/>
    <s v="No"/>
    <n v="6"/>
    <s v="Venmo"/>
    <x v="4"/>
  </r>
  <r>
    <n v="3394"/>
    <x v="52"/>
    <s v="Female"/>
    <x v="10"/>
    <x v="0"/>
    <n v="90"/>
    <s v="Arizona"/>
    <x v="2"/>
    <x v="9"/>
    <x v="3"/>
    <n v="3.1"/>
    <x v="1"/>
    <s v="Next Day Air"/>
    <s v="No"/>
    <s v="No"/>
    <n v="50"/>
    <s v="Debit Card"/>
    <x v="5"/>
  </r>
  <r>
    <n v="3395"/>
    <x v="18"/>
    <s v="Female"/>
    <x v="3"/>
    <x v="1"/>
    <n v="98"/>
    <s v="Vermont"/>
    <x v="1"/>
    <x v="22"/>
    <x v="1"/>
    <n v="4.2"/>
    <x v="1"/>
    <s v="Store Pickup"/>
    <s v="No"/>
    <s v="No"/>
    <n v="9"/>
    <s v="PayPal"/>
    <x v="2"/>
  </r>
  <r>
    <n v="3396"/>
    <x v="42"/>
    <s v="Female"/>
    <x v="10"/>
    <x v="0"/>
    <n v="43"/>
    <s v="Colorado"/>
    <x v="2"/>
    <x v="5"/>
    <x v="0"/>
    <n v="3.1"/>
    <x v="1"/>
    <s v="Free Shipping"/>
    <s v="No"/>
    <s v="No"/>
    <n v="15"/>
    <s v="Debit Card"/>
    <x v="6"/>
  </r>
  <r>
    <n v="3397"/>
    <x v="26"/>
    <s v="Female"/>
    <x v="13"/>
    <x v="0"/>
    <n v="37"/>
    <s v="Tennessee"/>
    <x v="3"/>
    <x v="13"/>
    <x v="0"/>
    <n v="5"/>
    <x v="1"/>
    <s v="Next Day Air"/>
    <s v="No"/>
    <s v="No"/>
    <n v="5"/>
    <s v="PayPal"/>
    <x v="3"/>
  </r>
  <r>
    <n v="3398"/>
    <x v="1"/>
    <s v="Female"/>
    <x v="0"/>
    <x v="0"/>
    <n v="38"/>
    <s v="New Jersey"/>
    <x v="0"/>
    <x v="22"/>
    <x v="2"/>
    <n v="2.7"/>
    <x v="1"/>
    <s v="Standard"/>
    <s v="No"/>
    <s v="No"/>
    <n v="13"/>
    <s v="Bank Transfer"/>
    <x v="4"/>
  </r>
  <r>
    <n v="3399"/>
    <x v="22"/>
    <s v="Female"/>
    <x v="2"/>
    <x v="0"/>
    <n v="60"/>
    <s v="Montana"/>
    <x v="0"/>
    <x v="6"/>
    <x v="0"/>
    <n v="3.8"/>
    <x v="1"/>
    <s v="Standard"/>
    <s v="No"/>
    <s v="No"/>
    <n v="44"/>
    <s v="Cash"/>
    <x v="0"/>
  </r>
  <r>
    <n v="3400"/>
    <x v="37"/>
    <s v="Female"/>
    <x v="13"/>
    <x v="0"/>
    <n v="55"/>
    <s v="Montana"/>
    <x v="3"/>
    <x v="22"/>
    <x v="0"/>
    <n v="3.3"/>
    <x v="1"/>
    <s v="Standard"/>
    <s v="No"/>
    <s v="No"/>
    <n v="36"/>
    <s v="Debit Card"/>
    <x v="2"/>
  </r>
  <r>
    <n v="3401"/>
    <x v="31"/>
    <s v="Female"/>
    <x v="12"/>
    <x v="3"/>
    <n v="51"/>
    <s v="Nevada"/>
    <x v="2"/>
    <x v="12"/>
    <x v="3"/>
    <n v="4.8"/>
    <x v="1"/>
    <s v="Free Shipping"/>
    <s v="No"/>
    <s v="No"/>
    <n v="18"/>
    <s v="Venmo"/>
    <x v="0"/>
  </r>
  <r>
    <n v="3402"/>
    <x v="42"/>
    <s v="Female"/>
    <x v="21"/>
    <x v="3"/>
    <n v="71"/>
    <s v="Nevada"/>
    <x v="0"/>
    <x v="15"/>
    <x v="0"/>
    <n v="3.4"/>
    <x v="1"/>
    <s v="Standard"/>
    <s v="No"/>
    <s v="No"/>
    <n v="39"/>
    <s v="Credit Card"/>
    <x v="1"/>
  </r>
  <r>
    <n v="3403"/>
    <x v="40"/>
    <s v="Female"/>
    <x v="15"/>
    <x v="0"/>
    <n v="61"/>
    <s v="Louisiana"/>
    <x v="2"/>
    <x v="13"/>
    <x v="1"/>
    <n v="4.4000000000000004"/>
    <x v="1"/>
    <s v="2-Day Shipping"/>
    <s v="No"/>
    <s v="No"/>
    <n v="11"/>
    <s v="PayPal"/>
    <x v="6"/>
  </r>
  <r>
    <n v="3404"/>
    <x v="11"/>
    <s v="Female"/>
    <x v="23"/>
    <x v="1"/>
    <n v="65"/>
    <s v="Illinois"/>
    <x v="2"/>
    <x v="8"/>
    <x v="2"/>
    <n v="3.9"/>
    <x v="1"/>
    <s v="Standard"/>
    <s v="No"/>
    <s v="No"/>
    <n v="1"/>
    <s v="Cash"/>
    <x v="4"/>
  </r>
  <r>
    <n v="3405"/>
    <x v="28"/>
    <s v="Female"/>
    <x v="24"/>
    <x v="3"/>
    <n v="34"/>
    <s v="South Carolina"/>
    <x v="0"/>
    <x v="8"/>
    <x v="3"/>
    <n v="3.9"/>
    <x v="1"/>
    <s v="2-Day Shipping"/>
    <s v="No"/>
    <s v="No"/>
    <n v="34"/>
    <s v="Credit Card"/>
    <x v="2"/>
  </r>
  <r>
    <n v="3406"/>
    <x v="48"/>
    <s v="Female"/>
    <x v="0"/>
    <x v="0"/>
    <n v="87"/>
    <s v="Washington"/>
    <x v="2"/>
    <x v="3"/>
    <x v="2"/>
    <n v="4.2"/>
    <x v="1"/>
    <s v="Store Pickup"/>
    <s v="No"/>
    <s v="No"/>
    <n v="47"/>
    <s v="Bank Transfer"/>
    <x v="4"/>
  </r>
  <r>
    <n v="3407"/>
    <x v="9"/>
    <s v="Female"/>
    <x v="1"/>
    <x v="0"/>
    <n v="79"/>
    <s v="Nebraska"/>
    <x v="2"/>
    <x v="16"/>
    <x v="1"/>
    <n v="4"/>
    <x v="1"/>
    <s v="Store Pickup"/>
    <s v="No"/>
    <s v="No"/>
    <n v="24"/>
    <s v="Venmo"/>
    <x v="3"/>
  </r>
  <r>
    <n v="3408"/>
    <x v="5"/>
    <s v="Female"/>
    <x v="10"/>
    <x v="0"/>
    <n v="46"/>
    <s v="Alabama"/>
    <x v="1"/>
    <x v="7"/>
    <x v="1"/>
    <n v="2.6"/>
    <x v="1"/>
    <s v="Store Pickup"/>
    <s v="No"/>
    <s v="No"/>
    <n v="20"/>
    <s v="Cash"/>
    <x v="3"/>
  </r>
  <r>
    <n v="3409"/>
    <x v="39"/>
    <s v="Female"/>
    <x v="20"/>
    <x v="0"/>
    <n v="72"/>
    <s v="Montana"/>
    <x v="0"/>
    <x v="7"/>
    <x v="2"/>
    <n v="4.4000000000000004"/>
    <x v="1"/>
    <s v="Standard"/>
    <s v="No"/>
    <s v="No"/>
    <n v="11"/>
    <s v="Bank Transfer"/>
    <x v="2"/>
  </r>
  <r>
    <n v="3410"/>
    <x v="41"/>
    <s v="Female"/>
    <x v="5"/>
    <x v="0"/>
    <n v="93"/>
    <s v="Minnesota"/>
    <x v="2"/>
    <x v="11"/>
    <x v="2"/>
    <n v="3.2"/>
    <x v="1"/>
    <s v="Next Day Air"/>
    <s v="No"/>
    <s v="No"/>
    <n v="3"/>
    <s v="Credit Card"/>
    <x v="6"/>
  </r>
  <r>
    <n v="3411"/>
    <x v="2"/>
    <s v="Female"/>
    <x v="3"/>
    <x v="1"/>
    <n v="76"/>
    <s v="Ohio"/>
    <x v="0"/>
    <x v="11"/>
    <x v="2"/>
    <n v="4.3"/>
    <x v="1"/>
    <s v="Free Shipping"/>
    <s v="No"/>
    <s v="No"/>
    <n v="38"/>
    <s v="Bank Transfer"/>
    <x v="4"/>
  </r>
  <r>
    <n v="3412"/>
    <x v="26"/>
    <s v="Female"/>
    <x v="9"/>
    <x v="1"/>
    <n v="56"/>
    <s v="New York"/>
    <x v="0"/>
    <x v="0"/>
    <x v="0"/>
    <n v="4.9000000000000004"/>
    <x v="1"/>
    <s v="2-Day Shipping"/>
    <s v="No"/>
    <s v="No"/>
    <n v="45"/>
    <s v="Cash"/>
    <x v="1"/>
  </r>
  <r>
    <n v="3413"/>
    <x v="12"/>
    <s v="Female"/>
    <x v="3"/>
    <x v="1"/>
    <n v="83"/>
    <s v="Indiana"/>
    <x v="2"/>
    <x v="23"/>
    <x v="3"/>
    <n v="3.8"/>
    <x v="1"/>
    <s v="Store Pickup"/>
    <s v="No"/>
    <s v="No"/>
    <n v="31"/>
    <s v="Venmo"/>
    <x v="3"/>
  </r>
  <r>
    <n v="3414"/>
    <x v="50"/>
    <s v="Female"/>
    <x v="24"/>
    <x v="3"/>
    <n v="90"/>
    <s v="Delaware"/>
    <x v="3"/>
    <x v="13"/>
    <x v="0"/>
    <n v="2.5"/>
    <x v="1"/>
    <s v="Express"/>
    <s v="No"/>
    <s v="No"/>
    <n v="16"/>
    <s v="PayPal"/>
    <x v="4"/>
  </r>
  <r>
    <n v="3415"/>
    <x v="7"/>
    <s v="Female"/>
    <x v="23"/>
    <x v="1"/>
    <n v="94"/>
    <s v="Connecticut"/>
    <x v="2"/>
    <x v="1"/>
    <x v="1"/>
    <n v="4.9000000000000004"/>
    <x v="1"/>
    <s v="Next Day Air"/>
    <s v="No"/>
    <s v="No"/>
    <n v="3"/>
    <s v="Bank Transfer"/>
    <x v="3"/>
  </r>
  <r>
    <n v="3416"/>
    <x v="21"/>
    <s v="Female"/>
    <x v="0"/>
    <x v="0"/>
    <n v="68"/>
    <s v="New York"/>
    <x v="2"/>
    <x v="9"/>
    <x v="3"/>
    <n v="3"/>
    <x v="1"/>
    <s v="2-Day Shipping"/>
    <s v="No"/>
    <s v="No"/>
    <n v="15"/>
    <s v="Bank Transfer"/>
    <x v="2"/>
  </r>
  <r>
    <n v="3417"/>
    <x v="15"/>
    <s v="Female"/>
    <x v="3"/>
    <x v="1"/>
    <n v="53"/>
    <s v="Alabama"/>
    <x v="2"/>
    <x v="7"/>
    <x v="1"/>
    <n v="3.2"/>
    <x v="1"/>
    <s v="Store Pickup"/>
    <s v="No"/>
    <s v="No"/>
    <n v="11"/>
    <s v="Bank Transfer"/>
    <x v="6"/>
  </r>
  <r>
    <n v="3418"/>
    <x v="22"/>
    <s v="Female"/>
    <x v="7"/>
    <x v="2"/>
    <n v="35"/>
    <s v="Massachusetts"/>
    <x v="2"/>
    <x v="24"/>
    <x v="2"/>
    <n v="2.9"/>
    <x v="1"/>
    <s v="2-Day Shipping"/>
    <s v="No"/>
    <s v="No"/>
    <n v="22"/>
    <s v="Debit Card"/>
    <x v="0"/>
  </r>
  <r>
    <n v="3419"/>
    <x v="10"/>
    <s v="Female"/>
    <x v="14"/>
    <x v="2"/>
    <n v="30"/>
    <s v="South Carolina"/>
    <x v="2"/>
    <x v="19"/>
    <x v="2"/>
    <n v="2.8"/>
    <x v="1"/>
    <s v="Free Shipping"/>
    <s v="No"/>
    <s v="No"/>
    <n v="35"/>
    <s v="Debit Card"/>
    <x v="2"/>
  </r>
  <r>
    <n v="3420"/>
    <x v="51"/>
    <s v="Female"/>
    <x v="16"/>
    <x v="3"/>
    <n v="26"/>
    <s v="West Virginia"/>
    <x v="0"/>
    <x v="21"/>
    <x v="0"/>
    <n v="3.1"/>
    <x v="1"/>
    <s v="Store Pickup"/>
    <s v="No"/>
    <s v="No"/>
    <n v="5"/>
    <s v="Venmo"/>
    <x v="4"/>
  </r>
  <r>
    <n v="3421"/>
    <x v="1"/>
    <s v="Female"/>
    <x v="19"/>
    <x v="3"/>
    <n v="60"/>
    <s v="Kentucky"/>
    <x v="2"/>
    <x v="7"/>
    <x v="0"/>
    <n v="3.4"/>
    <x v="1"/>
    <s v="Express"/>
    <s v="No"/>
    <s v="No"/>
    <n v="35"/>
    <s v="PayPal"/>
    <x v="4"/>
  </r>
  <r>
    <n v="3422"/>
    <x v="9"/>
    <s v="Female"/>
    <x v="9"/>
    <x v="1"/>
    <n v="30"/>
    <s v="New Jersey"/>
    <x v="2"/>
    <x v="1"/>
    <x v="2"/>
    <n v="2.9"/>
    <x v="1"/>
    <s v="Free Shipping"/>
    <s v="No"/>
    <s v="No"/>
    <n v="27"/>
    <s v="PayPal"/>
    <x v="1"/>
  </r>
  <r>
    <n v="3423"/>
    <x v="1"/>
    <s v="Female"/>
    <x v="7"/>
    <x v="2"/>
    <n v="91"/>
    <s v="New York"/>
    <x v="0"/>
    <x v="19"/>
    <x v="0"/>
    <n v="3.2"/>
    <x v="1"/>
    <s v="Next Day Air"/>
    <s v="No"/>
    <s v="No"/>
    <n v="9"/>
    <s v="Venmo"/>
    <x v="5"/>
  </r>
  <r>
    <n v="3424"/>
    <x v="23"/>
    <s v="Female"/>
    <x v="23"/>
    <x v="1"/>
    <n v="71"/>
    <s v="Massachusetts"/>
    <x v="2"/>
    <x v="18"/>
    <x v="1"/>
    <n v="3.8"/>
    <x v="1"/>
    <s v="Next Day Air"/>
    <s v="No"/>
    <s v="No"/>
    <n v="21"/>
    <s v="PayPal"/>
    <x v="4"/>
  </r>
  <r>
    <n v="3425"/>
    <x v="23"/>
    <s v="Female"/>
    <x v="18"/>
    <x v="3"/>
    <n v="64"/>
    <s v="Florida"/>
    <x v="0"/>
    <x v="14"/>
    <x v="2"/>
    <n v="3.6"/>
    <x v="1"/>
    <s v="2-Day Shipping"/>
    <s v="No"/>
    <s v="No"/>
    <n v="23"/>
    <s v="Credit Card"/>
    <x v="5"/>
  </r>
  <r>
    <n v="3426"/>
    <x v="21"/>
    <s v="Female"/>
    <x v="19"/>
    <x v="3"/>
    <n v="54"/>
    <s v="Michigan"/>
    <x v="2"/>
    <x v="24"/>
    <x v="2"/>
    <n v="4.3"/>
    <x v="1"/>
    <s v="Next Day Air"/>
    <s v="No"/>
    <s v="No"/>
    <n v="3"/>
    <s v="Debit Card"/>
    <x v="4"/>
  </r>
  <r>
    <n v="3427"/>
    <x v="36"/>
    <s v="Female"/>
    <x v="20"/>
    <x v="0"/>
    <n v="35"/>
    <s v="Oregon"/>
    <x v="3"/>
    <x v="23"/>
    <x v="3"/>
    <n v="4.8"/>
    <x v="1"/>
    <s v="2-Day Shipping"/>
    <s v="No"/>
    <s v="No"/>
    <n v="31"/>
    <s v="Credit Card"/>
    <x v="2"/>
  </r>
  <r>
    <n v="3428"/>
    <x v="31"/>
    <s v="Female"/>
    <x v="17"/>
    <x v="0"/>
    <n v="38"/>
    <s v="Michigan"/>
    <x v="3"/>
    <x v="2"/>
    <x v="0"/>
    <n v="2.5"/>
    <x v="1"/>
    <s v="Store Pickup"/>
    <s v="No"/>
    <s v="No"/>
    <n v="44"/>
    <s v="Cash"/>
    <x v="2"/>
  </r>
  <r>
    <n v="3429"/>
    <x v="45"/>
    <s v="Female"/>
    <x v="16"/>
    <x v="3"/>
    <n v="69"/>
    <s v="Washington"/>
    <x v="2"/>
    <x v="0"/>
    <x v="3"/>
    <n v="2.5"/>
    <x v="1"/>
    <s v="Next Day Air"/>
    <s v="No"/>
    <s v="No"/>
    <n v="20"/>
    <s v="Venmo"/>
    <x v="5"/>
  </r>
  <r>
    <n v="3430"/>
    <x v="7"/>
    <s v="Female"/>
    <x v="11"/>
    <x v="0"/>
    <n v="96"/>
    <s v="Alaska"/>
    <x v="1"/>
    <x v="7"/>
    <x v="0"/>
    <n v="4.5999999999999996"/>
    <x v="1"/>
    <s v="Express"/>
    <s v="No"/>
    <s v="No"/>
    <n v="34"/>
    <s v="Debit Card"/>
    <x v="1"/>
  </r>
  <r>
    <n v="3431"/>
    <x v="29"/>
    <s v="Female"/>
    <x v="20"/>
    <x v="0"/>
    <n v="73"/>
    <s v="Montana"/>
    <x v="2"/>
    <x v="12"/>
    <x v="0"/>
    <n v="4.2"/>
    <x v="1"/>
    <s v="Next Day Air"/>
    <s v="No"/>
    <s v="No"/>
    <n v="17"/>
    <s v="Bank Transfer"/>
    <x v="6"/>
  </r>
  <r>
    <n v="3432"/>
    <x v="5"/>
    <s v="Female"/>
    <x v="22"/>
    <x v="3"/>
    <n v="49"/>
    <s v="New Mexico"/>
    <x v="1"/>
    <x v="14"/>
    <x v="2"/>
    <n v="4.2"/>
    <x v="1"/>
    <s v="Express"/>
    <s v="No"/>
    <s v="No"/>
    <n v="20"/>
    <s v="Venmo"/>
    <x v="2"/>
  </r>
  <r>
    <n v="3433"/>
    <x v="24"/>
    <s v="Female"/>
    <x v="23"/>
    <x v="1"/>
    <n v="44"/>
    <s v="Connecticut"/>
    <x v="2"/>
    <x v="0"/>
    <x v="2"/>
    <n v="4.8"/>
    <x v="1"/>
    <s v="2-Day Shipping"/>
    <s v="No"/>
    <s v="No"/>
    <n v="46"/>
    <s v="PayPal"/>
    <x v="6"/>
  </r>
  <r>
    <n v="3434"/>
    <x v="46"/>
    <s v="Female"/>
    <x v="20"/>
    <x v="0"/>
    <n v="93"/>
    <s v="Alaska"/>
    <x v="2"/>
    <x v="22"/>
    <x v="1"/>
    <n v="4.5"/>
    <x v="1"/>
    <s v="Free Shipping"/>
    <s v="No"/>
    <s v="No"/>
    <n v="28"/>
    <s v="PayPal"/>
    <x v="2"/>
  </r>
  <r>
    <n v="3435"/>
    <x v="18"/>
    <s v="Female"/>
    <x v="13"/>
    <x v="0"/>
    <n v="72"/>
    <s v="Ohio"/>
    <x v="1"/>
    <x v="20"/>
    <x v="2"/>
    <n v="3.3"/>
    <x v="1"/>
    <s v="2-Day Shipping"/>
    <s v="No"/>
    <s v="No"/>
    <n v="6"/>
    <s v="Venmo"/>
    <x v="0"/>
  </r>
  <r>
    <n v="3436"/>
    <x v="33"/>
    <s v="Female"/>
    <x v="20"/>
    <x v="0"/>
    <n v="91"/>
    <s v="Montana"/>
    <x v="2"/>
    <x v="19"/>
    <x v="2"/>
    <n v="2.7"/>
    <x v="1"/>
    <s v="2-Day Shipping"/>
    <s v="No"/>
    <s v="No"/>
    <n v="50"/>
    <s v="Debit Card"/>
    <x v="4"/>
  </r>
  <r>
    <n v="3437"/>
    <x v="9"/>
    <s v="Female"/>
    <x v="22"/>
    <x v="3"/>
    <n v="83"/>
    <s v="Nebraska"/>
    <x v="0"/>
    <x v="15"/>
    <x v="0"/>
    <n v="2.8"/>
    <x v="1"/>
    <s v="2-Day Shipping"/>
    <s v="No"/>
    <s v="No"/>
    <n v="41"/>
    <s v="Bank Transfer"/>
    <x v="5"/>
  </r>
  <r>
    <n v="3438"/>
    <x v="40"/>
    <s v="Female"/>
    <x v="14"/>
    <x v="2"/>
    <n v="62"/>
    <s v="Oklahoma"/>
    <x v="1"/>
    <x v="14"/>
    <x v="0"/>
    <n v="3.5"/>
    <x v="1"/>
    <s v="2-Day Shipping"/>
    <s v="No"/>
    <s v="No"/>
    <n v="50"/>
    <s v="PayPal"/>
    <x v="2"/>
  </r>
  <r>
    <n v="3439"/>
    <x v="8"/>
    <s v="Female"/>
    <x v="5"/>
    <x v="0"/>
    <n v="71"/>
    <s v="Kentucky"/>
    <x v="2"/>
    <x v="10"/>
    <x v="3"/>
    <n v="3"/>
    <x v="1"/>
    <s v="Store Pickup"/>
    <s v="No"/>
    <s v="No"/>
    <n v="33"/>
    <s v="Credit Card"/>
    <x v="5"/>
  </r>
  <r>
    <n v="3440"/>
    <x v="49"/>
    <s v="Female"/>
    <x v="24"/>
    <x v="3"/>
    <n v="93"/>
    <s v="Idaho"/>
    <x v="2"/>
    <x v="0"/>
    <x v="2"/>
    <n v="4.5"/>
    <x v="1"/>
    <s v="Express"/>
    <s v="No"/>
    <s v="No"/>
    <n v="25"/>
    <s v="Venmo"/>
    <x v="3"/>
  </r>
  <r>
    <n v="3441"/>
    <x v="4"/>
    <s v="Female"/>
    <x v="8"/>
    <x v="3"/>
    <n v="63"/>
    <s v="Maryland"/>
    <x v="0"/>
    <x v="23"/>
    <x v="3"/>
    <n v="4.3"/>
    <x v="1"/>
    <s v="2-Day Shipping"/>
    <s v="No"/>
    <s v="No"/>
    <n v="2"/>
    <s v="PayPal"/>
    <x v="1"/>
  </r>
  <r>
    <n v="3442"/>
    <x v="14"/>
    <s v="Female"/>
    <x v="1"/>
    <x v="0"/>
    <n v="96"/>
    <s v="Tennessee"/>
    <x v="3"/>
    <x v="4"/>
    <x v="3"/>
    <n v="4.0999999999999996"/>
    <x v="1"/>
    <s v="Standard"/>
    <s v="No"/>
    <s v="No"/>
    <n v="15"/>
    <s v="Credit Card"/>
    <x v="2"/>
  </r>
  <r>
    <n v="3443"/>
    <x v="48"/>
    <s v="Female"/>
    <x v="11"/>
    <x v="0"/>
    <n v="78"/>
    <s v="Michigan"/>
    <x v="2"/>
    <x v="10"/>
    <x v="1"/>
    <n v="4.3"/>
    <x v="1"/>
    <s v="Next Day Air"/>
    <s v="No"/>
    <s v="No"/>
    <n v="12"/>
    <s v="PayPal"/>
    <x v="1"/>
  </r>
  <r>
    <n v="3444"/>
    <x v="36"/>
    <s v="Female"/>
    <x v="10"/>
    <x v="0"/>
    <n v="24"/>
    <s v="Tennessee"/>
    <x v="0"/>
    <x v="5"/>
    <x v="2"/>
    <n v="5"/>
    <x v="1"/>
    <s v="Free Shipping"/>
    <s v="No"/>
    <s v="No"/>
    <n v="28"/>
    <s v="Cash"/>
    <x v="4"/>
  </r>
  <r>
    <n v="3445"/>
    <x v="10"/>
    <s v="Female"/>
    <x v="13"/>
    <x v="0"/>
    <n v="63"/>
    <s v="Rhode Island"/>
    <x v="1"/>
    <x v="14"/>
    <x v="2"/>
    <n v="3.8"/>
    <x v="1"/>
    <s v="2-Day Shipping"/>
    <s v="No"/>
    <s v="No"/>
    <n v="12"/>
    <s v="Bank Transfer"/>
    <x v="4"/>
  </r>
  <r>
    <n v="3446"/>
    <x v="32"/>
    <s v="Female"/>
    <x v="19"/>
    <x v="3"/>
    <n v="58"/>
    <s v="Florida"/>
    <x v="2"/>
    <x v="23"/>
    <x v="3"/>
    <n v="4.9000000000000004"/>
    <x v="1"/>
    <s v="Standard"/>
    <s v="No"/>
    <s v="No"/>
    <n v="3"/>
    <s v="Debit Card"/>
    <x v="2"/>
  </r>
  <r>
    <n v="3447"/>
    <x v="47"/>
    <s v="Female"/>
    <x v="23"/>
    <x v="1"/>
    <n v="55"/>
    <s v="Louisiana"/>
    <x v="1"/>
    <x v="7"/>
    <x v="1"/>
    <n v="5"/>
    <x v="1"/>
    <s v="2-Day Shipping"/>
    <s v="No"/>
    <s v="No"/>
    <n v="20"/>
    <s v="Cash"/>
    <x v="1"/>
  </r>
  <r>
    <n v="3448"/>
    <x v="46"/>
    <s v="Female"/>
    <x v="3"/>
    <x v="1"/>
    <n v="58"/>
    <s v="Arkansas"/>
    <x v="2"/>
    <x v="24"/>
    <x v="3"/>
    <n v="4.3"/>
    <x v="1"/>
    <s v="Express"/>
    <s v="No"/>
    <s v="No"/>
    <n v="3"/>
    <s v="Bank Transfer"/>
    <x v="4"/>
  </r>
  <r>
    <n v="3449"/>
    <x v="20"/>
    <s v="Female"/>
    <x v="7"/>
    <x v="2"/>
    <n v="28"/>
    <s v="Kentucky"/>
    <x v="1"/>
    <x v="22"/>
    <x v="0"/>
    <n v="4.0999999999999996"/>
    <x v="1"/>
    <s v="Express"/>
    <s v="No"/>
    <s v="No"/>
    <n v="32"/>
    <s v="Bank Transfer"/>
    <x v="0"/>
  </r>
  <r>
    <n v="3450"/>
    <x v="39"/>
    <s v="Female"/>
    <x v="0"/>
    <x v="0"/>
    <n v="37"/>
    <s v="Kansas"/>
    <x v="2"/>
    <x v="18"/>
    <x v="1"/>
    <n v="4.5"/>
    <x v="1"/>
    <s v="Standard"/>
    <s v="No"/>
    <s v="No"/>
    <n v="35"/>
    <s v="Cash"/>
    <x v="5"/>
  </r>
  <r>
    <n v="3451"/>
    <x v="30"/>
    <s v="Female"/>
    <x v="6"/>
    <x v="0"/>
    <n v="78"/>
    <s v="Vermont"/>
    <x v="2"/>
    <x v="6"/>
    <x v="1"/>
    <n v="3.6"/>
    <x v="1"/>
    <s v="Store Pickup"/>
    <s v="No"/>
    <s v="No"/>
    <n v="31"/>
    <s v="PayPal"/>
    <x v="5"/>
  </r>
  <r>
    <n v="3452"/>
    <x v="45"/>
    <s v="Female"/>
    <x v="0"/>
    <x v="0"/>
    <n v="73"/>
    <s v="Nevada"/>
    <x v="3"/>
    <x v="5"/>
    <x v="3"/>
    <n v="3"/>
    <x v="1"/>
    <s v="Free Shipping"/>
    <s v="No"/>
    <s v="No"/>
    <n v="13"/>
    <s v="Credit Card"/>
    <x v="2"/>
  </r>
  <r>
    <n v="3453"/>
    <x v="8"/>
    <s v="Female"/>
    <x v="14"/>
    <x v="2"/>
    <n v="20"/>
    <s v="Oklahoma"/>
    <x v="2"/>
    <x v="21"/>
    <x v="1"/>
    <n v="3.7"/>
    <x v="1"/>
    <s v="Next Day Air"/>
    <s v="No"/>
    <s v="No"/>
    <n v="3"/>
    <s v="Venmo"/>
    <x v="0"/>
  </r>
  <r>
    <n v="3454"/>
    <x v="18"/>
    <s v="Female"/>
    <x v="5"/>
    <x v="0"/>
    <n v="60"/>
    <s v="Alabama"/>
    <x v="0"/>
    <x v="6"/>
    <x v="0"/>
    <n v="4.3"/>
    <x v="1"/>
    <s v="Standard"/>
    <s v="No"/>
    <s v="No"/>
    <n v="48"/>
    <s v="Venmo"/>
    <x v="4"/>
  </r>
  <r>
    <n v="3455"/>
    <x v="0"/>
    <s v="Female"/>
    <x v="8"/>
    <x v="3"/>
    <n v="71"/>
    <s v="Louisiana"/>
    <x v="1"/>
    <x v="12"/>
    <x v="3"/>
    <n v="4.5999999999999996"/>
    <x v="1"/>
    <s v="Store Pickup"/>
    <s v="No"/>
    <s v="No"/>
    <n v="15"/>
    <s v="PayPal"/>
    <x v="4"/>
  </r>
  <r>
    <n v="3456"/>
    <x v="34"/>
    <s v="Female"/>
    <x v="17"/>
    <x v="0"/>
    <n v="89"/>
    <s v="Ohio"/>
    <x v="2"/>
    <x v="20"/>
    <x v="3"/>
    <n v="4.7"/>
    <x v="1"/>
    <s v="Standard"/>
    <s v="No"/>
    <s v="No"/>
    <n v="13"/>
    <s v="Venmo"/>
    <x v="2"/>
  </r>
  <r>
    <n v="3457"/>
    <x v="32"/>
    <s v="Female"/>
    <x v="15"/>
    <x v="0"/>
    <n v="53"/>
    <s v="Texas"/>
    <x v="2"/>
    <x v="16"/>
    <x v="3"/>
    <n v="4.5999999999999996"/>
    <x v="1"/>
    <s v="Express"/>
    <s v="No"/>
    <s v="No"/>
    <n v="21"/>
    <s v="Venmo"/>
    <x v="5"/>
  </r>
  <r>
    <n v="3458"/>
    <x v="14"/>
    <s v="Female"/>
    <x v="16"/>
    <x v="3"/>
    <n v="87"/>
    <s v="Maryland"/>
    <x v="2"/>
    <x v="0"/>
    <x v="2"/>
    <n v="3"/>
    <x v="1"/>
    <s v="Express"/>
    <s v="No"/>
    <s v="No"/>
    <n v="29"/>
    <s v="Cash"/>
    <x v="0"/>
  </r>
  <r>
    <n v="3459"/>
    <x v="33"/>
    <s v="Female"/>
    <x v="16"/>
    <x v="3"/>
    <n v="37"/>
    <s v="West Virginia"/>
    <x v="0"/>
    <x v="10"/>
    <x v="1"/>
    <n v="3.4"/>
    <x v="1"/>
    <s v="Standard"/>
    <s v="No"/>
    <s v="No"/>
    <n v="24"/>
    <s v="Venmo"/>
    <x v="3"/>
  </r>
  <r>
    <n v="3460"/>
    <x v="33"/>
    <s v="Female"/>
    <x v="15"/>
    <x v="0"/>
    <n v="37"/>
    <s v="Ohio"/>
    <x v="0"/>
    <x v="14"/>
    <x v="3"/>
    <n v="3.8"/>
    <x v="1"/>
    <s v="Express"/>
    <s v="No"/>
    <s v="No"/>
    <n v="21"/>
    <s v="PayPal"/>
    <x v="2"/>
  </r>
  <r>
    <n v="3461"/>
    <x v="38"/>
    <s v="Female"/>
    <x v="18"/>
    <x v="3"/>
    <n v="78"/>
    <s v="Indiana"/>
    <x v="2"/>
    <x v="9"/>
    <x v="1"/>
    <n v="3.1"/>
    <x v="1"/>
    <s v="Express"/>
    <s v="No"/>
    <s v="No"/>
    <n v="5"/>
    <s v="Bank Transfer"/>
    <x v="4"/>
  </r>
  <r>
    <n v="3462"/>
    <x v="47"/>
    <s v="Female"/>
    <x v="9"/>
    <x v="1"/>
    <n v="23"/>
    <s v="Wyoming"/>
    <x v="1"/>
    <x v="1"/>
    <x v="1"/>
    <n v="4.4000000000000004"/>
    <x v="1"/>
    <s v="Standard"/>
    <s v="No"/>
    <s v="No"/>
    <n v="47"/>
    <s v="Cash"/>
    <x v="3"/>
  </r>
  <r>
    <n v="3463"/>
    <x v="42"/>
    <s v="Female"/>
    <x v="2"/>
    <x v="0"/>
    <n v="73"/>
    <s v="Michigan"/>
    <x v="0"/>
    <x v="8"/>
    <x v="1"/>
    <n v="4.5"/>
    <x v="1"/>
    <s v="Standard"/>
    <s v="No"/>
    <s v="No"/>
    <n v="34"/>
    <s v="Credit Card"/>
    <x v="6"/>
  </r>
  <r>
    <n v="3464"/>
    <x v="7"/>
    <s v="Female"/>
    <x v="16"/>
    <x v="3"/>
    <n v="27"/>
    <s v="Maine"/>
    <x v="2"/>
    <x v="22"/>
    <x v="3"/>
    <n v="2.8"/>
    <x v="1"/>
    <s v="2-Day Shipping"/>
    <s v="No"/>
    <s v="No"/>
    <n v="45"/>
    <s v="PayPal"/>
    <x v="0"/>
  </r>
  <r>
    <n v="3465"/>
    <x v="24"/>
    <s v="Female"/>
    <x v="7"/>
    <x v="2"/>
    <n v="59"/>
    <s v="Utah"/>
    <x v="1"/>
    <x v="15"/>
    <x v="0"/>
    <n v="2.7"/>
    <x v="1"/>
    <s v="Next Day Air"/>
    <s v="No"/>
    <s v="No"/>
    <n v="12"/>
    <s v="PayPal"/>
    <x v="2"/>
  </r>
  <r>
    <n v="3466"/>
    <x v="1"/>
    <s v="Female"/>
    <x v="21"/>
    <x v="3"/>
    <n v="53"/>
    <s v="Iowa"/>
    <x v="2"/>
    <x v="9"/>
    <x v="1"/>
    <n v="3.4"/>
    <x v="1"/>
    <s v="Standard"/>
    <s v="No"/>
    <s v="No"/>
    <n v="31"/>
    <s v="Debit Card"/>
    <x v="1"/>
  </r>
  <r>
    <n v="3467"/>
    <x v="34"/>
    <s v="Female"/>
    <x v="20"/>
    <x v="0"/>
    <n v="42"/>
    <s v="Maryland"/>
    <x v="1"/>
    <x v="7"/>
    <x v="2"/>
    <n v="4.5999999999999996"/>
    <x v="1"/>
    <s v="Standard"/>
    <s v="No"/>
    <s v="No"/>
    <n v="43"/>
    <s v="Bank Transfer"/>
    <x v="2"/>
  </r>
  <r>
    <n v="3468"/>
    <x v="20"/>
    <s v="Female"/>
    <x v="18"/>
    <x v="3"/>
    <n v="45"/>
    <s v="Texas"/>
    <x v="2"/>
    <x v="4"/>
    <x v="3"/>
    <n v="5"/>
    <x v="1"/>
    <s v="Next Day Air"/>
    <s v="No"/>
    <s v="No"/>
    <n v="5"/>
    <s v="Credit Card"/>
    <x v="2"/>
  </r>
  <r>
    <n v="3469"/>
    <x v="24"/>
    <s v="Female"/>
    <x v="12"/>
    <x v="3"/>
    <n v="89"/>
    <s v="Ohio"/>
    <x v="1"/>
    <x v="21"/>
    <x v="0"/>
    <n v="3.5"/>
    <x v="1"/>
    <s v="Standard"/>
    <s v="No"/>
    <s v="No"/>
    <n v="36"/>
    <s v="Debit Card"/>
    <x v="3"/>
  </r>
  <r>
    <n v="3470"/>
    <x v="24"/>
    <s v="Female"/>
    <x v="20"/>
    <x v="0"/>
    <n v="85"/>
    <s v="North Dakota"/>
    <x v="0"/>
    <x v="23"/>
    <x v="3"/>
    <n v="3.3"/>
    <x v="1"/>
    <s v="Store Pickup"/>
    <s v="No"/>
    <s v="No"/>
    <n v="12"/>
    <s v="Cash"/>
    <x v="2"/>
  </r>
  <r>
    <n v="3471"/>
    <x v="1"/>
    <s v="Female"/>
    <x v="7"/>
    <x v="2"/>
    <n v="69"/>
    <s v="West Virginia"/>
    <x v="1"/>
    <x v="8"/>
    <x v="2"/>
    <n v="4.5"/>
    <x v="1"/>
    <s v="Free Shipping"/>
    <s v="No"/>
    <s v="No"/>
    <n v="31"/>
    <s v="Cash"/>
    <x v="4"/>
  </r>
  <r>
    <n v="3472"/>
    <x v="49"/>
    <s v="Female"/>
    <x v="3"/>
    <x v="1"/>
    <n v="66"/>
    <s v="North Carolina"/>
    <x v="1"/>
    <x v="24"/>
    <x v="1"/>
    <n v="3.1"/>
    <x v="1"/>
    <s v="Store Pickup"/>
    <s v="No"/>
    <s v="No"/>
    <n v="31"/>
    <s v="Cash"/>
    <x v="4"/>
  </r>
  <r>
    <n v="3473"/>
    <x v="18"/>
    <s v="Female"/>
    <x v="0"/>
    <x v="0"/>
    <n v="42"/>
    <s v="Georgia"/>
    <x v="1"/>
    <x v="3"/>
    <x v="2"/>
    <n v="4"/>
    <x v="1"/>
    <s v="Free Shipping"/>
    <s v="No"/>
    <s v="No"/>
    <n v="15"/>
    <s v="Debit Card"/>
    <x v="1"/>
  </r>
  <r>
    <n v="3474"/>
    <x v="6"/>
    <s v="Female"/>
    <x v="10"/>
    <x v="0"/>
    <n v="40"/>
    <s v="Kansas"/>
    <x v="2"/>
    <x v="17"/>
    <x v="1"/>
    <n v="2.5"/>
    <x v="1"/>
    <s v="Express"/>
    <s v="No"/>
    <s v="No"/>
    <n v="11"/>
    <s v="Cash"/>
    <x v="1"/>
  </r>
  <r>
    <n v="3475"/>
    <x v="38"/>
    <s v="Female"/>
    <x v="13"/>
    <x v="0"/>
    <n v="82"/>
    <s v="Maine"/>
    <x v="2"/>
    <x v="17"/>
    <x v="0"/>
    <n v="4.4000000000000004"/>
    <x v="1"/>
    <s v="Store Pickup"/>
    <s v="No"/>
    <s v="No"/>
    <n v="18"/>
    <s v="Venmo"/>
    <x v="5"/>
  </r>
  <r>
    <n v="3476"/>
    <x v="39"/>
    <s v="Female"/>
    <x v="4"/>
    <x v="1"/>
    <n v="88"/>
    <s v="South Carolina"/>
    <x v="2"/>
    <x v="20"/>
    <x v="1"/>
    <n v="4.4000000000000004"/>
    <x v="1"/>
    <s v="Express"/>
    <s v="No"/>
    <s v="No"/>
    <n v="9"/>
    <s v="Cash"/>
    <x v="3"/>
  </r>
  <r>
    <n v="3477"/>
    <x v="33"/>
    <s v="Female"/>
    <x v="23"/>
    <x v="1"/>
    <n v="99"/>
    <s v="South Carolina"/>
    <x v="3"/>
    <x v="20"/>
    <x v="2"/>
    <n v="3.2"/>
    <x v="1"/>
    <s v="Free Shipping"/>
    <s v="No"/>
    <s v="No"/>
    <n v="11"/>
    <s v="Cash"/>
    <x v="1"/>
  </r>
  <r>
    <n v="3478"/>
    <x v="10"/>
    <s v="Female"/>
    <x v="8"/>
    <x v="3"/>
    <n v="85"/>
    <s v="Kentucky"/>
    <x v="1"/>
    <x v="11"/>
    <x v="1"/>
    <n v="3.8"/>
    <x v="1"/>
    <s v="Store Pickup"/>
    <s v="No"/>
    <s v="No"/>
    <n v="38"/>
    <s v="Debit Card"/>
    <x v="4"/>
  </r>
  <r>
    <n v="3479"/>
    <x v="24"/>
    <s v="Female"/>
    <x v="8"/>
    <x v="3"/>
    <n v="57"/>
    <s v="Arizona"/>
    <x v="2"/>
    <x v="23"/>
    <x v="3"/>
    <n v="4.5999999999999996"/>
    <x v="1"/>
    <s v="Store Pickup"/>
    <s v="No"/>
    <s v="No"/>
    <n v="42"/>
    <s v="PayPal"/>
    <x v="3"/>
  </r>
  <r>
    <n v="3480"/>
    <x v="5"/>
    <s v="Female"/>
    <x v="1"/>
    <x v="0"/>
    <n v="56"/>
    <s v="New York"/>
    <x v="1"/>
    <x v="20"/>
    <x v="2"/>
    <n v="4.9000000000000004"/>
    <x v="1"/>
    <s v="Standard"/>
    <s v="No"/>
    <s v="No"/>
    <n v="41"/>
    <s v="Cash"/>
    <x v="5"/>
  </r>
  <r>
    <n v="3481"/>
    <x v="3"/>
    <s v="Female"/>
    <x v="3"/>
    <x v="1"/>
    <n v="79"/>
    <s v="New Hampshire"/>
    <x v="0"/>
    <x v="15"/>
    <x v="0"/>
    <n v="3.5"/>
    <x v="1"/>
    <s v="Free Shipping"/>
    <s v="No"/>
    <s v="No"/>
    <n v="45"/>
    <s v="PayPal"/>
    <x v="5"/>
  </r>
  <r>
    <n v="3482"/>
    <x v="16"/>
    <s v="Female"/>
    <x v="20"/>
    <x v="0"/>
    <n v="67"/>
    <s v="Ohio"/>
    <x v="1"/>
    <x v="1"/>
    <x v="2"/>
    <n v="3.4"/>
    <x v="1"/>
    <s v="Store Pickup"/>
    <s v="No"/>
    <s v="No"/>
    <n v="41"/>
    <s v="Debit Card"/>
    <x v="4"/>
  </r>
  <r>
    <n v="3483"/>
    <x v="17"/>
    <s v="Female"/>
    <x v="24"/>
    <x v="3"/>
    <n v="61"/>
    <s v="Hawaii"/>
    <x v="2"/>
    <x v="9"/>
    <x v="0"/>
    <n v="3.9"/>
    <x v="1"/>
    <s v="Next Day Air"/>
    <s v="No"/>
    <s v="No"/>
    <n v="35"/>
    <s v="Debit Card"/>
    <x v="1"/>
  </r>
  <r>
    <n v="3484"/>
    <x v="1"/>
    <s v="Female"/>
    <x v="15"/>
    <x v="0"/>
    <n v="37"/>
    <s v="Texas"/>
    <x v="0"/>
    <x v="3"/>
    <x v="0"/>
    <n v="3.9"/>
    <x v="1"/>
    <s v="Express"/>
    <s v="No"/>
    <s v="No"/>
    <n v="21"/>
    <s v="Credit Card"/>
    <x v="6"/>
  </r>
  <r>
    <n v="3485"/>
    <x v="42"/>
    <s v="Female"/>
    <x v="10"/>
    <x v="0"/>
    <n v="75"/>
    <s v="Illinois"/>
    <x v="0"/>
    <x v="0"/>
    <x v="3"/>
    <n v="4.2"/>
    <x v="1"/>
    <s v="Free Shipping"/>
    <s v="No"/>
    <s v="No"/>
    <n v="13"/>
    <s v="Credit Card"/>
    <x v="4"/>
  </r>
  <r>
    <n v="3486"/>
    <x v="2"/>
    <s v="Female"/>
    <x v="5"/>
    <x v="0"/>
    <n v="21"/>
    <s v="Massachusetts"/>
    <x v="3"/>
    <x v="18"/>
    <x v="0"/>
    <n v="3.4"/>
    <x v="1"/>
    <s v="Standard"/>
    <s v="No"/>
    <s v="No"/>
    <n v="23"/>
    <s v="Debit Card"/>
    <x v="0"/>
  </r>
  <r>
    <n v="3487"/>
    <x v="47"/>
    <s v="Female"/>
    <x v="6"/>
    <x v="0"/>
    <n v="89"/>
    <s v="North Carolina"/>
    <x v="0"/>
    <x v="4"/>
    <x v="0"/>
    <n v="4.9000000000000004"/>
    <x v="1"/>
    <s v="Standard"/>
    <s v="No"/>
    <s v="No"/>
    <n v="6"/>
    <s v="PayPal"/>
    <x v="1"/>
  </r>
  <r>
    <n v="3488"/>
    <x v="15"/>
    <s v="Female"/>
    <x v="3"/>
    <x v="1"/>
    <n v="24"/>
    <s v="West Virginia"/>
    <x v="0"/>
    <x v="19"/>
    <x v="3"/>
    <n v="2.9"/>
    <x v="1"/>
    <s v="Store Pickup"/>
    <s v="No"/>
    <s v="No"/>
    <n v="39"/>
    <s v="Bank Transfer"/>
    <x v="2"/>
  </r>
  <r>
    <n v="3489"/>
    <x v="46"/>
    <s v="Female"/>
    <x v="1"/>
    <x v="0"/>
    <n v="27"/>
    <s v="Delaware"/>
    <x v="3"/>
    <x v="11"/>
    <x v="1"/>
    <n v="4.9000000000000004"/>
    <x v="1"/>
    <s v="Store Pickup"/>
    <s v="No"/>
    <s v="No"/>
    <n v="7"/>
    <s v="Cash"/>
    <x v="3"/>
  </r>
  <r>
    <n v="3490"/>
    <x v="39"/>
    <s v="Female"/>
    <x v="10"/>
    <x v="0"/>
    <n v="26"/>
    <s v="Idaho"/>
    <x v="0"/>
    <x v="13"/>
    <x v="2"/>
    <n v="4.5999999999999996"/>
    <x v="1"/>
    <s v="2-Day Shipping"/>
    <s v="No"/>
    <s v="No"/>
    <n v="32"/>
    <s v="PayPal"/>
    <x v="6"/>
  </r>
  <r>
    <n v="3491"/>
    <x v="46"/>
    <s v="Female"/>
    <x v="23"/>
    <x v="1"/>
    <n v="82"/>
    <s v="Oregon"/>
    <x v="2"/>
    <x v="10"/>
    <x v="1"/>
    <n v="3.6"/>
    <x v="1"/>
    <s v="Store Pickup"/>
    <s v="No"/>
    <s v="No"/>
    <n v="43"/>
    <s v="Credit Card"/>
    <x v="3"/>
  </r>
  <r>
    <n v="3492"/>
    <x v="40"/>
    <s v="Female"/>
    <x v="13"/>
    <x v="0"/>
    <n v="28"/>
    <s v="Maine"/>
    <x v="2"/>
    <x v="20"/>
    <x v="0"/>
    <n v="4.3"/>
    <x v="1"/>
    <s v="Express"/>
    <s v="No"/>
    <s v="No"/>
    <n v="15"/>
    <s v="Cash"/>
    <x v="5"/>
  </r>
  <r>
    <n v="3493"/>
    <x v="39"/>
    <s v="Female"/>
    <x v="24"/>
    <x v="3"/>
    <n v="65"/>
    <s v="South Dakota"/>
    <x v="2"/>
    <x v="2"/>
    <x v="3"/>
    <n v="4.5999999999999996"/>
    <x v="1"/>
    <s v="Standard"/>
    <s v="No"/>
    <s v="No"/>
    <n v="48"/>
    <s v="Bank Transfer"/>
    <x v="2"/>
  </r>
  <r>
    <n v="3494"/>
    <x v="39"/>
    <s v="Female"/>
    <x v="13"/>
    <x v="0"/>
    <n v="82"/>
    <s v="New Mexico"/>
    <x v="3"/>
    <x v="13"/>
    <x v="0"/>
    <n v="4.7"/>
    <x v="1"/>
    <s v="Store Pickup"/>
    <s v="No"/>
    <s v="No"/>
    <n v="35"/>
    <s v="Credit Card"/>
    <x v="1"/>
  </r>
  <r>
    <n v="3495"/>
    <x v="46"/>
    <s v="Female"/>
    <x v="18"/>
    <x v="3"/>
    <n v="38"/>
    <s v="Washington"/>
    <x v="2"/>
    <x v="5"/>
    <x v="0"/>
    <n v="3.5"/>
    <x v="1"/>
    <s v="Free Shipping"/>
    <s v="No"/>
    <s v="No"/>
    <n v="41"/>
    <s v="PayPal"/>
    <x v="3"/>
  </r>
  <r>
    <n v="3496"/>
    <x v="41"/>
    <s v="Female"/>
    <x v="6"/>
    <x v="0"/>
    <n v="33"/>
    <s v="Georgia"/>
    <x v="3"/>
    <x v="0"/>
    <x v="1"/>
    <n v="2.8"/>
    <x v="1"/>
    <s v="Free Shipping"/>
    <s v="No"/>
    <s v="No"/>
    <n v="14"/>
    <s v="Cash"/>
    <x v="1"/>
  </r>
  <r>
    <n v="3497"/>
    <x v="31"/>
    <s v="Female"/>
    <x v="9"/>
    <x v="1"/>
    <n v="38"/>
    <s v="Idaho"/>
    <x v="2"/>
    <x v="6"/>
    <x v="2"/>
    <n v="4"/>
    <x v="1"/>
    <s v="Free Shipping"/>
    <s v="No"/>
    <s v="No"/>
    <n v="22"/>
    <s v="PayPal"/>
    <x v="5"/>
  </r>
  <r>
    <n v="3498"/>
    <x v="25"/>
    <s v="Female"/>
    <x v="8"/>
    <x v="3"/>
    <n v="48"/>
    <s v="Colorado"/>
    <x v="2"/>
    <x v="16"/>
    <x v="1"/>
    <n v="4.3"/>
    <x v="1"/>
    <s v="Store Pickup"/>
    <s v="No"/>
    <s v="No"/>
    <n v="16"/>
    <s v="Venmo"/>
    <x v="6"/>
  </r>
  <r>
    <n v="3499"/>
    <x v="36"/>
    <s v="Female"/>
    <x v="3"/>
    <x v="1"/>
    <n v="35"/>
    <s v="Kentucky"/>
    <x v="2"/>
    <x v="12"/>
    <x v="2"/>
    <n v="3.8"/>
    <x v="1"/>
    <s v="Standard"/>
    <s v="No"/>
    <s v="No"/>
    <n v="2"/>
    <s v="Bank Transfer"/>
    <x v="4"/>
  </r>
  <r>
    <n v="3500"/>
    <x v="40"/>
    <s v="Female"/>
    <x v="20"/>
    <x v="0"/>
    <n v="29"/>
    <s v="New Jersey"/>
    <x v="0"/>
    <x v="21"/>
    <x v="3"/>
    <n v="3"/>
    <x v="1"/>
    <s v="Next Day Air"/>
    <s v="No"/>
    <s v="No"/>
    <n v="13"/>
    <s v="PayPal"/>
    <x v="6"/>
  </r>
  <r>
    <n v="3501"/>
    <x v="21"/>
    <s v="Female"/>
    <x v="5"/>
    <x v="0"/>
    <n v="48"/>
    <s v="Oregon"/>
    <x v="1"/>
    <x v="5"/>
    <x v="3"/>
    <n v="4.5999999999999996"/>
    <x v="1"/>
    <s v="Next Day Air"/>
    <s v="No"/>
    <s v="No"/>
    <n v="38"/>
    <s v="Debit Card"/>
    <x v="0"/>
  </r>
  <r>
    <n v="3502"/>
    <x v="10"/>
    <s v="Female"/>
    <x v="9"/>
    <x v="1"/>
    <n v="87"/>
    <s v="Nebraska"/>
    <x v="2"/>
    <x v="5"/>
    <x v="3"/>
    <n v="4.8"/>
    <x v="1"/>
    <s v="Standard"/>
    <s v="No"/>
    <s v="No"/>
    <n v="43"/>
    <s v="Bank Transfer"/>
    <x v="1"/>
  </r>
  <r>
    <n v="3503"/>
    <x v="18"/>
    <s v="Female"/>
    <x v="21"/>
    <x v="3"/>
    <n v="62"/>
    <s v="Massachusetts"/>
    <x v="2"/>
    <x v="14"/>
    <x v="3"/>
    <n v="4.7"/>
    <x v="1"/>
    <s v="Next Day Air"/>
    <s v="No"/>
    <s v="No"/>
    <n v="26"/>
    <s v="Bank Transfer"/>
    <x v="3"/>
  </r>
  <r>
    <n v="3504"/>
    <x v="18"/>
    <s v="Female"/>
    <x v="5"/>
    <x v="0"/>
    <n v="96"/>
    <s v="Nebraska"/>
    <x v="2"/>
    <x v="6"/>
    <x v="1"/>
    <n v="3.9"/>
    <x v="1"/>
    <s v="Free Shipping"/>
    <s v="No"/>
    <s v="No"/>
    <n v="39"/>
    <s v="Cash"/>
    <x v="1"/>
  </r>
  <r>
    <n v="3505"/>
    <x v="13"/>
    <s v="Female"/>
    <x v="8"/>
    <x v="3"/>
    <n v="41"/>
    <s v="Hawaii"/>
    <x v="1"/>
    <x v="10"/>
    <x v="3"/>
    <n v="4"/>
    <x v="1"/>
    <s v="Next Day Air"/>
    <s v="No"/>
    <s v="No"/>
    <n v="50"/>
    <s v="Venmo"/>
    <x v="5"/>
  </r>
  <r>
    <n v="3506"/>
    <x v="39"/>
    <s v="Female"/>
    <x v="16"/>
    <x v="3"/>
    <n v="42"/>
    <s v="Indiana"/>
    <x v="0"/>
    <x v="16"/>
    <x v="0"/>
    <n v="3.7"/>
    <x v="1"/>
    <s v="2-Day Shipping"/>
    <s v="No"/>
    <s v="No"/>
    <n v="40"/>
    <s v="Bank Transfer"/>
    <x v="6"/>
  </r>
  <r>
    <n v="3507"/>
    <x v="20"/>
    <s v="Female"/>
    <x v="5"/>
    <x v="0"/>
    <n v="57"/>
    <s v="Illinois"/>
    <x v="0"/>
    <x v="8"/>
    <x v="0"/>
    <n v="3.7"/>
    <x v="1"/>
    <s v="2-Day Shipping"/>
    <s v="No"/>
    <s v="No"/>
    <n v="12"/>
    <s v="Cash"/>
    <x v="0"/>
  </r>
  <r>
    <n v="3508"/>
    <x v="5"/>
    <s v="Female"/>
    <x v="8"/>
    <x v="3"/>
    <n v="65"/>
    <s v="Colorado"/>
    <x v="1"/>
    <x v="7"/>
    <x v="1"/>
    <n v="4.2"/>
    <x v="1"/>
    <s v="Store Pickup"/>
    <s v="No"/>
    <s v="No"/>
    <n v="33"/>
    <s v="Credit Card"/>
    <x v="6"/>
  </r>
  <r>
    <n v="3509"/>
    <x v="16"/>
    <s v="Female"/>
    <x v="13"/>
    <x v="0"/>
    <n v="54"/>
    <s v="Pennsylvania"/>
    <x v="2"/>
    <x v="0"/>
    <x v="3"/>
    <n v="4.7"/>
    <x v="1"/>
    <s v="Standard"/>
    <s v="No"/>
    <s v="No"/>
    <n v="49"/>
    <s v="Bank Transfer"/>
    <x v="1"/>
  </r>
  <r>
    <n v="3510"/>
    <x v="2"/>
    <s v="Female"/>
    <x v="17"/>
    <x v="0"/>
    <n v="22"/>
    <s v="Ohio"/>
    <x v="0"/>
    <x v="18"/>
    <x v="0"/>
    <n v="4.3"/>
    <x v="1"/>
    <s v="Next Day Air"/>
    <s v="No"/>
    <s v="No"/>
    <n v="43"/>
    <s v="Venmo"/>
    <x v="4"/>
  </r>
  <r>
    <n v="3511"/>
    <x v="34"/>
    <s v="Female"/>
    <x v="4"/>
    <x v="1"/>
    <n v="96"/>
    <s v="Pennsylvania"/>
    <x v="1"/>
    <x v="20"/>
    <x v="3"/>
    <n v="4.9000000000000004"/>
    <x v="1"/>
    <s v="2-Day Shipping"/>
    <s v="No"/>
    <s v="No"/>
    <n v="14"/>
    <s v="Venmo"/>
    <x v="5"/>
  </r>
  <r>
    <n v="3512"/>
    <x v="28"/>
    <s v="Female"/>
    <x v="16"/>
    <x v="3"/>
    <n v="81"/>
    <s v="Mississippi"/>
    <x v="2"/>
    <x v="24"/>
    <x v="2"/>
    <n v="3.9"/>
    <x v="1"/>
    <s v="2-Day Shipping"/>
    <s v="No"/>
    <s v="No"/>
    <n v="21"/>
    <s v="Credit Card"/>
    <x v="6"/>
  </r>
  <r>
    <n v="3513"/>
    <x v="24"/>
    <s v="Female"/>
    <x v="5"/>
    <x v="0"/>
    <n v="46"/>
    <s v="Kentucky"/>
    <x v="2"/>
    <x v="3"/>
    <x v="3"/>
    <n v="3.4"/>
    <x v="1"/>
    <s v="Free Shipping"/>
    <s v="No"/>
    <s v="No"/>
    <n v="31"/>
    <s v="Debit Card"/>
    <x v="3"/>
  </r>
  <r>
    <n v="3514"/>
    <x v="11"/>
    <s v="Female"/>
    <x v="0"/>
    <x v="0"/>
    <n v="74"/>
    <s v="Alaska"/>
    <x v="3"/>
    <x v="4"/>
    <x v="1"/>
    <n v="4.2"/>
    <x v="1"/>
    <s v="Store Pickup"/>
    <s v="No"/>
    <s v="No"/>
    <n v="29"/>
    <s v="Credit Card"/>
    <x v="0"/>
  </r>
  <r>
    <n v="3515"/>
    <x v="15"/>
    <s v="Female"/>
    <x v="4"/>
    <x v="1"/>
    <n v="50"/>
    <s v="Georgia"/>
    <x v="3"/>
    <x v="0"/>
    <x v="0"/>
    <n v="4.7"/>
    <x v="1"/>
    <s v="Express"/>
    <s v="No"/>
    <s v="No"/>
    <n v="32"/>
    <s v="Cash"/>
    <x v="5"/>
  </r>
  <r>
    <n v="3516"/>
    <x v="1"/>
    <s v="Female"/>
    <x v="10"/>
    <x v="0"/>
    <n v="80"/>
    <s v="South Dakota"/>
    <x v="3"/>
    <x v="4"/>
    <x v="0"/>
    <n v="4"/>
    <x v="1"/>
    <s v="Next Day Air"/>
    <s v="No"/>
    <s v="No"/>
    <n v="16"/>
    <s v="Debit Card"/>
    <x v="4"/>
  </r>
  <r>
    <n v="3517"/>
    <x v="50"/>
    <s v="Female"/>
    <x v="23"/>
    <x v="1"/>
    <n v="56"/>
    <s v="South Carolina"/>
    <x v="1"/>
    <x v="3"/>
    <x v="2"/>
    <n v="4"/>
    <x v="1"/>
    <s v="Free Shipping"/>
    <s v="No"/>
    <s v="No"/>
    <n v="38"/>
    <s v="PayPal"/>
    <x v="4"/>
  </r>
  <r>
    <n v="3518"/>
    <x v="26"/>
    <s v="Female"/>
    <x v="11"/>
    <x v="0"/>
    <n v="69"/>
    <s v="Tennessee"/>
    <x v="2"/>
    <x v="20"/>
    <x v="0"/>
    <n v="3.1"/>
    <x v="1"/>
    <s v="Next Day Air"/>
    <s v="No"/>
    <s v="No"/>
    <n v="34"/>
    <s v="Debit Card"/>
    <x v="6"/>
  </r>
  <r>
    <n v="3519"/>
    <x v="2"/>
    <s v="Female"/>
    <x v="5"/>
    <x v="0"/>
    <n v="97"/>
    <s v="Colorado"/>
    <x v="2"/>
    <x v="13"/>
    <x v="1"/>
    <n v="4.2"/>
    <x v="1"/>
    <s v="Standard"/>
    <s v="No"/>
    <s v="No"/>
    <n v="30"/>
    <s v="PayPal"/>
    <x v="3"/>
  </r>
  <r>
    <n v="3520"/>
    <x v="18"/>
    <s v="Female"/>
    <x v="6"/>
    <x v="0"/>
    <n v="66"/>
    <s v="Wisconsin"/>
    <x v="2"/>
    <x v="3"/>
    <x v="0"/>
    <n v="3.7"/>
    <x v="1"/>
    <s v="Next Day Air"/>
    <s v="No"/>
    <s v="No"/>
    <n v="14"/>
    <s v="Bank Transfer"/>
    <x v="0"/>
  </r>
  <r>
    <n v="3521"/>
    <x v="38"/>
    <s v="Female"/>
    <x v="19"/>
    <x v="3"/>
    <n v="70"/>
    <s v="Georgia"/>
    <x v="1"/>
    <x v="18"/>
    <x v="1"/>
    <n v="3.1"/>
    <x v="1"/>
    <s v="Express"/>
    <s v="No"/>
    <s v="No"/>
    <n v="33"/>
    <s v="Bank Transfer"/>
    <x v="5"/>
  </r>
  <r>
    <n v="3522"/>
    <x v="16"/>
    <s v="Female"/>
    <x v="9"/>
    <x v="1"/>
    <n v="50"/>
    <s v="Maryland"/>
    <x v="2"/>
    <x v="6"/>
    <x v="0"/>
    <n v="3.7"/>
    <x v="1"/>
    <s v="Store Pickup"/>
    <s v="No"/>
    <s v="No"/>
    <n v="35"/>
    <s v="Venmo"/>
    <x v="1"/>
  </r>
  <r>
    <n v="3523"/>
    <x v="7"/>
    <s v="Female"/>
    <x v="13"/>
    <x v="0"/>
    <n v="85"/>
    <s v="New Jersey"/>
    <x v="2"/>
    <x v="22"/>
    <x v="1"/>
    <n v="3.2"/>
    <x v="1"/>
    <s v="Store Pickup"/>
    <s v="No"/>
    <s v="No"/>
    <n v="13"/>
    <s v="Cash"/>
    <x v="3"/>
  </r>
  <r>
    <n v="3524"/>
    <x v="34"/>
    <s v="Female"/>
    <x v="21"/>
    <x v="3"/>
    <n v="59"/>
    <s v="Nevada"/>
    <x v="2"/>
    <x v="17"/>
    <x v="2"/>
    <n v="2.8"/>
    <x v="1"/>
    <s v="Standard"/>
    <s v="No"/>
    <s v="No"/>
    <n v="30"/>
    <s v="Cash"/>
    <x v="0"/>
  </r>
  <r>
    <n v="3525"/>
    <x v="28"/>
    <s v="Female"/>
    <x v="13"/>
    <x v="0"/>
    <n v="74"/>
    <s v="Michigan"/>
    <x v="0"/>
    <x v="5"/>
    <x v="2"/>
    <n v="2.9"/>
    <x v="1"/>
    <s v="Free Shipping"/>
    <s v="No"/>
    <s v="No"/>
    <n v="30"/>
    <s v="Credit Card"/>
    <x v="5"/>
  </r>
  <r>
    <n v="3526"/>
    <x v="4"/>
    <s v="Female"/>
    <x v="12"/>
    <x v="3"/>
    <n v="38"/>
    <s v="Wyoming"/>
    <x v="0"/>
    <x v="8"/>
    <x v="0"/>
    <n v="3.5"/>
    <x v="1"/>
    <s v="Standard"/>
    <s v="No"/>
    <s v="No"/>
    <n v="47"/>
    <s v="Bank Transfer"/>
    <x v="2"/>
  </r>
  <r>
    <n v="3527"/>
    <x v="30"/>
    <s v="Female"/>
    <x v="1"/>
    <x v="0"/>
    <n v="99"/>
    <s v="Massachusetts"/>
    <x v="2"/>
    <x v="8"/>
    <x v="1"/>
    <n v="3.8"/>
    <x v="1"/>
    <s v="Express"/>
    <s v="No"/>
    <s v="No"/>
    <n v="1"/>
    <s v="PayPal"/>
    <x v="6"/>
  </r>
  <r>
    <n v="3528"/>
    <x v="15"/>
    <s v="Female"/>
    <x v="0"/>
    <x v="0"/>
    <n v="97"/>
    <s v="Washington"/>
    <x v="1"/>
    <x v="4"/>
    <x v="1"/>
    <n v="4.7"/>
    <x v="1"/>
    <s v="Free Shipping"/>
    <s v="No"/>
    <s v="No"/>
    <n v="1"/>
    <s v="Cash"/>
    <x v="1"/>
  </r>
  <r>
    <n v="3529"/>
    <x v="21"/>
    <s v="Female"/>
    <x v="18"/>
    <x v="3"/>
    <n v="67"/>
    <s v="Maine"/>
    <x v="0"/>
    <x v="0"/>
    <x v="2"/>
    <n v="4.5"/>
    <x v="1"/>
    <s v="Free Shipping"/>
    <s v="No"/>
    <s v="No"/>
    <n v="33"/>
    <s v="PayPal"/>
    <x v="2"/>
  </r>
  <r>
    <n v="3530"/>
    <x v="0"/>
    <s v="Female"/>
    <x v="17"/>
    <x v="0"/>
    <n v="20"/>
    <s v="Montana"/>
    <x v="1"/>
    <x v="1"/>
    <x v="0"/>
    <n v="3.9"/>
    <x v="1"/>
    <s v="Next Day Air"/>
    <s v="No"/>
    <s v="No"/>
    <n v="43"/>
    <s v="Bank Transfer"/>
    <x v="1"/>
  </r>
  <r>
    <n v="3531"/>
    <x v="46"/>
    <s v="Female"/>
    <x v="12"/>
    <x v="3"/>
    <n v="45"/>
    <s v="Oklahoma"/>
    <x v="0"/>
    <x v="13"/>
    <x v="1"/>
    <n v="3.4"/>
    <x v="1"/>
    <s v="Express"/>
    <s v="No"/>
    <s v="No"/>
    <n v="37"/>
    <s v="PayPal"/>
    <x v="1"/>
  </r>
  <r>
    <n v="3532"/>
    <x v="22"/>
    <s v="Female"/>
    <x v="9"/>
    <x v="1"/>
    <n v="52"/>
    <s v="North Dakota"/>
    <x v="3"/>
    <x v="10"/>
    <x v="0"/>
    <n v="4.5999999999999996"/>
    <x v="1"/>
    <s v="2-Day Shipping"/>
    <s v="No"/>
    <s v="No"/>
    <n v="23"/>
    <s v="Cash"/>
    <x v="3"/>
  </r>
  <r>
    <n v="3533"/>
    <x v="12"/>
    <s v="Female"/>
    <x v="13"/>
    <x v="0"/>
    <n v="68"/>
    <s v="Connecticut"/>
    <x v="0"/>
    <x v="21"/>
    <x v="3"/>
    <n v="4.5999999999999996"/>
    <x v="1"/>
    <s v="Standard"/>
    <s v="No"/>
    <s v="No"/>
    <n v="12"/>
    <s v="Credit Card"/>
    <x v="2"/>
  </r>
  <r>
    <n v="3534"/>
    <x v="2"/>
    <s v="Female"/>
    <x v="4"/>
    <x v="1"/>
    <n v="98"/>
    <s v="Texas"/>
    <x v="0"/>
    <x v="22"/>
    <x v="3"/>
    <n v="4.7"/>
    <x v="1"/>
    <s v="Standard"/>
    <s v="No"/>
    <s v="No"/>
    <n v="30"/>
    <s v="Venmo"/>
    <x v="0"/>
  </r>
  <r>
    <n v="3535"/>
    <x v="13"/>
    <s v="Female"/>
    <x v="9"/>
    <x v="1"/>
    <n v="83"/>
    <s v="Delaware"/>
    <x v="2"/>
    <x v="0"/>
    <x v="3"/>
    <n v="3.2"/>
    <x v="1"/>
    <s v="Express"/>
    <s v="No"/>
    <s v="No"/>
    <n v="7"/>
    <s v="Cash"/>
    <x v="1"/>
  </r>
  <r>
    <n v="3536"/>
    <x v="33"/>
    <s v="Female"/>
    <x v="6"/>
    <x v="0"/>
    <n v="51"/>
    <s v="Mississippi"/>
    <x v="2"/>
    <x v="16"/>
    <x v="2"/>
    <n v="5"/>
    <x v="1"/>
    <s v="Express"/>
    <s v="No"/>
    <s v="No"/>
    <n v="20"/>
    <s v="Debit Card"/>
    <x v="5"/>
  </r>
  <r>
    <n v="3537"/>
    <x v="0"/>
    <s v="Female"/>
    <x v="8"/>
    <x v="3"/>
    <n v="21"/>
    <s v="Minnesota"/>
    <x v="0"/>
    <x v="15"/>
    <x v="1"/>
    <n v="4.5"/>
    <x v="1"/>
    <s v="Express"/>
    <s v="No"/>
    <s v="No"/>
    <n v="10"/>
    <s v="Venmo"/>
    <x v="5"/>
  </r>
  <r>
    <n v="3538"/>
    <x v="9"/>
    <s v="Female"/>
    <x v="8"/>
    <x v="3"/>
    <n v="92"/>
    <s v="Georgia"/>
    <x v="2"/>
    <x v="0"/>
    <x v="1"/>
    <n v="3.5"/>
    <x v="1"/>
    <s v="Standard"/>
    <s v="No"/>
    <s v="No"/>
    <n v="40"/>
    <s v="Credit Card"/>
    <x v="6"/>
  </r>
  <r>
    <n v="3539"/>
    <x v="19"/>
    <s v="Female"/>
    <x v="9"/>
    <x v="1"/>
    <n v="63"/>
    <s v="Iowa"/>
    <x v="1"/>
    <x v="3"/>
    <x v="1"/>
    <n v="4.5"/>
    <x v="1"/>
    <s v="Store Pickup"/>
    <s v="No"/>
    <s v="No"/>
    <n v="21"/>
    <s v="Venmo"/>
    <x v="5"/>
  </r>
  <r>
    <n v="3540"/>
    <x v="26"/>
    <s v="Female"/>
    <x v="16"/>
    <x v="3"/>
    <n v="56"/>
    <s v="New York"/>
    <x v="1"/>
    <x v="14"/>
    <x v="1"/>
    <n v="3.2"/>
    <x v="1"/>
    <s v="Express"/>
    <s v="No"/>
    <s v="No"/>
    <n v="17"/>
    <s v="Credit Card"/>
    <x v="4"/>
  </r>
  <r>
    <n v="3541"/>
    <x v="41"/>
    <s v="Female"/>
    <x v="6"/>
    <x v="0"/>
    <n v="95"/>
    <s v="Nevada"/>
    <x v="2"/>
    <x v="23"/>
    <x v="1"/>
    <n v="4.5999999999999996"/>
    <x v="1"/>
    <s v="Free Shipping"/>
    <s v="No"/>
    <s v="No"/>
    <n v="5"/>
    <s v="Bank Transfer"/>
    <x v="1"/>
  </r>
  <r>
    <n v="3542"/>
    <x v="35"/>
    <s v="Female"/>
    <x v="0"/>
    <x v="0"/>
    <n v="66"/>
    <s v="Virginia"/>
    <x v="2"/>
    <x v="8"/>
    <x v="0"/>
    <n v="4"/>
    <x v="1"/>
    <s v="Next Day Air"/>
    <s v="No"/>
    <s v="No"/>
    <n v="22"/>
    <s v="PayPal"/>
    <x v="2"/>
  </r>
  <r>
    <n v="3543"/>
    <x v="46"/>
    <s v="Female"/>
    <x v="7"/>
    <x v="2"/>
    <n v="28"/>
    <s v="Idaho"/>
    <x v="1"/>
    <x v="8"/>
    <x v="1"/>
    <n v="4.2"/>
    <x v="1"/>
    <s v="Express"/>
    <s v="No"/>
    <s v="No"/>
    <n v="5"/>
    <s v="Venmo"/>
    <x v="1"/>
  </r>
  <r>
    <n v="3544"/>
    <x v="44"/>
    <s v="Female"/>
    <x v="19"/>
    <x v="3"/>
    <n v="83"/>
    <s v="Colorado"/>
    <x v="2"/>
    <x v="24"/>
    <x v="0"/>
    <n v="4.0999999999999996"/>
    <x v="1"/>
    <s v="Standard"/>
    <s v="No"/>
    <s v="No"/>
    <n v="18"/>
    <s v="PayPal"/>
    <x v="6"/>
  </r>
  <r>
    <n v="3545"/>
    <x v="14"/>
    <s v="Female"/>
    <x v="20"/>
    <x v="0"/>
    <n v="55"/>
    <s v="Wisconsin"/>
    <x v="3"/>
    <x v="4"/>
    <x v="3"/>
    <n v="3.6"/>
    <x v="1"/>
    <s v="2-Day Shipping"/>
    <s v="No"/>
    <s v="No"/>
    <n v="42"/>
    <s v="Cash"/>
    <x v="6"/>
  </r>
  <r>
    <n v="3546"/>
    <x v="39"/>
    <s v="Female"/>
    <x v="3"/>
    <x v="1"/>
    <n v="28"/>
    <s v="Connecticut"/>
    <x v="2"/>
    <x v="22"/>
    <x v="1"/>
    <n v="3.7"/>
    <x v="1"/>
    <s v="2-Day Shipping"/>
    <s v="No"/>
    <s v="No"/>
    <n v="22"/>
    <s v="Debit Card"/>
    <x v="2"/>
  </r>
  <r>
    <n v="3547"/>
    <x v="52"/>
    <s v="Female"/>
    <x v="18"/>
    <x v="3"/>
    <n v="79"/>
    <s v="Kansas"/>
    <x v="2"/>
    <x v="10"/>
    <x v="2"/>
    <n v="3.6"/>
    <x v="1"/>
    <s v="Free Shipping"/>
    <s v="No"/>
    <s v="No"/>
    <n v="37"/>
    <s v="Bank Transfer"/>
    <x v="4"/>
  </r>
  <r>
    <n v="3548"/>
    <x v="16"/>
    <s v="Female"/>
    <x v="18"/>
    <x v="3"/>
    <n v="31"/>
    <s v="Pennsylvania"/>
    <x v="0"/>
    <x v="23"/>
    <x v="2"/>
    <n v="3.8"/>
    <x v="1"/>
    <s v="Standard"/>
    <s v="No"/>
    <s v="No"/>
    <n v="23"/>
    <s v="Credit Card"/>
    <x v="2"/>
  </r>
  <r>
    <n v="3549"/>
    <x v="6"/>
    <s v="Female"/>
    <x v="0"/>
    <x v="0"/>
    <n v="37"/>
    <s v="Utah"/>
    <x v="2"/>
    <x v="16"/>
    <x v="3"/>
    <n v="3"/>
    <x v="1"/>
    <s v="Standard"/>
    <s v="No"/>
    <s v="No"/>
    <n v="47"/>
    <s v="Debit Card"/>
    <x v="0"/>
  </r>
  <r>
    <n v="3550"/>
    <x v="42"/>
    <s v="Female"/>
    <x v="17"/>
    <x v="0"/>
    <n v="34"/>
    <s v="Oregon"/>
    <x v="2"/>
    <x v="17"/>
    <x v="2"/>
    <n v="3.4"/>
    <x v="1"/>
    <s v="2-Day Shipping"/>
    <s v="No"/>
    <s v="No"/>
    <n v="11"/>
    <s v="Bank Transfer"/>
    <x v="0"/>
  </r>
  <r>
    <n v="3551"/>
    <x v="6"/>
    <s v="Female"/>
    <x v="9"/>
    <x v="1"/>
    <n v="74"/>
    <s v="West Virginia"/>
    <x v="1"/>
    <x v="20"/>
    <x v="0"/>
    <n v="4.8"/>
    <x v="1"/>
    <s v="Standard"/>
    <s v="No"/>
    <s v="No"/>
    <n v="32"/>
    <s v="Cash"/>
    <x v="1"/>
  </r>
  <r>
    <n v="3552"/>
    <x v="17"/>
    <s v="Female"/>
    <x v="24"/>
    <x v="3"/>
    <n v="31"/>
    <s v="Montana"/>
    <x v="0"/>
    <x v="13"/>
    <x v="1"/>
    <n v="2.6"/>
    <x v="1"/>
    <s v="Store Pickup"/>
    <s v="No"/>
    <s v="No"/>
    <n v="20"/>
    <s v="Venmo"/>
    <x v="1"/>
  </r>
  <r>
    <n v="3553"/>
    <x v="40"/>
    <s v="Female"/>
    <x v="12"/>
    <x v="3"/>
    <n v="66"/>
    <s v="Kentucky"/>
    <x v="2"/>
    <x v="24"/>
    <x v="0"/>
    <n v="2.9"/>
    <x v="1"/>
    <s v="Next Day Air"/>
    <s v="No"/>
    <s v="No"/>
    <n v="3"/>
    <s v="PayPal"/>
    <x v="3"/>
  </r>
  <r>
    <n v="3554"/>
    <x v="46"/>
    <s v="Female"/>
    <x v="9"/>
    <x v="1"/>
    <n v="99"/>
    <s v="Minnesota"/>
    <x v="2"/>
    <x v="4"/>
    <x v="1"/>
    <n v="4.9000000000000004"/>
    <x v="1"/>
    <s v="Free Shipping"/>
    <s v="No"/>
    <s v="No"/>
    <n v="32"/>
    <s v="Bank Transfer"/>
    <x v="1"/>
  </r>
  <r>
    <n v="3555"/>
    <x v="31"/>
    <s v="Female"/>
    <x v="10"/>
    <x v="0"/>
    <n v="55"/>
    <s v="Louisiana"/>
    <x v="2"/>
    <x v="21"/>
    <x v="1"/>
    <n v="5"/>
    <x v="1"/>
    <s v="Free Shipping"/>
    <s v="No"/>
    <s v="No"/>
    <n v="5"/>
    <s v="Credit Card"/>
    <x v="0"/>
  </r>
  <r>
    <n v="3556"/>
    <x v="15"/>
    <s v="Female"/>
    <x v="0"/>
    <x v="0"/>
    <n v="23"/>
    <s v="Delaware"/>
    <x v="0"/>
    <x v="5"/>
    <x v="1"/>
    <n v="4.5999999999999996"/>
    <x v="1"/>
    <s v="Next Day Air"/>
    <s v="No"/>
    <s v="No"/>
    <n v="45"/>
    <s v="Cash"/>
    <x v="3"/>
  </r>
  <r>
    <n v="3557"/>
    <x v="27"/>
    <s v="Female"/>
    <x v="1"/>
    <x v="0"/>
    <n v="88"/>
    <s v="Arizona"/>
    <x v="2"/>
    <x v="18"/>
    <x v="3"/>
    <n v="4.2"/>
    <x v="1"/>
    <s v="Express"/>
    <s v="No"/>
    <s v="No"/>
    <n v="43"/>
    <s v="Cash"/>
    <x v="4"/>
  </r>
  <r>
    <n v="3558"/>
    <x v="16"/>
    <s v="Female"/>
    <x v="14"/>
    <x v="2"/>
    <n v="26"/>
    <s v="Nevada"/>
    <x v="2"/>
    <x v="15"/>
    <x v="2"/>
    <n v="4.9000000000000004"/>
    <x v="1"/>
    <s v="Next Day Air"/>
    <s v="No"/>
    <s v="No"/>
    <n v="1"/>
    <s v="PayPal"/>
    <x v="6"/>
  </r>
  <r>
    <n v="3559"/>
    <x v="33"/>
    <s v="Female"/>
    <x v="21"/>
    <x v="3"/>
    <n v="94"/>
    <s v="Alaska"/>
    <x v="0"/>
    <x v="23"/>
    <x v="2"/>
    <n v="4.8"/>
    <x v="1"/>
    <s v="Standard"/>
    <s v="No"/>
    <s v="No"/>
    <n v="9"/>
    <s v="Venmo"/>
    <x v="3"/>
  </r>
  <r>
    <n v="3560"/>
    <x v="20"/>
    <s v="Female"/>
    <x v="6"/>
    <x v="0"/>
    <n v="25"/>
    <s v="Utah"/>
    <x v="2"/>
    <x v="19"/>
    <x v="3"/>
    <n v="3"/>
    <x v="1"/>
    <s v="Next Day Air"/>
    <s v="No"/>
    <s v="No"/>
    <n v="13"/>
    <s v="Venmo"/>
    <x v="6"/>
  </r>
  <r>
    <n v="3561"/>
    <x v="20"/>
    <s v="Female"/>
    <x v="20"/>
    <x v="0"/>
    <n v="96"/>
    <s v="Kansas"/>
    <x v="3"/>
    <x v="10"/>
    <x v="3"/>
    <n v="3.5"/>
    <x v="1"/>
    <s v="Express"/>
    <s v="No"/>
    <s v="No"/>
    <n v="5"/>
    <s v="Credit Card"/>
    <x v="2"/>
  </r>
  <r>
    <n v="3562"/>
    <x v="6"/>
    <s v="Female"/>
    <x v="4"/>
    <x v="1"/>
    <n v="29"/>
    <s v="North Carolina"/>
    <x v="0"/>
    <x v="13"/>
    <x v="1"/>
    <n v="3.4"/>
    <x v="1"/>
    <s v="Standard"/>
    <s v="No"/>
    <s v="No"/>
    <n v="39"/>
    <s v="Credit Card"/>
    <x v="0"/>
  </r>
  <r>
    <n v="3563"/>
    <x v="36"/>
    <s v="Female"/>
    <x v="4"/>
    <x v="1"/>
    <n v="36"/>
    <s v="Maryland"/>
    <x v="2"/>
    <x v="17"/>
    <x v="0"/>
    <n v="3.4"/>
    <x v="1"/>
    <s v="Free Shipping"/>
    <s v="No"/>
    <s v="No"/>
    <n v="7"/>
    <s v="Bank Transfer"/>
    <x v="1"/>
  </r>
  <r>
    <n v="3564"/>
    <x v="49"/>
    <s v="Female"/>
    <x v="0"/>
    <x v="0"/>
    <n v="90"/>
    <s v="Maine"/>
    <x v="2"/>
    <x v="14"/>
    <x v="2"/>
    <n v="4.9000000000000004"/>
    <x v="1"/>
    <s v="Standard"/>
    <s v="No"/>
    <s v="No"/>
    <n v="8"/>
    <s v="Credit Card"/>
    <x v="6"/>
  </r>
  <r>
    <n v="3565"/>
    <x v="52"/>
    <s v="Female"/>
    <x v="24"/>
    <x v="3"/>
    <n v="38"/>
    <s v="Illinois"/>
    <x v="1"/>
    <x v="18"/>
    <x v="2"/>
    <n v="4.4000000000000004"/>
    <x v="1"/>
    <s v="Free Shipping"/>
    <s v="No"/>
    <s v="No"/>
    <n v="40"/>
    <s v="Venmo"/>
    <x v="2"/>
  </r>
  <r>
    <n v="3566"/>
    <x v="34"/>
    <s v="Female"/>
    <x v="8"/>
    <x v="3"/>
    <n v="52"/>
    <s v="Pennsylvania"/>
    <x v="1"/>
    <x v="0"/>
    <x v="1"/>
    <n v="4.2"/>
    <x v="1"/>
    <s v="Store Pickup"/>
    <s v="No"/>
    <s v="No"/>
    <n v="35"/>
    <s v="PayPal"/>
    <x v="5"/>
  </r>
  <r>
    <n v="3567"/>
    <x v="48"/>
    <s v="Female"/>
    <x v="2"/>
    <x v="0"/>
    <n v="88"/>
    <s v="Alaska"/>
    <x v="1"/>
    <x v="20"/>
    <x v="1"/>
    <n v="3.1"/>
    <x v="1"/>
    <s v="Next Day Air"/>
    <s v="No"/>
    <s v="No"/>
    <n v="14"/>
    <s v="Venmo"/>
    <x v="5"/>
  </r>
  <r>
    <n v="3568"/>
    <x v="45"/>
    <s v="Female"/>
    <x v="18"/>
    <x v="3"/>
    <n v="56"/>
    <s v="New Mexico"/>
    <x v="1"/>
    <x v="5"/>
    <x v="2"/>
    <n v="4"/>
    <x v="1"/>
    <s v="Next Day Air"/>
    <s v="No"/>
    <s v="No"/>
    <n v="26"/>
    <s v="Credit Card"/>
    <x v="5"/>
  </r>
  <r>
    <n v="3569"/>
    <x v="26"/>
    <s v="Female"/>
    <x v="3"/>
    <x v="1"/>
    <n v="71"/>
    <s v="Arkansas"/>
    <x v="2"/>
    <x v="7"/>
    <x v="1"/>
    <n v="4.8"/>
    <x v="1"/>
    <s v="Next Day Air"/>
    <s v="No"/>
    <s v="No"/>
    <n v="14"/>
    <s v="PayPal"/>
    <x v="3"/>
  </r>
  <r>
    <n v="3570"/>
    <x v="25"/>
    <s v="Female"/>
    <x v="3"/>
    <x v="1"/>
    <n v="94"/>
    <s v="Alaska"/>
    <x v="2"/>
    <x v="8"/>
    <x v="3"/>
    <n v="3.3"/>
    <x v="1"/>
    <s v="Express"/>
    <s v="No"/>
    <s v="No"/>
    <n v="9"/>
    <s v="Bank Transfer"/>
    <x v="0"/>
  </r>
  <r>
    <n v="3571"/>
    <x v="51"/>
    <s v="Female"/>
    <x v="10"/>
    <x v="0"/>
    <n v="97"/>
    <s v="Louisiana"/>
    <x v="3"/>
    <x v="11"/>
    <x v="0"/>
    <n v="4.7"/>
    <x v="1"/>
    <s v="Standard"/>
    <s v="No"/>
    <s v="No"/>
    <n v="32"/>
    <s v="Debit Card"/>
    <x v="2"/>
  </r>
  <r>
    <n v="3572"/>
    <x v="27"/>
    <s v="Female"/>
    <x v="11"/>
    <x v="0"/>
    <n v="27"/>
    <s v="North Dakota"/>
    <x v="2"/>
    <x v="3"/>
    <x v="2"/>
    <n v="3.2"/>
    <x v="1"/>
    <s v="Standard"/>
    <s v="No"/>
    <s v="No"/>
    <n v="15"/>
    <s v="Bank Transfer"/>
    <x v="6"/>
  </r>
  <r>
    <n v="3573"/>
    <x v="51"/>
    <s v="Female"/>
    <x v="6"/>
    <x v="0"/>
    <n v="28"/>
    <s v="Rhode Island"/>
    <x v="2"/>
    <x v="13"/>
    <x v="1"/>
    <n v="5"/>
    <x v="1"/>
    <s v="Standard"/>
    <s v="No"/>
    <s v="No"/>
    <n v="25"/>
    <s v="Credit Card"/>
    <x v="5"/>
  </r>
  <r>
    <n v="3574"/>
    <x v="49"/>
    <s v="Female"/>
    <x v="2"/>
    <x v="0"/>
    <n v="67"/>
    <s v="Connecticut"/>
    <x v="0"/>
    <x v="1"/>
    <x v="3"/>
    <n v="4.9000000000000004"/>
    <x v="1"/>
    <s v="Free Shipping"/>
    <s v="No"/>
    <s v="No"/>
    <n v="27"/>
    <s v="PayPal"/>
    <x v="5"/>
  </r>
  <r>
    <n v="3575"/>
    <x v="26"/>
    <s v="Female"/>
    <x v="20"/>
    <x v="0"/>
    <n v="70"/>
    <s v="New York"/>
    <x v="2"/>
    <x v="17"/>
    <x v="3"/>
    <n v="4.9000000000000004"/>
    <x v="1"/>
    <s v="Express"/>
    <s v="No"/>
    <s v="No"/>
    <n v="39"/>
    <s v="Bank Transfer"/>
    <x v="3"/>
  </r>
  <r>
    <n v="3576"/>
    <x v="12"/>
    <s v="Female"/>
    <x v="7"/>
    <x v="2"/>
    <n v="95"/>
    <s v="Kentucky"/>
    <x v="2"/>
    <x v="10"/>
    <x v="3"/>
    <n v="3.7"/>
    <x v="1"/>
    <s v="Express"/>
    <s v="No"/>
    <s v="No"/>
    <n v="49"/>
    <s v="Venmo"/>
    <x v="4"/>
  </r>
  <r>
    <n v="3577"/>
    <x v="26"/>
    <s v="Female"/>
    <x v="23"/>
    <x v="1"/>
    <n v="24"/>
    <s v="Maine"/>
    <x v="0"/>
    <x v="22"/>
    <x v="1"/>
    <n v="3"/>
    <x v="1"/>
    <s v="Express"/>
    <s v="No"/>
    <s v="No"/>
    <n v="12"/>
    <s v="Venmo"/>
    <x v="4"/>
  </r>
  <r>
    <n v="3578"/>
    <x v="17"/>
    <s v="Female"/>
    <x v="22"/>
    <x v="3"/>
    <n v="35"/>
    <s v="Missouri"/>
    <x v="1"/>
    <x v="22"/>
    <x v="0"/>
    <n v="2.6"/>
    <x v="1"/>
    <s v="Standard"/>
    <s v="No"/>
    <s v="No"/>
    <n v="13"/>
    <s v="Bank Transfer"/>
    <x v="1"/>
  </r>
  <r>
    <n v="3579"/>
    <x v="5"/>
    <s v="Female"/>
    <x v="9"/>
    <x v="1"/>
    <n v="22"/>
    <s v="Georgia"/>
    <x v="0"/>
    <x v="8"/>
    <x v="0"/>
    <n v="2.6"/>
    <x v="1"/>
    <s v="Standard"/>
    <s v="No"/>
    <s v="No"/>
    <n v="22"/>
    <s v="Bank Transfer"/>
    <x v="3"/>
  </r>
  <r>
    <n v="3580"/>
    <x v="50"/>
    <s v="Female"/>
    <x v="18"/>
    <x v="3"/>
    <n v="66"/>
    <s v="Arizona"/>
    <x v="0"/>
    <x v="8"/>
    <x v="3"/>
    <n v="4.8"/>
    <x v="1"/>
    <s v="Standard"/>
    <s v="No"/>
    <s v="No"/>
    <n v="19"/>
    <s v="Credit Card"/>
    <x v="6"/>
  </r>
  <r>
    <n v="3581"/>
    <x v="47"/>
    <s v="Female"/>
    <x v="0"/>
    <x v="0"/>
    <n v="83"/>
    <s v="New Hampshire"/>
    <x v="2"/>
    <x v="23"/>
    <x v="2"/>
    <n v="3.2"/>
    <x v="1"/>
    <s v="2-Day Shipping"/>
    <s v="No"/>
    <s v="No"/>
    <n v="3"/>
    <s v="Cash"/>
    <x v="4"/>
  </r>
  <r>
    <n v="3582"/>
    <x v="8"/>
    <s v="Female"/>
    <x v="10"/>
    <x v="0"/>
    <n v="95"/>
    <s v="Georgia"/>
    <x v="2"/>
    <x v="20"/>
    <x v="3"/>
    <n v="4.9000000000000004"/>
    <x v="1"/>
    <s v="Next Day Air"/>
    <s v="No"/>
    <s v="No"/>
    <n v="50"/>
    <s v="Credit Card"/>
    <x v="1"/>
  </r>
  <r>
    <n v="3583"/>
    <x v="51"/>
    <s v="Female"/>
    <x v="6"/>
    <x v="0"/>
    <n v="41"/>
    <s v="California"/>
    <x v="1"/>
    <x v="19"/>
    <x v="2"/>
    <n v="3.4"/>
    <x v="1"/>
    <s v="2-Day Shipping"/>
    <s v="No"/>
    <s v="No"/>
    <n v="15"/>
    <s v="PayPal"/>
    <x v="2"/>
  </r>
  <r>
    <n v="3584"/>
    <x v="16"/>
    <s v="Female"/>
    <x v="0"/>
    <x v="0"/>
    <n v="77"/>
    <s v="Arizona"/>
    <x v="0"/>
    <x v="18"/>
    <x v="2"/>
    <n v="2.7"/>
    <x v="1"/>
    <s v="Store Pickup"/>
    <s v="No"/>
    <s v="No"/>
    <n v="44"/>
    <s v="Credit Card"/>
    <x v="6"/>
  </r>
  <r>
    <n v="3585"/>
    <x v="31"/>
    <s v="Female"/>
    <x v="4"/>
    <x v="1"/>
    <n v="52"/>
    <s v="Florida"/>
    <x v="0"/>
    <x v="21"/>
    <x v="3"/>
    <n v="4.8"/>
    <x v="1"/>
    <s v="Express"/>
    <s v="No"/>
    <s v="No"/>
    <n v="48"/>
    <s v="Debit Card"/>
    <x v="5"/>
  </r>
  <r>
    <n v="3586"/>
    <x v="31"/>
    <s v="Female"/>
    <x v="24"/>
    <x v="3"/>
    <n v="41"/>
    <s v="New York"/>
    <x v="3"/>
    <x v="0"/>
    <x v="0"/>
    <n v="4.0999999999999996"/>
    <x v="1"/>
    <s v="Standard"/>
    <s v="No"/>
    <s v="No"/>
    <n v="4"/>
    <s v="Venmo"/>
    <x v="4"/>
  </r>
  <r>
    <n v="3587"/>
    <x v="23"/>
    <s v="Female"/>
    <x v="15"/>
    <x v="0"/>
    <n v="28"/>
    <s v="Idaho"/>
    <x v="2"/>
    <x v="22"/>
    <x v="0"/>
    <n v="4.5999999999999996"/>
    <x v="1"/>
    <s v="Store Pickup"/>
    <s v="No"/>
    <s v="No"/>
    <n v="12"/>
    <s v="PayPal"/>
    <x v="4"/>
  </r>
  <r>
    <n v="3588"/>
    <x v="23"/>
    <s v="Female"/>
    <x v="1"/>
    <x v="0"/>
    <n v="90"/>
    <s v="Virginia"/>
    <x v="1"/>
    <x v="10"/>
    <x v="2"/>
    <n v="4.4000000000000004"/>
    <x v="1"/>
    <s v="Standard"/>
    <s v="No"/>
    <s v="No"/>
    <n v="33"/>
    <s v="Debit Card"/>
    <x v="2"/>
  </r>
  <r>
    <n v="3589"/>
    <x v="51"/>
    <s v="Female"/>
    <x v="12"/>
    <x v="3"/>
    <n v="55"/>
    <s v="Michigan"/>
    <x v="2"/>
    <x v="23"/>
    <x v="1"/>
    <n v="3.5"/>
    <x v="1"/>
    <s v="2-Day Shipping"/>
    <s v="No"/>
    <s v="No"/>
    <n v="40"/>
    <s v="Cash"/>
    <x v="2"/>
  </r>
  <r>
    <n v="3590"/>
    <x v="18"/>
    <s v="Female"/>
    <x v="22"/>
    <x v="3"/>
    <n v="73"/>
    <s v="New Hampshire"/>
    <x v="2"/>
    <x v="24"/>
    <x v="1"/>
    <n v="4.8"/>
    <x v="1"/>
    <s v="Next Day Air"/>
    <s v="No"/>
    <s v="No"/>
    <n v="38"/>
    <s v="Cash"/>
    <x v="6"/>
  </r>
  <r>
    <n v="3591"/>
    <x v="7"/>
    <s v="Female"/>
    <x v="10"/>
    <x v="0"/>
    <n v="87"/>
    <s v="South Dakota"/>
    <x v="2"/>
    <x v="0"/>
    <x v="3"/>
    <n v="2.9"/>
    <x v="1"/>
    <s v="2-Day Shipping"/>
    <s v="No"/>
    <s v="No"/>
    <n v="19"/>
    <s v="Venmo"/>
    <x v="6"/>
  </r>
  <r>
    <n v="3592"/>
    <x v="39"/>
    <s v="Female"/>
    <x v="14"/>
    <x v="2"/>
    <n v="89"/>
    <s v="South Dakota"/>
    <x v="2"/>
    <x v="9"/>
    <x v="0"/>
    <n v="3.2"/>
    <x v="1"/>
    <s v="2-Day Shipping"/>
    <s v="No"/>
    <s v="No"/>
    <n v="38"/>
    <s v="Bank Transfer"/>
    <x v="3"/>
  </r>
  <r>
    <n v="3593"/>
    <x v="12"/>
    <s v="Female"/>
    <x v="23"/>
    <x v="1"/>
    <n v="82"/>
    <s v="New Jersey"/>
    <x v="0"/>
    <x v="12"/>
    <x v="1"/>
    <n v="4.4000000000000004"/>
    <x v="1"/>
    <s v="2-Day Shipping"/>
    <s v="No"/>
    <s v="No"/>
    <n v="18"/>
    <s v="Venmo"/>
    <x v="0"/>
  </r>
  <r>
    <n v="3594"/>
    <x v="6"/>
    <s v="Female"/>
    <x v="3"/>
    <x v="1"/>
    <n v="80"/>
    <s v="Wyoming"/>
    <x v="2"/>
    <x v="13"/>
    <x v="1"/>
    <n v="4.5999999999999996"/>
    <x v="1"/>
    <s v="Next Day Air"/>
    <s v="No"/>
    <s v="No"/>
    <n v="24"/>
    <s v="PayPal"/>
    <x v="5"/>
  </r>
  <r>
    <n v="3595"/>
    <x v="1"/>
    <s v="Female"/>
    <x v="18"/>
    <x v="3"/>
    <n v="87"/>
    <s v="Alabama"/>
    <x v="0"/>
    <x v="4"/>
    <x v="2"/>
    <n v="2.6"/>
    <x v="1"/>
    <s v="2-Day Shipping"/>
    <s v="No"/>
    <s v="No"/>
    <n v="29"/>
    <s v="Venmo"/>
    <x v="3"/>
  </r>
  <r>
    <n v="3596"/>
    <x v="3"/>
    <s v="Female"/>
    <x v="0"/>
    <x v="0"/>
    <n v="41"/>
    <s v="South Dakota"/>
    <x v="2"/>
    <x v="10"/>
    <x v="1"/>
    <n v="3.1"/>
    <x v="1"/>
    <s v="Store Pickup"/>
    <s v="No"/>
    <s v="No"/>
    <n v="14"/>
    <s v="PayPal"/>
    <x v="2"/>
  </r>
  <r>
    <n v="3597"/>
    <x v="48"/>
    <s v="Female"/>
    <x v="15"/>
    <x v="0"/>
    <n v="83"/>
    <s v="South Carolina"/>
    <x v="2"/>
    <x v="4"/>
    <x v="1"/>
    <n v="4.3"/>
    <x v="1"/>
    <s v="Standard"/>
    <s v="No"/>
    <s v="No"/>
    <n v="44"/>
    <s v="Cash"/>
    <x v="0"/>
  </r>
  <r>
    <n v="3598"/>
    <x v="26"/>
    <s v="Female"/>
    <x v="12"/>
    <x v="3"/>
    <n v="71"/>
    <s v="New Mexico"/>
    <x v="2"/>
    <x v="1"/>
    <x v="2"/>
    <n v="3.1"/>
    <x v="1"/>
    <s v="Standard"/>
    <s v="No"/>
    <s v="No"/>
    <n v="18"/>
    <s v="Bank Transfer"/>
    <x v="3"/>
  </r>
  <r>
    <n v="3599"/>
    <x v="51"/>
    <s v="Female"/>
    <x v="15"/>
    <x v="0"/>
    <n v="76"/>
    <s v="Connecticut"/>
    <x v="3"/>
    <x v="7"/>
    <x v="1"/>
    <n v="4.5999999999999996"/>
    <x v="1"/>
    <s v="Store Pickup"/>
    <s v="No"/>
    <s v="No"/>
    <n v="19"/>
    <s v="Bank Transfer"/>
    <x v="4"/>
  </r>
  <r>
    <n v="3600"/>
    <x v="43"/>
    <s v="Female"/>
    <x v="18"/>
    <x v="3"/>
    <n v="34"/>
    <s v="Kansas"/>
    <x v="1"/>
    <x v="15"/>
    <x v="1"/>
    <n v="4.5999999999999996"/>
    <x v="1"/>
    <s v="Express"/>
    <s v="No"/>
    <s v="No"/>
    <n v="4"/>
    <s v="Cash"/>
    <x v="1"/>
  </r>
  <r>
    <n v="3601"/>
    <x v="29"/>
    <s v="Female"/>
    <x v="10"/>
    <x v="0"/>
    <n v="81"/>
    <s v="South Carolina"/>
    <x v="3"/>
    <x v="8"/>
    <x v="1"/>
    <n v="2.7"/>
    <x v="1"/>
    <s v="Free Shipping"/>
    <s v="No"/>
    <s v="No"/>
    <n v="25"/>
    <s v="Cash"/>
    <x v="4"/>
  </r>
  <r>
    <n v="3602"/>
    <x v="50"/>
    <s v="Female"/>
    <x v="17"/>
    <x v="0"/>
    <n v="47"/>
    <s v="North Carolina"/>
    <x v="2"/>
    <x v="21"/>
    <x v="2"/>
    <n v="3"/>
    <x v="1"/>
    <s v="Next Day Air"/>
    <s v="No"/>
    <s v="No"/>
    <n v="3"/>
    <s v="PayPal"/>
    <x v="5"/>
  </r>
  <r>
    <n v="3603"/>
    <x v="44"/>
    <s v="Female"/>
    <x v="11"/>
    <x v="0"/>
    <n v="36"/>
    <s v="Wyoming"/>
    <x v="1"/>
    <x v="23"/>
    <x v="2"/>
    <n v="3.3"/>
    <x v="1"/>
    <s v="Store Pickup"/>
    <s v="No"/>
    <s v="No"/>
    <n v="40"/>
    <s v="Debit Card"/>
    <x v="3"/>
  </r>
  <r>
    <n v="3604"/>
    <x v="4"/>
    <s v="Female"/>
    <x v="2"/>
    <x v="0"/>
    <n v="51"/>
    <s v="Louisiana"/>
    <x v="2"/>
    <x v="9"/>
    <x v="1"/>
    <n v="2.7"/>
    <x v="1"/>
    <s v="Free Shipping"/>
    <s v="No"/>
    <s v="No"/>
    <n v="5"/>
    <s v="Cash"/>
    <x v="1"/>
  </r>
  <r>
    <n v="3605"/>
    <x v="6"/>
    <s v="Female"/>
    <x v="15"/>
    <x v="0"/>
    <n v="86"/>
    <s v="Louisiana"/>
    <x v="2"/>
    <x v="20"/>
    <x v="3"/>
    <n v="3.3"/>
    <x v="1"/>
    <s v="Standard"/>
    <s v="No"/>
    <s v="No"/>
    <n v="17"/>
    <s v="Debit Card"/>
    <x v="2"/>
  </r>
  <r>
    <n v="3606"/>
    <x v="33"/>
    <s v="Female"/>
    <x v="2"/>
    <x v="0"/>
    <n v="41"/>
    <s v="Alabama"/>
    <x v="2"/>
    <x v="9"/>
    <x v="3"/>
    <n v="4.3"/>
    <x v="1"/>
    <s v="Store Pickup"/>
    <s v="No"/>
    <s v="No"/>
    <n v="36"/>
    <s v="Bank Transfer"/>
    <x v="6"/>
  </r>
  <r>
    <n v="3607"/>
    <x v="38"/>
    <s v="Female"/>
    <x v="3"/>
    <x v="1"/>
    <n v="90"/>
    <s v="Minnesota"/>
    <x v="3"/>
    <x v="7"/>
    <x v="3"/>
    <n v="4.8"/>
    <x v="1"/>
    <s v="Express"/>
    <s v="No"/>
    <s v="No"/>
    <n v="41"/>
    <s v="Venmo"/>
    <x v="2"/>
  </r>
  <r>
    <n v="3608"/>
    <x v="2"/>
    <s v="Female"/>
    <x v="19"/>
    <x v="3"/>
    <n v="93"/>
    <s v="New Mexico"/>
    <x v="0"/>
    <x v="4"/>
    <x v="3"/>
    <n v="3.3"/>
    <x v="1"/>
    <s v="Standard"/>
    <s v="No"/>
    <s v="No"/>
    <n v="20"/>
    <s v="Venmo"/>
    <x v="4"/>
  </r>
  <r>
    <n v="3609"/>
    <x v="41"/>
    <s v="Female"/>
    <x v="24"/>
    <x v="3"/>
    <n v="56"/>
    <s v="Tennessee"/>
    <x v="2"/>
    <x v="17"/>
    <x v="3"/>
    <n v="4.3"/>
    <x v="1"/>
    <s v="Next Day Air"/>
    <s v="No"/>
    <s v="No"/>
    <n v="2"/>
    <s v="Cash"/>
    <x v="6"/>
  </r>
  <r>
    <n v="3610"/>
    <x v="3"/>
    <s v="Female"/>
    <x v="20"/>
    <x v="0"/>
    <n v="39"/>
    <s v="New Mexico"/>
    <x v="2"/>
    <x v="17"/>
    <x v="2"/>
    <n v="3"/>
    <x v="1"/>
    <s v="2-Day Shipping"/>
    <s v="No"/>
    <s v="No"/>
    <n v="31"/>
    <s v="Debit Card"/>
    <x v="5"/>
  </r>
  <r>
    <n v="3611"/>
    <x v="20"/>
    <s v="Female"/>
    <x v="14"/>
    <x v="2"/>
    <n v="86"/>
    <s v="Texas"/>
    <x v="3"/>
    <x v="14"/>
    <x v="3"/>
    <n v="4.8"/>
    <x v="1"/>
    <s v="2-Day Shipping"/>
    <s v="No"/>
    <s v="No"/>
    <n v="23"/>
    <s v="Bank Transfer"/>
    <x v="0"/>
  </r>
  <r>
    <n v="3612"/>
    <x v="6"/>
    <s v="Female"/>
    <x v="17"/>
    <x v="0"/>
    <n v="82"/>
    <s v="Washington"/>
    <x v="2"/>
    <x v="5"/>
    <x v="1"/>
    <n v="2.9"/>
    <x v="1"/>
    <s v="Standard"/>
    <s v="No"/>
    <s v="No"/>
    <n v="30"/>
    <s v="Credit Card"/>
    <x v="2"/>
  </r>
  <r>
    <n v="3613"/>
    <x v="36"/>
    <s v="Female"/>
    <x v="3"/>
    <x v="1"/>
    <n v="29"/>
    <s v="Michigan"/>
    <x v="2"/>
    <x v="11"/>
    <x v="2"/>
    <n v="3.6"/>
    <x v="1"/>
    <s v="Standard"/>
    <s v="No"/>
    <s v="No"/>
    <n v="26"/>
    <s v="Cash"/>
    <x v="6"/>
  </r>
  <r>
    <n v="3614"/>
    <x v="44"/>
    <s v="Female"/>
    <x v="19"/>
    <x v="3"/>
    <n v="27"/>
    <s v="Minnesota"/>
    <x v="2"/>
    <x v="23"/>
    <x v="3"/>
    <n v="3.5"/>
    <x v="1"/>
    <s v="Store Pickup"/>
    <s v="No"/>
    <s v="No"/>
    <n v="40"/>
    <s v="Venmo"/>
    <x v="2"/>
  </r>
  <r>
    <n v="3615"/>
    <x v="5"/>
    <s v="Female"/>
    <x v="24"/>
    <x v="3"/>
    <n v="25"/>
    <s v="Delaware"/>
    <x v="0"/>
    <x v="1"/>
    <x v="1"/>
    <n v="4.7"/>
    <x v="1"/>
    <s v="2-Day Shipping"/>
    <s v="No"/>
    <s v="No"/>
    <n v="19"/>
    <s v="Bank Transfer"/>
    <x v="2"/>
  </r>
  <r>
    <n v="3616"/>
    <x v="25"/>
    <s v="Female"/>
    <x v="10"/>
    <x v="0"/>
    <n v="31"/>
    <s v="California"/>
    <x v="2"/>
    <x v="9"/>
    <x v="0"/>
    <n v="4.4000000000000004"/>
    <x v="1"/>
    <s v="Free Shipping"/>
    <s v="No"/>
    <s v="No"/>
    <n v="4"/>
    <s v="Credit Card"/>
    <x v="5"/>
  </r>
  <r>
    <n v="3617"/>
    <x v="32"/>
    <s v="Female"/>
    <x v="15"/>
    <x v="0"/>
    <n v="23"/>
    <s v="Wisconsin"/>
    <x v="0"/>
    <x v="7"/>
    <x v="0"/>
    <n v="3.3"/>
    <x v="1"/>
    <s v="Store Pickup"/>
    <s v="No"/>
    <s v="No"/>
    <n v="33"/>
    <s v="Debit Card"/>
    <x v="0"/>
  </r>
  <r>
    <n v="3618"/>
    <x v="39"/>
    <s v="Female"/>
    <x v="22"/>
    <x v="3"/>
    <n v="47"/>
    <s v="Kentucky"/>
    <x v="2"/>
    <x v="12"/>
    <x v="3"/>
    <n v="4.3"/>
    <x v="1"/>
    <s v="Express"/>
    <s v="No"/>
    <s v="No"/>
    <n v="29"/>
    <s v="Debit Card"/>
    <x v="5"/>
  </r>
  <r>
    <n v="3619"/>
    <x v="48"/>
    <s v="Female"/>
    <x v="24"/>
    <x v="3"/>
    <n v="67"/>
    <s v="Nevada"/>
    <x v="2"/>
    <x v="1"/>
    <x v="3"/>
    <n v="4"/>
    <x v="1"/>
    <s v="2-Day Shipping"/>
    <s v="No"/>
    <s v="No"/>
    <n v="47"/>
    <s v="PayPal"/>
    <x v="4"/>
  </r>
  <r>
    <n v="3620"/>
    <x v="42"/>
    <s v="Female"/>
    <x v="18"/>
    <x v="3"/>
    <n v="75"/>
    <s v="North Carolina"/>
    <x v="1"/>
    <x v="23"/>
    <x v="0"/>
    <n v="4.9000000000000004"/>
    <x v="1"/>
    <s v="2-Day Shipping"/>
    <s v="No"/>
    <s v="No"/>
    <n v="50"/>
    <s v="Venmo"/>
    <x v="1"/>
  </r>
  <r>
    <n v="3621"/>
    <x v="52"/>
    <s v="Female"/>
    <x v="3"/>
    <x v="1"/>
    <n v="82"/>
    <s v="Louisiana"/>
    <x v="2"/>
    <x v="2"/>
    <x v="2"/>
    <n v="2.9"/>
    <x v="1"/>
    <s v="Express"/>
    <s v="No"/>
    <s v="No"/>
    <n v="28"/>
    <s v="Credit Card"/>
    <x v="0"/>
  </r>
  <r>
    <n v="3622"/>
    <x v="21"/>
    <s v="Female"/>
    <x v="4"/>
    <x v="1"/>
    <n v="32"/>
    <s v="New Jersey"/>
    <x v="3"/>
    <x v="5"/>
    <x v="2"/>
    <n v="4"/>
    <x v="1"/>
    <s v="2-Day Shipping"/>
    <s v="No"/>
    <s v="No"/>
    <n v="5"/>
    <s v="Cash"/>
    <x v="0"/>
  </r>
  <r>
    <n v="3623"/>
    <x v="5"/>
    <s v="Female"/>
    <x v="10"/>
    <x v="0"/>
    <n v="41"/>
    <s v="Wisconsin"/>
    <x v="2"/>
    <x v="7"/>
    <x v="3"/>
    <n v="4.3"/>
    <x v="1"/>
    <s v="Store Pickup"/>
    <s v="No"/>
    <s v="No"/>
    <n v="12"/>
    <s v="Credit Card"/>
    <x v="2"/>
  </r>
  <r>
    <n v="3624"/>
    <x v="31"/>
    <s v="Female"/>
    <x v="16"/>
    <x v="3"/>
    <n v="89"/>
    <s v="Arkansas"/>
    <x v="2"/>
    <x v="10"/>
    <x v="0"/>
    <n v="2.7"/>
    <x v="1"/>
    <s v="2-Day Shipping"/>
    <s v="No"/>
    <s v="No"/>
    <n v="4"/>
    <s v="PayPal"/>
    <x v="1"/>
  </r>
  <r>
    <n v="3625"/>
    <x v="40"/>
    <s v="Female"/>
    <x v="19"/>
    <x v="3"/>
    <n v="82"/>
    <s v="Texas"/>
    <x v="3"/>
    <x v="15"/>
    <x v="3"/>
    <n v="5"/>
    <x v="1"/>
    <s v="Store Pickup"/>
    <s v="No"/>
    <s v="No"/>
    <n v="22"/>
    <s v="Bank Transfer"/>
    <x v="4"/>
  </r>
  <r>
    <n v="3626"/>
    <x v="42"/>
    <s v="Female"/>
    <x v="18"/>
    <x v="3"/>
    <n v="99"/>
    <s v="Illinois"/>
    <x v="0"/>
    <x v="14"/>
    <x v="0"/>
    <n v="4.4000000000000004"/>
    <x v="1"/>
    <s v="Express"/>
    <s v="No"/>
    <s v="No"/>
    <n v="32"/>
    <s v="PayPal"/>
    <x v="1"/>
  </r>
  <r>
    <n v="3627"/>
    <x v="28"/>
    <s v="Female"/>
    <x v="0"/>
    <x v="0"/>
    <n v="98"/>
    <s v="Mississippi"/>
    <x v="0"/>
    <x v="11"/>
    <x v="3"/>
    <n v="3.5"/>
    <x v="1"/>
    <s v="Express"/>
    <s v="No"/>
    <s v="No"/>
    <n v="32"/>
    <s v="Venmo"/>
    <x v="3"/>
  </r>
  <r>
    <n v="3628"/>
    <x v="31"/>
    <s v="Female"/>
    <x v="22"/>
    <x v="3"/>
    <n v="54"/>
    <s v="Delaware"/>
    <x v="2"/>
    <x v="5"/>
    <x v="0"/>
    <n v="3.3"/>
    <x v="1"/>
    <s v="Next Day Air"/>
    <s v="No"/>
    <s v="No"/>
    <n v="48"/>
    <s v="Cash"/>
    <x v="6"/>
  </r>
  <r>
    <n v="3629"/>
    <x v="10"/>
    <s v="Female"/>
    <x v="0"/>
    <x v="0"/>
    <n v="88"/>
    <s v="Georgia"/>
    <x v="0"/>
    <x v="7"/>
    <x v="2"/>
    <n v="3.8"/>
    <x v="1"/>
    <s v="Free Shipping"/>
    <s v="No"/>
    <s v="No"/>
    <n v="35"/>
    <s v="Credit Card"/>
    <x v="5"/>
  </r>
  <r>
    <n v="3630"/>
    <x v="16"/>
    <s v="Female"/>
    <x v="17"/>
    <x v="0"/>
    <n v="43"/>
    <s v="Kansas"/>
    <x v="0"/>
    <x v="12"/>
    <x v="2"/>
    <n v="4.5"/>
    <x v="1"/>
    <s v="Standard"/>
    <s v="No"/>
    <s v="No"/>
    <n v="44"/>
    <s v="Debit Card"/>
    <x v="0"/>
  </r>
  <r>
    <n v="3631"/>
    <x v="13"/>
    <s v="Female"/>
    <x v="19"/>
    <x v="3"/>
    <n v="73"/>
    <s v="Oklahoma"/>
    <x v="2"/>
    <x v="12"/>
    <x v="0"/>
    <n v="4.8"/>
    <x v="1"/>
    <s v="Store Pickup"/>
    <s v="No"/>
    <s v="No"/>
    <n v="29"/>
    <s v="Cash"/>
    <x v="1"/>
  </r>
  <r>
    <n v="3632"/>
    <x v="39"/>
    <s v="Female"/>
    <x v="19"/>
    <x v="3"/>
    <n v="50"/>
    <s v="New Jersey"/>
    <x v="2"/>
    <x v="15"/>
    <x v="3"/>
    <n v="2.9"/>
    <x v="1"/>
    <s v="Store Pickup"/>
    <s v="No"/>
    <s v="No"/>
    <n v="26"/>
    <s v="Credit Card"/>
    <x v="5"/>
  </r>
  <r>
    <n v="3633"/>
    <x v="7"/>
    <s v="Female"/>
    <x v="4"/>
    <x v="1"/>
    <n v="73"/>
    <s v="Utah"/>
    <x v="0"/>
    <x v="14"/>
    <x v="1"/>
    <n v="3.2"/>
    <x v="1"/>
    <s v="Express"/>
    <s v="No"/>
    <s v="No"/>
    <n v="3"/>
    <s v="Debit Card"/>
    <x v="3"/>
  </r>
  <r>
    <n v="3634"/>
    <x v="31"/>
    <s v="Female"/>
    <x v="24"/>
    <x v="3"/>
    <n v="51"/>
    <s v="Montana"/>
    <x v="2"/>
    <x v="20"/>
    <x v="1"/>
    <n v="2.8"/>
    <x v="1"/>
    <s v="Free Shipping"/>
    <s v="No"/>
    <s v="No"/>
    <n v="1"/>
    <s v="Bank Transfer"/>
    <x v="4"/>
  </r>
  <r>
    <n v="3635"/>
    <x v="35"/>
    <s v="Female"/>
    <x v="20"/>
    <x v="0"/>
    <n v="22"/>
    <s v="Ohio"/>
    <x v="2"/>
    <x v="6"/>
    <x v="0"/>
    <n v="3.3"/>
    <x v="1"/>
    <s v="Standard"/>
    <s v="No"/>
    <s v="No"/>
    <n v="17"/>
    <s v="PayPal"/>
    <x v="2"/>
  </r>
  <r>
    <n v="3636"/>
    <x v="16"/>
    <s v="Female"/>
    <x v="3"/>
    <x v="1"/>
    <n v="32"/>
    <s v="Colorado"/>
    <x v="0"/>
    <x v="17"/>
    <x v="3"/>
    <n v="3.3"/>
    <x v="1"/>
    <s v="Free Shipping"/>
    <s v="No"/>
    <s v="No"/>
    <n v="17"/>
    <s v="Credit Card"/>
    <x v="0"/>
  </r>
  <r>
    <n v="3637"/>
    <x v="2"/>
    <s v="Female"/>
    <x v="3"/>
    <x v="1"/>
    <n v="38"/>
    <s v="California"/>
    <x v="0"/>
    <x v="12"/>
    <x v="2"/>
    <n v="4.2"/>
    <x v="1"/>
    <s v="2-Day Shipping"/>
    <s v="No"/>
    <s v="No"/>
    <n v="36"/>
    <s v="Cash"/>
    <x v="1"/>
  </r>
  <r>
    <n v="3638"/>
    <x v="45"/>
    <s v="Female"/>
    <x v="23"/>
    <x v="1"/>
    <n v="66"/>
    <s v="Utah"/>
    <x v="0"/>
    <x v="22"/>
    <x v="0"/>
    <n v="3.6"/>
    <x v="1"/>
    <s v="Express"/>
    <s v="No"/>
    <s v="No"/>
    <n v="32"/>
    <s v="Credit Card"/>
    <x v="0"/>
  </r>
  <r>
    <n v="3639"/>
    <x v="37"/>
    <s v="Female"/>
    <x v="21"/>
    <x v="3"/>
    <n v="20"/>
    <s v="Kansas"/>
    <x v="2"/>
    <x v="8"/>
    <x v="1"/>
    <n v="4.5999999999999996"/>
    <x v="1"/>
    <s v="Express"/>
    <s v="No"/>
    <s v="No"/>
    <n v="50"/>
    <s v="PayPal"/>
    <x v="4"/>
  </r>
  <r>
    <n v="3640"/>
    <x v="8"/>
    <s v="Female"/>
    <x v="7"/>
    <x v="2"/>
    <n v="44"/>
    <s v="Illinois"/>
    <x v="2"/>
    <x v="18"/>
    <x v="2"/>
    <n v="3.6"/>
    <x v="1"/>
    <s v="2-Day Shipping"/>
    <s v="No"/>
    <s v="No"/>
    <n v="39"/>
    <s v="Venmo"/>
    <x v="2"/>
  </r>
  <r>
    <n v="3641"/>
    <x v="36"/>
    <s v="Female"/>
    <x v="12"/>
    <x v="3"/>
    <n v="31"/>
    <s v="Minnesota"/>
    <x v="0"/>
    <x v="6"/>
    <x v="1"/>
    <n v="4"/>
    <x v="1"/>
    <s v="Next Day Air"/>
    <s v="No"/>
    <s v="No"/>
    <n v="17"/>
    <s v="PayPal"/>
    <x v="5"/>
  </r>
  <r>
    <n v="3642"/>
    <x v="47"/>
    <s v="Female"/>
    <x v="14"/>
    <x v="2"/>
    <n v="45"/>
    <s v="New York"/>
    <x v="2"/>
    <x v="17"/>
    <x v="3"/>
    <n v="2.7"/>
    <x v="1"/>
    <s v="Free Shipping"/>
    <s v="No"/>
    <s v="No"/>
    <n v="39"/>
    <s v="Bank Transfer"/>
    <x v="6"/>
  </r>
  <r>
    <n v="3643"/>
    <x v="36"/>
    <s v="Female"/>
    <x v="10"/>
    <x v="0"/>
    <n v="71"/>
    <s v="Arizona"/>
    <x v="0"/>
    <x v="1"/>
    <x v="2"/>
    <n v="4.4000000000000004"/>
    <x v="1"/>
    <s v="Store Pickup"/>
    <s v="No"/>
    <s v="No"/>
    <n v="5"/>
    <s v="PayPal"/>
    <x v="2"/>
  </r>
  <r>
    <n v="3644"/>
    <x v="10"/>
    <s v="Female"/>
    <x v="18"/>
    <x v="3"/>
    <n v="96"/>
    <s v="Tennessee"/>
    <x v="3"/>
    <x v="23"/>
    <x v="3"/>
    <n v="3.2"/>
    <x v="1"/>
    <s v="Standard"/>
    <s v="No"/>
    <s v="No"/>
    <n v="47"/>
    <s v="Debit Card"/>
    <x v="2"/>
  </r>
  <r>
    <n v="3645"/>
    <x v="25"/>
    <s v="Female"/>
    <x v="0"/>
    <x v="0"/>
    <n v="32"/>
    <s v="Arkansas"/>
    <x v="2"/>
    <x v="10"/>
    <x v="0"/>
    <n v="2.6"/>
    <x v="1"/>
    <s v="Next Day Air"/>
    <s v="No"/>
    <s v="No"/>
    <n v="18"/>
    <s v="Venmo"/>
    <x v="1"/>
  </r>
  <r>
    <n v="3646"/>
    <x v="21"/>
    <s v="Female"/>
    <x v="21"/>
    <x v="3"/>
    <n v="90"/>
    <s v="Colorado"/>
    <x v="0"/>
    <x v="5"/>
    <x v="2"/>
    <n v="3.4"/>
    <x v="1"/>
    <s v="Free Shipping"/>
    <s v="No"/>
    <s v="No"/>
    <n v="31"/>
    <s v="Credit Card"/>
    <x v="6"/>
  </r>
  <r>
    <n v="3647"/>
    <x v="28"/>
    <s v="Female"/>
    <x v="16"/>
    <x v="3"/>
    <n v="68"/>
    <s v="Nevada"/>
    <x v="2"/>
    <x v="1"/>
    <x v="1"/>
    <n v="5"/>
    <x v="1"/>
    <s v="2-Day Shipping"/>
    <s v="No"/>
    <s v="No"/>
    <n v="39"/>
    <s v="Debit Card"/>
    <x v="0"/>
  </r>
  <r>
    <n v="3648"/>
    <x v="36"/>
    <s v="Female"/>
    <x v="6"/>
    <x v="0"/>
    <n v="45"/>
    <s v="Kansas"/>
    <x v="2"/>
    <x v="0"/>
    <x v="0"/>
    <n v="2.9"/>
    <x v="1"/>
    <s v="Store Pickup"/>
    <s v="No"/>
    <s v="No"/>
    <n v="12"/>
    <s v="Bank Transfer"/>
    <x v="1"/>
  </r>
  <r>
    <n v="3649"/>
    <x v="18"/>
    <s v="Female"/>
    <x v="11"/>
    <x v="0"/>
    <n v="67"/>
    <s v="New York"/>
    <x v="2"/>
    <x v="3"/>
    <x v="0"/>
    <n v="5"/>
    <x v="1"/>
    <s v="Free Shipping"/>
    <s v="No"/>
    <s v="No"/>
    <n v="45"/>
    <s v="Cash"/>
    <x v="4"/>
  </r>
  <r>
    <n v="3650"/>
    <x v="33"/>
    <s v="Female"/>
    <x v="11"/>
    <x v="0"/>
    <n v="57"/>
    <s v="Minnesota"/>
    <x v="2"/>
    <x v="18"/>
    <x v="3"/>
    <n v="4.4000000000000004"/>
    <x v="1"/>
    <s v="Standard"/>
    <s v="No"/>
    <s v="No"/>
    <n v="33"/>
    <s v="Credit Card"/>
    <x v="0"/>
  </r>
  <r>
    <n v="3651"/>
    <x v="47"/>
    <s v="Female"/>
    <x v="2"/>
    <x v="0"/>
    <n v="60"/>
    <s v="Ohio"/>
    <x v="2"/>
    <x v="5"/>
    <x v="2"/>
    <n v="3.5"/>
    <x v="1"/>
    <s v="2-Day Shipping"/>
    <s v="No"/>
    <s v="No"/>
    <n v="3"/>
    <s v="PayPal"/>
    <x v="2"/>
  </r>
  <r>
    <n v="3652"/>
    <x v="30"/>
    <s v="Female"/>
    <x v="8"/>
    <x v="3"/>
    <n v="32"/>
    <s v="Arizona"/>
    <x v="2"/>
    <x v="22"/>
    <x v="1"/>
    <n v="3.8"/>
    <x v="1"/>
    <s v="Express"/>
    <s v="No"/>
    <s v="No"/>
    <n v="5"/>
    <s v="Venmo"/>
    <x v="6"/>
  </r>
  <r>
    <n v="3653"/>
    <x v="7"/>
    <s v="Female"/>
    <x v="8"/>
    <x v="3"/>
    <n v="29"/>
    <s v="Kentucky"/>
    <x v="1"/>
    <x v="23"/>
    <x v="3"/>
    <n v="3.8"/>
    <x v="1"/>
    <s v="Store Pickup"/>
    <s v="No"/>
    <s v="No"/>
    <n v="23"/>
    <s v="Debit Card"/>
    <x v="5"/>
  </r>
  <r>
    <n v="3654"/>
    <x v="29"/>
    <s v="Female"/>
    <x v="7"/>
    <x v="2"/>
    <n v="20"/>
    <s v="Minnesota"/>
    <x v="2"/>
    <x v="24"/>
    <x v="1"/>
    <n v="3.9"/>
    <x v="1"/>
    <s v="Next Day Air"/>
    <s v="No"/>
    <s v="No"/>
    <n v="39"/>
    <s v="Credit Card"/>
    <x v="0"/>
  </r>
  <r>
    <n v="3655"/>
    <x v="3"/>
    <s v="Female"/>
    <x v="16"/>
    <x v="3"/>
    <n v="98"/>
    <s v="Arkansas"/>
    <x v="2"/>
    <x v="14"/>
    <x v="0"/>
    <n v="3.3"/>
    <x v="1"/>
    <s v="Next Day Air"/>
    <s v="No"/>
    <s v="No"/>
    <n v="10"/>
    <s v="Credit Card"/>
    <x v="2"/>
  </r>
  <r>
    <n v="3656"/>
    <x v="30"/>
    <s v="Female"/>
    <x v="1"/>
    <x v="0"/>
    <n v="27"/>
    <s v="Wyoming"/>
    <x v="2"/>
    <x v="22"/>
    <x v="3"/>
    <n v="2.9"/>
    <x v="1"/>
    <s v="Next Day Air"/>
    <s v="No"/>
    <s v="No"/>
    <n v="4"/>
    <s v="Credit Card"/>
    <x v="4"/>
  </r>
  <r>
    <n v="3657"/>
    <x v="25"/>
    <s v="Female"/>
    <x v="14"/>
    <x v="2"/>
    <n v="67"/>
    <s v="North Dakota"/>
    <x v="3"/>
    <x v="17"/>
    <x v="1"/>
    <n v="3.7"/>
    <x v="1"/>
    <s v="2-Day Shipping"/>
    <s v="No"/>
    <s v="No"/>
    <n v="18"/>
    <s v="Credit Card"/>
    <x v="5"/>
  </r>
  <r>
    <n v="3658"/>
    <x v="44"/>
    <s v="Female"/>
    <x v="9"/>
    <x v="1"/>
    <n v="82"/>
    <s v="Alabama"/>
    <x v="0"/>
    <x v="9"/>
    <x v="0"/>
    <n v="3.7"/>
    <x v="1"/>
    <s v="Express"/>
    <s v="No"/>
    <s v="No"/>
    <n v="1"/>
    <s v="Debit Card"/>
    <x v="6"/>
  </r>
  <r>
    <n v="3659"/>
    <x v="48"/>
    <s v="Female"/>
    <x v="17"/>
    <x v="0"/>
    <n v="72"/>
    <s v="Mississippi"/>
    <x v="2"/>
    <x v="23"/>
    <x v="3"/>
    <n v="4.5999999999999996"/>
    <x v="1"/>
    <s v="Standard"/>
    <s v="No"/>
    <s v="No"/>
    <n v="18"/>
    <s v="PayPal"/>
    <x v="0"/>
  </r>
  <r>
    <n v="3660"/>
    <x v="7"/>
    <s v="Female"/>
    <x v="3"/>
    <x v="1"/>
    <n v="77"/>
    <s v="Illinois"/>
    <x v="1"/>
    <x v="0"/>
    <x v="3"/>
    <n v="4.9000000000000004"/>
    <x v="1"/>
    <s v="Store Pickup"/>
    <s v="No"/>
    <s v="No"/>
    <n v="46"/>
    <s v="Bank Transfer"/>
    <x v="2"/>
  </r>
  <r>
    <n v="3661"/>
    <x v="1"/>
    <s v="Female"/>
    <x v="9"/>
    <x v="1"/>
    <n v="74"/>
    <s v="Arkansas"/>
    <x v="0"/>
    <x v="21"/>
    <x v="0"/>
    <n v="3.1"/>
    <x v="1"/>
    <s v="2-Day Shipping"/>
    <s v="No"/>
    <s v="No"/>
    <n v="13"/>
    <s v="Bank Transfer"/>
    <x v="0"/>
  </r>
  <r>
    <n v="3662"/>
    <x v="6"/>
    <s v="Female"/>
    <x v="3"/>
    <x v="1"/>
    <n v="39"/>
    <s v="Kansas"/>
    <x v="1"/>
    <x v="3"/>
    <x v="0"/>
    <n v="3.5"/>
    <x v="1"/>
    <s v="Next Day Air"/>
    <s v="No"/>
    <s v="No"/>
    <n v="5"/>
    <s v="Credit Card"/>
    <x v="0"/>
  </r>
  <r>
    <n v="3663"/>
    <x v="28"/>
    <s v="Female"/>
    <x v="6"/>
    <x v="0"/>
    <n v="80"/>
    <s v="Rhode Island"/>
    <x v="2"/>
    <x v="21"/>
    <x v="1"/>
    <n v="4.9000000000000004"/>
    <x v="1"/>
    <s v="Next Day Air"/>
    <s v="No"/>
    <s v="No"/>
    <n v="11"/>
    <s v="Debit Card"/>
    <x v="1"/>
  </r>
  <r>
    <n v="3664"/>
    <x v="13"/>
    <s v="Female"/>
    <x v="21"/>
    <x v="3"/>
    <n v="59"/>
    <s v="Florida"/>
    <x v="2"/>
    <x v="14"/>
    <x v="2"/>
    <n v="4.4000000000000004"/>
    <x v="1"/>
    <s v="Express"/>
    <s v="No"/>
    <s v="No"/>
    <n v="49"/>
    <s v="Credit Card"/>
    <x v="1"/>
  </r>
  <r>
    <n v="3665"/>
    <x v="6"/>
    <s v="Female"/>
    <x v="14"/>
    <x v="2"/>
    <n v="68"/>
    <s v="Missouri"/>
    <x v="2"/>
    <x v="2"/>
    <x v="3"/>
    <n v="4.4000000000000004"/>
    <x v="1"/>
    <s v="Store Pickup"/>
    <s v="No"/>
    <s v="No"/>
    <n v="1"/>
    <s v="Debit Card"/>
    <x v="0"/>
  </r>
  <r>
    <n v="3666"/>
    <x v="48"/>
    <s v="Female"/>
    <x v="20"/>
    <x v="0"/>
    <n v="77"/>
    <s v="North Carolina"/>
    <x v="2"/>
    <x v="15"/>
    <x v="3"/>
    <n v="3.4"/>
    <x v="1"/>
    <s v="Next Day Air"/>
    <s v="No"/>
    <s v="No"/>
    <n v="11"/>
    <s v="Credit Card"/>
    <x v="3"/>
  </r>
  <r>
    <n v="3667"/>
    <x v="29"/>
    <s v="Female"/>
    <x v="16"/>
    <x v="3"/>
    <n v="50"/>
    <s v="Alabama"/>
    <x v="2"/>
    <x v="8"/>
    <x v="0"/>
    <n v="3"/>
    <x v="1"/>
    <s v="2-Day Shipping"/>
    <s v="No"/>
    <s v="No"/>
    <n v="47"/>
    <s v="Cash"/>
    <x v="6"/>
  </r>
  <r>
    <n v="3668"/>
    <x v="47"/>
    <s v="Female"/>
    <x v="13"/>
    <x v="0"/>
    <n v="45"/>
    <s v="Washington"/>
    <x v="0"/>
    <x v="17"/>
    <x v="3"/>
    <n v="2.6"/>
    <x v="1"/>
    <s v="Next Day Air"/>
    <s v="No"/>
    <s v="No"/>
    <n v="20"/>
    <s v="Venmo"/>
    <x v="5"/>
  </r>
  <r>
    <n v="3669"/>
    <x v="35"/>
    <s v="Female"/>
    <x v="0"/>
    <x v="0"/>
    <n v="71"/>
    <s v="Michigan"/>
    <x v="3"/>
    <x v="23"/>
    <x v="2"/>
    <n v="3.2"/>
    <x v="1"/>
    <s v="Store Pickup"/>
    <s v="No"/>
    <s v="No"/>
    <n v="18"/>
    <s v="Venmo"/>
    <x v="2"/>
  </r>
  <r>
    <n v="3670"/>
    <x v="15"/>
    <s v="Female"/>
    <x v="20"/>
    <x v="0"/>
    <n v="52"/>
    <s v="Washington"/>
    <x v="1"/>
    <x v="5"/>
    <x v="3"/>
    <n v="4.5999999999999996"/>
    <x v="1"/>
    <s v="Store Pickup"/>
    <s v="No"/>
    <s v="No"/>
    <n v="43"/>
    <s v="PayPal"/>
    <x v="3"/>
  </r>
  <r>
    <n v="3671"/>
    <x v="18"/>
    <s v="Female"/>
    <x v="9"/>
    <x v="1"/>
    <n v="50"/>
    <s v="Vermont"/>
    <x v="1"/>
    <x v="3"/>
    <x v="0"/>
    <n v="3.8"/>
    <x v="1"/>
    <s v="Free Shipping"/>
    <s v="No"/>
    <s v="No"/>
    <n v="4"/>
    <s v="PayPal"/>
    <x v="6"/>
  </r>
  <r>
    <n v="3672"/>
    <x v="46"/>
    <s v="Female"/>
    <x v="8"/>
    <x v="3"/>
    <n v="66"/>
    <s v="Illinois"/>
    <x v="0"/>
    <x v="6"/>
    <x v="2"/>
    <n v="4.8"/>
    <x v="1"/>
    <s v="2-Day Shipping"/>
    <s v="No"/>
    <s v="No"/>
    <n v="20"/>
    <s v="Venmo"/>
    <x v="3"/>
  </r>
  <r>
    <n v="3673"/>
    <x v="47"/>
    <s v="Female"/>
    <x v="3"/>
    <x v="1"/>
    <n v="81"/>
    <s v="New York"/>
    <x v="1"/>
    <x v="6"/>
    <x v="3"/>
    <n v="4.5"/>
    <x v="1"/>
    <s v="Free Shipping"/>
    <s v="No"/>
    <s v="No"/>
    <n v="7"/>
    <s v="PayPal"/>
    <x v="5"/>
  </r>
  <r>
    <n v="3674"/>
    <x v="45"/>
    <s v="Female"/>
    <x v="20"/>
    <x v="0"/>
    <n v="28"/>
    <s v="Rhode Island"/>
    <x v="2"/>
    <x v="6"/>
    <x v="2"/>
    <n v="4.2"/>
    <x v="1"/>
    <s v="2-Day Shipping"/>
    <s v="No"/>
    <s v="No"/>
    <n v="31"/>
    <s v="Bank Transfer"/>
    <x v="0"/>
  </r>
  <r>
    <n v="3675"/>
    <x v="25"/>
    <s v="Female"/>
    <x v="8"/>
    <x v="3"/>
    <n v="65"/>
    <s v="Washington"/>
    <x v="2"/>
    <x v="24"/>
    <x v="0"/>
    <n v="2.7"/>
    <x v="1"/>
    <s v="2-Day Shipping"/>
    <s v="No"/>
    <s v="No"/>
    <n v="41"/>
    <s v="Venmo"/>
    <x v="0"/>
  </r>
  <r>
    <n v="3676"/>
    <x v="27"/>
    <s v="Female"/>
    <x v="19"/>
    <x v="3"/>
    <n v="80"/>
    <s v="Virginia"/>
    <x v="2"/>
    <x v="3"/>
    <x v="0"/>
    <n v="4.5"/>
    <x v="1"/>
    <s v="Express"/>
    <s v="No"/>
    <s v="No"/>
    <n v="3"/>
    <s v="Bank Transfer"/>
    <x v="5"/>
  </r>
  <r>
    <n v="3677"/>
    <x v="1"/>
    <s v="Female"/>
    <x v="16"/>
    <x v="3"/>
    <n v="94"/>
    <s v="Wisconsin"/>
    <x v="1"/>
    <x v="11"/>
    <x v="1"/>
    <n v="4.9000000000000004"/>
    <x v="1"/>
    <s v="Free Shipping"/>
    <s v="No"/>
    <s v="No"/>
    <n v="16"/>
    <s v="PayPal"/>
    <x v="5"/>
  </r>
  <r>
    <n v="3678"/>
    <x v="45"/>
    <s v="Female"/>
    <x v="21"/>
    <x v="3"/>
    <n v="30"/>
    <s v="Michigan"/>
    <x v="2"/>
    <x v="0"/>
    <x v="3"/>
    <n v="2.8"/>
    <x v="1"/>
    <s v="Standard"/>
    <s v="No"/>
    <s v="No"/>
    <n v="43"/>
    <s v="Cash"/>
    <x v="2"/>
  </r>
  <r>
    <n v="3679"/>
    <x v="19"/>
    <s v="Female"/>
    <x v="5"/>
    <x v="0"/>
    <n v="45"/>
    <s v="Texas"/>
    <x v="1"/>
    <x v="19"/>
    <x v="3"/>
    <n v="3.5"/>
    <x v="1"/>
    <s v="Standard"/>
    <s v="No"/>
    <s v="No"/>
    <n v="29"/>
    <s v="Bank Transfer"/>
    <x v="0"/>
  </r>
  <r>
    <n v="3680"/>
    <x v="10"/>
    <s v="Female"/>
    <x v="7"/>
    <x v="2"/>
    <n v="91"/>
    <s v="Idaho"/>
    <x v="2"/>
    <x v="10"/>
    <x v="2"/>
    <n v="2.5"/>
    <x v="1"/>
    <s v="Store Pickup"/>
    <s v="No"/>
    <s v="No"/>
    <n v="5"/>
    <s v="Cash"/>
    <x v="4"/>
  </r>
  <r>
    <n v="3681"/>
    <x v="40"/>
    <s v="Female"/>
    <x v="12"/>
    <x v="3"/>
    <n v="36"/>
    <s v="Iowa"/>
    <x v="1"/>
    <x v="24"/>
    <x v="0"/>
    <n v="2.9"/>
    <x v="1"/>
    <s v="Standard"/>
    <s v="No"/>
    <s v="No"/>
    <n v="30"/>
    <s v="Debit Card"/>
    <x v="3"/>
  </r>
  <r>
    <n v="3682"/>
    <x v="8"/>
    <s v="Female"/>
    <x v="24"/>
    <x v="3"/>
    <n v="73"/>
    <s v="Connecticut"/>
    <x v="3"/>
    <x v="23"/>
    <x v="3"/>
    <n v="4.2"/>
    <x v="1"/>
    <s v="Next Day Air"/>
    <s v="No"/>
    <s v="No"/>
    <n v="33"/>
    <s v="Debit Card"/>
    <x v="5"/>
  </r>
  <r>
    <n v="3683"/>
    <x v="32"/>
    <s v="Female"/>
    <x v="5"/>
    <x v="0"/>
    <n v="60"/>
    <s v="Wyoming"/>
    <x v="2"/>
    <x v="1"/>
    <x v="3"/>
    <n v="4.5999999999999996"/>
    <x v="1"/>
    <s v="Store Pickup"/>
    <s v="No"/>
    <s v="No"/>
    <n v="46"/>
    <s v="Venmo"/>
    <x v="4"/>
  </r>
  <r>
    <n v="3684"/>
    <x v="11"/>
    <s v="Female"/>
    <x v="20"/>
    <x v="0"/>
    <n v="77"/>
    <s v="Mississippi"/>
    <x v="2"/>
    <x v="7"/>
    <x v="0"/>
    <n v="3"/>
    <x v="1"/>
    <s v="Free Shipping"/>
    <s v="No"/>
    <s v="No"/>
    <n v="17"/>
    <s v="Venmo"/>
    <x v="0"/>
  </r>
  <r>
    <n v="3685"/>
    <x v="26"/>
    <s v="Female"/>
    <x v="11"/>
    <x v="0"/>
    <n v="86"/>
    <s v="Pennsylvania"/>
    <x v="0"/>
    <x v="4"/>
    <x v="1"/>
    <n v="4.4000000000000004"/>
    <x v="1"/>
    <s v="Free Shipping"/>
    <s v="No"/>
    <s v="No"/>
    <n v="47"/>
    <s v="Credit Card"/>
    <x v="4"/>
  </r>
  <r>
    <n v="3686"/>
    <x v="36"/>
    <s v="Female"/>
    <x v="6"/>
    <x v="0"/>
    <n v="42"/>
    <s v="Tennessee"/>
    <x v="0"/>
    <x v="16"/>
    <x v="2"/>
    <n v="2.6"/>
    <x v="1"/>
    <s v="Standard"/>
    <s v="No"/>
    <s v="No"/>
    <n v="17"/>
    <s v="Cash"/>
    <x v="4"/>
  </r>
  <r>
    <n v="3687"/>
    <x v="35"/>
    <s v="Female"/>
    <x v="3"/>
    <x v="1"/>
    <n v="70"/>
    <s v="Louisiana"/>
    <x v="2"/>
    <x v="4"/>
    <x v="1"/>
    <n v="4.8"/>
    <x v="1"/>
    <s v="Free Shipping"/>
    <s v="No"/>
    <s v="No"/>
    <n v="17"/>
    <s v="Cash"/>
    <x v="4"/>
  </r>
  <r>
    <n v="3688"/>
    <x v="50"/>
    <s v="Female"/>
    <x v="5"/>
    <x v="0"/>
    <n v="44"/>
    <s v="Arkansas"/>
    <x v="0"/>
    <x v="12"/>
    <x v="2"/>
    <n v="2.9"/>
    <x v="1"/>
    <s v="Next Day Air"/>
    <s v="No"/>
    <s v="No"/>
    <n v="28"/>
    <s v="Bank Transfer"/>
    <x v="6"/>
  </r>
  <r>
    <n v="3689"/>
    <x v="16"/>
    <s v="Female"/>
    <x v="12"/>
    <x v="3"/>
    <n v="91"/>
    <s v="West Virginia"/>
    <x v="0"/>
    <x v="3"/>
    <x v="1"/>
    <n v="3"/>
    <x v="1"/>
    <s v="Next Day Air"/>
    <s v="No"/>
    <s v="No"/>
    <n v="8"/>
    <s v="Cash"/>
    <x v="5"/>
  </r>
  <r>
    <n v="3690"/>
    <x v="36"/>
    <s v="Female"/>
    <x v="16"/>
    <x v="3"/>
    <n v="30"/>
    <s v="South Carolina"/>
    <x v="0"/>
    <x v="16"/>
    <x v="3"/>
    <n v="4.5"/>
    <x v="1"/>
    <s v="Standard"/>
    <s v="No"/>
    <s v="No"/>
    <n v="8"/>
    <s v="Bank Transfer"/>
    <x v="3"/>
  </r>
  <r>
    <n v="3691"/>
    <x v="41"/>
    <s v="Female"/>
    <x v="0"/>
    <x v="0"/>
    <n v="23"/>
    <s v="Kansas"/>
    <x v="1"/>
    <x v="10"/>
    <x v="3"/>
    <n v="3.7"/>
    <x v="1"/>
    <s v="Store Pickup"/>
    <s v="No"/>
    <s v="No"/>
    <n v="4"/>
    <s v="Bank Transfer"/>
    <x v="4"/>
  </r>
  <r>
    <n v="3692"/>
    <x v="6"/>
    <s v="Female"/>
    <x v="3"/>
    <x v="1"/>
    <n v="21"/>
    <s v="Michigan"/>
    <x v="3"/>
    <x v="20"/>
    <x v="2"/>
    <n v="4.8"/>
    <x v="1"/>
    <s v="Next Day Air"/>
    <s v="No"/>
    <s v="No"/>
    <n v="24"/>
    <s v="PayPal"/>
    <x v="1"/>
  </r>
  <r>
    <n v="3693"/>
    <x v="35"/>
    <s v="Female"/>
    <x v="7"/>
    <x v="2"/>
    <n v="34"/>
    <s v="Alabama"/>
    <x v="0"/>
    <x v="2"/>
    <x v="1"/>
    <n v="4.8"/>
    <x v="1"/>
    <s v="Free Shipping"/>
    <s v="No"/>
    <s v="No"/>
    <n v="29"/>
    <s v="Cash"/>
    <x v="0"/>
  </r>
  <r>
    <n v="3694"/>
    <x v="17"/>
    <s v="Female"/>
    <x v="0"/>
    <x v="0"/>
    <n v="46"/>
    <s v="South Dakota"/>
    <x v="2"/>
    <x v="10"/>
    <x v="2"/>
    <n v="4.7"/>
    <x v="1"/>
    <s v="2-Day Shipping"/>
    <s v="No"/>
    <s v="No"/>
    <n v="10"/>
    <s v="Venmo"/>
    <x v="1"/>
  </r>
  <r>
    <n v="3695"/>
    <x v="4"/>
    <s v="Female"/>
    <x v="1"/>
    <x v="0"/>
    <n v="41"/>
    <s v="Rhode Island"/>
    <x v="2"/>
    <x v="24"/>
    <x v="0"/>
    <n v="2.6"/>
    <x v="1"/>
    <s v="Express"/>
    <s v="No"/>
    <s v="No"/>
    <n v="11"/>
    <s v="PayPal"/>
    <x v="4"/>
  </r>
  <r>
    <n v="3696"/>
    <x v="21"/>
    <s v="Female"/>
    <x v="11"/>
    <x v="0"/>
    <n v="33"/>
    <s v="Florida"/>
    <x v="2"/>
    <x v="3"/>
    <x v="3"/>
    <n v="4.5999999999999996"/>
    <x v="1"/>
    <s v="Standard"/>
    <s v="No"/>
    <s v="No"/>
    <n v="18"/>
    <s v="Bank Transfer"/>
    <x v="0"/>
  </r>
  <r>
    <n v="3697"/>
    <x v="6"/>
    <s v="Female"/>
    <x v="0"/>
    <x v="0"/>
    <n v="48"/>
    <s v="Connecticut"/>
    <x v="0"/>
    <x v="2"/>
    <x v="3"/>
    <n v="3.4"/>
    <x v="1"/>
    <s v="Next Day Air"/>
    <s v="No"/>
    <s v="No"/>
    <n v="26"/>
    <s v="Bank Transfer"/>
    <x v="2"/>
  </r>
  <r>
    <n v="3698"/>
    <x v="0"/>
    <s v="Female"/>
    <x v="15"/>
    <x v="0"/>
    <n v="66"/>
    <s v="Pennsylvania"/>
    <x v="0"/>
    <x v="6"/>
    <x v="0"/>
    <n v="3"/>
    <x v="1"/>
    <s v="Standard"/>
    <s v="No"/>
    <s v="No"/>
    <n v="39"/>
    <s v="Cash"/>
    <x v="1"/>
  </r>
  <r>
    <n v="3699"/>
    <x v="15"/>
    <s v="Female"/>
    <x v="11"/>
    <x v="0"/>
    <n v="54"/>
    <s v="California"/>
    <x v="3"/>
    <x v="1"/>
    <x v="1"/>
    <n v="4"/>
    <x v="1"/>
    <s v="2-Day Shipping"/>
    <s v="No"/>
    <s v="No"/>
    <n v="4"/>
    <s v="Venmo"/>
    <x v="2"/>
  </r>
  <r>
    <n v="3700"/>
    <x v="47"/>
    <s v="Female"/>
    <x v="21"/>
    <x v="3"/>
    <n v="55"/>
    <s v="Oklahoma"/>
    <x v="2"/>
    <x v="8"/>
    <x v="3"/>
    <n v="2.6"/>
    <x v="1"/>
    <s v="Store Pickup"/>
    <s v="No"/>
    <s v="No"/>
    <n v="24"/>
    <s v="Bank Transfer"/>
    <x v="1"/>
  </r>
  <r>
    <n v="3701"/>
    <x v="48"/>
    <s v="Female"/>
    <x v="8"/>
    <x v="3"/>
    <n v="84"/>
    <s v="North Dakota"/>
    <x v="3"/>
    <x v="4"/>
    <x v="2"/>
    <n v="3.4"/>
    <x v="1"/>
    <s v="Store Pickup"/>
    <s v="No"/>
    <s v="No"/>
    <n v="2"/>
    <s v="Bank Transfer"/>
    <x v="6"/>
  </r>
  <r>
    <n v="3702"/>
    <x v="5"/>
    <s v="Female"/>
    <x v="3"/>
    <x v="1"/>
    <n v="66"/>
    <s v="New Mexico"/>
    <x v="2"/>
    <x v="4"/>
    <x v="1"/>
    <n v="4.5"/>
    <x v="1"/>
    <s v="Store Pickup"/>
    <s v="No"/>
    <s v="No"/>
    <n v="36"/>
    <s v="Cash"/>
    <x v="2"/>
  </r>
  <r>
    <n v="3703"/>
    <x v="44"/>
    <s v="Female"/>
    <x v="9"/>
    <x v="1"/>
    <n v="65"/>
    <s v="South Carolina"/>
    <x v="2"/>
    <x v="21"/>
    <x v="1"/>
    <n v="2.7"/>
    <x v="1"/>
    <s v="Store Pickup"/>
    <s v="No"/>
    <s v="No"/>
    <n v="36"/>
    <s v="Venmo"/>
    <x v="1"/>
  </r>
  <r>
    <n v="3704"/>
    <x v="11"/>
    <s v="Female"/>
    <x v="3"/>
    <x v="1"/>
    <n v="83"/>
    <s v="Michigan"/>
    <x v="1"/>
    <x v="11"/>
    <x v="3"/>
    <n v="2.9"/>
    <x v="1"/>
    <s v="Standard"/>
    <s v="No"/>
    <s v="No"/>
    <n v="23"/>
    <s v="PayPal"/>
    <x v="6"/>
  </r>
  <r>
    <n v="3705"/>
    <x v="33"/>
    <s v="Female"/>
    <x v="12"/>
    <x v="3"/>
    <n v="61"/>
    <s v="Missouri"/>
    <x v="0"/>
    <x v="13"/>
    <x v="0"/>
    <n v="4"/>
    <x v="1"/>
    <s v="Store Pickup"/>
    <s v="No"/>
    <s v="No"/>
    <n v="36"/>
    <s v="Credit Card"/>
    <x v="3"/>
  </r>
  <r>
    <n v="3706"/>
    <x v="48"/>
    <s v="Female"/>
    <x v="11"/>
    <x v="0"/>
    <n v="65"/>
    <s v="Colorado"/>
    <x v="0"/>
    <x v="11"/>
    <x v="2"/>
    <n v="3.2"/>
    <x v="1"/>
    <s v="Free Shipping"/>
    <s v="No"/>
    <s v="No"/>
    <n v="2"/>
    <s v="Debit Card"/>
    <x v="2"/>
  </r>
  <r>
    <n v="3707"/>
    <x v="8"/>
    <s v="Female"/>
    <x v="3"/>
    <x v="1"/>
    <n v="55"/>
    <s v="Kansas"/>
    <x v="2"/>
    <x v="14"/>
    <x v="1"/>
    <n v="4"/>
    <x v="1"/>
    <s v="Store Pickup"/>
    <s v="No"/>
    <s v="No"/>
    <n v="17"/>
    <s v="Cash"/>
    <x v="4"/>
  </r>
  <r>
    <n v="3708"/>
    <x v="25"/>
    <s v="Female"/>
    <x v="24"/>
    <x v="3"/>
    <n v="79"/>
    <s v="Illinois"/>
    <x v="2"/>
    <x v="9"/>
    <x v="3"/>
    <n v="3.4"/>
    <x v="1"/>
    <s v="2-Day Shipping"/>
    <s v="No"/>
    <s v="No"/>
    <n v="19"/>
    <s v="Venmo"/>
    <x v="1"/>
  </r>
  <r>
    <n v="3709"/>
    <x v="37"/>
    <s v="Female"/>
    <x v="15"/>
    <x v="0"/>
    <n v="96"/>
    <s v="South Carolina"/>
    <x v="2"/>
    <x v="16"/>
    <x v="3"/>
    <n v="4.9000000000000004"/>
    <x v="1"/>
    <s v="Express"/>
    <s v="No"/>
    <s v="No"/>
    <n v="41"/>
    <s v="PayPal"/>
    <x v="5"/>
  </r>
  <r>
    <n v="3710"/>
    <x v="18"/>
    <s v="Female"/>
    <x v="20"/>
    <x v="0"/>
    <n v="43"/>
    <s v="Utah"/>
    <x v="2"/>
    <x v="5"/>
    <x v="3"/>
    <n v="3.6"/>
    <x v="1"/>
    <s v="Free Shipping"/>
    <s v="No"/>
    <s v="No"/>
    <n v="27"/>
    <s v="PayPal"/>
    <x v="3"/>
  </r>
  <r>
    <n v="3711"/>
    <x v="52"/>
    <s v="Female"/>
    <x v="16"/>
    <x v="3"/>
    <n v="40"/>
    <s v="Hawaii"/>
    <x v="2"/>
    <x v="22"/>
    <x v="2"/>
    <n v="3.6"/>
    <x v="1"/>
    <s v="2-Day Shipping"/>
    <s v="No"/>
    <s v="No"/>
    <n v="32"/>
    <s v="Bank Transfer"/>
    <x v="0"/>
  </r>
  <r>
    <n v="3712"/>
    <x v="28"/>
    <s v="Female"/>
    <x v="19"/>
    <x v="3"/>
    <n v="62"/>
    <s v="Texas"/>
    <x v="3"/>
    <x v="15"/>
    <x v="3"/>
    <n v="3.2"/>
    <x v="1"/>
    <s v="Free Shipping"/>
    <s v="No"/>
    <s v="No"/>
    <n v="33"/>
    <s v="Cash"/>
    <x v="2"/>
  </r>
  <r>
    <n v="3713"/>
    <x v="47"/>
    <s v="Female"/>
    <x v="0"/>
    <x v="0"/>
    <n v="72"/>
    <s v="Oregon"/>
    <x v="2"/>
    <x v="2"/>
    <x v="1"/>
    <n v="3.7"/>
    <x v="1"/>
    <s v="2-Day Shipping"/>
    <s v="No"/>
    <s v="No"/>
    <n v="24"/>
    <s v="PayPal"/>
    <x v="3"/>
  </r>
  <r>
    <n v="3714"/>
    <x v="34"/>
    <s v="Female"/>
    <x v="9"/>
    <x v="1"/>
    <n v="87"/>
    <s v="Arizona"/>
    <x v="2"/>
    <x v="15"/>
    <x v="1"/>
    <n v="2.6"/>
    <x v="1"/>
    <s v="Express"/>
    <s v="No"/>
    <s v="No"/>
    <n v="31"/>
    <s v="Debit Card"/>
    <x v="6"/>
  </r>
  <r>
    <n v="3715"/>
    <x v="20"/>
    <s v="Female"/>
    <x v="19"/>
    <x v="3"/>
    <n v="31"/>
    <s v="New York"/>
    <x v="1"/>
    <x v="15"/>
    <x v="0"/>
    <n v="3.9"/>
    <x v="1"/>
    <s v="Express"/>
    <s v="No"/>
    <s v="No"/>
    <n v="35"/>
    <s v="Credit Card"/>
    <x v="1"/>
  </r>
  <r>
    <n v="3716"/>
    <x v="6"/>
    <s v="Female"/>
    <x v="12"/>
    <x v="3"/>
    <n v="34"/>
    <s v="Nebraska"/>
    <x v="1"/>
    <x v="20"/>
    <x v="3"/>
    <n v="3.4"/>
    <x v="1"/>
    <s v="Free Shipping"/>
    <s v="No"/>
    <s v="No"/>
    <n v="2"/>
    <s v="Bank Transfer"/>
    <x v="5"/>
  </r>
  <r>
    <n v="3717"/>
    <x v="9"/>
    <s v="Female"/>
    <x v="5"/>
    <x v="0"/>
    <n v="53"/>
    <s v="Vermont"/>
    <x v="2"/>
    <x v="4"/>
    <x v="3"/>
    <n v="3.4"/>
    <x v="1"/>
    <s v="Next Day Air"/>
    <s v="No"/>
    <s v="No"/>
    <n v="42"/>
    <s v="Debit Card"/>
    <x v="6"/>
  </r>
  <r>
    <n v="3718"/>
    <x v="4"/>
    <s v="Female"/>
    <x v="17"/>
    <x v="0"/>
    <n v="85"/>
    <s v="Maryland"/>
    <x v="3"/>
    <x v="3"/>
    <x v="2"/>
    <n v="4.2"/>
    <x v="1"/>
    <s v="Express"/>
    <s v="No"/>
    <s v="No"/>
    <n v="47"/>
    <s v="Bank Transfer"/>
    <x v="6"/>
  </r>
  <r>
    <n v="3719"/>
    <x v="24"/>
    <s v="Female"/>
    <x v="13"/>
    <x v="0"/>
    <n v="50"/>
    <s v="Tennessee"/>
    <x v="0"/>
    <x v="2"/>
    <x v="3"/>
    <n v="2.9"/>
    <x v="1"/>
    <s v="Standard"/>
    <s v="No"/>
    <s v="No"/>
    <n v="44"/>
    <s v="Bank Transfer"/>
    <x v="4"/>
  </r>
  <r>
    <n v="3720"/>
    <x v="30"/>
    <s v="Female"/>
    <x v="13"/>
    <x v="0"/>
    <n v="91"/>
    <s v="Pennsylvania"/>
    <x v="2"/>
    <x v="16"/>
    <x v="2"/>
    <n v="4.0999999999999996"/>
    <x v="1"/>
    <s v="Free Shipping"/>
    <s v="No"/>
    <s v="No"/>
    <n v="8"/>
    <s v="Bank Transfer"/>
    <x v="6"/>
  </r>
  <r>
    <n v="3721"/>
    <x v="3"/>
    <s v="Female"/>
    <x v="19"/>
    <x v="3"/>
    <n v="56"/>
    <s v="South Carolina"/>
    <x v="2"/>
    <x v="15"/>
    <x v="3"/>
    <n v="3.6"/>
    <x v="1"/>
    <s v="Free Shipping"/>
    <s v="No"/>
    <s v="No"/>
    <n v="13"/>
    <s v="Credit Card"/>
    <x v="3"/>
  </r>
  <r>
    <n v="3722"/>
    <x v="46"/>
    <s v="Female"/>
    <x v="7"/>
    <x v="2"/>
    <n v="60"/>
    <s v="Connecticut"/>
    <x v="0"/>
    <x v="6"/>
    <x v="3"/>
    <n v="4"/>
    <x v="1"/>
    <s v="Next Day Air"/>
    <s v="No"/>
    <s v="No"/>
    <n v="10"/>
    <s v="Cash"/>
    <x v="2"/>
  </r>
  <r>
    <n v="3723"/>
    <x v="51"/>
    <s v="Female"/>
    <x v="14"/>
    <x v="2"/>
    <n v="34"/>
    <s v="Kentucky"/>
    <x v="3"/>
    <x v="22"/>
    <x v="3"/>
    <n v="4"/>
    <x v="1"/>
    <s v="Standard"/>
    <s v="No"/>
    <s v="No"/>
    <n v="1"/>
    <s v="Credit Card"/>
    <x v="0"/>
  </r>
  <r>
    <n v="3724"/>
    <x v="8"/>
    <s v="Female"/>
    <x v="3"/>
    <x v="1"/>
    <n v="30"/>
    <s v="Rhode Island"/>
    <x v="2"/>
    <x v="19"/>
    <x v="1"/>
    <n v="3.6"/>
    <x v="1"/>
    <s v="Free Shipping"/>
    <s v="No"/>
    <s v="No"/>
    <n v="1"/>
    <s v="Debit Card"/>
    <x v="5"/>
  </r>
  <r>
    <n v="3725"/>
    <x v="11"/>
    <s v="Female"/>
    <x v="24"/>
    <x v="3"/>
    <n v="71"/>
    <s v="Colorado"/>
    <x v="0"/>
    <x v="14"/>
    <x v="0"/>
    <n v="3.1"/>
    <x v="1"/>
    <s v="Express"/>
    <s v="No"/>
    <s v="No"/>
    <n v="18"/>
    <s v="Bank Transfer"/>
    <x v="2"/>
  </r>
  <r>
    <n v="3726"/>
    <x v="20"/>
    <s v="Female"/>
    <x v="10"/>
    <x v="0"/>
    <n v="100"/>
    <s v="Oklahoma"/>
    <x v="1"/>
    <x v="2"/>
    <x v="0"/>
    <n v="4.4000000000000004"/>
    <x v="1"/>
    <s v="Next Day Air"/>
    <s v="No"/>
    <s v="No"/>
    <n v="2"/>
    <s v="PayPal"/>
    <x v="2"/>
  </r>
  <r>
    <n v="3727"/>
    <x v="36"/>
    <s v="Female"/>
    <x v="22"/>
    <x v="3"/>
    <n v="85"/>
    <s v="Idaho"/>
    <x v="3"/>
    <x v="20"/>
    <x v="3"/>
    <n v="4.3"/>
    <x v="1"/>
    <s v="Next Day Air"/>
    <s v="No"/>
    <s v="No"/>
    <n v="36"/>
    <s v="Debit Card"/>
    <x v="6"/>
  </r>
  <r>
    <n v="3728"/>
    <x v="38"/>
    <s v="Female"/>
    <x v="20"/>
    <x v="0"/>
    <n v="83"/>
    <s v="Maine"/>
    <x v="2"/>
    <x v="9"/>
    <x v="2"/>
    <n v="3.5"/>
    <x v="1"/>
    <s v="Next Day Air"/>
    <s v="No"/>
    <s v="No"/>
    <n v="17"/>
    <s v="Debit Card"/>
    <x v="4"/>
  </r>
  <r>
    <n v="3729"/>
    <x v="46"/>
    <s v="Female"/>
    <x v="14"/>
    <x v="2"/>
    <n v="31"/>
    <s v="Vermont"/>
    <x v="0"/>
    <x v="16"/>
    <x v="0"/>
    <n v="3"/>
    <x v="1"/>
    <s v="Standard"/>
    <s v="No"/>
    <s v="No"/>
    <n v="1"/>
    <s v="Debit Card"/>
    <x v="2"/>
  </r>
  <r>
    <n v="3730"/>
    <x v="48"/>
    <s v="Female"/>
    <x v="23"/>
    <x v="1"/>
    <n v="82"/>
    <s v="Rhode Island"/>
    <x v="2"/>
    <x v="11"/>
    <x v="1"/>
    <n v="4.7"/>
    <x v="1"/>
    <s v="2-Day Shipping"/>
    <s v="No"/>
    <s v="No"/>
    <n v="50"/>
    <s v="Cash"/>
    <x v="3"/>
  </r>
  <r>
    <n v="3731"/>
    <x v="5"/>
    <s v="Female"/>
    <x v="5"/>
    <x v="0"/>
    <n v="79"/>
    <s v="Florida"/>
    <x v="2"/>
    <x v="11"/>
    <x v="2"/>
    <n v="2.5"/>
    <x v="1"/>
    <s v="2-Day Shipping"/>
    <s v="No"/>
    <s v="No"/>
    <n v="3"/>
    <s v="Credit Card"/>
    <x v="4"/>
  </r>
  <r>
    <n v="3732"/>
    <x v="22"/>
    <s v="Female"/>
    <x v="19"/>
    <x v="3"/>
    <n v="62"/>
    <s v="West Virginia"/>
    <x v="2"/>
    <x v="12"/>
    <x v="1"/>
    <n v="3.1"/>
    <x v="1"/>
    <s v="2-Day Shipping"/>
    <s v="No"/>
    <s v="No"/>
    <n v="45"/>
    <s v="PayPal"/>
    <x v="3"/>
  </r>
  <r>
    <n v="3733"/>
    <x v="24"/>
    <s v="Female"/>
    <x v="9"/>
    <x v="1"/>
    <n v="92"/>
    <s v="Indiana"/>
    <x v="0"/>
    <x v="6"/>
    <x v="1"/>
    <n v="3.3"/>
    <x v="1"/>
    <s v="Free Shipping"/>
    <s v="No"/>
    <s v="No"/>
    <n v="28"/>
    <s v="PayPal"/>
    <x v="2"/>
  </r>
  <r>
    <n v="3734"/>
    <x v="15"/>
    <s v="Female"/>
    <x v="20"/>
    <x v="0"/>
    <n v="58"/>
    <s v="Illinois"/>
    <x v="2"/>
    <x v="1"/>
    <x v="3"/>
    <n v="4.7"/>
    <x v="1"/>
    <s v="Next Day Air"/>
    <s v="No"/>
    <s v="No"/>
    <n v="6"/>
    <s v="Debit Card"/>
    <x v="6"/>
  </r>
  <r>
    <n v="3735"/>
    <x v="21"/>
    <s v="Female"/>
    <x v="15"/>
    <x v="0"/>
    <n v="88"/>
    <s v="California"/>
    <x v="2"/>
    <x v="19"/>
    <x v="1"/>
    <n v="3.4"/>
    <x v="1"/>
    <s v="Next Day Air"/>
    <s v="No"/>
    <s v="No"/>
    <n v="33"/>
    <s v="Debit Card"/>
    <x v="6"/>
  </r>
  <r>
    <n v="3736"/>
    <x v="21"/>
    <s v="Female"/>
    <x v="3"/>
    <x v="1"/>
    <n v="44"/>
    <s v="Massachusetts"/>
    <x v="0"/>
    <x v="20"/>
    <x v="1"/>
    <n v="3.1"/>
    <x v="1"/>
    <s v="2-Day Shipping"/>
    <s v="No"/>
    <s v="No"/>
    <n v="29"/>
    <s v="PayPal"/>
    <x v="2"/>
  </r>
  <r>
    <n v="3737"/>
    <x v="32"/>
    <s v="Female"/>
    <x v="2"/>
    <x v="0"/>
    <n v="56"/>
    <s v="Idaho"/>
    <x v="2"/>
    <x v="16"/>
    <x v="1"/>
    <n v="4.5999999999999996"/>
    <x v="1"/>
    <s v="Store Pickup"/>
    <s v="No"/>
    <s v="No"/>
    <n v="2"/>
    <s v="PayPal"/>
    <x v="6"/>
  </r>
  <r>
    <n v="3738"/>
    <x v="1"/>
    <s v="Female"/>
    <x v="16"/>
    <x v="3"/>
    <n v="23"/>
    <s v="Kentucky"/>
    <x v="1"/>
    <x v="1"/>
    <x v="0"/>
    <n v="4.9000000000000004"/>
    <x v="1"/>
    <s v="Free Shipping"/>
    <s v="No"/>
    <s v="No"/>
    <n v="43"/>
    <s v="PayPal"/>
    <x v="4"/>
  </r>
  <r>
    <n v="3739"/>
    <x v="50"/>
    <s v="Female"/>
    <x v="6"/>
    <x v="0"/>
    <n v="45"/>
    <s v="Delaware"/>
    <x v="2"/>
    <x v="18"/>
    <x v="1"/>
    <n v="2.7"/>
    <x v="1"/>
    <s v="Free Shipping"/>
    <s v="No"/>
    <s v="No"/>
    <n v="48"/>
    <s v="Cash"/>
    <x v="0"/>
  </r>
  <r>
    <n v="3740"/>
    <x v="21"/>
    <s v="Female"/>
    <x v="12"/>
    <x v="3"/>
    <n v="31"/>
    <s v="Idaho"/>
    <x v="2"/>
    <x v="8"/>
    <x v="3"/>
    <n v="4.2"/>
    <x v="1"/>
    <s v="Free Shipping"/>
    <s v="No"/>
    <s v="No"/>
    <n v="43"/>
    <s v="Credit Card"/>
    <x v="1"/>
  </r>
  <r>
    <n v="3741"/>
    <x v="32"/>
    <s v="Female"/>
    <x v="13"/>
    <x v="0"/>
    <n v="96"/>
    <s v="Virginia"/>
    <x v="2"/>
    <x v="5"/>
    <x v="2"/>
    <n v="2.6"/>
    <x v="1"/>
    <s v="Store Pickup"/>
    <s v="No"/>
    <s v="No"/>
    <n v="26"/>
    <s v="Debit Card"/>
    <x v="4"/>
  </r>
  <r>
    <n v="3742"/>
    <x v="44"/>
    <s v="Female"/>
    <x v="5"/>
    <x v="0"/>
    <n v="96"/>
    <s v="Arizona"/>
    <x v="2"/>
    <x v="7"/>
    <x v="1"/>
    <n v="3.2"/>
    <x v="1"/>
    <s v="2-Day Shipping"/>
    <s v="No"/>
    <s v="No"/>
    <n v="26"/>
    <s v="Debit Card"/>
    <x v="4"/>
  </r>
  <r>
    <n v="3743"/>
    <x v="19"/>
    <s v="Female"/>
    <x v="5"/>
    <x v="0"/>
    <n v="80"/>
    <s v="Maryland"/>
    <x v="2"/>
    <x v="0"/>
    <x v="3"/>
    <n v="4.4000000000000004"/>
    <x v="1"/>
    <s v="Standard"/>
    <s v="No"/>
    <s v="No"/>
    <n v="50"/>
    <s v="Credit Card"/>
    <x v="4"/>
  </r>
  <r>
    <n v="3744"/>
    <x v="46"/>
    <s v="Female"/>
    <x v="13"/>
    <x v="0"/>
    <n v="28"/>
    <s v="Idaho"/>
    <x v="0"/>
    <x v="17"/>
    <x v="3"/>
    <n v="3.6"/>
    <x v="1"/>
    <s v="Free Shipping"/>
    <s v="No"/>
    <s v="No"/>
    <n v="36"/>
    <s v="Debit Card"/>
    <x v="3"/>
  </r>
  <r>
    <n v="3745"/>
    <x v="41"/>
    <s v="Female"/>
    <x v="15"/>
    <x v="0"/>
    <n v="51"/>
    <s v="New Jersey"/>
    <x v="2"/>
    <x v="0"/>
    <x v="2"/>
    <n v="2.7"/>
    <x v="1"/>
    <s v="Next Day Air"/>
    <s v="No"/>
    <s v="No"/>
    <n v="26"/>
    <s v="Bank Transfer"/>
    <x v="0"/>
  </r>
  <r>
    <n v="3746"/>
    <x v="52"/>
    <s v="Female"/>
    <x v="20"/>
    <x v="0"/>
    <n v="41"/>
    <s v="Washington"/>
    <x v="0"/>
    <x v="9"/>
    <x v="1"/>
    <n v="4.3"/>
    <x v="1"/>
    <s v="Express"/>
    <s v="No"/>
    <s v="No"/>
    <n v="2"/>
    <s v="Debit Card"/>
    <x v="5"/>
  </r>
  <r>
    <n v="3747"/>
    <x v="10"/>
    <s v="Female"/>
    <x v="7"/>
    <x v="2"/>
    <n v="99"/>
    <s v="Idaho"/>
    <x v="3"/>
    <x v="17"/>
    <x v="2"/>
    <n v="2.6"/>
    <x v="1"/>
    <s v="Next Day Air"/>
    <s v="No"/>
    <s v="No"/>
    <n v="49"/>
    <s v="PayPal"/>
    <x v="5"/>
  </r>
  <r>
    <n v="3748"/>
    <x v="8"/>
    <s v="Female"/>
    <x v="1"/>
    <x v="0"/>
    <n v="53"/>
    <s v="Rhode Island"/>
    <x v="0"/>
    <x v="8"/>
    <x v="1"/>
    <n v="4.3"/>
    <x v="1"/>
    <s v="Store Pickup"/>
    <s v="No"/>
    <s v="No"/>
    <n v="32"/>
    <s v="Bank Transfer"/>
    <x v="4"/>
  </r>
  <r>
    <n v="3749"/>
    <x v="50"/>
    <s v="Female"/>
    <x v="21"/>
    <x v="3"/>
    <n v="25"/>
    <s v="Delaware"/>
    <x v="2"/>
    <x v="10"/>
    <x v="3"/>
    <n v="3.9"/>
    <x v="1"/>
    <s v="2-Day Shipping"/>
    <s v="No"/>
    <s v="No"/>
    <n v="3"/>
    <s v="Venmo"/>
    <x v="2"/>
  </r>
  <r>
    <n v="3750"/>
    <x v="41"/>
    <s v="Female"/>
    <x v="0"/>
    <x v="0"/>
    <n v="95"/>
    <s v="Alaska"/>
    <x v="0"/>
    <x v="22"/>
    <x v="0"/>
    <n v="2.9"/>
    <x v="1"/>
    <s v="2-Day Shipping"/>
    <s v="No"/>
    <s v="No"/>
    <n v="38"/>
    <s v="Venmo"/>
    <x v="6"/>
  </r>
  <r>
    <n v="3751"/>
    <x v="32"/>
    <s v="Female"/>
    <x v="15"/>
    <x v="0"/>
    <n v="88"/>
    <s v="Arizona"/>
    <x v="2"/>
    <x v="9"/>
    <x v="3"/>
    <n v="3.1"/>
    <x v="1"/>
    <s v="Free Shipping"/>
    <s v="No"/>
    <s v="No"/>
    <n v="5"/>
    <s v="PayPal"/>
    <x v="5"/>
  </r>
  <r>
    <n v="3752"/>
    <x v="24"/>
    <s v="Female"/>
    <x v="16"/>
    <x v="3"/>
    <n v="97"/>
    <s v="Alabama"/>
    <x v="1"/>
    <x v="5"/>
    <x v="3"/>
    <n v="4.2"/>
    <x v="1"/>
    <s v="Free Shipping"/>
    <s v="No"/>
    <s v="No"/>
    <n v="8"/>
    <s v="Credit Card"/>
    <x v="6"/>
  </r>
  <r>
    <n v="3753"/>
    <x v="41"/>
    <s v="Female"/>
    <x v="7"/>
    <x v="2"/>
    <n v="81"/>
    <s v="Washington"/>
    <x v="0"/>
    <x v="6"/>
    <x v="0"/>
    <n v="4.0999999999999996"/>
    <x v="1"/>
    <s v="2-Day Shipping"/>
    <s v="No"/>
    <s v="No"/>
    <n v="43"/>
    <s v="Venmo"/>
    <x v="1"/>
  </r>
  <r>
    <n v="3754"/>
    <x v="31"/>
    <s v="Female"/>
    <x v="12"/>
    <x v="3"/>
    <n v="26"/>
    <s v="Louisiana"/>
    <x v="1"/>
    <x v="2"/>
    <x v="0"/>
    <n v="4.2"/>
    <x v="1"/>
    <s v="Next Day Air"/>
    <s v="No"/>
    <s v="No"/>
    <n v="22"/>
    <s v="Bank Transfer"/>
    <x v="0"/>
  </r>
  <r>
    <n v="3755"/>
    <x v="5"/>
    <s v="Female"/>
    <x v="9"/>
    <x v="1"/>
    <n v="41"/>
    <s v="Nebraska"/>
    <x v="2"/>
    <x v="2"/>
    <x v="2"/>
    <n v="4.4000000000000004"/>
    <x v="1"/>
    <s v="Express"/>
    <s v="No"/>
    <s v="No"/>
    <n v="10"/>
    <s v="Cash"/>
    <x v="6"/>
  </r>
  <r>
    <n v="3756"/>
    <x v="14"/>
    <s v="Female"/>
    <x v="11"/>
    <x v="0"/>
    <n v="93"/>
    <s v="Pennsylvania"/>
    <x v="2"/>
    <x v="15"/>
    <x v="3"/>
    <n v="3.4"/>
    <x v="1"/>
    <s v="Free Shipping"/>
    <s v="No"/>
    <s v="No"/>
    <n v="26"/>
    <s v="Credit Card"/>
    <x v="5"/>
  </r>
  <r>
    <n v="3757"/>
    <x v="14"/>
    <s v="Female"/>
    <x v="11"/>
    <x v="0"/>
    <n v="69"/>
    <s v="South Carolina"/>
    <x v="0"/>
    <x v="11"/>
    <x v="1"/>
    <n v="4.8"/>
    <x v="1"/>
    <s v="Express"/>
    <s v="No"/>
    <s v="No"/>
    <n v="42"/>
    <s v="Debit Card"/>
    <x v="4"/>
  </r>
  <r>
    <n v="3758"/>
    <x v="12"/>
    <s v="Female"/>
    <x v="11"/>
    <x v="0"/>
    <n v="44"/>
    <s v="California"/>
    <x v="0"/>
    <x v="16"/>
    <x v="3"/>
    <n v="4.5"/>
    <x v="1"/>
    <s v="2-Day Shipping"/>
    <s v="No"/>
    <s v="No"/>
    <n v="33"/>
    <s v="Cash"/>
    <x v="1"/>
  </r>
  <r>
    <n v="3759"/>
    <x v="12"/>
    <s v="Female"/>
    <x v="3"/>
    <x v="1"/>
    <n v="54"/>
    <s v="Indiana"/>
    <x v="1"/>
    <x v="13"/>
    <x v="1"/>
    <n v="2.7"/>
    <x v="1"/>
    <s v="Store Pickup"/>
    <s v="No"/>
    <s v="No"/>
    <n v="23"/>
    <s v="Bank Transfer"/>
    <x v="3"/>
  </r>
  <r>
    <n v="3760"/>
    <x v="42"/>
    <s v="Female"/>
    <x v="4"/>
    <x v="1"/>
    <n v="61"/>
    <s v="Missouri"/>
    <x v="2"/>
    <x v="6"/>
    <x v="1"/>
    <n v="3.5"/>
    <x v="1"/>
    <s v="Store Pickup"/>
    <s v="No"/>
    <s v="No"/>
    <n v="30"/>
    <s v="Venmo"/>
    <x v="3"/>
  </r>
  <r>
    <n v="3761"/>
    <x v="13"/>
    <s v="Female"/>
    <x v="20"/>
    <x v="0"/>
    <n v="80"/>
    <s v="Connecticut"/>
    <x v="2"/>
    <x v="15"/>
    <x v="3"/>
    <n v="3.1"/>
    <x v="1"/>
    <s v="Next Day Air"/>
    <s v="No"/>
    <s v="No"/>
    <n v="36"/>
    <s v="PayPal"/>
    <x v="1"/>
  </r>
  <r>
    <n v="3762"/>
    <x v="52"/>
    <s v="Female"/>
    <x v="21"/>
    <x v="3"/>
    <n v="30"/>
    <s v="Nevada"/>
    <x v="2"/>
    <x v="14"/>
    <x v="2"/>
    <n v="2.8"/>
    <x v="1"/>
    <s v="Next Day Air"/>
    <s v="No"/>
    <s v="No"/>
    <n v="3"/>
    <s v="Venmo"/>
    <x v="6"/>
  </r>
  <r>
    <n v="3763"/>
    <x v="13"/>
    <s v="Female"/>
    <x v="6"/>
    <x v="0"/>
    <n v="94"/>
    <s v="New York"/>
    <x v="0"/>
    <x v="14"/>
    <x v="3"/>
    <n v="2.9"/>
    <x v="1"/>
    <s v="Store Pickup"/>
    <s v="No"/>
    <s v="No"/>
    <n v="13"/>
    <s v="PayPal"/>
    <x v="2"/>
  </r>
  <r>
    <n v="3764"/>
    <x v="7"/>
    <s v="Female"/>
    <x v="5"/>
    <x v="0"/>
    <n v="24"/>
    <s v="Oklahoma"/>
    <x v="3"/>
    <x v="16"/>
    <x v="0"/>
    <n v="4.5"/>
    <x v="1"/>
    <s v="Standard"/>
    <s v="No"/>
    <s v="No"/>
    <n v="38"/>
    <s v="Cash"/>
    <x v="6"/>
  </r>
  <r>
    <n v="3765"/>
    <x v="24"/>
    <s v="Female"/>
    <x v="20"/>
    <x v="0"/>
    <n v="21"/>
    <s v="South Dakota"/>
    <x v="2"/>
    <x v="1"/>
    <x v="3"/>
    <n v="3.5"/>
    <x v="1"/>
    <s v="Next Day Air"/>
    <s v="No"/>
    <s v="No"/>
    <n v="19"/>
    <s v="Venmo"/>
    <x v="5"/>
  </r>
  <r>
    <n v="3766"/>
    <x v="40"/>
    <s v="Female"/>
    <x v="16"/>
    <x v="3"/>
    <n v="52"/>
    <s v="Missouri"/>
    <x v="2"/>
    <x v="14"/>
    <x v="2"/>
    <n v="4.3"/>
    <x v="1"/>
    <s v="Standard"/>
    <s v="No"/>
    <s v="No"/>
    <n v="14"/>
    <s v="Bank Transfer"/>
    <x v="4"/>
  </r>
  <r>
    <n v="3767"/>
    <x v="46"/>
    <s v="Female"/>
    <x v="8"/>
    <x v="3"/>
    <n v="59"/>
    <s v="Texas"/>
    <x v="2"/>
    <x v="13"/>
    <x v="3"/>
    <n v="4.9000000000000004"/>
    <x v="1"/>
    <s v="Next Day Air"/>
    <s v="No"/>
    <s v="No"/>
    <n v="43"/>
    <s v="Debit Card"/>
    <x v="2"/>
  </r>
  <r>
    <n v="3768"/>
    <x v="35"/>
    <s v="Female"/>
    <x v="6"/>
    <x v="0"/>
    <n v="51"/>
    <s v="New York"/>
    <x v="3"/>
    <x v="13"/>
    <x v="2"/>
    <n v="3.1"/>
    <x v="1"/>
    <s v="Free Shipping"/>
    <s v="No"/>
    <s v="No"/>
    <n v="10"/>
    <s v="Bank Transfer"/>
    <x v="0"/>
  </r>
  <r>
    <n v="3769"/>
    <x v="2"/>
    <s v="Female"/>
    <x v="1"/>
    <x v="0"/>
    <n v="35"/>
    <s v="Vermont"/>
    <x v="2"/>
    <x v="22"/>
    <x v="0"/>
    <n v="4"/>
    <x v="1"/>
    <s v="Free Shipping"/>
    <s v="No"/>
    <s v="No"/>
    <n v="34"/>
    <s v="Bank Transfer"/>
    <x v="3"/>
  </r>
  <r>
    <n v="3770"/>
    <x v="47"/>
    <s v="Female"/>
    <x v="24"/>
    <x v="3"/>
    <n v="87"/>
    <s v="Arizona"/>
    <x v="0"/>
    <x v="14"/>
    <x v="2"/>
    <n v="3.6"/>
    <x v="1"/>
    <s v="Standard"/>
    <s v="No"/>
    <s v="No"/>
    <n v="31"/>
    <s v="Venmo"/>
    <x v="2"/>
  </r>
  <r>
    <n v="3771"/>
    <x v="51"/>
    <s v="Female"/>
    <x v="13"/>
    <x v="0"/>
    <n v="42"/>
    <s v="Montana"/>
    <x v="0"/>
    <x v="13"/>
    <x v="2"/>
    <n v="4"/>
    <x v="1"/>
    <s v="Store Pickup"/>
    <s v="No"/>
    <s v="No"/>
    <n v="34"/>
    <s v="Bank Transfer"/>
    <x v="1"/>
  </r>
  <r>
    <n v="3772"/>
    <x v="3"/>
    <s v="Female"/>
    <x v="17"/>
    <x v="0"/>
    <n v="86"/>
    <s v="Oklahoma"/>
    <x v="2"/>
    <x v="16"/>
    <x v="0"/>
    <n v="2.6"/>
    <x v="1"/>
    <s v="Express"/>
    <s v="No"/>
    <s v="No"/>
    <n v="28"/>
    <s v="Venmo"/>
    <x v="4"/>
  </r>
  <r>
    <n v="3773"/>
    <x v="42"/>
    <s v="Female"/>
    <x v="13"/>
    <x v="0"/>
    <n v="26"/>
    <s v="New Hampshire"/>
    <x v="0"/>
    <x v="22"/>
    <x v="3"/>
    <n v="3.1"/>
    <x v="1"/>
    <s v="Next Day Air"/>
    <s v="No"/>
    <s v="No"/>
    <n v="35"/>
    <s v="Cash"/>
    <x v="2"/>
  </r>
  <r>
    <n v="3774"/>
    <x v="15"/>
    <s v="Female"/>
    <x v="1"/>
    <x v="0"/>
    <n v="60"/>
    <s v="Wisconsin"/>
    <x v="2"/>
    <x v="10"/>
    <x v="2"/>
    <n v="3.5"/>
    <x v="1"/>
    <s v="Store Pickup"/>
    <s v="No"/>
    <s v="No"/>
    <n v="41"/>
    <s v="Cash"/>
    <x v="3"/>
  </r>
  <r>
    <n v="3775"/>
    <x v="9"/>
    <s v="Female"/>
    <x v="24"/>
    <x v="3"/>
    <n v="83"/>
    <s v="Alaska"/>
    <x v="1"/>
    <x v="17"/>
    <x v="0"/>
    <n v="3.9"/>
    <x v="1"/>
    <s v="Standard"/>
    <s v="No"/>
    <s v="No"/>
    <n v="48"/>
    <s v="PayPal"/>
    <x v="0"/>
  </r>
  <r>
    <n v="3776"/>
    <x v="38"/>
    <s v="Female"/>
    <x v="22"/>
    <x v="3"/>
    <n v="63"/>
    <s v="South Dakota"/>
    <x v="1"/>
    <x v="6"/>
    <x v="1"/>
    <n v="2.7"/>
    <x v="1"/>
    <s v="2-Day Shipping"/>
    <s v="No"/>
    <s v="No"/>
    <n v="45"/>
    <s v="Cash"/>
    <x v="3"/>
  </r>
  <r>
    <n v="3777"/>
    <x v="1"/>
    <s v="Female"/>
    <x v="4"/>
    <x v="1"/>
    <n v="25"/>
    <s v="Alaska"/>
    <x v="0"/>
    <x v="8"/>
    <x v="1"/>
    <n v="4.0999999999999996"/>
    <x v="1"/>
    <s v="Standard"/>
    <s v="No"/>
    <s v="No"/>
    <n v="10"/>
    <s v="Credit Card"/>
    <x v="0"/>
  </r>
  <r>
    <n v="3778"/>
    <x v="49"/>
    <s v="Female"/>
    <x v="6"/>
    <x v="0"/>
    <n v="65"/>
    <s v="Utah"/>
    <x v="2"/>
    <x v="1"/>
    <x v="3"/>
    <n v="4.3"/>
    <x v="1"/>
    <s v="Express"/>
    <s v="No"/>
    <s v="No"/>
    <n v="9"/>
    <s v="Cash"/>
    <x v="1"/>
  </r>
  <r>
    <n v="3779"/>
    <x v="15"/>
    <s v="Female"/>
    <x v="4"/>
    <x v="1"/>
    <n v="60"/>
    <s v="South Dakota"/>
    <x v="2"/>
    <x v="17"/>
    <x v="3"/>
    <n v="2.9"/>
    <x v="1"/>
    <s v="Free Shipping"/>
    <s v="No"/>
    <s v="No"/>
    <n v="30"/>
    <s v="Debit Card"/>
    <x v="2"/>
  </r>
  <r>
    <n v="3780"/>
    <x v="52"/>
    <s v="Female"/>
    <x v="2"/>
    <x v="0"/>
    <n v="75"/>
    <s v="California"/>
    <x v="3"/>
    <x v="12"/>
    <x v="1"/>
    <n v="4"/>
    <x v="1"/>
    <s v="Express"/>
    <s v="No"/>
    <s v="No"/>
    <n v="45"/>
    <s v="PayPal"/>
    <x v="2"/>
  </r>
  <r>
    <n v="3781"/>
    <x v="22"/>
    <s v="Female"/>
    <x v="4"/>
    <x v="1"/>
    <n v="57"/>
    <s v="Mississippi"/>
    <x v="0"/>
    <x v="22"/>
    <x v="3"/>
    <n v="4.0999999999999996"/>
    <x v="1"/>
    <s v="Free Shipping"/>
    <s v="No"/>
    <s v="No"/>
    <n v="41"/>
    <s v="Venmo"/>
    <x v="3"/>
  </r>
  <r>
    <n v="3782"/>
    <x v="16"/>
    <s v="Female"/>
    <x v="23"/>
    <x v="1"/>
    <n v="99"/>
    <s v="Tennessee"/>
    <x v="2"/>
    <x v="6"/>
    <x v="0"/>
    <n v="3.7"/>
    <x v="1"/>
    <s v="Standard"/>
    <s v="No"/>
    <s v="No"/>
    <n v="40"/>
    <s v="PayPal"/>
    <x v="0"/>
  </r>
  <r>
    <n v="3783"/>
    <x v="37"/>
    <s v="Female"/>
    <x v="14"/>
    <x v="2"/>
    <n v="45"/>
    <s v="Alabama"/>
    <x v="0"/>
    <x v="20"/>
    <x v="1"/>
    <n v="2.8"/>
    <x v="1"/>
    <s v="Free Shipping"/>
    <s v="No"/>
    <s v="No"/>
    <n v="42"/>
    <s v="PayPal"/>
    <x v="0"/>
  </r>
  <r>
    <n v="3784"/>
    <x v="31"/>
    <s v="Female"/>
    <x v="24"/>
    <x v="3"/>
    <n v="66"/>
    <s v="Maine"/>
    <x v="3"/>
    <x v="20"/>
    <x v="2"/>
    <n v="3.2"/>
    <x v="1"/>
    <s v="Free Shipping"/>
    <s v="No"/>
    <s v="No"/>
    <n v="17"/>
    <s v="Debit Card"/>
    <x v="0"/>
  </r>
  <r>
    <n v="3785"/>
    <x v="22"/>
    <s v="Female"/>
    <x v="20"/>
    <x v="0"/>
    <n v="53"/>
    <s v="Virginia"/>
    <x v="2"/>
    <x v="10"/>
    <x v="0"/>
    <n v="4.5"/>
    <x v="1"/>
    <s v="Next Day Air"/>
    <s v="No"/>
    <s v="No"/>
    <n v="4"/>
    <s v="Venmo"/>
    <x v="2"/>
  </r>
  <r>
    <n v="3786"/>
    <x v="14"/>
    <s v="Female"/>
    <x v="2"/>
    <x v="0"/>
    <n v="94"/>
    <s v="New Hampshire"/>
    <x v="0"/>
    <x v="12"/>
    <x v="0"/>
    <n v="3.8"/>
    <x v="1"/>
    <s v="Standard"/>
    <s v="No"/>
    <s v="No"/>
    <n v="6"/>
    <s v="Cash"/>
    <x v="5"/>
  </r>
  <r>
    <n v="3787"/>
    <x v="18"/>
    <s v="Female"/>
    <x v="23"/>
    <x v="1"/>
    <n v="47"/>
    <s v="Tennessee"/>
    <x v="0"/>
    <x v="22"/>
    <x v="3"/>
    <n v="3.6"/>
    <x v="1"/>
    <s v="2-Day Shipping"/>
    <s v="No"/>
    <s v="No"/>
    <n v="22"/>
    <s v="Venmo"/>
    <x v="1"/>
  </r>
  <r>
    <n v="3788"/>
    <x v="43"/>
    <s v="Female"/>
    <x v="0"/>
    <x v="0"/>
    <n v="80"/>
    <s v="New York"/>
    <x v="2"/>
    <x v="6"/>
    <x v="3"/>
    <n v="3.6"/>
    <x v="1"/>
    <s v="2-Day Shipping"/>
    <s v="No"/>
    <s v="No"/>
    <n v="46"/>
    <s v="PayPal"/>
    <x v="6"/>
  </r>
  <r>
    <n v="3789"/>
    <x v="49"/>
    <s v="Female"/>
    <x v="19"/>
    <x v="3"/>
    <n v="65"/>
    <s v="Kansas"/>
    <x v="3"/>
    <x v="11"/>
    <x v="1"/>
    <n v="3.2"/>
    <x v="1"/>
    <s v="Next Day Air"/>
    <s v="No"/>
    <s v="No"/>
    <n v="27"/>
    <s v="Debit Card"/>
    <x v="5"/>
  </r>
  <r>
    <n v="3790"/>
    <x v="19"/>
    <s v="Female"/>
    <x v="5"/>
    <x v="0"/>
    <n v="75"/>
    <s v="North Dakota"/>
    <x v="2"/>
    <x v="23"/>
    <x v="2"/>
    <n v="3.8"/>
    <x v="1"/>
    <s v="Express"/>
    <s v="No"/>
    <s v="No"/>
    <n v="18"/>
    <s v="Bank Transfer"/>
    <x v="6"/>
  </r>
  <r>
    <n v="3791"/>
    <x v="7"/>
    <s v="Female"/>
    <x v="8"/>
    <x v="3"/>
    <n v="45"/>
    <s v="Alaska"/>
    <x v="3"/>
    <x v="19"/>
    <x v="2"/>
    <n v="4.4000000000000004"/>
    <x v="1"/>
    <s v="Standard"/>
    <s v="No"/>
    <s v="No"/>
    <n v="31"/>
    <s v="Credit Card"/>
    <x v="1"/>
  </r>
  <r>
    <n v="3792"/>
    <x v="37"/>
    <s v="Female"/>
    <x v="12"/>
    <x v="3"/>
    <n v="51"/>
    <s v="Texas"/>
    <x v="2"/>
    <x v="0"/>
    <x v="1"/>
    <n v="3.7"/>
    <x v="1"/>
    <s v="Store Pickup"/>
    <s v="No"/>
    <s v="No"/>
    <n v="1"/>
    <s v="Venmo"/>
    <x v="1"/>
  </r>
  <r>
    <n v="3793"/>
    <x v="49"/>
    <s v="Female"/>
    <x v="18"/>
    <x v="3"/>
    <n v="58"/>
    <s v="Massachusetts"/>
    <x v="1"/>
    <x v="2"/>
    <x v="2"/>
    <n v="2.6"/>
    <x v="1"/>
    <s v="Express"/>
    <s v="No"/>
    <s v="No"/>
    <n v="2"/>
    <s v="PayPal"/>
    <x v="0"/>
  </r>
  <r>
    <n v="3794"/>
    <x v="46"/>
    <s v="Female"/>
    <x v="12"/>
    <x v="3"/>
    <n v="20"/>
    <s v="Delaware"/>
    <x v="2"/>
    <x v="6"/>
    <x v="3"/>
    <n v="4"/>
    <x v="1"/>
    <s v="Standard"/>
    <s v="No"/>
    <s v="No"/>
    <n v="46"/>
    <s v="Bank Transfer"/>
    <x v="2"/>
  </r>
  <r>
    <n v="3795"/>
    <x v="42"/>
    <s v="Female"/>
    <x v="18"/>
    <x v="3"/>
    <n v="82"/>
    <s v="South Dakota"/>
    <x v="2"/>
    <x v="10"/>
    <x v="2"/>
    <n v="3.6"/>
    <x v="1"/>
    <s v="2-Day Shipping"/>
    <s v="No"/>
    <s v="No"/>
    <n v="27"/>
    <s v="Venmo"/>
    <x v="1"/>
  </r>
  <r>
    <n v="3796"/>
    <x v="4"/>
    <s v="Female"/>
    <x v="24"/>
    <x v="3"/>
    <n v="92"/>
    <s v="Arkansas"/>
    <x v="2"/>
    <x v="4"/>
    <x v="1"/>
    <n v="2.5"/>
    <x v="1"/>
    <s v="Express"/>
    <s v="No"/>
    <s v="No"/>
    <n v="3"/>
    <s v="Cash"/>
    <x v="1"/>
  </r>
  <r>
    <n v="3797"/>
    <x v="37"/>
    <s v="Female"/>
    <x v="6"/>
    <x v="0"/>
    <n v="81"/>
    <s v="Utah"/>
    <x v="2"/>
    <x v="12"/>
    <x v="3"/>
    <n v="3.2"/>
    <x v="1"/>
    <s v="Free Shipping"/>
    <s v="No"/>
    <s v="No"/>
    <n v="47"/>
    <s v="Bank Transfer"/>
    <x v="3"/>
  </r>
  <r>
    <n v="3798"/>
    <x v="33"/>
    <s v="Female"/>
    <x v="12"/>
    <x v="3"/>
    <n v="44"/>
    <s v="California"/>
    <x v="2"/>
    <x v="0"/>
    <x v="2"/>
    <n v="2.5"/>
    <x v="1"/>
    <s v="Next Day Air"/>
    <s v="No"/>
    <s v="No"/>
    <n v="20"/>
    <s v="Cash"/>
    <x v="3"/>
  </r>
  <r>
    <n v="3799"/>
    <x v="6"/>
    <s v="Female"/>
    <x v="16"/>
    <x v="3"/>
    <n v="72"/>
    <s v="Rhode Island"/>
    <x v="1"/>
    <x v="18"/>
    <x v="0"/>
    <n v="3.2"/>
    <x v="1"/>
    <s v="Next Day Air"/>
    <s v="No"/>
    <s v="No"/>
    <n v="23"/>
    <s v="Credit Card"/>
    <x v="2"/>
  </r>
  <r>
    <n v="3800"/>
    <x v="52"/>
    <s v="Female"/>
    <x v="14"/>
    <x v="2"/>
    <n v="26"/>
    <s v="Oklahoma"/>
    <x v="0"/>
    <x v="10"/>
    <x v="0"/>
    <n v="2.6"/>
    <x v="1"/>
    <s v="Store Pickup"/>
    <s v="No"/>
    <s v="No"/>
    <n v="13"/>
    <s v="Credit Card"/>
    <x v="5"/>
  </r>
  <r>
    <n v="3801"/>
    <x v="1"/>
    <s v="Female"/>
    <x v="1"/>
    <x v="0"/>
    <n v="26"/>
    <s v="Vermont"/>
    <x v="2"/>
    <x v="2"/>
    <x v="3"/>
    <n v="4.8"/>
    <x v="1"/>
    <s v="Next Day Air"/>
    <s v="No"/>
    <s v="No"/>
    <n v="12"/>
    <s v="Venmo"/>
    <x v="4"/>
  </r>
  <r>
    <n v="3802"/>
    <x v="8"/>
    <s v="Female"/>
    <x v="0"/>
    <x v="0"/>
    <n v="84"/>
    <s v="Kentucky"/>
    <x v="2"/>
    <x v="15"/>
    <x v="1"/>
    <n v="5"/>
    <x v="1"/>
    <s v="Store Pickup"/>
    <s v="No"/>
    <s v="No"/>
    <n v="36"/>
    <s v="PayPal"/>
    <x v="0"/>
  </r>
  <r>
    <n v="3803"/>
    <x v="27"/>
    <s v="Female"/>
    <x v="18"/>
    <x v="3"/>
    <n v="72"/>
    <s v="Illinois"/>
    <x v="1"/>
    <x v="2"/>
    <x v="1"/>
    <n v="3.2"/>
    <x v="1"/>
    <s v="2-Day Shipping"/>
    <s v="No"/>
    <s v="No"/>
    <n v="1"/>
    <s v="Bank Transfer"/>
    <x v="5"/>
  </r>
  <r>
    <n v="3804"/>
    <x v="39"/>
    <s v="Female"/>
    <x v="8"/>
    <x v="3"/>
    <n v="55"/>
    <s v="Connecticut"/>
    <x v="2"/>
    <x v="10"/>
    <x v="1"/>
    <n v="3.6"/>
    <x v="1"/>
    <s v="Standard"/>
    <s v="No"/>
    <s v="No"/>
    <n v="14"/>
    <s v="Debit Card"/>
    <x v="1"/>
  </r>
  <r>
    <n v="3805"/>
    <x v="43"/>
    <s v="Female"/>
    <x v="19"/>
    <x v="3"/>
    <n v="77"/>
    <s v="Florida"/>
    <x v="2"/>
    <x v="8"/>
    <x v="3"/>
    <n v="2.7"/>
    <x v="1"/>
    <s v="2-Day Shipping"/>
    <s v="No"/>
    <s v="No"/>
    <n v="45"/>
    <s v="Cash"/>
    <x v="2"/>
  </r>
  <r>
    <n v="3806"/>
    <x v="39"/>
    <s v="Female"/>
    <x v="18"/>
    <x v="3"/>
    <n v="57"/>
    <s v="New Jersey"/>
    <x v="2"/>
    <x v="14"/>
    <x v="3"/>
    <n v="3.1"/>
    <x v="1"/>
    <s v="Standard"/>
    <s v="No"/>
    <s v="No"/>
    <n v="31"/>
    <s v="Credit Card"/>
    <x v="3"/>
  </r>
  <r>
    <n v="3807"/>
    <x v="20"/>
    <s v="Female"/>
    <x v="23"/>
    <x v="1"/>
    <n v="71"/>
    <s v="Missouri"/>
    <x v="2"/>
    <x v="11"/>
    <x v="1"/>
    <n v="3"/>
    <x v="1"/>
    <s v="Standard"/>
    <s v="No"/>
    <s v="No"/>
    <n v="41"/>
    <s v="PayPal"/>
    <x v="1"/>
  </r>
  <r>
    <n v="3808"/>
    <x v="21"/>
    <s v="Female"/>
    <x v="0"/>
    <x v="0"/>
    <n v="39"/>
    <s v="Michigan"/>
    <x v="0"/>
    <x v="15"/>
    <x v="1"/>
    <n v="2.9"/>
    <x v="1"/>
    <s v="Next Day Air"/>
    <s v="No"/>
    <s v="No"/>
    <n v="36"/>
    <s v="PayPal"/>
    <x v="2"/>
  </r>
  <r>
    <n v="3809"/>
    <x v="23"/>
    <s v="Female"/>
    <x v="20"/>
    <x v="0"/>
    <n v="28"/>
    <s v="Washington"/>
    <x v="2"/>
    <x v="6"/>
    <x v="0"/>
    <n v="4.7"/>
    <x v="1"/>
    <s v="Express"/>
    <s v="No"/>
    <s v="No"/>
    <n v="6"/>
    <s v="Debit Card"/>
    <x v="4"/>
  </r>
  <r>
    <n v="3810"/>
    <x v="9"/>
    <s v="Female"/>
    <x v="9"/>
    <x v="1"/>
    <n v="33"/>
    <s v="New York"/>
    <x v="1"/>
    <x v="1"/>
    <x v="0"/>
    <n v="3.7"/>
    <x v="1"/>
    <s v="Standard"/>
    <s v="No"/>
    <s v="No"/>
    <n v="28"/>
    <s v="Credit Card"/>
    <x v="2"/>
  </r>
  <r>
    <n v="3811"/>
    <x v="5"/>
    <s v="Female"/>
    <x v="11"/>
    <x v="0"/>
    <n v="79"/>
    <s v="Wisconsin"/>
    <x v="0"/>
    <x v="15"/>
    <x v="3"/>
    <n v="3.9"/>
    <x v="1"/>
    <s v="Free Shipping"/>
    <s v="No"/>
    <s v="No"/>
    <n v="29"/>
    <s v="Venmo"/>
    <x v="5"/>
  </r>
  <r>
    <n v="3812"/>
    <x v="5"/>
    <s v="Female"/>
    <x v="22"/>
    <x v="3"/>
    <n v="30"/>
    <s v="Idaho"/>
    <x v="2"/>
    <x v="1"/>
    <x v="0"/>
    <n v="4"/>
    <x v="1"/>
    <s v="Standard"/>
    <s v="No"/>
    <s v="No"/>
    <n v="14"/>
    <s v="Cash"/>
    <x v="5"/>
  </r>
  <r>
    <n v="3813"/>
    <x v="2"/>
    <s v="Female"/>
    <x v="11"/>
    <x v="0"/>
    <n v="75"/>
    <s v="Michigan"/>
    <x v="2"/>
    <x v="6"/>
    <x v="1"/>
    <n v="2.8"/>
    <x v="1"/>
    <s v="Next Day Air"/>
    <s v="No"/>
    <s v="No"/>
    <n v="7"/>
    <s v="Bank Transfer"/>
    <x v="6"/>
  </r>
  <r>
    <n v="3814"/>
    <x v="12"/>
    <s v="Female"/>
    <x v="13"/>
    <x v="0"/>
    <n v="89"/>
    <s v="Georgia"/>
    <x v="2"/>
    <x v="20"/>
    <x v="2"/>
    <n v="4.0999999999999996"/>
    <x v="1"/>
    <s v="Express"/>
    <s v="No"/>
    <s v="No"/>
    <n v="31"/>
    <s v="Venmo"/>
    <x v="4"/>
  </r>
  <r>
    <n v="3815"/>
    <x v="4"/>
    <s v="Female"/>
    <x v="10"/>
    <x v="0"/>
    <n v="95"/>
    <s v="Michigan"/>
    <x v="2"/>
    <x v="20"/>
    <x v="0"/>
    <n v="4.2"/>
    <x v="1"/>
    <s v="Free Shipping"/>
    <s v="No"/>
    <s v="No"/>
    <n v="26"/>
    <s v="Bank Transfer"/>
    <x v="6"/>
  </r>
  <r>
    <n v="3816"/>
    <x v="45"/>
    <s v="Female"/>
    <x v="19"/>
    <x v="3"/>
    <n v="44"/>
    <s v="Maine"/>
    <x v="2"/>
    <x v="18"/>
    <x v="3"/>
    <n v="4.3"/>
    <x v="1"/>
    <s v="Express"/>
    <s v="No"/>
    <s v="No"/>
    <n v="12"/>
    <s v="Venmo"/>
    <x v="0"/>
  </r>
  <r>
    <n v="3817"/>
    <x v="26"/>
    <s v="Female"/>
    <x v="7"/>
    <x v="2"/>
    <n v="86"/>
    <s v="Maryland"/>
    <x v="1"/>
    <x v="5"/>
    <x v="2"/>
    <n v="4.3"/>
    <x v="1"/>
    <s v="Store Pickup"/>
    <s v="No"/>
    <s v="No"/>
    <n v="45"/>
    <s v="Credit Card"/>
    <x v="0"/>
  </r>
  <r>
    <n v="3818"/>
    <x v="17"/>
    <s v="Female"/>
    <x v="18"/>
    <x v="3"/>
    <n v="91"/>
    <s v="Missouri"/>
    <x v="2"/>
    <x v="23"/>
    <x v="3"/>
    <n v="2.6"/>
    <x v="1"/>
    <s v="Express"/>
    <s v="No"/>
    <s v="No"/>
    <n v="40"/>
    <s v="PayPal"/>
    <x v="2"/>
  </r>
  <r>
    <n v="3819"/>
    <x v="27"/>
    <s v="Female"/>
    <x v="4"/>
    <x v="1"/>
    <n v="41"/>
    <s v="Oregon"/>
    <x v="3"/>
    <x v="21"/>
    <x v="0"/>
    <n v="3.8"/>
    <x v="1"/>
    <s v="Free Shipping"/>
    <s v="No"/>
    <s v="No"/>
    <n v="42"/>
    <s v="Cash"/>
    <x v="5"/>
  </r>
  <r>
    <n v="3820"/>
    <x v="24"/>
    <s v="Female"/>
    <x v="13"/>
    <x v="0"/>
    <n v="99"/>
    <s v="Arkansas"/>
    <x v="1"/>
    <x v="9"/>
    <x v="1"/>
    <n v="2.9"/>
    <x v="1"/>
    <s v="Express"/>
    <s v="No"/>
    <s v="No"/>
    <n v="45"/>
    <s v="Cash"/>
    <x v="3"/>
  </r>
  <r>
    <n v="3821"/>
    <x v="50"/>
    <s v="Female"/>
    <x v="22"/>
    <x v="3"/>
    <n v="65"/>
    <s v="New Hampshire"/>
    <x v="2"/>
    <x v="7"/>
    <x v="0"/>
    <n v="5"/>
    <x v="1"/>
    <s v="Standard"/>
    <s v="No"/>
    <s v="No"/>
    <n v="34"/>
    <s v="Debit Card"/>
    <x v="3"/>
  </r>
  <r>
    <n v="3822"/>
    <x v="30"/>
    <s v="Female"/>
    <x v="4"/>
    <x v="1"/>
    <n v="48"/>
    <s v="Oregon"/>
    <x v="2"/>
    <x v="9"/>
    <x v="2"/>
    <n v="4.5999999999999996"/>
    <x v="1"/>
    <s v="Free Shipping"/>
    <s v="No"/>
    <s v="No"/>
    <n v="34"/>
    <s v="Credit Card"/>
    <x v="6"/>
  </r>
  <r>
    <n v="3823"/>
    <x v="27"/>
    <s v="Female"/>
    <x v="19"/>
    <x v="3"/>
    <n v="41"/>
    <s v="Kansas"/>
    <x v="1"/>
    <x v="9"/>
    <x v="1"/>
    <n v="3.2"/>
    <x v="1"/>
    <s v="Free Shipping"/>
    <s v="No"/>
    <s v="No"/>
    <n v="17"/>
    <s v="PayPal"/>
    <x v="6"/>
  </r>
  <r>
    <n v="3824"/>
    <x v="2"/>
    <s v="Female"/>
    <x v="5"/>
    <x v="0"/>
    <n v="42"/>
    <s v="California"/>
    <x v="2"/>
    <x v="9"/>
    <x v="2"/>
    <n v="3"/>
    <x v="1"/>
    <s v="Standard"/>
    <s v="No"/>
    <s v="No"/>
    <n v="27"/>
    <s v="Bank Transfer"/>
    <x v="1"/>
  </r>
  <r>
    <n v="3825"/>
    <x v="22"/>
    <s v="Female"/>
    <x v="6"/>
    <x v="0"/>
    <n v="26"/>
    <s v="Georgia"/>
    <x v="2"/>
    <x v="8"/>
    <x v="2"/>
    <n v="4"/>
    <x v="1"/>
    <s v="Free Shipping"/>
    <s v="No"/>
    <s v="No"/>
    <n v="31"/>
    <s v="Credit Card"/>
    <x v="3"/>
  </r>
  <r>
    <n v="3826"/>
    <x v="34"/>
    <s v="Female"/>
    <x v="6"/>
    <x v="0"/>
    <n v="35"/>
    <s v="Hawaii"/>
    <x v="0"/>
    <x v="14"/>
    <x v="3"/>
    <n v="4.0999999999999996"/>
    <x v="1"/>
    <s v="Express"/>
    <s v="No"/>
    <s v="No"/>
    <n v="47"/>
    <s v="Debit Card"/>
    <x v="0"/>
  </r>
  <r>
    <n v="3827"/>
    <x v="2"/>
    <s v="Female"/>
    <x v="14"/>
    <x v="2"/>
    <n v="31"/>
    <s v="Montana"/>
    <x v="2"/>
    <x v="0"/>
    <x v="2"/>
    <n v="4"/>
    <x v="1"/>
    <s v="Express"/>
    <s v="No"/>
    <s v="No"/>
    <n v="25"/>
    <s v="Bank Transfer"/>
    <x v="2"/>
  </r>
  <r>
    <n v="3828"/>
    <x v="46"/>
    <s v="Female"/>
    <x v="16"/>
    <x v="3"/>
    <n v="73"/>
    <s v="Montana"/>
    <x v="2"/>
    <x v="16"/>
    <x v="2"/>
    <n v="4.0999999999999996"/>
    <x v="1"/>
    <s v="Standard"/>
    <s v="No"/>
    <s v="No"/>
    <n v="47"/>
    <s v="Cash"/>
    <x v="0"/>
  </r>
  <r>
    <n v="3829"/>
    <x v="32"/>
    <s v="Female"/>
    <x v="0"/>
    <x v="0"/>
    <n v="82"/>
    <s v="Mississippi"/>
    <x v="2"/>
    <x v="4"/>
    <x v="1"/>
    <n v="3.4"/>
    <x v="1"/>
    <s v="Free Shipping"/>
    <s v="No"/>
    <s v="No"/>
    <n v="8"/>
    <s v="Cash"/>
    <x v="1"/>
  </r>
  <r>
    <n v="3830"/>
    <x v="28"/>
    <s v="Female"/>
    <x v="13"/>
    <x v="0"/>
    <n v="32"/>
    <s v="Washington"/>
    <x v="2"/>
    <x v="21"/>
    <x v="1"/>
    <n v="2.9"/>
    <x v="1"/>
    <s v="Free Shipping"/>
    <s v="No"/>
    <s v="No"/>
    <n v="32"/>
    <s v="Debit Card"/>
    <x v="0"/>
  </r>
  <r>
    <n v="3831"/>
    <x v="40"/>
    <s v="Female"/>
    <x v="19"/>
    <x v="3"/>
    <n v="27"/>
    <s v="Pennsylvania"/>
    <x v="2"/>
    <x v="21"/>
    <x v="2"/>
    <n v="3"/>
    <x v="1"/>
    <s v="2-Day Shipping"/>
    <s v="No"/>
    <s v="No"/>
    <n v="33"/>
    <s v="Bank Transfer"/>
    <x v="6"/>
  </r>
  <r>
    <n v="3832"/>
    <x v="24"/>
    <s v="Female"/>
    <x v="21"/>
    <x v="3"/>
    <n v="86"/>
    <s v="Nevada"/>
    <x v="0"/>
    <x v="5"/>
    <x v="1"/>
    <n v="4"/>
    <x v="1"/>
    <s v="Next Day Air"/>
    <s v="No"/>
    <s v="No"/>
    <n v="16"/>
    <s v="Debit Card"/>
    <x v="6"/>
  </r>
  <r>
    <n v="3833"/>
    <x v="14"/>
    <s v="Female"/>
    <x v="23"/>
    <x v="1"/>
    <n v="38"/>
    <s v="Kansas"/>
    <x v="3"/>
    <x v="7"/>
    <x v="0"/>
    <n v="4.8"/>
    <x v="1"/>
    <s v="2-Day Shipping"/>
    <s v="No"/>
    <s v="No"/>
    <n v="27"/>
    <s v="Cash"/>
    <x v="1"/>
  </r>
  <r>
    <n v="3834"/>
    <x v="42"/>
    <s v="Female"/>
    <x v="14"/>
    <x v="2"/>
    <n v="93"/>
    <s v="Arizona"/>
    <x v="0"/>
    <x v="0"/>
    <x v="2"/>
    <n v="4.5999999999999996"/>
    <x v="1"/>
    <s v="Free Shipping"/>
    <s v="No"/>
    <s v="No"/>
    <n v="17"/>
    <s v="PayPal"/>
    <x v="6"/>
  </r>
  <r>
    <n v="3835"/>
    <x v="49"/>
    <s v="Female"/>
    <x v="15"/>
    <x v="0"/>
    <n v="59"/>
    <s v="Tennessee"/>
    <x v="2"/>
    <x v="23"/>
    <x v="0"/>
    <n v="4.0999999999999996"/>
    <x v="1"/>
    <s v="2-Day Shipping"/>
    <s v="No"/>
    <s v="No"/>
    <n v="17"/>
    <s v="Cash"/>
    <x v="3"/>
  </r>
  <r>
    <n v="3836"/>
    <x v="44"/>
    <s v="Female"/>
    <x v="3"/>
    <x v="1"/>
    <n v="58"/>
    <s v="Pennsylvania"/>
    <x v="0"/>
    <x v="5"/>
    <x v="0"/>
    <n v="2.6"/>
    <x v="1"/>
    <s v="Express"/>
    <s v="No"/>
    <s v="No"/>
    <n v="28"/>
    <s v="PayPal"/>
    <x v="4"/>
  </r>
  <r>
    <n v="3837"/>
    <x v="46"/>
    <s v="Female"/>
    <x v="11"/>
    <x v="0"/>
    <n v="84"/>
    <s v="Alaska"/>
    <x v="2"/>
    <x v="10"/>
    <x v="1"/>
    <n v="2.5"/>
    <x v="1"/>
    <s v="Free Shipping"/>
    <s v="No"/>
    <s v="No"/>
    <n v="38"/>
    <s v="PayPal"/>
    <x v="0"/>
  </r>
  <r>
    <n v="3838"/>
    <x v="4"/>
    <s v="Female"/>
    <x v="15"/>
    <x v="0"/>
    <n v="100"/>
    <s v="New Mexico"/>
    <x v="2"/>
    <x v="14"/>
    <x v="1"/>
    <n v="4.8"/>
    <x v="1"/>
    <s v="Free Shipping"/>
    <s v="No"/>
    <s v="No"/>
    <n v="33"/>
    <s v="Bank Transfer"/>
    <x v="0"/>
  </r>
  <r>
    <n v="3839"/>
    <x v="36"/>
    <s v="Female"/>
    <x v="10"/>
    <x v="0"/>
    <n v="25"/>
    <s v="Rhode Island"/>
    <x v="0"/>
    <x v="14"/>
    <x v="2"/>
    <n v="4.2"/>
    <x v="1"/>
    <s v="Express"/>
    <s v="No"/>
    <s v="No"/>
    <n v="24"/>
    <s v="Venmo"/>
    <x v="6"/>
  </r>
  <r>
    <n v="3840"/>
    <x v="17"/>
    <s v="Female"/>
    <x v="3"/>
    <x v="1"/>
    <n v="29"/>
    <s v="Connecticut"/>
    <x v="2"/>
    <x v="15"/>
    <x v="1"/>
    <n v="3.9"/>
    <x v="1"/>
    <s v="Free Shipping"/>
    <s v="No"/>
    <s v="No"/>
    <n v="14"/>
    <s v="Venmo"/>
    <x v="3"/>
  </r>
  <r>
    <n v="3841"/>
    <x v="11"/>
    <s v="Female"/>
    <x v="2"/>
    <x v="0"/>
    <n v="42"/>
    <s v="Idaho"/>
    <x v="2"/>
    <x v="2"/>
    <x v="1"/>
    <n v="3.7"/>
    <x v="1"/>
    <s v="Express"/>
    <s v="No"/>
    <s v="No"/>
    <n v="5"/>
    <s v="Venmo"/>
    <x v="0"/>
  </r>
  <r>
    <n v="3842"/>
    <x v="33"/>
    <s v="Female"/>
    <x v="2"/>
    <x v="0"/>
    <n v="57"/>
    <s v="Mississippi"/>
    <x v="0"/>
    <x v="6"/>
    <x v="3"/>
    <n v="4.2"/>
    <x v="1"/>
    <s v="2-Day Shipping"/>
    <s v="No"/>
    <s v="No"/>
    <n v="8"/>
    <s v="Bank Transfer"/>
    <x v="5"/>
  </r>
  <r>
    <n v="3843"/>
    <x v="25"/>
    <s v="Female"/>
    <x v="14"/>
    <x v="2"/>
    <n v="84"/>
    <s v="Colorado"/>
    <x v="0"/>
    <x v="12"/>
    <x v="0"/>
    <n v="4.2"/>
    <x v="1"/>
    <s v="Next Day Air"/>
    <s v="No"/>
    <s v="No"/>
    <n v="42"/>
    <s v="Debit Card"/>
    <x v="5"/>
  </r>
  <r>
    <n v="3844"/>
    <x v="14"/>
    <s v="Female"/>
    <x v="19"/>
    <x v="3"/>
    <n v="71"/>
    <s v="Georgia"/>
    <x v="0"/>
    <x v="5"/>
    <x v="0"/>
    <n v="4"/>
    <x v="1"/>
    <s v="Free Shipping"/>
    <s v="No"/>
    <s v="No"/>
    <n v="48"/>
    <s v="Venmo"/>
    <x v="6"/>
  </r>
  <r>
    <n v="3845"/>
    <x v="11"/>
    <s v="Female"/>
    <x v="6"/>
    <x v="0"/>
    <n v="87"/>
    <s v="Montana"/>
    <x v="1"/>
    <x v="17"/>
    <x v="3"/>
    <n v="5"/>
    <x v="1"/>
    <s v="Next Day Air"/>
    <s v="No"/>
    <s v="No"/>
    <n v="40"/>
    <s v="Venmo"/>
    <x v="3"/>
  </r>
  <r>
    <n v="3846"/>
    <x v="44"/>
    <s v="Female"/>
    <x v="1"/>
    <x v="0"/>
    <n v="52"/>
    <s v="California"/>
    <x v="2"/>
    <x v="14"/>
    <x v="0"/>
    <n v="4.9000000000000004"/>
    <x v="1"/>
    <s v="Standard"/>
    <s v="No"/>
    <s v="No"/>
    <n v="46"/>
    <s v="Venmo"/>
    <x v="2"/>
  </r>
  <r>
    <n v="3847"/>
    <x v="9"/>
    <s v="Female"/>
    <x v="0"/>
    <x v="0"/>
    <n v="58"/>
    <s v="Pennsylvania"/>
    <x v="0"/>
    <x v="20"/>
    <x v="2"/>
    <n v="4"/>
    <x v="1"/>
    <s v="Express"/>
    <s v="No"/>
    <s v="No"/>
    <n v="40"/>
    <s v="PayPal"/>
    <x v="6"/>
  </r>
  <r>
    <n v="3848"/>
    <x v="52"/>
    <s v="Female"/>
    <x v="1"/>
    <x v="0"/>
    <n v="34"/>
    <s v="Delaware"/>
    <x v="1"/>
    <x v="24"/>
    <x v="3"/>
    <n v="3.2"/>
    <x v="1"/>
    <s v="2-Day Shipping"/>
    <s v="No"/>
    <s v="No"/>
    <n v="31"/>
    <s v="PayPal"/>
    <x v="0"/>
  </r>
  <r>
    <n v="3849"/>
    <x v="40"/>
    <s v="Female"/>
    <x v="16"/>
    <x v="3"/>
    <n v="60"/>
    <s v="New Hampshire"/>
    <x v="2"/>
    <x v="23"/>
    <x v="0"/>
    <n v="3"/>
    <x v="1"/>
    <s v="Next Day Air"/>
    <s v="No"/>
    <s v="No"/>
    <n v="39"/>
    <s v="Cash"/>
    <x v="6"/>
  </r>
  <r>
    <n v="3850"/>
    <x v="5"/>
    <s v="Female"/>
    <x v="15"/>
    <x v="0"/>
    <n v="68"/>
    <s v="Florida"/>
    <x v="1"/>
    <x v="17"/>
    <x v="0"/>
    <n v="2.6"/>
    <x v="1"/>
    <s v="Express"/>
    <s v="No"/>
    <s v="No"/>
    <n v="36"/>
    <s v="PayPal"/>
    <x v="0"/>
  </r>
  <r>
    <n v="3851"/>
    <x v="7"/>
    <s v="Female"/>
    <x v="16"/>
    <x v="3"/>
    <n v="74"/>
    <s v="Mississippi"/>
    <x v="0"/>
    <x v="21"/>
    <x v="2"/>
    <n v="4.4000000000000004"/>
    <x v="1"/>
    <s v="2-Day Shipping"/>
    <s v="No"/>
    <s v="No"/>
    <n v="25"/>
    <s v="Debit Card"/>
    <x v="6"/>
  </r>
  <r>
    <n v="3852"/>
    <x v="2"/>
    <s v="Female"/>
    <x v="18"/>
    <x v="3"/>
    <n v="83"/>
    <s v="Montana"/>
    <x v="2"/>
    <x v="6"/>
    <x v="2"/>
    <n v="3.9"/>
    <x v="1"/>
    <s v="Free Shipping"/>
    <s v="No"/>
    <s v="No"/>
    <n v="24"/>
    <s v="Debit Card"/>
    <x v="2"/>
  </r>
  <r>
    <n v="3853"/>
    <x v="13"/>
    <s v="Female"/>
    <x v="19"/>
    <x v="3"/>
    <n v="79"/>
    <s v="Mississippi"/>
    <x v="2"/>
    <x v="15"/>
    <x v="3"/>
    <n v="4"/>
    <x v="1"/>
    <s v="2-Day Shipping"/>
    <s v="No"/>
    <s v="No"/>
    <n v="19"/>
    <s v="PayPal"/>
    <x v="1"/>
  </r>
  <r>
    <n v="3854"/>
    <x v="12"/>
    <s v="Female"/>
    <x v="12"/>
    <x v="3"/>
    <n v="76"/>
    <s v="Tennessee"/>
    <x v="2"/>
    <x v="12"/>
    <x v="3"/>
    <n v="4"/>
    <x v="1"/>
    <s v="Store Pickup"/>
    <s v="No"/>
    <s v="No"/>
    <n v="49"/>
    <s v="Debit Card"/>
    <x v="4"/>
  </r>
  <r>
    <n v="3855"/>
    <x v="9"/>
    <s v="Female"/>
    <x v="17"/>
    <x v="0"/>
    <n v="20"/>
    <s v="Florida"/>
    <x v="2"/>
    <x v="13"/>
    <x v="1"/>
    <n v="4.2"/>
    <x v="1"/>
    <s v="Free Shipping"/>
    <s v="No"/>
    <s v="No"/>
    <n v="4"/>
    <s v="Venmo"/>
    <x v="2"/>
  </r>
  <r>
    <n v="3856"/>
    <x v="37"/>
    <s v="Female"/>
    <x v="5"/>
    <x v="0"/>
    <n v="61"/>
    <s v="Illinois"/>
    <x v="3"/>
    <x v="12"/>
    <x v="2"/>
    <n v="4.4000000000000004"/>
    <x v="1"/>
    <s v="Next Day Air"/>
    <s v="No"/>
    <s v="No"/>
    <n v="36"/>
    <s v="Cash"/>
    <x v="3"/>
  </r>
  <r>
    <n v="3857"/>
    <x v="31"/>
    <s v="Female"/>
    <x v="3"/>
    <x v="1"/>
    <n v="78"/>
    <s v="Virginia"/>
    <x v="1"/>
    <x v="18"/>
    <x v="2"/>
    <n v="2.5"/>
    <x v="1"/>
    <s v="Free Shipping"/>
    <s v="No"/>
    <s v="No"/>
    <n v="8"/>
    <s v="Debit Card"/>
    <x v="3"/>
  </r>
  <r>
    <n v="3858"/>
    <x v="32"/>
    <s v="Female"/>
    <x v="19"/>
    <x v="3"/>
    <n v="21"/>
    <s v="Texas"/>
    <x v="1"/>
    <x v="22"/>
    <x v="2"/>
    <n v="3.1"/>
    <x v="1"/>
    <s v="Store Pickup"/>
    <s v="No"/>
    <s v="No"/>
    <n v="29"/>
    <s v="Credit Card"/>
    <x v="6"/>
  </r>
  <r>
    <n v="3859"/>
    <x v="11"/>
    <s v="Female"/>
    <x v="17"/>
    <x v="0"/>
    <n v="77"/>
    <s v="Missouri"/>
    <x v="2"/>
    <x v="8"/>
    <x v="0"/>
    <n v="3.5"/>
    <x v="1"/>
    <s v="Store Pickup"/>
    <s v="No"/>
    <s v="No"/>
    <n v="26"/>
    <s v="Credit Card"/>
    <x v="3"/>
  </r>
  <r>
    <n v="3860"/>
    <x v="13"/>
    <s v="Female"/>
    <x v="6"/>
    <x v="0"/>
    <n v="88"/>
    <s v="Mississippi"/>
    <x v="1"/>
    <x v="24"/>
    <x v="3"/>
    <n v="3"/>
    <x v="1"/>
    <s v="2-Day Shipping"/>
    <s v="No"/>
    <s v="No"/>
    <n v="47"/>
    <s v="Bank Transfer"/>
    <x v="4"/>
  </r>
  <r>
    <n v="3861"/>
    <x v="9"/>
    <s v="Female"/>
    <x v="12"/>
    <x v="3"/>
    <n v="64"/>
    <s v="Pennsylvania"/>
    <x v="2"/>
    <x v="2"/>
    <x v="2"/>
    <n v="4.4000000000000004"/>
    <x v="1"/>
    <s v="Next Day Air"/>
    <s v="No"/>
    <s v="No"/>
    <n v="44"/>
    <s v="Cash"/>
    <x v="2"/>
  </r>
  <r>
    <n v="3862"/>
    <x v="14"/>
    <s v="Female"/>
    <x v="14"/>
    <x v="2"/>
    <n v="57"/>
    <s v="Wyoming"/>
    <x v="2"/>
    <x v="22"/>
    <x v="1"/>
    <n v="4.9000000000000004"/>
    <x v="1"/>
    <s v="Standard"/>
    <s v="No"/>
    <s v="No"/>
    <n v="49"/>
    <s v="Credit Card"/>
    <x v="5"/>
  </r>
  <r>
    <n v="3863"/>
    <x v="19"/>
    <s v="Female"/>
    <x v="5"/>
    <x v="0"/>
    <n v="49"/>
    <s v="Idaho"/>
    <x v="0"/>
    <x v="2"/>
    <x v="0"/>
    <n v="2.8"/>
    <x v="1"/>
    <s v="Next Day Air"/>
    <s v="No"/>
    <s v="No"/>
    <n v="9"/>
    <s v="Venmo"/>
    <x v="5"/>
  </r>
  <r>
    <n v="3864"/>
    <x v="37"/>
    <s v="Female"/>
    <x v="18"/>
    <x v="3"/>
    <n v="35"/>
    <s v="New Hampshire"/>
    <x v="2"/>
    <x v="20"/>
    <x v="2"/>
    <n v="3.3"/>
    <x v="1"/>
    <s v="Free Shipping"/>
    <s v="No"/>
    <s v="No"/>
    <n v="28"/>
    <s v="Cash"/>
    <x v="0"/>
  </r>
  <r>
    <n v="3865"/>
    <x v="0"/>
    <s v="Female"/>
    <x v="17"/>
    <x v="0"/>
    <n v="99"/>
    <s v="Wyoming"/>
    <x v="1"/>
    <x v="24"/>
    <x v="0"/>
    <n v="4.9000000000000004"/>
    <x v="1"/>
    <s v="Express"/>
    <s v="No"/>
    <s v="No"/>
    <n v="1"/>
    <s v="Debit Card"/>
    <x v="0"/>
  </r>
  <r>
    <n v="3866"/>
    <x v="15"/>
    <s v="Female"/>
    <x v="6"/>
    <x v="0"/>
    <n v="42"/>
    <s v="Nebraska"/>
    <x v="2"/>
    <x v="8"/>
    <x v="1"/>
    <n v="4.2"/>
    <x v="1"/>
    <s v="Store Pickup"/>
    <s v="No"/>
    <s v="No"/>
    <n v="28"/>
    <s v="Cash"/>
    <x v="6"/>
  </r>
  <r>
    <n v="3867"/>
    <x v="44"/>
    <s v="Female"/>
    <x v="19"/>
    <x v="3"/>
    <n v="32"/>
    <s v="Alaska"/>
    <x v="2"/>
    <x v="19"/>
    <x v="0"/>
    <n v="3.3"/>
    <x v="1"/>
    <s v="2-Day Shipping"/>
    <s v="No"/>
    <s v="No"/>
    <n v="33"/>
    <s v="Credit Card"/>
    <x v="0"/>
  </r>
  <r>
    <n v="3868"/>
    <x v="5"/>
    <s v="Female"/>
    <x v="14"/>
    <x v="2"/>
    <n v="21"/>
    <s v="Maryland"/>
    <x v="0"/>
    <x v="12"/>
    <x v="2"/>
    <n v="2.7"/>
    <x v="1"/>
    <s v="Standard"/>
    <s v="No"/>
    <s v="No"/>
    <n v="28"/>
    <s v="Credit Card"/>
    <x v="5"/>
  </r>
  <r>
    <n v="3869"/>
    <x v="20"/>
    <s v="Female"/>
    <x v="10"/>
    <x v="0"/>
    <n v="29"/>
    <s v="Maryland"/>
    <x v="3"/>
    <x v="23"/>
    <x v="0"/>
    <n v="3.3"/>
    <x v="1"/>
    <s v="2-Day Shipping"/>
    <s v="No"/>
    <s v="No"/>
    <n v="9"/>
    <s v="Cash"/>
    <x v="2"/>
  </r>
  <r>
    <n v="3870"/>
    <x v="8"/>
    <s v="Female"/>
    <x v="7"/>
    <x v="2"/>
    <n v="64"/>
    <s v="Arizona"/>
    <x v="0"/>
    <x v="17"/>
    <x v="1"/>
    <n v="3.8"/>
    <x v="1"/>
    <s v="Free Shipping"/>
    <s v="No"/>
    <s v="No"/>
    <n v="28"/>
    <s v="Bank Transfer"/>
    <x v="2"/>
  </r>
  <r>
    <n v="3871"/>
    <x v="12"/>
    <s v="Female"/>
    <x v="3"/>
    <x v="1"/>
    <n v="46"/>
    <s v="Ohio"/>
    <x v="0"/>
    <x v="12"/>
    <x v="3"/>
    <n v="3.2"/>
    <x v="1"/>
    <s v="Next Day Air"/>
    <s v="No"/>
    <s v="No"/>
    <n v="19"/>
    <s v="Cash"/>
    <x v="6"/>
  </r>
  <r>
    <n v="3872"/>
    <x v="0"/>
    <s v="Female"/>
    <x v="17"/>
    <x v="0"/>
    <n v="97"/>
    <s v="Minnesota"/>
    <x v="2"/>
    <x v="13"/>
    <x v="3"/>
    <n v="4.0999999999999996"/>
    <x v="1"/>
    <s v="2-Day Shipping"/>
    <s v="No"/>
    <s v="No"/>
    <n v="20"/>
    <s v="Bank Transfer"/>
    <x v="6"/>
  </r>
  <r>
    <n v="3873"/>
    <x v="38"/>
    <s v="Female"/>
    <x v="14"/>
    <x v="2"/>
    <n v="94"/>
    <s v="New Hampshire"/>
    <x v="2"/>
    <x v="14"/>
    <x v="1"/>
    <n v="4.3"/>
    <x v="1"/>
    <s v="Standard"/>
    <s v="No"/>
    <s v="No"/>
    <n v="3"/>
    <s v="Cash"/>
    <x v="5"/>
  </r>
  <r>
    <n v="3874"/>
    <x v="32"/>
    <s v="Female"/>
    <x v="3"/>
    <x v="1"/>
    <n v="43"/>
    <s v="Louisiana"/>
    <x v="0"/>
    <x v="5"/>
    <x v="2"/>
    <n v="4"/>
    <x v="1"/>
    <s v="Standard"/>
    <s v="No"/>
    <s v="No"/>
    <n v="22"/>
    <s v="Credit Card"/>
    <x v="1"/>
  </r>
  <r>
    <n v="3875"/>
    <x v="27"/>
    <s v="Female"/>
    <x v="1"/>
    <x v="0"/>
    <n v="54"/>
    <s v="Nevada"/>
    <x v="3"/>
    <x v="19"/>
    <x v="2"/>
    <n v="3.9"/>
    <x v="1"/>
    <s v="2-Day Shipping"/>
    <s v="No"/>
    <s v="No"/>
    <n v="33"/>
    <s v="Credit Card"/>
    <x v="4"/>
  </r>
  <r>
    <n v="3876"/>
    <x v="6"/>
    <s v="Female"/>
    <x v="19"/>
    <x v="3"/>
    <n v="51"/>
    <s v="New Hampshire"/>
    <x v="2"/>
    <x v="6"/>
    <x v="0"/>
    <n v="3.3"/>
    <x v="1"/>
    <s v="2-Day Shipping"/>
    <s v="No"/>
    <s v="No"/>
    <n v="21"/>
    <s v="Credit Card"/>
    <x v="2"/>
  </r>
  <r>
    <n v="3877"/>
    <x v="52"/>
    <s v="Female"/>
    <x v="9"/>
    <x v="1"/>
    <n v="85"/>
    <s v="Wisconsin"/>
    <x v="1"/>
    <x v="17"/>
    <x v="3"/>
    <n v="2.6"/>
    <x v="1"/>
    <s v="2-Day Shipping"/>
    <s v="No"/>
    <s v="No"/>
    <n v="7"/>
    <s v="Cash"/>
    <x v="2"/>
  </r>
  <r>
    <n v="3878"/>
    <x v="48"/>
    <s v="Female"/>
    <x v="15"/>
    <x v="0"/>
    <n v="96"/>
    <s v="Nevada"/>
    <x v="2"/>
    <x v="8"/>
    <x v="1"/>
    <n v="4.2"/>
    <x v="1"/>
    <s v="Next Day Air"/>
    <s v="No"/>
    <s v="No"/>
    <n v="46"/>
    <s v="Debit Card"/>
    <x v="5"/>
  </r>
  <r>
    <n v="3879"/>
    <x v="52"/>
    <s v="Female"/>
    <x v="19"/>
    <x v="3"/>
    <n v="42"/>
    <s v="South Carolina"/>
    <x v="2"/>
    <x v="6"/>
    <x v="2"/>
    <n v="3.4"/>
    <x v="1"/>
    <s v="2-Day Shipping"/>
    <s v="No"/>
    <s v="No"/>
    <n v="24"/>
    <s v="Credit Card"/>
    <x v="2"/>
  </r>
  <r>
    <n v="3880"/>
    <x v="8"/>
    <s v="Female"/>
    <x v="11"/>
    <x v="0"/>
    <n v="63"/>
    <s v="Florida"/>
    <x v="0"/>
    <x v="1"/>
    <x v="0"/>
    <n v="4.0999999999999996"/>
    <x v="1"/>
    <s v="Free Shipping"/>
    <s v="No"/>
    <s v="No"/>
    <n v="6"/>
    <s v="Debit Card"/>
    <x v="3"/>
  </r>
  <r>
    <n v="3881"/>
    <x v="32"/>
    <s v="Female"/>
    <x v="5"/>
    <x v="0"/>
    <n v="20"/>
    <s v="Massachusetts"/>
    <x v="2"/>
    <x v="16"/>
    <x v="0"/>
    <n v="3.9"/>
    <x v="1"/>
    <s v="Free Shipping"/>
    <s v="No"/>
    <s v="No"/>
    <n v="40"/>
    <s v="PayPal"/>
    <x v="5"/>
  </r>
  <r>
    <n v="3882"/>
    <x v="19"/>
    <s v="Female"/>
    <x v="18"/>
    <x v="3"/>
    <n v="25"/>
    <s v="Georgia"/>
    <x v="0"/>
    <x v="5"/>
    <x v="1"/>
    <n v="2.8"/>
    <x v="1"/>
    <s v="2-Day Shipping"/>
    <s v="No"/>
    <s v="No"/>
    <n v="17"/>
    <s v="Debit Card"/>
    <x v="1"/>
  </r>
  <r>
    <n v="3883"/>
    <x v="25"/>
    <s v="Female"/>
    <x v="13"/>
    <x v="0"/>
    <n v="95"/>
    <s v="North Dakota"/>
    <x v="0"/>
    <x v="24"/>
    <x v="3"/>
    <n v="2.6"/>
    <x v="1"/>
    <s v="Free Shipping"/>
    <s v="No"/>
    <s v="No"/>
    <n v="24"/>
    <s v="Cash"/>
    <x v="0"/>
  </r>
  <r>
    <n v="3884"/>
    <x v="50"/>
    <s v="Female"/>
    <x v="19"/>
    <x v="3"/>
    <n v="38"/>
    <s v="North Dakota"/>
    <x v="3"/>
    <x v="7"/>
    <x v="3"/>
    <n v="4"/>
    <x v="1"/>
    <s v="Next Day Air"/>
    <s v="No"/>
    <s v="No"/>
    <n v="22"/>
    <s v="Cash"/>
    <x v="0"/>
  </r>
  <r>
    <n v="3885"/>
    <x v="36"/>
    <s v="Female"/>
    <x v="3"/>
    <x v="1"/>
    <n v="29"/>
    <s v="Maryland"/>
    <x v="2"/>
    <x v="18"/>
    <x v="3"/>
    <n v="4.9000000000000004"/>
    <x v="1"/>
    <s v="Express"/>
    <s v="No"/>
    <s v="No"/>
    <n v="3"/>
    <s v="PayPal"/>
    <x v="1"/>
  </r>
  <r>
    <n v="3886"/>
    <x v="34"/>
    <s v="Female"/>
    <x v="20"/>
    <x v="0"/>
    <n v="64"/>
    <s v="New Mexico"/>
    <x v="0"/>
    <x v="7"/>
    <x v="0"/>
    <n v="3.2"/>
    <x v="1"/>
    <s v="Free Shipping"/>
    <s v="No"/>
    <s v="No"/>
    <n v="39"/>
    <s v="Cash"/>
    <x v="3"/>
  </r>
  <r>
    <n v="3887"/>
    <x v="43"/>
    <s v="Female"/>
    <x v="16"/>
    <x v="3"/>
    <n v="92"/>
    <s v="Iowa"/>
    <x v="1"/>
    <x v="18"/>
    <x v="2"/>
    <n v="3.9"/>
    <x v="1"/>
    <s v="Express"/>
    <s v="No"/>
    <s v="No"/>
    <n v="40"/>
    <s v="Debit Card"/>
    <x v="3"/>
  </r>
  <r>
    <n v="3888"/>
    <x v="37"/>
    <s v="Female"/>
    <x v="5"/>
    <x v="0"/>
    <n v="34"/>
    <s v="Kansas"/>
    <x v="2"/>
    <x v="4"/>
    <x v="1"/>
    <n v="2.7"/>
    <x v="1"/>
    <s v="Express"/>
    <s v="No"/>
    <s v="No"/>
    <n v="1"/>
    <s v="Credit Card"/>
    <x v="3"/>
  </r>
  <r>
    <n v="3889"/>
    <x v="4"/>
    <s v="Female"/>
    <x v="4"/>
    <x v="1"/>
    <n v="69"/>
    <s v="Virginia"/>
    <x v="2"/>
    <x v="10"/>
    <x v="1"/>
    <n v="3.4"/>
    <x v="1"/>
    <s v="Standard"/>
    <s v="No"/>
    <s v="No"/>
    <n v="14"/>
    <s v="Venmo"/>
    <x v="4"/>
  </r>
  <r>
    <n v="3890"/>
    <x v="9"/>
    <s v="Female"/>
    <x v="10"/>
    <x v="0"/>
    <n v="65"/>
    <s v="Alaska"/>
    <x v="1"/>
    <x v="22"/>
    <x v="1"/>
    <n v="3.5"/>
    <x v="1"/>
    <s v="Express"/>
    <s v="No"/>
    <s v="No"/>
    <n v="49"/>
    <s v="Bank Transfer"/>
    <x v="2"/>
  </r>
  <r>
    <n v="3891"/>
    <x v="25"/>
    <s v="Female"/>
    <x v="5"/>
    <x v="0"/>
    <n v="81"/>
    <s v="Nebraska"/>
    <x v="3"/>
    <x v="14"/>
    <x v="0"/>
    <n v="2.6"/>
    <x v="1"/>
    <s v="Standard"/>
    <s v="No"/>
    <s v="No"/>
    <n v="33"/>
    <s v="Debit Card"/>
    <x v="2"/>
  </r>
  <r>
    <n v="3892"/>
    <x v="24"/>
    <s v="Female"/>
    <x v="10"/>
    <x v="0"/>
    <n v="30"/>
    <s v="Colorado"/>
    <x v="0"/>
    <x v="15"/>
    <x v="0"/>
    <n v="4.7"/>
    <x v="1"/>
    <s v="Free Shipping"/>
    <s v="No"/>
    <s v="No"/>
    <n v="6"/>
    <s v="Bank Transfer"/>
    <x v="3"/>
  </r>
  <r>
    <n v="3893"/>
    <x v="25"/>
    <s v="Female"/>
    <x v="16"/>
    <x v="3"/>
    <n v="86"/>
    <s v="Michigan"/>
    <x v="0"/>
    <x v="21"/>
    <x v="2"/>
    <n v="3.5"/>
    <x v="1"/>
    <s v="Standard"/>
    <s v="No"/>
    <s v="No"/>
    <n v="5"/>
    <s v="PayPal"/>
    <x v="0"/>
  </r>
  <r>
    <n v="3894"/>
    <x v="3"/>
    <s v="Female"/>
    <x v="19"/>
    <x v="3"/>
    <n v="64"/>
    <s v="Massachusetts"/>
    <x v="0"/>
    <x v="3"/>
    <x v="3"/>
    <n v="3.3"/>
    <x v="1"/>
    <s v="Store Pickup"/>
    <s v="No"/>
    <s v="No"/>
    <n v="29"/>
    <s v="Bank Transfer"/>
    <x v="4"/>
  </r>
  <r>
    <n v="3895"/>
    <x v="17"/>
    <s v="Female"/>
    <x v="11"/>
    <x v="0"/>
    <n v="78"/>
    <s v="Connecticut"/>
    <x v="0"/>
    <x v="3"/>
    <x v="1"/>
    <n v="3.9"/>
    <x v="1"/>
    <s v="2-Day Shipping"/>
    <s v="No"/>
    <s v="No"/>
    <n v="44"/>
    <s v="Credit Card"/>
    <x v="6"/>
  </r>
  <r>
    <n v="3896"/>
    <x v="37"/>
    <s v="Female"/>
    <x v="15"/>
    <x v="0"/>
    <n v="28"/>
    <s v="Virginia"/>
    <x v="0"/>
    <x v="2"/>
    <x v="2"/>
    <n v="4.2"/>
    <x v="1"/>
    <s v="2-Day Shipping"/>
    <s v="No"/>
    <s v="No"/>
    <n v="32"/>
    <s v="Venmo"/>
    <x v="1"/>
  </r>
  <r>
    <n v="3897"/>
    <x v="16"/>
    <s v="Female"/>
    <x v="21"/>
    <x v="3"/>
    <n v="49"/>
    <s v="Iowa"/>
    <x v="0"/>
    <x v="3"/>
    <x v="1"/>
    <n v="4.5"/>
    <x v="1"/>
    <s v="Store Pickup"/>
    <s v="No"/>
    <s v="No"/>
    <n v="41"/>
    <s v="Bank Transfer"/>
    <x v="4"/>
  </r>
  <r>
    <n v="3898"/>
    <x v="5"/>
    <s v="Female"/>
    <x v="22"/>
    <x v="3"/>
    <n v="33"/>
    <s v="New Jersey"/>
    <x v="0"/>
    <x v="14"/>
    <x v="1"/>
    <n v="2.9"/>
    <x v="1"/>
    <s v="Standard"/>
    <s v="No"/>
    <s v="No"/>
    <n v="24"/>
    <s v="Venmo"/>
    <x v="3"/>
  </r>
  <r>
    <n v="3899"/>
    <x v="42"/>
    <s v="Female"/>
    <x v="9"/>
    <x v="1"/>
    <n v="77"/>
    <s v="Minnesota"/>
    <x v="1"/>
    <x v="18"/>
    <x v="2"/>
    <n v="3.8"/>
    <x v="1"/>
    <s v="Express"/>
    <s v="No"/>
    <s v="No"/>
    <n v="24"/>
    <s v="Venmo"/>
    <x v="1"/>
  </r>
  <r>
    <n v="3900"/>
    <x v="16"/>
    <s v="Female"/>
    <x v="8"/>
    <x v="3"/>
    <n v="81"/>
    <s v="California"/>
    <x v="2"/>
    <x v="19"/>
    <x v="1"/>
    <n v="3.1"/>
    <x v="1"/>
    <s v="Store Pickup"/>
    <s v="No"/>
    <s v="No"/>
    <n v="33"/>
    <s v="Venmo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x v="0"/>
    <x v="0"/>
    <x v="0"/>
    <x v="0"/>
    <x v="0"/>
    <x v="0"/>
    <s v="L"/>
    <s v="Gray"/>
    <s v="Winter"/>
    <n v="3.1"/>
    <x v="0"/>
    <x v="0"/>
    <x v="0"/>
    <x v="0"/>
    <n v="14"/>
    <x v="0"/>
    <x v="0"/>
    <x v="0"/>
  </r>
  <r>
    <n v="2"/>
    <x v="1"/>
    <x v="0"/>
    <x v="1"/>
    <x v="0"/>
    <x v="1"/>
    <x v="1"/>
    <s v="L"/>
    <s v="Maroon"/>
    <s v="Winter"/>
    <n v="3.1"/>
    <x v="0"/>
    <x v="0"/>
    <x v="0"/>
    <x v="0"/>
    <n v="2"/>
    <x v="1"/>
    <x v="0"/>
    <x v="0"/>
  </r>
  <r>
    <n v="3"/>
    <x v="2"/>
    <x v="0"/>
    <x v="2"/>
    <x v="0"/>
    <x v="2"/>
    <x v="2"/>
    <s v="S"/>
    <s v="Maroon"/>
    <s v="Spring"/>
    <n v="3.1"/>
    <x v="0"/>
    <x v="1"/>
    <x v="0"/>
    <x v="0"/>
    <n v="23"/>
    <x v="2"/>
    <x v="1"/>
    <x v="1"/>
  </r>
  <r>
    <n v="4"/>
    <x v="3"/>
    <x v="0"/>
    <x v="3"/>
    <x v="1"/>
    <x v="3"/>
    <x v="3"/>
    <s v="M"/>
    <s v="Maroon"/>
    <s v="Spring"/>
    <n v="3.5"/>
    <x v="0"/>
    <x v="2"/>
    <x v="0"/>
    <x v="0"/>
    <n v="49"/>
    <x v="3"/>
    <x v="1"/>
    <x v="1"/>
  </r>
  <r>
    <n v="5"/>
    <x v="4"/>
    <x v="0"/>
    <x v="0"/>
    <x v="0"/>
    <x v="4"/>
    <x v="4"/>
    <s v="M"/>
    <s v="Turquoise"/>
    <s v="Spring"/>
    <n v="2.7"/>
    <x v="0"/>
    <x v="1"/>
    <x v="0"/>
    <x v="0"/>
    <n v="31"/>
    <x v="3"/>
    <x v="2"/>
    <x v="2"/>
  </r>
  <r>
    <n v="6"/>
    <x v="5"/>
    <x v="0"/>
    <x v="4"/>
    <x v="1"/>
    <x v="5"/>
    <x v="5"/>
    <s v="M"/>
    <s v="White"/>
    <s v="Summer"/>
    <n v="2.9"/>
    <x v="0"/>
    <x v="3"/>
    <x v="0"/>
    <x v="0"/>
    <n v="14"/>
    <x v="0"/>
    <x v="1"/>
    <x v="1"/>
  </r>
  <r>
    <n v="7"/>
    <x v="6"/>
    <x v="0"/>
    <x v="5"/>
    <x v="0"/>
    <x v="6"/>
    <x v="6"/>
    <s v="M"/>
    <s v="Gray"/>
    <s v="Fall"/>
    <n v="3.2"/>
    <x v="0"/>
    <x v="1"/>
    <x v="0"/>
    <x v="0"/>
    <n v="49"/>
    <x v="1"/>
    <x v="3"/>
    <x v="3"/>
  </r>
  <r>
    <n v="8"/>
    <x v="7"/>
    <x v="0"/>
    <x v="6"/>
    <x v="0"/>
    <x v="7"/>
    <x v="7"/>
    <s v="L"/>
    <s v="Charcoal"/>
    <s v="Winter"/>
    <n v="3.2"/>
    <x v="0"/>
    <x v="1"/>
    <x v="0"/>
    <x v="0"/>
    <n v="19"/>
    <x v="2"/>
    <x v="1"/>
    <x v="1"/>
  </r>
  <r>
    <n v="9"/>
    <x v="8"/>
    <x v="0"/>
    <x v="7"/>
    <x v="2"/>
    <x v="8"/>
    <x v="8"/>
    <s v="L"/>
    <s v="Silver"/>
    <s v="Summer"/>
    <n v="2.6"/>
    <x v="0"/>
    <x v="0"/>
    <x v="0"/>
    <x v="0"/>
    <n v="8"/>
    <x v="0"/>
    <x v="2"/>
    <x v="2"/>
  </r>
  <r>
    <n v="10"/>
    <x v="9"/>
    <x v="0"/>
    <x v="8"/>
    <x v="3"/>
    <x v="9"/>
    <x v="9"/>
    <s v="M"/>
    <s v="Pink"/>
    <s v="Spring"/>
    <n v="4.8"/>
    <x v="0"/>
    <x v="4"/>
    <x v="0"/>
    <x v="0"/>
    <n v="4"/>
    <x v="1"/>
    <x v="3"/>
    <x v="3"/>
  </r>
  <r>
    <n v="11"/>
    <x v="10"/>
    <x v="0"/>
    <x v="9"/>
    <x v="1"/>
    <x v="7"/>
    <x v="10"/>
    <s v="L"/>
    <s v="Purple"/>
    <s v="Fall"/>
    <n v="4.0999999999999996"/>
    <x v="0"/>
    <x v="5"/>
    <x v="0"/>
    <x v="0"/>
    <n v="26"/>
    <x v="4"/>
    <x v="4"/>
    <x v="4"/>
  </r>
  <r>
    <n v="12"/>
    <x v="11"/>
    <x v="0"/>
    <x v="6"/>
    <x v="0"/>
    <x v="10"/>
    <x v="11"/>
    <s v="S"/>
    <s v="Olive"/>
    <s v="Winter"/>
    <n v="4.9000000000000004"/>
    <x v="0"/>
    <x v="5"/>
    <x v="0"/>
    <x v="0"/>
    <n v="10"/>
    <x v="4"/>
    <x v="0"/>
    <x v="0"/>
  </r>
  <r>
    <n v="13"/>
    <x v="12"/>
    <x v="0"/>
    <x v="7"/>
    <x v="2"/>
    <x v="11"/>
    <x v="12"/>
    <s v="M"/>
    <s v="Gold"/>
    <s v="Winter"/>
    <n v="4.5"/>
    <x v="0"/>
    <x v="0"/>
    <x v="0"/>
    <x v="0"/>
    <n v="37"/>
    <x v="0"/>
    <x v="0"/>
    <x v="0"/>
  </r>
  <r>
    <n v="14"/>
    <x v="13"/>
    <x v="0"/>
    <x v="10"/>
    <x v="0"/>
    <x v="12"/>
    <x v="13"/>
    <s v="M"/>
    <s v="Violet"/>
    <s v="Spring"/>
    <n v="4.7"/>
    <x v="0"/>
    <x v="0"/>
    <x v="0"/>
    <x v="0"/>
    <n v="31"/>
    <x v="3"/>
    <x v="1"/>
    <x v="1"/>
  </r>
  <r>
    <n v="15"/>
    <x v="14"/>
    <x v="0"/>
    <x v="7"/>
    <x v="2"/>
    <x v="0"/>
    <x v="14"/>
    <s v="L"/>
    <s v="Teal"/>
    <s v="Winter"/>
    <n v="4.7"/>
    <x v="0"/>
    <x v="1"/>
    <x v="0"/>
    <x v="0"/>
    <n v="34"/>
    <x v="5"/>
    <x v="1"/>
    <x v="1"/>
  </r>
  <r>
    <n v="16"/>
    <x v="14"/>
    <x v="0"/>
    <x v="11"/>
    <x v="0"/>
    <x v="13"/>
    <x v="3"/>
    <s v="M"/>
    <s v="Teal"/>
    <s v="Winter"/>
    <n v="2.8"/>
    <x v="0"/>
    <x v="5"/>
    <x v="0"/>
    <x v="0"/>
    <n v="8"/>
    <x v="3"/>
    <x v="5"/>
    <x v="5"/>
  </r>
  <r>
    <n v="17"/>
    <x v="15"/>
    <x v="0"/>
    <x v="12"/>
    <x v="3"/>
    <x v="14"/>
    <x v="15"/>
    <s v="S"/>
    <s v="Gray"/>
    <s v="Spring"/>
    <n v="4.0999999999999996"/>
    <x v="0"/>
    <x v="2"/>
    <x v="0"/>
    <x v="0"/>
    <n v="44"/>
    <x v="5"/>
    <x v="4"/>
    <x v="4"/>
  </r>
  <r>
    <n v="18"/>
    <x v="10"/>
    <x v="0"/>
    <x v="10"/>
    <x v="0"/>
    <x v="15"/>
    <x v="16"/>
    <s v="XL"/>
    <s v="Lavender"/>
    <s v="Winter"/>
    <n v="4.7"/>
    <x v="0"/>
    <x v="4"/>
    <x v="0"/>
    <x v="0"/>
    <n v="36"/>
    <x v="0"/>
    <x v="3"/>
    <x v="3"/>
  </r>
  <r>
    <n v="19"/>
    <x v="16"/>
    <x v="0"/>
    <x v="1"/>
    <x v="0"/>
    <x v="16"/>
    <x v="6"/>
    <s v="S"/>
    <s v="Black"/>
    <s v="Summer"/>
    <n v="4.5999999999999996"/>
    <x v="0"/>
    <x v="1"/>
    <x v="0"/>
    <x v="0"/>
    <n v="17"/>
    <x v="1"/>
    <x v="1"/>
    <x v="1"/>
  </r>
  <r>
    <n v="20"/>
    <x v="17"/>
    <x v="0"/>
    <x v="13"/>
    <x v="0"/>
    <x v="3"/>
    <x v="3"/>
    <s v="M"/>
    <s v="Green"/>
    <s v="Summer"/>
    <n v="3.3"/>
    <x v="0"/>
    <x v="3"/>
    <x v="0"/>
    <x v="0"/>
    <n v="46"/>
    <x v="5"/>
    <x v="4"/>
    <x v="4"/>
  </r>
  <r>
    <n v="21"/>
    <x v="3"/>
    <x v="0"/>
    <x v="13"/>
    <x v="0"/>
    <x v="12"/>
    <x v="7"/>
    <s v="M"/>
    <s v="Black"/>
    <s v="Winter"/>
    <n v="2.8"/>
    <x v="0"/>
    <x v="0"/>
    <x v="0"/>
    <x v="0"/>
    <n v="50"/>
    <x v="1"/>
    <x v="6"/>
    <x v="3"/>
  </r>
  <r>
    <n v="22"/>
    <x v="18"/>
    <x v="0"/>
    <x v="13"/>
    <x v="0"/>
    <x v="17"/>
    <x v="17"/>
    <s v="M"/>
    <s v="Charcoal"/>
    <s v="Winter"/>
    <n v="4.0999999999999996"/>
    <x v="0"/>
    <x v="5"/>
    <x v="0"/>
    <x v="0"/>
    <n v="22"/>
    <x v="5"/>
    <x v="3"/>
    <x v="3"/>
  </r>
  <r>
    <n v="23"/>
    <x v="19"/>
    <x v="0"/>
    <x v="13"/>
    <x v="0"/>
    <x v="18"/>
    <x v="18"/>
    <s v="M"/>
    <s v="Peach"/>
    <s v="Summer"/>
    <n v="3.2"/>
    <x v="0"/>
    <x v="5"/>
    <x v="0"/>
    <x v="0"/>
    <n v="32"/>
    <x v="5"/>
    <x v="2"/>
    <x v="2"/>
  </r>
  <r>
    <n v="24"/>
    <x v="18"/>
    <x v="0"/>
    <x v="13"/>
    <x v="0"/>
    <x v="19"/>
    <x v="19"/>
    <s v="XL"/>
    <s v="White"/>
    <s v="Winter"/>
    <n v="4.4000000000000004"/>
    <x v="0"/>
    <x v="0"/>
    <x v="0"/>
    <x v="0"/>
    <n v="40"/>
    <x v="2"/>
    <x v="1"/>
    <x v="1"/>
  </r>
  <r>
    <n v="25"/>
    <x v="20"/>
    <x v="0"/>
    <x v="14"/>
    <x v="2"/>
    <x v="20"/>
    <x v="20"/>
    <s v="M"/>
    <s v="Green"/>
    <s v="Fall"/>
    <n v="2.9"/>
    <x v="0"/>
    <x v="5"/>
    <x v="0"/>
    <x v="0"/>
    <n v="16"/>
    <x v="5"/>
    <x v="1"/>
    <x v="1"/>
  </r>
  <r>
    <n v="26"/>
    <x v="20"/>
    <x v="0"/>
    <x v="15"/>
    <x v="0"/>
    <x v="21"/>
    <x v="21"/>
    <s v="M"/>
    <s v="Silver"/>
    <s v="Summer"/>
    <n v="3.6"/>
    <x v="0"/>
    <x v="0"/>
    <x v="0"/>
    <x v="0"/>
    <n v="14"/>
    <x v="3"/>
    <x v="2"/>
    <x v="2"/>
  </r>
  <r>
    <n v="27"/>
    <x v="21"/>
    <x v="0"/>
    <x v="16"/>
    <x v="3"/>
    <x v="5"/>
    <x v="22"/>
    <s v="M"/>
    <s v="Red"/>
    <s v="Spring"/>
    <n v="3.6"/>
    <x v="0"/>
    <x v="2"/>
    <x v="0"/>
    <x v="0"/>
    <n v="13"/>
    <x v="2"/>
    <x v="2"/>
    <x v="2"/>
  </r>
  <r>
    <n v="28"/>
    <x v="19"/>
    <x v="0"/>
    <x v="6"/>
    <x v="0"/>
    <x v="22"/>
    <x v="0"/>
    <s v="L"/>
    <s v="Cyan"/>
    <s v="Summer"/>
    <n v="5"/>
    <x v="0"/>
    <x v="2"/>
    <x v="0"/>
    <x v="0"/>
    <n v="7"/>
    <x v="4"/>
    <x v="6"/>
    <x v="3"/>
  </r>
  <r>
    <n v="29"/>
    <x v="22"/>
    <x v="0"/>
    <x v="8"/>
    <x v="3"/>
    <x v="23"/>
    <x v="17"/>
    <s v="M"/>
    <s v="Gray"/>
    <s v="Fall"/>
    <n v="4.4000000000000004"/>
    <x v="0"/>
    <x v="1"/>
    <x v="0"/>
    <x v="0"/>
    <n v="41"/>
    <x v="3"/>
    <x v="6"/>
    <x v="3"/>
  </r>
  <r>
    <n v="30"/>
    <x v="18"/>
    <x v="0"/>
    <x v="10"/>
    <x v="0"/>
    <x v="16"/>
    <x v="5"/>
    <s v="S"/>
    <s v="Black"/>
    <s v="Fall"/>
    <n v="4.0999999999999996"/>
    <x v="0"/>
    <x v="5"/>
    <x v="0"/>
    <x v="0"/>
    <n v="14"/>
    <x v="2"/>
    <x v="1"/>
    <x v="1"/>
  </r>
  <r>
    <n v="31"/>
    <x v="9"/>
    <x v="0"/>
    <x v="16"/>
    <x v="3"/>
    <x v="9"/>
    <x v="17"/>
    <s v="L"/>
    <s v="Black"/>
    <s v="Winter"/>
    <n v="4.7"/>
    <x v="0"/>
    <x v="3"/>
    <x v="0"/>
    <x v="0"/>
    <n v="16"/>
    <x v="2"/>
    <x v="5"/>
    <x v="5"/>
  </r>
  <r>
    <n v="32"/>
    <x v="23"/>
    <x v="0"/>
    <x v="10"/>
    <x v="0"/>
    <x v="24"/>
    <x v="8"/>
    <s v="L"/>
    <s v="Brown"/>
    <s v="Winter"/>
    <n v="4.7"/>
    <x v="0"/>
    <x v="5"/>
    <x v="0"/>
    <x v="0"/>
    <n v="45"/>
    <x v="0"/>
    <x v="5"/>
    <x v="5"/>
  </r>
  <r>
    <n v="33"/>
    <x v="24"/>
    <x v="0"/>
    <x v="14"/>
    <x v="2"/>
    <x v="25"/>
    <x v="23"/>
    <s v="M"/>
    <s v="Silver"/>
    <s v="Summer"/>
    <n v="4.9000000000000004"/>
    <x v="0"/>
    <x v="1"/>
    <x v="0"/>
    <x v="0"/>
    <n v="37"/>
    <x v="0"/>
    <x v="2"/>
    <x v="2"/>
  </r>
  <r>
    <n v="34"/>
    <x v="22"/>
    <x v="0"/>
    <x v="13"/>
    <x v="0"/>
    <x v="15"/>
    <x v="24"/>
    <s v="L"/>
    <s v="Green"/>
    <s v="Summer"/>
    <n v="3.3"/>
    <x v="0"/>
    <x v="5"/>
    <x v="0"/>
    <x v="0"/>
    <n v="45"/>
    <x v="1"/>
    <x v="3"/>
    <x v="3"/>
  </r>
  <r>
    <n v="35"/>
    <x v="24"/>
    <x v="0"/>
    <x v="17"/>
    <x v="0"/>
    <x v="26"/>
    <x v="25"/>
    <s v="L"/>
    <s v="Violet"/>
    <s v="Spring"/>
    <n v="4.5999999999999996"/>
    <x v="0"/>
    <x v="4"/>
    <x v="0"/>
    <x v="0"/>
    <n v="38"/>
    <x v="3"/>
    <x v="3"/>
    <x v="3"/>
  </r>
  <r>
    <n v="36"/>
    <x v="22"/>
    <x v="0"/>
    <x v="0"/>
    <x v="0"/>
    <x v="27"/>
    <x v="2"/>
    <s v="M"/>
    <s v="Cyan"/>
    <s v="Summer"/>
    <n v="4"/>
    <x v="0"/>
    <x v="4"/>
    <x v="0"/>
    <x v="0"/>
    <n v="48"/>
    <x v="2"/>
    <x v="4"/>
    <x v="4"/>
  </r>
  <r>
    <n v="37"/>
    <x v="25"/>
    <x v="0"/>
    <x v="17"/>
    <x v="0"/>
    <x v="28"/>
    <x v="26"/>
    <s v="M"/>
    <s v="Maroon"/>
    <s v="Winter"/>
    <n v="4.5999999999999996"/>
    <x v="0"/>
    <x v="1"/>
    <x v="0"/>
    <x v="0"/>
    <n v="44"/>
    <x v="3"/>
    <x v="0"/>
    <x v="0"/>
  </r>
  <r>
    <n v="38"/>
    <x v="25"/>
    <x v="0"/>
    <x v="2"/>
    <x v="0"/>
    <x v="29"/>
    <x v="27"/>
    <s v="S"/>
    <s v="Cyan"/>
    <s v="Summer"/>
    <n v="2.8"/>
    <x v="0"/>
    <x v="5"/>
    <x v="0"/>
    <x v="0"/>
    <n v="10"/>
    <x v="3"/>
    <x v="1"/>
    <x v="1"/>
  </r>
  <r>
    <n v="39"/>
    <x v="26"/>
    <x v="0"/>
    <x v="10"/>
    <x v="0"/>
    <x v="18"/>
    <x v="20"/>
    <s v="M"/>
    <s v="Red"/>
    <s v="Winter"/>
    <n v="3.7"/>
    <x v="0"/>
    <x v="4"/>
    <x v="0"/>
    <x v="0"/>
    <n v="44"/>
    <x v="0"/>
    <x v="6"/>
    <x v="3"/>
  </r>
  <r>
    <n v="40"/>
    <x v="27"/>
    <x v="0"/>
    <x v="13"/>
    <x v="0"/>
    <x v="30"/>
    <x v="28"/>
    <s v="S"/>
    <s v="Turquoise"/>
    <s v="Summer"/>
    <n v="4.2"/>
    <x v="0"/>
    <x v="0"/>
    <x v="0"/>
    <x v="0"/>
    <n v="18"/>
    <x v="2"/>
    <x v="5"/>
    <x v="5"/>
  </r>
  <r>
    <n v="41"/>
    <x v="28"/>
    <x v="0"/>
    <x v="8"/>
    <x v="3"/>
    <x v="31"/>
    <x v="7"/>
    <s v="L"/>
    <s v="Beige"/>
    <s v="Winter"/>
    <n v="4.5999999999999996"/>
    <x v="0"/>
    <x v="2"/>
    <x v="0"/>
    <x v="0"/>
    <n v="31"/>
    <x v="5"/>
    <x v="3"/>
    <x v="3"/>
  </r>
  <r>
    <n v="42"/>
    <x v="29"/>
    <x v="0"/>
    <x v="18"/>
    <x v="3"/>
    <x v="32"/>
    <x v="29"/>
    <s v="M"/>
    <s v="Orange"/>
    <s v="Spring"/>
    <n v="4.5"/>
    <x v="0"/>
    <x v="3"/>
    <x v="0"/>
    <x v="0"/>
    <n v="40"/>
    <x v="0"/>
    <x v="2"/>
    <x v="2"/>
  </r>
  <r>
    <n v="43"/>
    <x v="30"/>
    <x v="0"/>
    <x v="7"/>
    <x v="2"/>
    <x v="33"/>
    <x v="30"/>
    <s v="M"/>
    <s v="Beige"/>
    <s v="Spring"/>
    <n v="4.0999999999999996"/>
    <x v="0"/>
    <x v="1"/>
    <x v="0"/>
    <x v="0"/>
    <n v="15"/>
    <x v="3"/>
    <x v="2"/>
    <x v="2"/>
  </r>
  <r>
    <n v="44"/>
    <x v="15"/>
    <x v="0"/>
    <x v="18"/>
    <x v="3"/>
    <x v="28"/>
    <x v="31"/>
    <s v="L"/>
    <s v="Lavender"/>
    <s v="Fall"/>
    <n v="3.7"/>
    <x v="0"/>
    <x v="5"/>
    <x v="0"/>
    <x v="0"/>
    <n v="19"/>
    <x v="3"/>
    <x v="0"/>
    <x v="0"/>
  </r>
  <r>
    <n v="45"/>
    <x v="31"/>
    <x v="0"/>
    <x v="19"/>
    <x v="3"/>
    <x v="0"/>
    <x v="0"/>
    <s v="S"/>
    <s v="Silver"/>
    <s v="Summer"/>
    <n v="4.5999999999999996"/>
    <x v="0"/>
    <x v="1"/>
    <x v="0"/>
    <x v="0"/>
    <n v="45"/>
    <x v="3"/>
    <x v="1"/>
    <x v="1"/>
  </r>
  <r>
    <n v="46"/>
    <x v="2"/>
    <x v="0"/>
    <x v="20"/>
    <x v="0"/>
    <x v="34"/>
    <x v="30"/>
    <s v="XL"/>
    <s v="Indigo"/>
    <s v="Fall"/>
    <n v="2.9"/>
    <x v="0"/>
    <x v="4"/>
    <x v="0"/>
    <x v="0"/>
    <n v="25"/>
    <x v="3"/>
    <x v="2"/>
    <x v="2"/>
  </r>
  <r>
    <n v="47"/>
    <x v="9"/>
    <x v="0"/>
    <x v="5"/>
    <x v="0"/>
    <x v="35"/>
    <x v="18"/>
    <s v="L"/>
    <s v="White"/>
    <s v="Summer"/>
    <n v="2.9"/>
    <x v="0"/>
    <x v="5"/>
    <x v="0"/>
    <x v="0"/>
    <n v="45"/>
    <x v="1"/>
    <x v="3"/>
    <x v="3"/>
  </r>
  <r>
    <n v="48"/>
    <x v="0"/>
    <x v="0"/>
    <x v="16"/>
    <x v="3"/>
    <x v="36"/>
    <x v="6"/>
    <s v="M"/>
    <s v="Charcoal"/>
    <s v="Winter"/>
    <n v="4.5"/>
    <x v="0"/>
    <x v="1"/>
    <x v="0"/>
    <x v="0"/>
    <n v="36"/>
    <x v="1"/>
    <x v="1"/>
    <x v="1"/>
  </r>
  <r>
    <n v="49"/>
    <x v="32"/>
    <x v="0"/>
    <x v="5"/>
    <x v="0"/>
    <x v="37"/>
    <x v="22"/>
    <s v="M"/>
    <s v="Orange"/>
    <s v="Summer"/>
    <n v="2.7"/>
    <x v="0"/>
    <x v="5"/>
    <x v="0"/>
    <x v="0"/>
    <n v="38"/>
    <x v="1"/>
    <x v="5"/>
    <x v="5"/>
  </r>
  <r>
    <n v="50"/>
    <x v="33"/>
    <x v="0"/>
    <x v="15"/>
    <x v="0"/>
    <x v="38"/>
    <x v="32"/>
    <s v="S"/>
    <s v="Indigo"/>
    <s v="Spring"/>
    <n v="4.5999999999999996"/>
    <x v="0"/>
    <x v="2"/>
    <x v="0"/>
    <x v="0"/>
    <n v="34"/>
    <x v="5"/>
    <x v="4"/>
    <x v="4"/>
  </r>
  <r>
    <n v="51"/>
    <x v="34"/>
    <x v="0"/>
    <x v="0"/>
    <x v="0"/>
    <x v="39"/>
    <x v="33"/>
    <s v="M"/>
    <s v="Red"/>
    <s v="Spring"/>
    <n v="3.7"/>
    <x v="0"/>
    <x v="5"/>
    <x v="0"/>
    <x v="0"/>
    <n v="39"/>
    <x v="5"/>
    <x v="4"/>
    <x v="4"/>
  </r>
  <r>
    <n v="52"/>
    <x v="35"/>
    <x v="0"/>
    <x v="11"/>
    <x v="0"/>
    <x v="40"/>
    <x v="34"/>
    <s v="XL"/>
    <s v="Gray"/>
    <s v="Winter"/>
    <n v="4.7"/>
    <x v="0"/>
    <x v="4"/>
    <x v="0"/>
    <x v="0"/>
    <n v="7"/>
    <x v="2"/>
    <x v="3"/>
    <x v="3"/>
  </r>
  <r>
    <n v="53"/>
    <x v="32"/>
    <x v="0"/>
    <x v="17"/>
    <x v="0"/>
    <x v="5"/>
    <x v="29"/>
    <s v="M"/>
    <s v="Green"/>
    <s v="Summer"/>
    <n v="2.6"/>
    <x v="0"/>
    <x v="1"/>
    <x v="0"/>
    <x v="0"/>
    <n v="26"/>
    <x v="2"/>
    <x v="1"/>
    <x v="1"/>
  </r>
  <r>
    <n v="54"/>
    <x v="26"/>
    <x v="0"/>
    <x v="11"/>
    <x v="0"/>
    <x v="41"/>
    <x v="16"/>
    <s v="S"/>
    <s v="Peach"/>
    <s v="Winter"/>
    <n v="3.9"/>
    <x v="0"/>
    <x v="2"/>
    <x v="0"/>
    <x v="0"/>
    <n v="35"/>
    <x v="2"/>
    <x v="1"/>
    <x v="1"/>
  </r>
  <r>
    <n v="55"/>
    <x v="36"/>
    <x v="0"/>
    <x v="7"/>
    <x v="2"/>
    <x v="23"/>
    <x v="35"/>
    <s v="M"/>
    <s v="Brown"/>
    <s v="Summer"/>
    <n v="4.2"/>
    <x v="0"/>
    <x v="2"/>
    <x v="0"/>
    <x v="0"/>
    <n v="35"/>
    <x v="5"/>
    <x v="4"/>
    <x v="4"/>
  </r>
  <r>
    <n v="56"/>
    <x v="37"/>
    <x v="0"/>
    <x v="14"/>
    <x v="2"/>
    <x v="39"/>
    <x v="36"/>
    <s v="M"/>
    <s v="Lavender"/>
    <s v="Winter"/>
    <n v="3"/>
    <x v="0"/>
    <x v="4"/>
    <x v="0"/>
    <x v="0"/>
    <n v="49"/>
    <x v="2"/>
    <x v="2"/>
    <x v="2"/>
  </r>
  <r>
    <n v="57"/>
    <x v="38"/>
    <x v="0"/>
    <x v="21"/>
    <x v="3"/>
    <x v="2"/>
    <x v="16"/>
    <s v="XL"/>
    <s v="Brown"/>
    <s v="Summer"/>
    <n v="4.7"/>
    <x v="0"/>
    <x v="5"/>
    <x v="0"/>
    <x v="0"/>
    <n v="46"/>
    <x v="2"/>
    <x v="1"/>
    <x v="1"/>
  </r>
  <r>
    <n v="58"/>
    <x v="3"/>
    <x v="0"/>
    <x v="7"/>
    <x v="2"/>
    <x v="1"/>
    <x v="8"/>
    <s v="M"/>
    <s v="White"/>
    <s v="Summer"/>
    <n v="4.4000000000000004"/>
    <x v="0"/>
    <x v="5"/>
    <x v="0"/>
    <x v="0"/>
    <n v="17"/>
    <x v="5"/>
    <x v="0"/>
    <x v="0"/>
  </r>
  <r>
    <n v="59"/>
    <x v="28"/>
    <x v="0"/>
    <x v="15"/>
    <x v="0"/>
    <x v="36"/>
    <x v="9"/>
    <s v="M"/>
    <s v="Charcoal"/>
    <s v="Summer"/>
    <n v="4.2"/>
    <x v="0"/>
    <x v="1"/>
    <x v="0"/>
    <x v="0"/>
    <n v="29"/>
    <x v="0"/>
    <x v="5"/>
    <x v="5"/>
  </r>
  <r>
    <n v="60"/>
    <x v="6"/>
    <x v="0"/>
    <x v="22"/>
    <x v="3"/>
    <x v="24"/>
    <x v="7"/>
    <s v="L"/>
    <s v="Yellow"/>
    <s v="Spring"/>
    <n v="4.5999999999999996"/>
    <x v="0"/>
    <x v="3"/>
    <x v="0"/>
    <x v="0"/>
    <n v="4"/>
    <x v="5"/>
    <x v="1"/>
    <x v="1"/>
  </r>
  <r>
    <n v="61"/>
    <x v="2"/>
    <x v="0"/>
    <x v="1"/>
    <x v="0"/>
    <x v="18"/>
    <x v="37"/>
    <s v="L"/>
    <s v="Brown"/>
    <s v="Summer"/>
    <n v="4"/>
    <x v="0"/>
    <x v="0"/>
    <x v="0"/>
    <x v="0"/>
    <n v="17"/>
    <x v="1"/>
    <x v="1"/>
    <x v="1"/>
  </r>
  <r>
    <n v="62"/>
    <x v="0"/>
    <x v="0"/>
    <x v="18"/>
    <x v="3"/>
    <x v="10"/>
    <x v="21"/>
    <s v="M"/>
    <s v="Orange"/>
    <s v="Winter"/>
    <n v="4.7"/>
    <x v="0"/>
    <x v="5"/>
    <x v="0"/>
    <x v="0"/>
    <n v="21"/>
    <x v="2"/>
    <x v="6"/>
    <x v="3"/>
  </r>
  <r>
    <n v="63"/>
    <x v="11"/>
    <x v="0"/>
    <x v="4"/>
    <x v="1"/>
    <x v="34"/>
    <x v="16"/>
    <s v="S"/>
    <s v="Magenta"/>
    <s v="Spring"/>
    <n v="3.8"/>
    <x v="0"/>
    <x v="1"/>
    <x v="0"/>
    <x v="0"/>
    <n v="31"/>
    <x v="2"/>
    <x v="0"/>
    <x v="0"/>
  </r>
  <r>
    <n v="64"/>
    <x v="23"/>
    <x v="0"/>
    <x v="12"/>
    <x v="3"/>
    <x v="24"/>
    <x v="28"/>
    <s v="L"/>
    <s v="Lavender"/>
    <s v="Winter"/>
    <n v="2.7"/>
    <x v="0"/>
    <x v="4"/>
    <x v="0"/>
    <x v="0"/>
    <n v="43"/>
    <x v="2"/>
    <x v="1"/>
    <x v="1"/>
  </r>
  <r>
    <n v="65"/>
    <x v="13"/>
    <x v="0"/>
    <x v="23"/>
    <x v="1"/>
    <x v="42"/>
    <x v="15"/>
    <s v="S"/>
    <s v="Green"/>
    <s v="Fall"/>
    <n v="4.8"/>
    <x v="0"/>
    <x v="3"/>
    <x v="0"/>
    <x v="0"/>
    <n v="18"/>
    <x v="5"/>
    <x v="0"/>
    <x v="0"/>
  </r>
  <r>
    <n v="66"/>
    <x v="13"/>
    <x v="0"/>
    <x v="21"/>
    <x v="3"/>
    <x v="14"/>
    <x v="32"/>
    <s v="M"/>
    <s v="Purple"/>
    <s v="Spring"/>
    <n v="4.8"/>
    <x v="0"/>
    <x v="4"/>
    <x v="0"/>
    <x v="0"/>
    <n v="44"/>
    <x v="0"/>
    <x v="6"/>
    <x v="3"/>
  </r>
  <r>
    <n v="67"/>
    <x v="18"/>
    <x v="0"/>
    <x v="0"/>
    <x v="0"/>
    <x v="23"/>
    <x v="38"/>
    <s v="S"/>
    <s v="Magenta"/>
    <s v="Winter"/>
    <n v="4.7"/>
    <x v="0"/>
    <x v="4"/>
    <x v="0"/>
    <x v="0"/>
    <n v="3"/>
    <x v="0"/>
    <x v="6"/>
    <x v="3"/>
  </r>
  <r>
    <n v="68"/>
    <x v="4"/>
    <x v="0"/>
    <x v="7"/>
    <x v="2"/>
    <x v="27"/>
    <x v="39"/>
    <s v="L"/>
    <s v="Gray"/>
    <s v="Winter"/>
    <n v="4.4000000000000004"/>
    <x v="0"/>
    <x v="5"/>
    <x v="0"/>
    <x v="0"/>
    <n v="49"/>
    <x v="5"/>
    <x v="5"/>
    <x v="5"/>
  </r>
  <r>
    <n v="69"/>
    <x v="9"/>
    <x v="0"/>
    <x v="8"/>
    <x v="3"/>
    <x v="43"/>
    <x v="40"/>
    <s v="L"/>
    <s v="Silver"/>
    <s v="Summer"/>
    <n v="3.9"/>
    <x v="0"/>
    <x v="2"/>
    <x v="0"/>
    <x v="0"/>
    <n v="21"/>
    <x v="1"/>
    <x v="6"/>
    <x v="3"/>
  </r>
  <r>
    <n v="70"/>
    <x v="39"/>
    <x v="0"/>
    <x v="22"/>
    <x v="3"/>
    <x v="44"/>
    <x v="30"/>
    <s v="S"/>
    <s v="Cyan"/>
    <s v="Summer"/>
    <n v="4.4000000000000004"/>
    <x v="0"/>
    <x v="0"/>
    <x v="0"/>
    <x v="0"/>
    <n v="5"/>
    <x v="1"/>
    <x v="1"/>
    <x v="1"/>
  </r>
  <r>
    <n v="71"/>
    <x v="40"/>
    <x v="0"/>
    <x v="22"/>
    <x v="3"/>
    <x v="45"/>
    <x v="15"/>
    <s v="M"/>
    <s v="Magenta"/>
    <s v="Fall"/>
    <n v="4.2"/>
    <x v="0"/>
    <x v="0"/>
    <x v="0"/>
    <x v="0"/>
    <n v="32"/>
    <x v="5"/>
    <x v="6"/>
    <x v="3"/>
  </r>
  <r>
    <n v="72"/>
    <x v="24"/>
    <x v="0"/>
    <x v="10"/>
    <x v="0"/>
    <x v="16"/>
    <x v="41"/>
    <s v="L"/>
    <s v="Gold"/>
    <s v="Summer"/>
    <n v="2.9"/>
    <x v="0"/>
    <x v="0"/>
    <x v="0"/>
    <x v="0"/>
    <n v="34"/>
    <x v="4"/>
    <x v="2"/>
    <x v="2"/>
  </r>
  <r>
    <n v="73"/>
    <x v="20"/>
    <x v="0"/>
    <x v="10"/>
    <x v="0"/>
    <x v="46"/>
    <x v="42"/>
    <s v="M"/>
    <s v="Olive"/>
    <s v="Winter"/>
    <n v="2.9"/>
    <x v="0"/>
    <x v="5"/>
    <x v="0"/>
    <x v="0"/>
    <n v="21"/>
    <x v="4"/>
    <x v="6"/>
    <x v="3"/>
  </r>
  <r>
    <n v="74"/>
    <x v="39"/>
    <x v="0"/>
    <x v="13"/>
    <x v="0"/>
    <x v="6"/>
    <x v="11"/>
    <s v="M"/>
    <s v="Teal"/>
    <s v="Spring"/>
    <n v="2.7"/>
    <x v="0"/>
    <x v="1"/>
    <x v="0"/>
    <x v="0"/>
    <n v="43"/>
    <x v="4"/>
    <x v="4"/>
    <x v="4"/>
  </r>
  <r>
    <n v="75"/>
    <x v="34"/>
    <x v="0"/>
    <x v="24"/>
    <x v="3"/>
    <x v="47"/>
    <x v="27"/>
    <s v="L"/>
    <s v="Violet"/>
    <s v="Spring"/>
    <n v="4.5"/>
    <x v="0"/>
    <x v="0"/>
    <x v="0"/>
    <x v="0"/>
    <n v="3"/>
    <x v="1"/>
    <x v="5"/>
    <x v="5"/>
  </r>
  <r>
    <n v="76"/>
    <x v="14"/>
    <x v="0"/>
    <x v="18"/>
    <x v="3"/>
    <x v="6"/>
    <x v="40"/>
    <s v="M"/>
    <s v="Blue"/>
    <s v="Summer"/>
    <n v="2.7"/>
    <x v="0"/>
    <x v="1"/>
    <x v="0"/>
    <x v="0"/>
    <n v="21"/>
    <x v="2"/>
    <x v="2"/>
    <x v="2"/>
  </r>
  <r>
    <n v="77"/>
    <x v="2"/>
    <x v="0"/>
    <x v="19"/>
    <x v="3"/>
    <x v="35"/>
    <x v="12"/>
    <s v="S"/>
    <s v="Teal"/>
    <s v="Summer"/>
    <n v="4.2"/>
    <x v="0"/>
    <x v="1"/>
    <x v="0"/>
    <x v="0"/>
    <n v="32"/>
    <x v="0"/>
    <x v="5"/>
    <x v="5"/>
  </r>
  <r>
    <n v="78"/>
    <x v="40"/>
    <x v="0"/>
    <x v="10"/>
    <x v="0"/>
    <x v="0"/>
    <x v="12"/>
    <s v="L"/>
    <s v="Gold"/>
    <s v="Summer"/>
    <n v="3.3"/>
    <x v="0"/>
    <x v="2"/>
    <x v="0"/>
    <x v="0"/>
    <n v="36"/>
    <x v="5"/>
    <x v="0"/>
    <x v="0"/>
  </r>
  <r>
    <n v="79"/>
    <x v="2"/>
    <x v="0"/>
    <x v="11"/>
    <x v="0"/>
    <x v="26"/>
    <x v="43"/>
    <s v="M"/>
    <s v="Maroon"/>
    <s v="Spring"/>
    <n v="4.7"/>
    <x v="0"/>
    <x v="1"/>
    <x v="0"/>
    <x v="0"/>
    <n v="50"/>
    <x v="0"/>
    <x v="0"/>
    <x v="0"/>
  </r>
  <r>
    <n v="80"/>
    <x v="21"/>
    <x v="0"/>
    <x v="14"/>
    <x v="2"/>
    <x v="48"/>
    <x v="44"/>
    <s v="M"/>
    <s v="Olive"/>
    <s v="Winter"/>
    <n v="2.6"/>
    <x v="0"/>
    <x v="4"/>
    <x v="0"/>
    <x v="0"/>
    <n v="43"/>
    <x v="4"/>
    <x v="6"/>
    <x v="3"/>
  </r>
  <r>
    <n v="81"/>
    <x v="1"/>
    <x v="0"/>
    <x v="3"/>
    <x v="1"/>
    <x v="11"/>
    <x v="14"/>
    <s v="XL"/>
    <s v="Blue"/>
    <s v="Summer"/>
    <n v="3.3"/>
    <x v="0"/>
    <x v="5"/>
    <x v="0"/>
    <x v="0"/>
    <n v="24"/>
    <x v="2"/>
    <x v="6"/>
    <x v="3"/>
  </r>
  <r>
    <n v="82"/>
    <x v="29"/>
    <x v="0"/>
    <x v="9"/>
    <x v="1"/>
    <x v="48"/>
    <x v="41"/>
    <s v="L"/>
    <s v="Maroon"/>
    <s v="Summer"/>
    <n v="2.6"/>
    <x v="0"/>
    <x v="0"/>
    <x v="0"/>
    <x v="0"/>
    <n v="36"/>
    <x v="2"/>
    <x v="6"/>
    <x v="3"/>
  </r>
  <r>
    <n v="83"/>
    <x v="1"/>
    <x v="0"/>
    <x v="13"/>
    <x v="0"/>
    <x v="39"/>
    <x v="42"/>
    <s v="S"/>
    <s v="Olive"/>
    <s v="Spring"/>
    <n v="4"/>
    <x v="0"/>
    <x v="4"/>
    <x v="0"/>
    <x v="0"/>
    <n v="21"/>
    <x v="2"/>
    <x v="6"/>
    <x v="3"/>
  </r>
  <r>
    <n v="84"/>
    <x v="24"/>
    <x v="0"/>
    <x v="10"/>
    <x v="0"/>
    <x v="49"/>
    <x v="21"/>
    <s v="M"/>
    <s v="Turquoise"/>
    <s v="Summer"/>
    <n v="4.0999999999999996"/>
    <x v="0"/>
    <x v="3"/>
    <x v="0"/>
    <x v="0"/>
    <n v="34"/>
    <x v="4"/>
    <x v="1"/>
    <x v="1"/>
  </r>
  <r>
    <n v="85"/>
    <x v="16"/>
    <x v="0"/>
    <x v="7"/>
    <x v="2"/>
    <x v="50"/>
    <x v="28"/>
    <s v="S"/>
    <s v="Peach"/>
    <s v="Spring"/>
    <n v="4.4000000000000004"/>
    <x v="0"/>
    <x v="3"/>
    <x v="0"/>
    <x v="0"/>
    <n v="42"/>
    <x v="4"/>
    <x v="6"/>
    <x v="3"/>
  </r>
  <r>
    <n v="86"/>
    <x v="10"/>
    <x v="0"/>
    <x v="12"/>
    <x v="3"/>
    <x v="51"/>
    <x v="35"/>
    <s v="M"/>
    <s v="Charcoal"/>
    <s v="Winter"/>
    <n v="4.5"/>
    <x v="0"/>
    <x v="2"/>
    <x v="0"/>
    <x v="0"/>
    <n v="2"/>
    <x v="5"/>
    <x v="4"/>
    <x v="4"/>
  </r>
  <r>
    <n v="87"/>
    <x v="41"/>
    <x v="0"/>
    <x v="15"/>
    <x v="0"/>
    <x v="52"/>
    <x v="22"/>
    <s v="L"/>
    <s v="Pink"/>
    <s v="Spring"/>
    <n v="3.7"/>
    <x v="0"/>
    <x v="4"/>
    <x v="0"/>
    <x v="0"/>
    <n v="47"/>
    <x v="1"/>
    <x v="4"/>
    <x v="4"/>
  </r>
  <r>
    <n v="88"/>
    <x v="16"/>
    <x v="0"/>
    <x v="9"/>
    <x v="1"/>
    <x v="0"/>
    <x v="31"/>
    <s v="M"/>
    <s v="Green"/>
    <s v="Fall"/>
    <n v="3.7"/>
    <x v="0"/>
    <x v="4"/>
    <x v="0"/>
    <x v="0"/>
    <n v="44"/>
    <x v="5"/>
    <x v="0"/>
    <x v="0"/>
  </r>
  <r>
    <n v="89"/>
    <x v="23"/>
    <x v="0"/>
    <x v="17"/>
    <x v="0"/>
    <x v="53"/>
    <x v="5"/>
    <s v="M"/>
    <s v="Orange"/>
    <s v="Fall"/>
    <n v="3.5"/>
    <x v="0"/>
    <x v="1"/>
    <x v="0"/>
    <x v="0"/>
    <n v="35"/>
    <x v="2"/>
    <x v="5"/>
    <x v="5"/>
  </r>
  <r>
    <n v="90"/>
    <x v="36"/>
    <x v="0"/>
    <x v="14"/>
    <x v="2"/>
    <x v="42"/>
    <x v="18"/>
    <s v="XL"/>
    <s v="Pink"/>
    <s v="Fall"/>
    <n v="3.6"/>
    <x v="0"/>
    <x v="2"/>
    <x v="0"/>
    <x v="0"/>
    <n v="15"/>
    <x v="1"/>
    <x v="3"/>
    <x v="3"/>
  </r>
  <r>
    <n v="91"/>
    <x v="15"/>
    <x v="0"/>
    <x v="19"/>
    <x v="3"/>
    <x v="16"/>
    <x v="36"/>
    <s v="L"/>
    <s v="Violet"/>
    <s v="Summer"/>
    <n v="2.9"/>
    <x v="0"/>
    <x v="0"/>
    <x v="0"/>
    <x v="0"/>
    <n v="29"/>
    <x v="2"/>
    <x v="5"/>
    <x v="5"/>
  </r>
  <r>
    <n v="92"/>
    <x v="42"/>
    <x v="0"/>
    <x v="18"/>
    <x v="3"/>
    <x v="54"/>
    <x v="36"/>
    <s v="S"/>
    <s v="Green"/>
    <s v="Winter"/>
    <n v="4.5999999999999996"/>
    <x v="0"/>
    <x v="3"/>
    <x v="0"/>
    <x v="0"/>
    <n v="18"/>
    <x v="2"/>
    <x v="6"/>
    <x v="3"/>
  </r>
  <r>
    <n v="93"/>
    <x v="12"/>
    <x v="0"/>
    <x v="14"/>
    <x v="2"/>
    <x v="55"/>
    <x v="21"/>
    <s v="M"/>
    <s v="Olive"/>
    <s v="Winter"/>
    <n v="4.4000000000000004"/>
    <x v="0"/>
    <x v="4"/>
    <x v="0"/>
    <x v="0"/>
    <n v="13"/>
    <x v="0"/>
    <x v="6"/>
    <x v="3"/>
  </r>
  <r>
    <n v="94"/>
    <x v="43"/>
    <x v="0"/>
    <x v="1"/>
    <x v="0"/>
    <x v="17"/>
    <x v="20"/>
    <s v="M"/>
    <s v="Purple"/>
    <s v="Fall"/>
    <n v="4.5"/>
    <x v="0"/>
    <x v="3"/>
    <x v="0"/>
    <x v="0"/>
    <n v="46"/>
    <x v="2"/>
    <x v="1"/>
    <x v="1"/>
  </r>
  <r>
    <n v="95"/>
    <x v="44"/>
    <x v="0"/>
    <x v="11"/>
    <x v="0"/>
    <x v="31"/>
    <x v="22"/>
    <s v="S"/>
    <s v="Silver"/>
    <s v="Spring"/>
    <n v="4.5999999999999996"/>
    <x v="0"/>
    <x v="1"/>
    <x v="0"/>
    <x v="0"/>
    <n v="28"/>
    <x v="2"/>
    <x v="1"/>
    <x v="1"/>
  </r>
  <r>
    <n v="96"/>
    <x v="43"/>
    <x v="0"/>
    <x v="4"/>
    <x v="1"/>
    <x v="33"/>
    <x v="9"/>
    <s v="L"/>
    <s v="Pink"/>
    <s v="Fall"/>
    <n v="3.8"/>
    <x v="0"/>
    <x v="1"/>
    <x v="0"/>
    <x v="0"/>
    <n v="48"/>
    <x v="3"/>
    <x v="5"/>
    <x v="5"/>
  </r>
  <r>
    <n v="97"/>
    <x v="45"/>
    <x v="0"/>
    <x v="24"/>
    <x v="3"/>
    <x v="2"/>
    <x v="12"/>
    <s v="S"/>
    <s v="Gold"/>
    <s v="Spring"/>
    <n v="3.6"/>
    <x v="0"/>
    <x v="0"/>
    <x v="0"/>
    <x v="0"/>
    <n v="43"/>
    <x v="0"/>
    <x v="6"/>
    <x v="3"/>
  </r>
  <r>
    <n v="98"/>
    <x v="3"/>
    <x v="0"/>
    <x v="9"/>
    <x v="1"/>
    <x v="56"/>
    <x v="41"/>
    <s v="M"/>
    <s v="Teal"/>
    <s v="Winter"/>
    <n v="4.8"/>
    <x v="0"/>
    <x v="5"/>
    <x v="0"/>
    <x v="0"/>
    <n v="37"/>
    <x v="1"/>
    <x v="2"/>
    <x v="2"/>
  </r>
  <r>
    <n v="99"/>
    <x v="30"/>
    <x v="0"/>
    <x v="2"/>
    <x v="0"/>
    <x v="25"/>
    <x v="14"/>
    <s v="XL"/>
    <s v="Teal"/>
    <s v="Spring"/>
    <n v="2.6"/>
    <x v="0"/>
    <x v="2"/>
    <x v="0"/>
    <x v="0"/>
    <n v="20"/>
    <x v="4"/>
    <x v="2"/>
    <x v="2"/>
  </r>
  <r>
    <n v="100"/>
    <x v="8"/>
    <x v="0"/>
    <x v="15"/>
    <x v="0"/>
    <x v="49"/>
    <x v="9"/>
    <s v="XL"/>
    <s v="Indigo"/>
    <s v="Summer"/>
    <n v="3.7"/>
    <x v="0"/>
    <x v="0"/>
    <x v="0"/>
    <x v="0"/>
    <n v="33"/>
    <x v="5"/>
    <x v="3"/>
    <x v="3"/>
  </r>
  <r>
    <n v="101"/>
    <x v="46"/>
    <x v="0"/>
    <x v="12"/>
    <x v="3"/>
    <x v="57"/>
    <x v="45"/>
    <s v="M"/>
    <s v="Maroon"/>
    <s v="Fall"/>
    <n v="2.7"/>
    <x v="0"/>
    <x v="0"/>
    <x v="0"/>
    <x v="0"/>
    <n v="31"/>
    <x v="1"/>
    <x v="0"/>
    <x v="0"/>
  </r>
  <r>
    <n v="102"/>
    <x v="7"/>
    <x v="0"/>
    <x v="7"/>
    <x v="2"/>
    <x v="6"/>
    <x v="25"/>
    <s v="XL"/>
    <s v="White"/>
    <s v="Spring"/>
    <n v="4.5999999999999996"/>
    <x v="0"/>
    <x v="0"/>
    <x v="0"/>
    <x v="0"/>
    <n v="50"/>
    <x v="2"/>
    <x v="4"/>
    <x v="4"/>
  </r>
  <r>
    <n v="103"/>
    <x v="47"/>
    <x v="0"/>
    <x v="20"/>
    <x v="0"/>
    <x v="25"/>
    <x v="19"/>
    <s v="L"/>
    <s v="Violet"/>
    <s v="Winter"/>
    <n v="4.8"/>
    <x v="0"/>
    <x v="2"/>
    <x v="0"/>
    <x v="0"/>
    <n v="35"/>
    <x v="2"/>
    <x v="3"/>
    <x v="3"/>
  </r>
  <r>
    <n v="104"/>
    <x v="22"/>
    <x v="0"/>
    <x v="23"/>
    <x v="1"/>
    <x v="58"/>
    <x v="8"/>
    <s v="L"/>
    <s v="Red"/>
    <s v="Winter"/>
    <n v="4"/>
    <x v="0"/>
    <x v="2"/>
    <x v="0"/>
    <x v="0"/>
    <n v="22"/>
    <x v="0"/>
    <x v="4"/>
    <x v="4"/>
  </r>
  <r>
    <n v="105"/>
    <x v="0"/>
    <x v="0"/>
    <x v="12"/>
    <x v="3"/>
    <x v="41"/>
    <x v="13"/>
    <s v="L"/>
    <s v="Pink"/>
    <s v="Spring"/>
    <n v="4.4000000000000004"/>
    <x v="0"/>
    <x v="4"/>
    <x v="0"/>
    <x v="0"/>
    <n v="1"/>
    <x v="3"/>
    <x v="5"/>
    <x v="5"/>
  </r>
  <r>
    <n v="106"/>
    <x v="28"/>
    <x v="0"/>
    <x v="21"/>
    <x v="3"/>
    <x v="48"/>
    <x v="14"/>
    <s v="M"/>
    <s v="Charcoal"/>
    <s v="Fall"/>
    <n v="3.6"/>
    <x v="0"/>
    <x v="2"/>
    <x v="0"/>
    <x v="0"/>
    <n v="4"/>
    <x v="4"/>
    <x v="2"/>
    <x v="2"/>
  </r>
  <r>
    <n v="107"/>
    <x v="14"/>
    <x v="0"/>
    <x v="14"/>
    <x v="2"/>
    <x v="59"/>
    <x v="46"/>
    <s v="L"/>
    <s v="White"/>
    <s v="Summer"/>
    <n v="3.7"/>
    <x v="0"/>
    <x v="3"/>
    <x v="0"/>
    <x v="0"/>
    <n v="31"/>
    <x v="2"/>
    <x v="5"/>
    <x v="5"/>
  </r>
  <r>
    <n v="108"/>
    <x v="48"/>
    <x v="0"/>
    <x v="4"/>
    <x v="1"/>
    <x v="25"/>
    <x v="33"/>
    <s v="L"/>
    <s v="Olive"/>
    <s v="Winter"/>
    <n v="3.1"/>
    <x v="0"/>
    <x v="2"/>
    <x v="0"/>
    <x v="0"/>
    <n v="46"/>
    <x v="3"/>
    <x v="0"/>
    <x v="0"/>
  </r>
  <r>
    <n v="109"/>
    <x v="27"/>
    <x v="0"/>
    <x v="20"/>
    <x v="0"/>
    <x v="24"/>
    <x v="6"/>
    <s v="L"/>
    <s v="Purple"/>
    <s v="Spring"/>
    <n v="3.4"/>
    <x v="0"/>
    <x v="2"/>
    <x v="0"/>
    <x v="0"/>
    <n v="32"/>
    <x v="4"/>
    <x v="4"/>
    <x v="4"/>
  </r>
  <r>
    <n v="110"/>
    <x v="44"/>
    <x v="0"/>
    <x v="17"/>
    <x v="0"/>
    <x v="6"/>
    <x v="15"/>
    <s v="M"/>
    <s v="Violet"/>
    <s v="Spring"/>
    <n v="2.6"/>
    <x v="0"/>
    <x v="2"/>
    <x v="0"/>
    <x v="0"/>
    <n v="43"/>
    <x v="4"/>
    <x v="0"/>
    <x v="0"/>
  </r>
  <r>
    <n v="111"/>
    <x v="19"/>
    <x v="0"/>
    <x v="21"/>
    <x v="3"/>
    <x v="46"/>
    <x v="14"/>
    <s v="M"/>
    <s v="Black"/>
    <s v="Summer"/>
    <n v="4"/>
    <x v="0"/>
    <x v="3"/>
    <x v="0"/>
    <x v="0"/>
    <n v="26"/>
    <x v="0"/>
    <x v="0"/>
    <x v="0"/>
  </r>
  <r>
    <n v="112"/>
    <x v="8"/>
    <x v="0"/>
    <x v="22"/>
    <x v="3"/>
    <x v="60"/>
    <x v="2"/>
    <s v="L"/>
    <s v="Purple"/>
    <s v="Summer"/>
    <n v="5"/>
    <x v="0"/>
    <x v="1"/>
    <x v="0"/>
    <x v="0"/>
    <n v="9"/>
    <x v="2"/>
    <x v="2"/>
    <x v="2"/>
  </r>
  <r>
    <n v="113"/>
    <x v="43"/>
    <x v="0"/>
    <x v="24"/>
    <x v="3"/>
    <x v="61"/>
    <x v="20"/>
    <s v="M"/>
    <s v="Red"/>
    <s v="Spring"/>
    <n v="4.3"/>
    <x v="0"/>
    <x v="1"/>
    <x v="0"/>
    <x v="0"/>
    <n v="28"/>
    <x v="3"/>
    <x v="4"/>
    <x v="4"/>
  </r>
  <r>
    <n v="114"/>
    <x v="42"/>
    <x v="0"/>
    <x v="19"/>
    <x v="3"/>
    <x v="36"/>
    <x v="32"/>
    <s v="L"/>
    <s v="Maroon"/>
    <s v="Winter"/>
    <n v="3.1"/>
    <x v="0"/>
    <x v="2"/>
    <x v="0"/>
    <x v="0"/>
    <n v="20"/>
    <x v="3"/>
    <x v="3"/>
    <x v="3"/>
  </r>
  <r>
    <n v="115"/>
    <x v="27"/>
    <x v="0"/>
    <x v="7"/>
    <x v="2"/>
    <x v="51"/>
    <x v="2"/>
    <s v="S"/>
    <s v="Blue"/>
    <s v="Summer"/>
    <n v="3.7"/>
    <x v="0"/>
    <x v="5"/>
    <x v="0"/>
    <x v="0"/>
    <n v="9"/>
    <x v="1"/>
    <x v="1"/>
    <x v="1"/>
  </r>
  <r>
    <n v="116"/>
    <x v="10"/>
    <x v="0"/>
    <x v="11"/>
    <x v="0"/>
    <x v="23"/>
    <x v="5"/>
    <s v="M"/>
    <s v="Gray"/>
    <s v="Spring"/>
    <n v="3.8"/>
    <x v="0"/>
    <x v="3"/>
    <x v="0"/>
    <x v="0"/>
    <n v="48"/>
    <x v="5"/>
    <x v="6"/>
    <x v="3"/>
  </r>
  <r>
    <n v="117"/>
    <x v="0"/>
    <x v="0"/>
    <x v="9"/>
    <x v="1"/>
    <x v="62"/>
    <x v="41"/>
    <s v="S"/>
    <s v="Blue"/>
    <s v="Spring"/>
    <n v="3.4"/>
    <x v="0"/>
    <x v="1"/>
    <x v="0"/>
    <x v="0"/>
    <n v="12"/>
    <x v="0"/>
    <x v="2"/>
    <x v="2"/>
  </r>
  <r>
    <n v="118"/>
    <x v="2"/>
    <x v="0"/>
    <x v="3"/>
    <x v="1"/>
    <x v="50"/>
    <x v="45"/>
    <s v="L"/>
    <s v="Yellow"/>
    <s v="Summer"/>
    <n v="4.5999999999999996"/>
    <x v="0"/>
    <x v="0"/>
    <x v="0"/>
    <x v="0"/>
    <n v="29"/>
    <x v="1"/>
    <x v="0"/>
    <x v="0"/>
  </r>
  <r>
    <n v="119"/>
    <x v="2"/>
    <x v="0"/>
    <x v="1"/>
    <x v="0"/>
    <x v="29"/>
    <x v="0"/>
    <s v="L"/>
    <s v="Orange"/>
    <s v="Fall"/>
    <n v="4.8"/>
    <x v="0"/>
    <x v="4"/>
    <x v="0"/>
    <x v="0"/>
    <n v="27"/>
    <x v="1"/>
    <x v="4"/>
    <x v="4"/>
  </r>
  <r>
    <n v="120"/>
    <x v="21"/>
    <x v="0"/>
    <x v="7"/>
    <x v="2"/>
    <x v="31"/>
    <x v="5"/>
    <s v="M"/>
    <s v="Orange"/>
    <s v="Fall"/>
    <n v="4.3"/>
    <x v="0"/>
    <x v="0"/>
    <x v="0"/>
    <x v="0"/>
    <n v="44"/>
    <x v="1"/>
    <x v="2"/>
    <x v="2"/>
  </r>
  <r>
    <n v="121"/>
    <x v="14"/>
    <x v="0"/>
    <x v="19"/>
    <x v="3"/>
    <x v="63"/>
    <x v="8"/>
    <s v="L"/>
    <s v="Red"/>
    <s v="Summer"/>
    <n v="4"/>
    <x v="0"/>
    <x v="0"/>
    <x v="0"/>
    <x v="0"/>
    <n v="32"/>
    <x v="4"/>
    <x v="2"/>
    <x v="2"/>
  </r>
  <r>
    <n v="122"/>
    <x v="1"/>
    <x v="0"/>
    <x v="6"/>
    <x v="0"/>
    <x v="11"/>
    <x v="41"/>
    <s v="M"/>
    <s v="Olive"/>
    <s v="Winter"/>
    <n v="4.2"/>
    <x v="0"/>
    <x v="3"/>
    <x v="0"/>
    <x v="0"/>
    <n v="11"/>
    <x v="1"/>
    <x v="0"/>
    <x v="0"/>
  </r>
  <r>
    <n v="123"/>
    <x v="37"/>
    <x v="0"/>
    <x v="21"/>
    <x v="3"/>
    <x v="49"/>
    <x v="47"/>
    <s v="L"/>
    <s v="Brown"/>
    <s v="Spring"/>
    <n v="4.8"/>
    <x v="0"/>
    <x v="4"/>
    <x v="0"/>
    <x v="0"/>
    <n v="44"/>
    <x v="1"/>
    <x v="0"/>
    <x v="0"/>
  </r>
  <r>
    <n v="124"/>
    <x v="9"/>
    <x v="0"/>
    <x v="1"/>
    <x v="0"/>
    <x v="58"/>
    <x v="7"/>
    <s v="L"/>
    <s v="Brown"/>
    <s v="Fall"/>
    <n v="3.1"/>
    <x v="0"/>
    <x v="1"/>
    <x v="0"/>
    <x v="0"/>
    <n v="46"/>
    <x v="1"/>
    <x v="1"/>
    <x v="1"/>
  </r>
  <r>
    <n v="125"/>
    <x v="42"/>
    <x v="0"/>
    <x v="1"/>
    <x v="0"/>
    <x v="62"/>
    <x v="22"/>
    <s v="M"/>
    <s v="Gray"/>
    <s v="Spring"/>
    <n v="3.1"/>
    <x v="0"/>
    <x v="2"/>
    <x v="0"/>
    <x v="0"/>
    <n v="50"/>
    <x v="3"/>
    <x v="2"/>
    <x v="2"/>
  </r>
  <r>
    <n v="126"/>
    <x v="34"/>
    <x v="0"/>
    <x v="6"/>
    <x v="0"/>
    <x v="36"/>
    <x v="18"/>
    <s v="M"/>
    <s v="Indigo"/>
    <s v="Winter"/>
    <n v="3.6"/>
    <x v="0"/>
    <x v="2"/>
    <x v="0"/>
    <x v="0"/>
    <n v="45"/>
    <x v="0"/>
    <x v="6"/>
    <x v="3"/>
  </r>
  <r>
    <n v="127"/>
    <x v="49"/>
    <x v="0"/>
    <x v="6"/>
    <x v="0"/>
    <x v="14"/>
    <x v="16"/>
    <s v="L"/>
    <s v="Pink"/>
    <s v="Spring"/>
    <n v="3.9"/>
    <x v="0"/>
    <x v="5"/>
    <x v="0"/>
    <x v="0"/>
    <n v="48"/>
    <x v="1"/>
    <x v="6"/>
    <x v="3"/>
  </r>
  <r>
    <n v="128"/>
    <x v="41"/>
    <x v="0"/>
    <x v="1"/>
    <x v="0"/>
    <x v="58"/>
    <x v="16"/>
    <s v="M"/>
    <s v="Gray"/>
    <s v="Winter"/>
    <n v="4.8"/>
    <x v="0"/>
    <x v="2"/>
    <x v="0"/>
    <x v="0"/>
    <n v="26"/>
    <x v="2"/>
    <x v="1"/>
    <x v="1"/>
  </r>
  <r>
    <n v="129"/>
    <x v="30"/>
    <x v="0"/>
    <x v="18"/>
    <x v="3"/>
    <x v="50"/>
    <x v="18"/>
    <s v="M"/>
    <s v="Gold"/>
    <s v="Spring"/>
    <n v="4.7"/>
    <x v="0"/>
    <x v="3"/>
    <x v="0"/>
    <x v="0"/>
    <n v="21"/>
    <x v="2"/>
    <x v="0"/>
    <x v="0"/>
  </r>
  <r>
    <n v="130"/>
    <x v="41"/>
    <x v="0"/>
    <x v="10"/>
    <x v="0"/>
    <x v="25"/>
    <x v="38"/>
    <s v="XL"/>
    <s v="Olive"/>
    <s v="Summer"/>
    <n v="4.2"/>
    <x v="0"/>
    <x v="4"/>
    <x v="0"/>
    <x v="0"/>
    <n v="49"/>
    <x v="3"/>
    <x v="4"/>
    <x v="4"/>
  </r>
  <r>
    <n v="131"/>
    <x v="42"/>
    <x v="0"/>
    <x v="18"/>
    <x v="3"/>
    <x v="32"/>
    <x v="0"/>
    <s v="L"/>
    <s v="Violet"/>
    <s v="Fall"/>
    <n v="3.7"/>
    <x v="0"/>
    <x v="2"/>
    <x v="0"/>
    <x v="0"/>
    <n v="13"/>
    <x v="3"/>
    <x v="0"/>
    <x v="0"/>
  </r>
  <r>
    <n v="132"/>
    <x v="48"/>
    <x v="0"/>
    <x v="11"/>
    <x v="0"/>
    <x v="45"/>
    <x v="1"/>
    <s v="L"/>
    <s v="Indigo"/>
    <s v="Summer"/>
    <n v="3.9"/>
    <x v="0"/>
    <x v="3"/>
    <x v="0"/>
    <x v="0"/>
    <n v="46"/>
    <x v="2"/>
    <x v="1"/>
    <x v="1"/>
  </r>
  <r>
    <n v="133"/>
    <x v="11"/>
    <x v="0"/>
    <x v="21"/>
    <x v="3"/>
    <x v="47"/>
    <x v="35"/>
    <s v="M"/>
    <s v="Orange"/>
    <s v="Fall"/>
    <n v="4.7"/>
    <x v="0"/>
    <x v="4"/>
    <x v="0"/>
    <x v="0"/>
    <n v="42"/>
    <x v="3"/>
    <x v="1"/>
    <x v="1"/>
  </r>
  <r>
    <n v="134"/>
    <x v="16"/>
    <x v="0"/>
    <x v="1"/>
    <x v="0"/>
    <x v="61"/>
    <x v="6"/>
    <s v="M"/>
    <s v="Violet"/>
    <s v="Winter"/>
    <n v="2.5"/>
    <x v="0"/>
    <x v="2"/>
    <x v="0"/>
    <x v="0"/>
    <n v="25"/>
    <x v="0"/>
    <x v="2"/>
    <x v="2"/>
  </r>
  <r>
    <n v="135"/>
    <x v="49"/>
    <x v="0"/>
    <x v="19"/>
    <x v="3"/>
    <x v="23"/>
    <x v="21"/>
    <s v="L"/>
    <s v="Gray"/>
    <s v="Fall"/>
    <n v="4.9000000000000004"/>
    <x v="0"/>
    <x v="5"/>
    <x v="0"/>
    <x v="0"/>
    <n v="25"/>
    <x v="1"/>
    <x v="5"/>
    <x v="5"/>
  </r>
  <r>
    <n v="136"/>
    <x v="49"/>
    <x v="0"/>
    <x v="3"/>
    <x v="1"/>
    <x v="13"/>
    <x v="23"/>
    <s v="M"/>
    <s v="Purple"/>
    <s v="Fall"/>
    <n v="4.0999999999999996"/>
    <x v="0"/>
    <x v="0"/>
    <x v="0"/>
    <x v="0"/>
    <n v="12"/>
    <x v="3"/>
    <x v="3"/>
    <x v="3"/>
  </r>
  <r>
    <n v="137"/>
    <x v="31"/>
    <x v="0"/>
    <x v="0"/>
    <x v="0"/>
    <x v="62"/>
    <x v="36"/>
    <s v="M"/>
    <s v="White"/>
    <s v="Winter"/>
    <n v="3.3"/>
    <x v="0"/>
    <x v="1"/>
    <x v="0"/>
    <x v="0"/>
    <n v="4"/>
    <x v="5"/>
    <x v="3"/>
    <x v="3"/>
  </r>
  <r>
    <n v="138"/>
    <x v="33"/>
    <x v="0"/>
    <x v="4"/>
    <x v="1"/>
    <x v="35"/>
    <x v="24"/>
    <s v="M"/>
    <s v="Turquoise"/>
    <s v="Spring"/>
    <n v="4.7"/>
    <x v="0"/>
    <x v="1"/>
    <x v="0"/>
    <x v="0"/>
    <n v="38"/>
    <x v="3"/>
    <x v="1"/>
    <x v="1"/>
  </r>
  <r>
    <n v="139"/>
    <x v="33"/>
    <x v="0"/>
    <x v="11"/>
    <x v="0"/>
    <x v="45"/>
    <x v="42"/>
    <s v="M"/>
    <s v="Maroon"/>
    <s v="Winter"/>
    <n v="4.4000000000000004"/>
    <x v="0"/>
    <x v="5"/>
    <x v="0"/>
    <x v="0"/>
    <n v="42"/>
    <x v="4"/>
    <x v="1"/>
    <x v="1"/>
  </r>
  <r>
    <n v="140"/>
    <x v="34"/>
    <x v="0"/>
    <x v="7"/>
    <x v="2"/>
    <x v="51"/>
    <x v="20"/>
    <s v="M"/>
    <s v="White"/>
    <s v="Fall"/>
    <n v="3.8"/>
    <x v="0"/>
    <x v="5"/>
    <x v="0"/>
    <x v="0"/>
    <n v="30"/>
    <x v="0"/>
    <x v="2"/>
    <x v="2"/>
  </r>
  <r>
    <n v="141"/>
    <x v="6"/>
    <x v="0"/>
    <x v="5"/>
    <x v="0"/>
    <x v="39"/>
    <x v="17"/>
    <s v="L"/>
    <s v="Yellow"/>
    <s v="Fall"/>
    <n v="3.9"/>
    <x v="0"/>
    <x v="4"/>
    <x v="0"/>
    <x v="0"/>
    <n v="50"/>
    <x v="2"/>
    <x v="1"/>
    <x v="1"/>
  </r>
  <r>
    <n v="142"/>
    <x v="19"/>
    <x v="0"/>
    <x v="24"/>
    <x v="3"/>
    <x v="43"/>
    <x v="41"/>
    <s v="M"/>
    <s v="Turquoise"/>
    <s v="Fall"/>
    <n v="4.9000000000000004"/>
    <x v="0"/>
    <x v="1"/>
    <x v="0"/>
    <x v="0"/>
    <n v="45"/>
    <x v="3"/>
    <x v="1"/>
    <x v="1"/>
  </r>
  <r>
    <n v="143"/>
    <x v="43"/>
    <x v="0"/>
    <x v="14"/>
    <x v="2"/>
    <x v="47"/>
    <x v="43"/>
    <s v="L"/>
    <s v="Violet"/>
    <s v="Fall"/>
    <n v="3.1"/>
    <x v="0"/>
    <x v="1"/>
    <x v="0"/>
    <x v="0"/>
    <n v="33"/>
    <x v="2"/>
    <x v="0"/>
    <x v="0"/>
  </r>
  <r>
    <n v="144"/>
    <x v="11"/>
    <x v="0"/>
    <x v="7"/>
    <x v="2"/>
    <x v="16"/>
    <x v="9"/>
    <s v="M"/>
    <s v="Beige"/>
    <s v="Fall"/>
    <n v="2.7"/>
    <x v="0"/>
    <x v="5"/>
    <x v="0"/>
    <x v="0"/>
    <n v="25"/>
    <x v="3"/>
    <x v="3"/>
    <x v="3"/>
  </r>
  <r>
    <n v="145"/>
    <x v="1"/>
    <x v="0"/>
    <x v="9"/>
    <x v="1"/>
    <x v="35"/>
    <x v="32"/>
    <s v="M"/>
    <s v="Silver"/>
    <s v="Fall"/>
    <n v="3.2"/>
    <x v="0"/>
    <x v="0"/>
    <x v="0"/>
    <x v="0"/>
    <n v="25"/>
    <x v="1"/>
    <x v="5"/>
    <x v="5"/>
  </r>
  <r>
    <n v="146"/>
    <x v="41"/>
    <x v="0"/>
    <x v="16"/>
    <x v="3"/>
    <x v="51"/>
    <x v="9"/>
    <s v="M"/>
    <s v="Teal"/>
    <s v="Fall"/>
    <n v="4.5"/>
    <x v="0"/>
    <x v="3"/>
    <x v="0"/>
    <x v="0"/>
    <n v="44"/>
    <x v="5"/>
    <x v="3"/>
    <x v="3"/>
  </r>
  <r>
    <n v="147"/>
    <x v="16"/>
    <x v="0"/>
    <x v="11"/>
    <x v="0"/>
    <x v="38"/>
    <x v="24"/>
    <s v="S"/>
    <s v="Black"/>
    <s v="Fall"/>
    <n v="4"/>
    <x v="0"/>
    <x v="3"/>
    <x v="0"/>
    <x v="0"/>
    <n v="21"/>
    <x v="0"/>
    <x v="0"/>
    <x v="0"/>
  </r>
  <r>
    <n v="148"/>
    <x v="6"/>
    <x v="0"/>
    <x v="9"/>
    <x v="1"/>
    <x v="1"/>
    <x v="37"/>
    <s v="M"/>
    <s v="Purple"/>
    <s v="Summer"/>
    <n v="3.5"/>
    <x v="0"/>
    <x v="4"/>
    <x v="0"/>
    <x v="0"/>
    <n v="31"/>
    <x v="4"/>
    <x v="0"/>
    <x v="0"/>
  </r>
  <r>
    <n v="149"/>
    <x v="43"/>
    <x v="0"/>
    <x v="24"/>
    <x v="3"/>
    <x v="3"/>
    <x v="5"/>
    <s v="M"/>
    <s v="Gray"/>
    <s v="Fall"/>
    <n v="2.6"/>
    <x v="0"/>
    <x v="5"/>
    <x v="0"/>
    <x v="0"/>
    <n v="47"/>
    <x v="5"/>
    <x v="2"/>
    <x v="2"/>
  </r>
  <r>
    <n v="150"/>
    <x v="21"/>
    <x v="0"/>
    <x v="13"/>
    <x v="0"/>
    <x v="31"/>
    <x v="12"/>
    <s v="M"/>
    <s v="White"/>
    <s v="Summer"/>
    <n v="3.2"/>
    <x v="0"/>
    <x v="1"/>
    <x v="0"/>
    <x v="0"/>
    <n v="14"/>
    <x v="3"/>
    <x v="5"/>
    <x v="5"/>
  </r>
  <r>
    <n v="151"/>
    <x v="25"/>
    <x v="0"/>
    <x v="23"/>
    <x v="1"/>
    <x v="48"/>
    <x v="18"/>
    <s v="L"/>
    <s v="Cyan"/>
    <s v="Fall"/>
    <n v="4.9000000000000004"/>
    <x v="0"/>
    <x v="3"/>
    <x v="0"/>
    <x v="0"/>
    <n v="17"/>
    <x v="5"/>
    <x v="6"/>
    <x v="3"/>
  </r>
  <r>
    <n v="152"/>
    <x v="48"/>
    <x v="0"/>
    <x v="12"/>
    <x v="3"/>
    <x v="53"/>
    <x v="25"/>
    <s v="L"/>
    <s v="Turquoise"/>
    <s v="Fall"/>
    <n v="4.5"/>
    <x v="0"/>
    <x v="2"/>
    <x v="0"/>
    <x v="0"/>
    <n v="3"/>
    <x v="0"/>
    <x v="2"/>
    <x v="2"/>
  </r>
  <r>
    <n v="153"/>
    <x v="11"/>
    <x v="0"/>
    <x v="5"/>
    <x v="0"/>
    <x v="6"/>
    <x v="36"/>
    <s v="S"/>
    <s v="Brown"/>
    <s v="Summer"/>
    <n v="4.3"/>
    <x v="0"/>
    <x v="0"/>
    <x v="0"/>
    <x v="0"/>
    <n v="42"/>
    <x v="0"/>
    <x v="2"/>
    <x v="2"/>
  </r>
  <r>
    <n v="154"/>
    <x v="28"/>
    <x v="0"/>
    <x v="15"/>
    <x v="0"/>
    <x v="37"/>
    <x v="17"/>
    <s v="M"/>
    <s v="Maroon"/>
    <s v="Winter"/>
    <n v="3.2"/>
    <x v="0"/>
    <x v="3"/>
    <x v="0"/>
    <x v="0"/>
    <n v="22"/>
    <x v="5"/>
    <x v="2"/>
    <x v="2"/>
  </r>
  <r>
    <n v="155"/>
    <x v="38"/>
    <x v="0"/>
    <x v="10"/>
    <x v="0"/>
    <x v="57"/>
    <x v="19"/>
    <s v="M"/>
    <s v="Charcoal"/>
    <s v="Fall"/>
    <n v="3.6"/>
    <x v="0"/>
    <x v="2"/>
    <x v="0"/>
    <x v="0"/>
    <n v="21"/>
    <x v="0"/>
    <x v="3"/>
    <x v="3"/>
  </r>
  <r>
    <n v="156"/>
    <x v="6"/>
    <x v="0"/>
    <x v="20"/>
    <x v="0"/>
    <x v="64"/>
    <x v="1"/>
    <s v="S"/>
    <s v="Olive"/>
    <s v="Spring"/>
    <n v="4.3"/>
    <x v="0"/>
    <x v="1"/>
    <x v="0"/>
    <x v="0"/>
    <n v="21"/>
    <x v="4"/>
    <x v="3"/>
    <x v="3"/>
  </r>
  <r>
    <n v="157"/>
    <x v="25"/>
    <x v="0"/>
    <x v="6"/>
    <x v="0"/>
    <x v="46"/>
    <x v="9"/>
    <s v="M"/>
    <s v="Lavender"/>
    <s v="Fall"/>
    <n v="4"/>
    <x v="0"/>
    <x v="3"/>
    <x v="0"/>
    <x v="0"/>
    <n v="40"/>
    <x v="5"/>
    <x v="2"/>
    <x v="2"/>
  </r>
  <r>
    <n v="158"/>
    <x v="24"/>
    <x v="0"/>
    <x v="19"/>
    <x v="3"/>
    <x v="10"/>
    <x v="34"/>
    <s v="S"/>
    <s v="Yellow"/>
    <s v="Fall"/>
    <n v="3"/>
    <x v="0"/>
    <x v="2"/>
    <x v="0"/>
    <x v="0"/>
    <n v="1"/>
    <x v="4"/>
    <x v="0"/>
    <x v="0"/>
  </r>
  <r>
    <n v="159"/>
    <x v="15"/>
    <x v="0"/>
    <x v="5"/>
    <x v="0"/>
    <x v="2"/>
    <x v="39"/>
    <s v="XL"/>
    <s v="Teal"/>
    <s v="Fall"/>
    <n v="4.0999999999999996"/>
    <x v="0"/>
    <x v="3"/>
    <x v="0"/>
    <x v="0"/>
    <n v="50"/>
    <x v="4"/>
    <x v="5"/>
    <x v="5"/>
  </r>
  <r>
    <n v="160"/>
    <x v="44"/>
    <x v="0"/>
    <x v="24"/>
    <x v="3"/>
    <x v="65"/>
    <x v="13"/>
    <s v="M"/>
    <s v="Charcoal"/>
    <s v="Fall"/>
    <n v="3.8"/>
    <x v="0"/>
    <x v="5"/>
    <x v="0"/>
    <x v="0"/>
    <n v="39"/>
    <x v="4"/>
    <x v="6"/>
    <x v="3"/>
  </r>
  <r>
    <n v="161"/>
    <x v="7"/>
    <x v="0"/>
    <x v="24"/>
    <x v="3"/>
    <x v="66"/>
    <x v="21"/>
    <s v="M"/>
    <s v="Orange"/>
    <s v="Summer"/>
    <n v="4.5999999999999996"/>
    <x v="0"/>
    <x v="1"/>
    <x v="0"/>
    <x v="0"/>
    <n v="34"/>
    <x v="0"/>
    <x v="5"/>
    <x v="5"/>
  </r>
  <r>
    <n v="162"/>
    <x v="13"/>
    <x v="0"/>
    <x v="21"/>
    <x v="3"/>
    <x v="4"/>
    <x v="25"/>
    <s v="M"/>
    <s v="Olive"/>
    <s v="Fall"/>
    <n v="3"/>
    <x v="0"/>
    <x v="0"/>
    <x v="0"/>
    <x v="0"/>
    <n v="29"/>
    <x v="0"/>
    <x v="0"/>
    <x v="0"/>
  </r>
  <r>
    <n v="163"/>
    <x v="22"/>
    <x v="0"/>
    <x v="12"/>
    <x v="3"/>
    <x v="67"/>
    <x v="18"/>
    <s v="M"/>
    <s v="Turquoise"/>
    <s v="Summer"/>
    <n v="3"/>
    <x v="0"/>
    <x v="5"/>
    <x v="0"/>
    <x v="0"/>
    <n v="31"/>
    <x v="3"/>
    <x v="4"/>
    <x v="4"/>
  </r>
  <r>
    <n v="164"/>
    <x v="22"/>
    <x v="0"/>
    <x v="11"/>
    <x v="0"/>
    <x v="25"/>
    <x v="41"/>
    <s v="M"/>
    <s v="Purple"/>
    <s v="Summer"/>
    <n v="3.4"/>
    <x v="0"/>
    <x v="3"/>
    <x v="0"/>
    <x v="0"/>
    <n v="8"/>
    <x v="5"/>
    <x v="1"/>
    <x v="1"/>
  </r>
  <r>
    <n v="165"/>
    <x v="35"/>
    <x v="0"/>
    <x v="8"/>
    <x v="3"/>
    <x v="61"/>
    <x v="12"/>
    <s v="S"/>
    <s v="Purple"/>
    <s v="Spring"/>
    <n v="2.6"/>
    <x v="0"/>
    <x v="1"/>
    <x v="0"/>
    <x v="0"/>
    <n v="5"/>
    <x v="2"/>
    <x v="0"/>
    <x v="0"/>
  </r>
  <r>
    <n v="166"/>
    <x v="32"/>
    <x v="0"/>
    <x v="8"/>
    <x v="3"/>
    <x v="30"/>
    <x v="0"/>
    <s v="S"/>
    <s v="Yellow"/>
    <s v="Winter"/>
    <n v="2.8"/>
    <x v="0"/>
    <x v="5"/>
    <x v="0"/>
    <x v="0"/>
    <n v="7"/>
    <x v="1"/>
    <x v="5"/>
    <x v="5"/>
  </r>
  <r>
    <n v="167"/>
    <x v="5"/>
    <x v="0"/>
    <x v="4"/>
    <x v="1"/>
    <x v="9"/>
    <x v="12"/>
    <s v="XL"/>
    <s v="Indigo"/>
    <s v="Fall"/>
    <n v="4"/>
    <x v="0"/>
    <x v="5"/>
    <x v="0"/>
    <x v="0"/>
    <n v="30"/>
    <x v="1"/>
    <x v="5"/>
    <x v="5"/>
  </r>
  <r>
    <n v="168"/>
    <x v="23"/>
    <x v="0"/>
    <x v="24"/>
    <x v="3"/>
    <x v="65"/>
    <x v="10"/>
    <s v="M"/>
    <s v="Green"/>
    <s v="Fall"/>
    <n v="4"/>
    <x v="0"/>
    <x v="0"/>
    <x v="0"/>
    <x v="0"/>
    <n v="14"/>
    <x v="2"/>
    <x v="6"/>
    <x v="3"/>
  </r>
  <r>
    <n v="169"/>
    <x v="50"/>
    <x v="0"/>
    <x v="9"/>
    <x v="1"/>
    <x v="68"/>
    <x v="7"/>
    <s v="M"/>
    <s v="Magenta"/>
    <s v="Summer"/>
    <n v="3"/>
    <x v="0"/>
    <x v="0"/>
    <x v="0"/>
    <x v="0"/>
    <n v="5"/>
    <x v="1"/>
    <x v="0"/>
    <x v="0"/>
  </r>
  <r>
    <n v="170"/>
    <x v="7"/>
    <x v="0"/>
    <x v="14"/>
    <x v="2"/>
    <x v="38"/>
    <x v="22"/>
    <s v="S"/>
    <s v="Gold"/>
    <s v="Summer"/>
    <n v="3.3"/>
    <x v="0"/>
    <x v="3"/>
    <x v="0"/>
    <x v="0"/>
    <n v="3"/>
    <x v="3"/>
    <x v="6"/>
    <x v="3"/>
  </r>
  <r>
    <n v="171"/>
    <x v="16"/>
    <x v="0"/>
    <x v="5"/>
    <x v="0"/>
    <x v="21"/>
    <x v="5"/>
    <s v="M"/>
    <s v="Maroon"/>
    <s v="Fall"/>
    <n v="2.6"/>
    <x v="0"/>
    <x v="5"/>
    <x v="0"/>
    <x v="0"/>
    <n v="46"/>
    <x v="0"/>
    <x v="4"/>
    <x v="4"/>
  </r>
  <r>
    <n v="172"/>
    <x v="26"/>
    <x v="0"/>
    <x v="6"/>
    <x v="0"/>
    <x v="59"/>
    <x v="41"/>
    <s v="M"/>
    <s v="Blue"/>
    <s v="Summer"/>
    <n v="3.6"/>
    <x v="0"/>
    <x v="5"/>
    <x v="0"/>
    <x v="0"/>
    <n v="4"/>
    <x v="2"/>
    <x v="1"/>
    <x v="1"/>
  </r>
  <r>
    <n v="173"/>
    <x v="22"/>
    <x v="0"/>
    <x v="16"/>
    <x v="3"/>
    <x v="25"/>
    <x v="43"/>
    <s v="M"/>
    <s v="Violet"/>
    <s v="Summer"/>
    <n v="3.9"/>
    <x v="0"/>
    <x v="2"/>
    <x v="0"/>
    <x v="0"/>
    <n v="42"/>
    <x v="2"/>
    <x v="4"/>
    <x v="4"/>
  </r>
  <r>
    <n v="174"/>
    <x v="15"/>
    <x v="0"/>
    <x v="19"/>
    <x v="3"/>
    <x v="43"/>
    <x v="11"/>
    <s v="M"/>
    <s v="Turquoise"/>
    <s v="Fall"/>
    <n v="3.4"/>
    <x v="0"/>
    <x v="3"/>
    <x v="0"/>
    <x v="0"/>
    <n v="30"/>
    <x v="1"/>
    <x v="2"/>
    <x v="2"/>
  </r>
  <r>
    <n v="175"/>
    <x v="38"/>
    <x v="0"/>
    <x v="9"/>
    <x v="1"/>
    <x v="59"/>
    <x v="34"/>
    <s v="L"/>
    <s v="Brown"/>
    <s v="Winter"/>
    <n v="3.5"/>
    <x v="0"/>
    <x v="0"/>
    <x v="0"/>
    <x v="0"/>
    <n v="37"/>
    <x v="0"/>
    <x v="2"/>
    <x v="2"/>
  </r>
  <r>
    <n v="176"/>
    <x v="10"/>
    <x v="0"/>
    <x v="7"/>
    <x v="2"/>
    <x v="62"/>
    <x v="19"/>
    <s v="L"/>
    <s v="Violet"/>
    <s v="Fall"/>
    <n v="2.8"/>
    <x v="0"/>
    <x v="2"/>
    <x v="0"/>
    <x v="0"/>
    <n v="2"/>
    <x v="4"/>
    <x v="2"/>
    <x v="2"/>
  </r>
  <r>
    <n v="177"/>
    <x v="10"/>
    <x v="0"/>
    <x v="21"/>
    <x v="3"/>
    <x v="13"/>
    <x v="13"/>
    <s v="L"/>
    <s v="Black"/>
    <s v="Spring"/>
    <n v="2.7"/>
    <x v="0"/>
    <x v="2"/>
    <x v="0"/>
    <x v="0"/>
    <n v="30"/>
    <x v="2"/>
    <x v="3"/>
    <x v="3"/>
  </r>
  <r>
    <n v="178"/>
    <x v="3"/>
    <x v="0"/>
    <x v="15"/>
    <x v="0"/>
    <x v="69"/>
    <x v="23"/>
    <s v="L"/>
    <s v="Magenta"/>
    <s v="Fall"/>
    <n v="3.7"/>
    <x v="0"/>
    <x v="2"/>
    <x v="0"/>
    <x v="0"/>
    <n v="47"/>
    <x v="4"/>
    <x v="5"/>
    <x v="5"/>
  </r>
  <r>
    <n v="179"/>
    <x v="12"/>
    <x v="0"/>
    <x v="11"/>
    <x v="0"/>
    <x v="35"/>
    <x v="37"/>
    <s v="L"/>
    <s v="Lavender"/>
    <s v="Fall"/>
    <n v="4.3"/>
    <x v="0"/>
    <x v="4"/>
    <x v="0"/>
    <x v="0"/>
    <n v="21"/>
    <x v="3"/>
    <x v="3"/>
    <x v="3"/>
  </r>
  <r>
    <n v="180"/>
    <x v="14"/>
    <x v="0"/>
    <x v="23"/>
    <x v="1"/>
    <x v="9"/>
    <x v="26"/>
    <s v="M"/>
    <s v="Violet"/>
    <s v="Fall"/>
    <n v="4.9000000000000004"/>
    <x v="0"/>
    <x v="5"/>
    <x v="0"/>
    <x v="0"/>
    <n v="9"/>
    <x v="4"/>
    <x v="0"/>
    <x v="0"/>
  </r>
  <r>
    <n v="181"/>
    <x v="47"/>
    <x v="0"/>
    <x v="3"/>
    <x v="1"/>
    <x v="13"/>
    <x v="45"/>
    <s v="L"/>
    <s v="Green"/>
    <s v="Fall"/>
    <n v="3.3"/>
    <x v="0"/>
    <x v="5"/>
    <x v="0"/>
    <x v="0"/>
    <n v="12"/>
    <x v="5"/>
    <x v="0"/>
    <x v="0"/>
  </r>
  <r>
    <n v="182"/>
    <x v="45"/>
    <x v="0"/>
    <x v="13"/>
    <x v="0"/>
    <x v="70"/>
    <x v="2"/>
    <s v="M"/>
    <s v="Beige"/>
    <s v="Summer"/>
    <n v="4.7"/>
    <x v="0"/>
    <x v="2"/>
    <x v="0"/>
    <x v="0"/>
    <n v="4"/>
    <x v="4"/>
    <x v="1"/>
    <x v="1"/>
  </r>
  <r>
    <n v="183"/>
    <x v="21"/>
    <x v="0"/>
    <x v="24"/>
    <x v="3"/>
    <x v="48"/>
    <x v="15"/>
    <s v="XL"/>
    <s v="Purple"/>
    <s v="Summer"/>
    <n v="2.8"/>
    <x v="0"/>
    <x v="5"/>
    <x v="0"/>
    <x v="0"/>
    <n v="10"/>
    <x v="5"/>
    <x v="2"/>
    <x v="2"/>
  </r>
  <r>
    <n v="184"/>
    <x v="44"/>
    <x v="0"/>
    <x v="11"/>
    <x v="0"/>
    <x v="45"/>
    <x v="31"/>
    <s v="XL"/>
    <s v="Beige"/>
    <s v="Spring"/>
    <n v="3.6"/>
    <x v="0"/>
    <x v="4"/>
    <x v="0"/>
    <x v="0"/>
    <n v="26"/>
    <x v="2"/>
    <x v="1"/>
    <x v="1"/>
  </r>
  <r>
    <n v="185"/>
    <x v="45"/>
    <x v="0"/>
    <x v="4"/>
    <x v="1"/>
    <x v="27"/>
    <x v="11"/>
    <s v="L"/>
    <s v="Cyan"/>
    <s v="Spring"/>
    <n v="3"/>
    <x v="0"/>
    <x v="0"/>
    <x v="0"/>
    <x v="0"/>
    <n v="40"/>
    <x v="1"/>
    <x v="0"/>
    <x v="0"/>
  </r>
  <r>
    <n v="186"/>
    <x v="5"/>
    <x v="0"/>
    <x v="17"/>
    <x v="0"/>
    <x v="50"/>
    <x v="48"/>
    <s v="XL"/>
    <s v="Silver"/>
    <s v="Summer"/>
    <n v="4.5"/>
    <x v="0"/>
    <x v="5"/>
    <x v="0"/>
    <x v="0"/>
    <n v="34"/>
    <x v="4"/>
    <x v="0"/>
    <x v="0"/>
  </r>
  <r>
    <n v="187"/>
    <x v="31"/>
    <x v="0"/>
    <x v="21"/>
    <x v="3"/>
    <x v="22"/>
    <x v="46"/>
    <s v="S"/>
    <s v="Lavender"/>
    <s v="Summer"/>
    <n v="2.9"/>
    <x v="0"/>
    <x v="3"/>
    <x v="0"/>
    <x v="0"/>
    <n v="31"/>
    <x v="5"/>
    <x v="2"/>
    <x v="2"/>
  </r>
  <r>
    <n v="188"/>
    <x v="1"/>
    <x v="0"/>
    <x v="9"/>
    <x v="1"/>
    <x v="23"/>
    <x v="42"/>
    <s v="S"/>
    <s v="Purple"/>
    <s v="Spring"/>
    <n v="3.3"/>
    <x v="0"/>
    <x v="5"/>
    <x v="0"/>
    <x v="0"/>
    <n v="1"/>
    <x v="4"/>
    <x v="4"/>
    <x v="4"/>
  </r>
  <r>
    <n v="189"/>
    <x v="2"/>
    <x v="0"/>
    <x v="15"/>
    <x v="0"/>
    <x v="0"/>
    <x v="10"/>
    <s v="M"/>
    <s v="Pink"/>
    <s v="Spring"/>
    <n v="3.1"/>
    <x v="0"/>
    <x v="0"/>
    <x v="0"/>
    <x v="0"/>
    <n v="5"/>
    <x v="4"/>
    <x v="4"/>
    <x v="4"/>
  </r>
  <r>
    <n v="190"/>
    <x v="24"/>
    <x v="0"/>
    <x v="0"/>
    <x v="0"/>
    <x v="71"/>
    <x v="8"/>
    <s v="M"/>
    <s v="Maroon"/>
    <s v="Fall"/>
    <n v="4.4000000000000004"/>
    <x v="0"/>
    <x v="2"/>
    <x v="0"/>
    <x v="0"/>
    <n v="4"/>
    <x v="2"/>
    <x v="1"/>
    <x v="1"/>
  </r>
  <r>
    <n v="191"/>
    <x v="13"/>
    <x v="0"/>
    <x v="7"/>
    <x v="2"/>
    <x v="44"/>
    <x v="27"/>
    <s v="XL"/>
    <s v="Beige"/>
    <s v="Fall"/>
    <n v="3"/>
    <x v="0"/>
    <x v="1"/>
    <x v="0"/>
    <x v="0"/>
    <n v="48"/>
    <x v="0"/>
    <x v="3"/>
    <x v="3"/>
  </r>
  <r>
    <n v="192"/>
    <x v="14"/>
    <x v="0"/>
    <x v="19"/>
    <x v="3"/>
    <x v="31"/>
    <x v="40"/>
    <s v="M"/>
    <s v="Gray"/>
    <s v="Fall"/>
    <n v="3.9"/>
    <x v="0"/>
    <x v="1"/>
    <x v="0"/>
    <x v="0"/>
    <n v="29"/>
    <x v="1"/>
    <x v="6"/>
    <x v="3"/>
  </r>
  <r>
    <n v="193"/>
    <x v="5"/>
    <x v="0"/>
    <x v="9"/>
    <x v="1"/>
    <x v="45"/>
    <x v="43"/>
    <s v="L"/>
    <s v="Turquoise"/>
    <s v="Summer"/>
    <n v="2.9"/>
    <x v="0"/>
    <x v="0"/>
    <x v="0"/>
    <x v="0"/>
    <n v="12"/>
    <x v="3"/>
    <x v="4"/>
    <x v="4"/>
  </r>
  <r>
    <n v="194"/>
    <x v="24"/>
    <x v="0"/>
    <x v="22"/>
    <x v="3"/>
    <x v="33"/>
    <x v="25"/>
    <s v="S"/>
    <s v="Silver"/>
    <s v="Fall"/>
    <n v="3"/>
    <x v="0"/>
    <x v="3"/>
    <x v="0"/>
    <x v="0"/>
    <n v="29"/>
    <x v="0"/>
    <x v="2"/>
    <x v="2"/>
  </r>
  <r>
    <n v="195"/>
    <x v="47"/>
    <x v="0"/>
    <x v="21"/>
    <x v="3"/>
    <x v="23"/>
    <x v="9"/>
    <s v="M"/>
    <s v="Olive"/>
    <s v="Spring"/>
    <n v="3.1"/>
    <x v="0"/>
    <x v="0"/>
    <x v="0"/>
    <x v="0"/>
    <n v="15"/>
    <x v="5"/>
    <x v="3"/>
    <x v="3"/>
  </r>
  <r>
    <n v="196"/>
    <x v="47"/>
    <x v="0"/>
    <x v="14"/>
    <x v="2"/>
    <x v="21"/>
    <x v="14"/>
    <s v="M"/>
    <s v="Magenta"/>
    <s v="Fall"/>
    <n v="4.3"/>
    <x v="0"/>
    <x v="1"/>
    <x v="0"/>
    <x v="0"/>
    <n v="34"/>
    <x v="2"/>
    <x v="5"/>
    <x v="5"/>
  </r>
  <r>
    <n v="197"/>
    <x v="21"/>
    <x v="0"/>
    <x v="23"/>
    <x v="1"/>
    <x v="19"/>
    <x v="47"/>
    <s v="M"/>
    <s v="Lavender"/>
    <s v="Summer"/>
    <n v="3.9"/>
    <x v="0"/>
    <x v="2"/>
    <x v="0"/>
    <x v="0"/>
    <n v="41"/>
    <x v="2"/>
    <x v="0"/>
    <x v="0"/>
  </r>
  <r>
    <n v="198"/>
    <x v="35"/>
    <x v="0"/>
    <x v="18"/>
    <x v="3"/>
    <x v="72"/>
    <x v="36"/>
    <s v="M"/>
    <s v="Black"/>
    <s v="Fall"/>
    <n v="3.2"/>
    <x v="0"/>
    <x v="4"/>
    <x v="0"/>
    <x v="0"/>
    <n v="41"/>
    <x v="2"/>
    <x v="5"/>
    <x v="5"/>
  </r>
  <r>
    <n v="199"/>
    <x v="9"/>
    <x v="0"/>
    <x v="16"/>
    <x v="3"/>
    <x v="29"/>
    <x v="40"/>
    <s v="M"/>
    <s v="Turquoise"/>
    <s v="Winter"/>
    <n v="4.8"/>
    <x v="0"/>
    <x v="3"/>
    <x v="0"/>
    <x v="0"/>
    <n v="39"/>
    <x v="2"/>
    <x v="0"/>
    <x v="0"/>
  </r>
  <r>
    <n v="200"/>
    <x v="22"/>
    <x v="0"/>
    <x v="19"/>
    <x v="3"/>
    <x v="2"/>
    <x v="37"/>
    <s v="XL"/>
    <s v="Green"/>
    <s v="Summer"/>
    <n v="3.8"/>
    <x v="0"/>
    <x v="0"/>
    <x v="0"/>
    <x v="0"/>
    <n v="32"/>
    <x v="1"/>
    <x v="1"/>
    <x v="1"/>
  </r>
  <r>
    <n v="201"/>
    <x v="15"/>
    <x v="0"/>
    <x v="10"/>
    <x v="0"/>
    <x v="70"/>
    <x v="38"/>
    <s v="S"/>
    <s v="Teal"/>
    <s v="Summer"/>
    <n v="3.3"/>
    <x v="0"/>
    <x v="2"/>
    <x v="0"/>
    <x v="0"/>
    <n v="29"/>
    <x v="0"/>
    <x v="5"/>
    <x v="5"/>
  </r>
  <r>
    <n v="202"/>
    <x v="28"/>
    <x v="0"/>
    <x v="0"/>
    <x v="0"/>
    <x v="20"/>
    <x v="9"/>
    <s v="S"/>
    <s v="Beige"/>
    <s v="Fall"/>
    <n v="4.3"/>
    <x v="0"/>
    <x v="1"/>
    <x v="0"/>
    <x v="0"/>
    <n v="15"/>
    <x v="4"/>
    <x v="2"/>
    <x v="2"/>
  </r>
  <r>
    <n v="203"/>
    <x v="9"/>
    <x v="0"/>
    <x v="19"/>
    <x v="3"/>
    <x v="15"/>
    <x v="43"/>
    <s v="L"/>
    <s v="Magenta"/>
    <s v="Spring"/>
    <n v="2.7"/>
    <x v="0"/>
    <x v="0"/>
    <x v="0"/>
    <x v="0"/>
    <n v="33"/>
    <x v="0"/>
    <x v="2"/>
    <x v="2"/>
  </r>
  <r>
    <n v="204"/>
    <x v="27"/>
    <x v="0"/>
    <x v="18"/>
    <x v="3"/>
    <x v="15"/>
    <x v="27"/>
    <s v="S"/>
    <s v="Yellow"/>
    <s v="Fall"/>
    <n v="3.2"/>
    <x v="0"/>
    <x v="2"/>
    <x v="0"/>
    <x v="0"/>
    <n v="18"/>
    <x v="4"/>
    <x v="1"/>
    <x v="1"/>
  </r>
  <r>
    <n v="205"/>
    <x v="41"/>
    <x v="0"/>
    <x v="4"/>
    <x v="1"/>
    <x v="33"/>
    <x v="28"/>
    <s v="M"/>
    <s v="Yellow"/>
    <s v="Fall"/>
    <n v="4"/>
    <x v="0"/>
    <x v="5"/>
    <x v="0"/>
    <x v="0"/>
    <n v="35"/>
    <x v="1"/>
    <x v="4"/>
    <x v="4"/>
  </r>
  <r>
    <n v="206"/>
    <x v="29"/>
    <x v="0"/>
    <x v="5"/>
    <x v="0"/>
    <x v="1"/>
    <x v="11"/>
    <s v="M"/>
    <s v="Silver"/>
    <s v="Winter"/>
    <n v="3"/>
    <x v="0"/>
    <x v="3"/>
    <x v="0"/>
    <x v="0"/>
    <n v="25"/>
    <x v="3"/>
    <x v="1"/>
    <x v="1"/>
  </r>
  <r>
    <n v="207"/>
    <x v="41"/>
    <x v="0"/>
    <x v="17"/>
    <x v="0"/>
    <x v="37"/>
    <x v="48"/>
    <s v="L"/>
    <s v="Silver"/>
    <s v="Summer"/>
    <n v="4.2"/>
    <x v="0"/>
    <x v="1"/>
    <x v="0"/>
    <x v="0"/>
    <n v="6"/>
    <x v="0"/>
    <x v="0"/>
    <x v="0"/>
  </r>
  <r>
    <n v="208"/>
    <x v="46"/>
    <x v="0"/>
    <x v="24"/>
    <x v="3"/>
    <x v="26"/>
    <x v="3"/>
    <s v="M"/>
    <s v="Silver"/>
    <s v="Summer"/>
    <n v="2.9"/>
    <x v="0"/>
    <x v="0"/>
    <x v="0"/>
    <x v="0"/>
    <n v="17"/>
    <x v="4"/>
    <x v="4"/>
    <x v="4"/>
  </r>
  <r>
    <n v="209"/>
    <x v="9"/>
    <x v="0"/>
    <x v="11"/>
    <x v="0"/>
    <x v="15"/>
    <x v="48"/>
    <s v="M"/>
    <s v="Gold"/>
    <s v="Spring"/>
    <n v="4.0999999999999996"/>
    <x v="0"/>
    <x v="5"/>
    <x v="0"/>
    <x v="0"/>
    <n v="17"/>
    <x v="2"/>
    <x v="5"/>
    <x v="5"/>
  </r>
  <r>
    <n v="210"/>
    <x v="0"/>
    <x v="0"/>
    <x v="3"/>
    <x v="1"/>
    <x v="8"/>
    <x v="46"/>
    <s v="S"/>
    <s v="Olive"/>
    <s v="Winter"/>
    <n v="3.2"/>
    <x v="0"/>
    <x v="5"/>
    <x v="0"/>
    <x v="0"/>
    <n v="44"/>
    <x v="1"/>
    <x v="6"/>
    <x v="3"/>
  </r>
  <r>
    <n v="211"/>
    <x v="4"/>
    <x v="0"/>
    <x v="14"/>
    <x v="2"/>
    <x v="20"/>
    <x v="34"/>
    <s v="L"/>
    <s v="Teal"/>
    <s v="Fall"/>
    <n v="3"/>
    <x v="0"/>
    <x v="4"/>
    <x v="0"/>
    <x v="0"/>
    <n v="6"/>
    <x v="3"/>
    <x v="0"/>
    <x v="0"/>
  </r>
  <r>
    <n v="212"/>
    <x v="28"/>
    <x v="0"/>
    <x v="11"/>
    <x v="0"/>
    <x v="56"/>
    <x v="45"/>
    <s v="L"/>
    <s v="Maroon"/>
    <s v="Fall"/>
    <n v="4.2"/>
    <x v="0"/>
    <x v="4"/>
    <x v="0"/>
    <x v="0"/>
    <n v="45"/>
    <x v="5"/>
    <x v="0"/>
    <x v="0"/>
  </r>
  <r>
    <n v="213"/>
    <x v="29"/>
    <x v="0"/>
    <x v="8"/>
    <x v="3"/>
    <x v="63"/>
    <x v="41"/>
    <s v="L"/>
    <s v="Blue"/>
    <s v="Fall"/>
    <n v="4.2"/>
    <x v="0"/>
    <x v="0"/>
    <x v="0"/>
    <x v="0"/>
    <n v="7"/>
    <x v="5"/>
    <x v="2"/>
    <x v="2"/>
  </r>
  <r>
    <n v="214"/>
    <x v="11"/>
    <x v="0"/>
    <x v="8"/>
    <x v="3"/>
    <x v="73"/>
    <x v="22"/>
    <s v="L"/>
    <s v="Peach"/>
    <s v="Fall"/>
    <n v="4.4000000000000004"/>
    <x v="0"/>
    <x v="5"/>
    <x v="0"/>
    <x v="0"/>
    <n v="11"/>
    <x v="5"/>
    <x v="6"/>
    <x v="3"/>
  </r>
  <r>
    <n v="215"/>
    <x v="41"/>
    <x v="0"/>
    <x v="14"/>
    <x v="2"/>
    <x v="74"/>
    <x v="11"/>
    <s v="L"/>
    <s v="Blue"/>
    <s v="Summer"/>
    <n v="4.2"/>
    <x v="0"/>
    <x v="2"/>
    <x v="0"/>
    <x v="0"/>
    <n v="41"/>
    <x v="1"/>
    <x v="6"/>
    <x v="3"/>
  </r>
  <r>
    <n v="216"/>
    <x v="46"/>
    <x v="0"/>
    <x v="18"/>
    <x v="3"/>
    <x v="1"/>
    <x v="32"/>
    <s v="S"/>
    <s v="Orange"/>
    <s v="Spring"/>
    <n v="2.8"/>
    <x v="0"/>
    <x v="4"/>
    <x v="0"/>
    <x v="0"/>
    <n v="24"/>
    <x v="3"/>
    <x v="4"/>
    <x v="4"/>
  </r>
  <r>
    <n v="217"/>
    <x v="49"/>
    <x v="0"/>
    <x v="6"/>
    <x v="0"/>
    <x v="70"/>
    <x v="2"/>
    <s v="L"/>
    <s v="Yellow"/>
    <s v="Spring"/>
    <n v="3.7"/>
    <x v="0"/>
    <x v="1"/>
    <x v="0"/>
    <x v="0"/>
    <n v="21"/>
    <x v="0"/>
    <x v="1"/>
    <x v="1"/>
  </r>
  <r>
    <n v="218"/>
    <x v="25"/>
    <x v="0"/>
    <x v="12"/>
    <x v="3"/>
    <x v="16"/>
    <x v="19"/>
    <s v="M"/>
    <s v="Purple"/>
    <s v="Winter"/>
    <n v="3.5"/>
    <x v="0"/>
    <x v="2"/>
    <x v="0"/>
    <x v="0"/>
    <n v="24"/>
    <x v="4"/>
    <x v="2"/>
    <x v="2"/>
  </r>
  <r>
    <n v="219"/>
    <x v="48"/>
    <x v="0"/>
    <x v="17"/>
    <x v="0"/>
    <x v="29"/>
    <x v="18"/>
    <s v="S"/>
    <s v="Magenta"/>
    <s v="Spring"/>
    <n v="2.9"/>
    <x v="0"/>
    <x v="5"/>
    <x v="0"/>
    <x v="0"/>
    <n v="8"/>
    <x v="2"/>
    <x v="3"/>
    <x v="3"/>
  </r>
  <r>
    <n v="220"/>
    <x v="45"/>
    <x v="0"/>
    <x v="22"/>
    <x v="3"/>
    <x v="19"/>
    <x v="22"/>
    <s v="M"/>
    <s v="Cyan"/>
    <s v="Spring"/>
    <n v="3"/>
    <x v="0"/>
    <x v="1"/>
    <x v="0"/>
    <x v="0"/>
    <n v="12"/>
    <x v="1"/>
    <x v="0"/>
    <x v="0"/>
  </r>
  <r>
    <n v="221"/>
    <x v="31"/>
    <x v="0"/>
    <x v="4"/>
    <x v="1"/>
    <x v="75"/>
    <x v="28"/>
    <s v="S"/>
    <s v="Indigo"/>
    <s v="Spring"/>
    <n v="3.7"/>
    <x v="0"/>
    <x v="0"/>
    <x v="0"/>
    <x v="0"/>
    <n v="48"/>
    <x v="5"/>
    <x v="0"/>
    <x v="0"/>
  </r>
  <r>
    <n v="222"/>
    <x v="48"/>
    <x v="0"/>
    <x v="19"/>
    <x v="3"/>
    <x v="10"/>
    <x v="17"/>
    <s v="XL"/>
    <s v="Magenta"/>
    <s v="Summer"/>
    <n v="4.4000000000000004"/>
    <x v="0"/>
    <x v="5"/>
    <x v="0"/>
    <x v="0"/>
    <n v="6"/>
    <x v="4"/>
    <x v="3"/>
    <x v="3"/>
  </r>
  <r>
    <n v="223"/>
    <x v="36"/>
    <x v="0"/>
    <x v="24"/>
    <x v="3"/>
    <x v="23"/>
    <x v="14"/>
    <s v="XL"/>
    <s v="Gray"/>
    <s v="Spring"/>
    <n v="4.5"/>
    <x v="0"/>
    <x v="4"/>
    <x v="0"/>
    <x v="0"/>
    <n v="14"/>
    <x v="3"/>
    <x v="0"/>
    <x v="0"/>
  </r>
  <r>
    <n v="224"/>
    <x v="30"/>
    <x v="0"/>
    <x v="13"/>
    <x v="0"/>
    <x v="52"/>
    <x v="5"/>
    <s v="M"/>
    <s v="Turquoise"/>
    <s v="Spring"/>
    <n v="4.8"/>
    <x v="0"/>
    <x v="1"/>
    <x v="0"/>
    <x v="0"/>
    <n v="34"/>
    <x v="3"/>
    <x v="2"/>
    <x v="2"/>
  </r>
  <r>
    <n v="225"/>
    <x v="6"/>
    <x v="0"/>
    <x v="20"/>
    <x v="0"/>
    <x v="42"/>
    <x v="45"/>
    <s v="S"/>
    <s v="Beige"/>
    <s v="Summer"/>
    <n v="2.9"/>
    <x v="0"/>
    <x v="1"/>
    <x v="0"/>
    <x v="0"/>
    <n v="12"/>
    <x v="1"/>
    <x v="6"/>
    <x v="3"/>
  </r>
  <r>
    <n v="226"/>
    <x v="15"/>
    <x v="0"/>
    <x v="14"/>
    <x v="2"/>
    <x v="20"/>
    <x v="10"/>
    <s v="M"/>
    <s v="Olive"/>
    <s v="Spring"/>
    <n v="3.2"/>
    <x v="0"/>
    <x v="2"/>
    <x v="0"/>
    <x v="0"/>
    <n v="11"/>
    <x v="4"/>
    <x v="2"/>
    <x v="2"/>
  </r>
  <r>
    <n v="227"/>
    <x v="26"/>
    <x v="0"/>
    <x v="9"/>
    <x v="1"/>
    <x v="67"/>
    <x v="21"/>
    <s v="L"/>
    <s v="Violet"/>
    <s v="Spring"/>
    <n v="3.3"/>
    <x v="0"/>
    <x v="1"/>
    <x v="0"/>
    <x v="0"/>
    <n v="5"/>
    <x v="3"/>
    <x v="5"/>
    <x v="5"/>
  </r>
  <r>
    <n v="228"/>
    <x v="2"/>
    <x v="0"/>
    <x v="2"/>
    <x v="0"/>
    <x v="3"/>
    <x v="3"/>
    <s v="M"/>
    <s v="Turquoise"/>
    <s v="Winter"/>
    <n v="4.2"/>
    <x v="0"/>
    <x v="3"/>
    <x v="0"/>
    <x v="0"/>
    <n v="25"/>
    <x v="0"/>
    <x v="0"/>
    <x v="0"/>
  </r>
  <r>
    <n v="229"/>
    <x v="20"/>
    <x v="0"/>
    <x v="20"/>
    <x v="0"/>
    <x v="24"/>
    <x v="13"/>
    <s v="M"/>
    <s v="White"/>
    <s v="Spring"/>
    <n v="2.9"/>
    <x v="0"/>
    <x v="5"/>
    <x v="0"/>
    <x v="0"/>
    <n v="11"/>
    <x v="2"/>
    <x v="2"/>
    <x v="2"/>
  </r>
  <r>
    <n v="230"/>
    <x v="27"/>
    <x v="0"/>
    <x v="3"/>
    <x v="1"/>
    <x v="39"/>
    <x v="31"/>
    <s v="S"/>
    <s v="Silver"/>
    <s v="Spring"/>
    <n v="4.5999999999999996"/>
    <x v="0"/>
    <x v="2"/>
    <x v="0"/>
    <x v="0"/>
    <n v="27"/>
    <x v="3"/>
    <x v="6"/>
    <x v="3"/>
  </r>
  <r>
    <n v="231"/>
    <x v="17"/>
    <x v="0"/>
    <x v="18"/>
    <x v="3"/>
    <x v="19"/>
    <x v="40"/>
    <s v="L"/>
    <s v="Olive"/>
    <s v="Fall"/>
    <n v="4.0999999999999996"/>
    <x v="0"/>
    <x v="3"/>
    <x v="0"/>
    <x v="0"/>
    <n v="43"/>
    <x v="2"/>
    <x v="2"/>
    <x v="2"/>
  </r>
  <r>
    <n v="232"/>
    <x v="48"/>
    <x v="0"/>
    <x v="0"/>
    <x v="0"/>
    <x v="46"/>
    <x v="30"/>
    <s v="M"/>
    <s v="Blue"/>
    <s v="Spring"/>
    <n v="3.1"/>
    <x v="0"/>
    <x v="4"/>
    <x v="0"/>
    <x v="0"/>
    <n v="18"/>
    <x v="5"/>
    <x v="6"/>
    <x v="3"/>
  </r>
  <r>
    <n v="233"/>
    <x v="22"/>
    <x v="0"/>
    <x v="16"/>
    <x v="3"/>
    <x v="65"/>
    <x v="11"/>
    <s v="L"/>
    <s v="Purple"/>
    <s v="Winter"/>
    <n v="4.2"/>
    <x v="0"/>
    <x v="0"/>
    <x v="0"/>
    <x v="0"/>
    <n v="32"/>
    <x v="4"/>
    <x v="4"/>
    <x v="4"/>
  </r>
  <r>
    <n v="234"/>
    <x v="1"/>
    <x v="0"/>
    <x v="1"/>
    <x v="0"/>
    <x v="42"/>
    <x v="28"/>
    <s v="XL"/>
    <s v="Yellow"/>
    <s v="Fall"/>
    <n v="4.5"/>
    <x v="0"/>
    <x v="2"/>
    <x v="0"/>
    <x v="0"/>
    <n v="27"/>
    <x v="4"/>
    <x v="6"/>
    <x v="3"/>
  </r>
  <r>
    <n v="235"/>
    <x v="30"/>
    <x v="0"/>
    <x v="24"/>
    <x v="3"/>
    <x v="32"/>
    <x v="45"/>
    <s v="S"/>
    <s v="Silver"/>
    <s v="Summer"/>
    <n v="3.7"/>
    <x v="0"/>
    <x v="2"/>
    <x v="0"/>
    <x v="0"/>
    <n v="24"/>
    <x v="2"/>
    <x v="1"/>
    <x v="1"/>
  </r>
  <r>
    <n v="236"/>
    <x v="49"/>
    <x v="0"/>
    <x v="12"/>
    <x v="3"/>
    <x v="58"/>
    <x v="32"/>
    <s v="M"/>
    <s v="Cyan"/>
    <s v="Winter"/>
    <n v="3.7"/>
    <x v="0"/>
    <x v="1"/>
    <x v="0"/>
    <x v="0"/>
    <n v="31"/>
    <x v="5"/>
    <x v="3"/>
    <x v="3"/>
  </r>
  <r>
    <n v="237"/>
    <x v="21"/>
    <x v="0"/>
    <x v="7"/>
    <x v="2"/>
    <x v="10"/>
    <x v="25"/>
    <s v="L"/>
    <s v="Green"/>
    <s v="Winter"/>
    <n v="3.4"/>
    <x v="0"/>
    <x v="2"/>
    <x v="0"/>
    <x v="0"/>
    <n v="39"/>
    <x v="3"/>
    <x v="0"/>
    <x v="0"/>
  </r>
  <r>
    <n v="238"/>
    <x v="2"/>
    <x v="0"/>
    <x v="10"/>
    <x v="0"/>
    <x v="3"/>
    <x v="44"/>
    <s v="M"/>
    <s v="Beige"/>
    <s v="Summer"/>
    <n v="3"/>
    <x v="0"/>
    <x v="5"/>
    <x v="0"/>
    <x v="0"/>
    <n v="36"/>
    <x v="5"/>
    <x v="0"/>
    <x v="0"/>
  </r>
  <r>
    <n v="239"/>
    <x v="14"/>
    <x v="0"/>
    <x v="11"/>
    <x v="0"/>
    <x v="7"/>
    <x v="31"/>
    <s v="M"/>
    <s v="Peach"/>
    <s v="Fall"/>
    <n v="4.2"/>
    <x v="0"/>
    <x v="1"/>
    <x v="0"/>
    <x v="0"/>
    <n v="5"/>
    <x v="1"/>
    <x v="2"/>
    <x v="2"/>
  </r>
  <r>
    <n v="240"/>
    <x v="34"/>
    <x v="0"/>
    <x v="13"/>
    <x v="0"/>
    <x v="12"/>
    <x v="34"/>
    <s v="L"/>
    <s v="Yellow"/>
    <s v="Summer"/>
    <n v="2.9"/>
    <x v="0"/>
    <x v="0"/>
    <x v="0"/>
    <x v="0"/>
    <n v="47"/>
    <x v="2"/>
    <x v="4"/>
    <x v="4"/>
  </r>
  <r>
    <n v="241"/>
    <x v="36"/>
    <x v="0"/>
    <x v="1"/>
    <x v="0"/>
    <x v="29"/>
    <x v="6"/>
    <s v="XL"/>
    <s v="Turquoise"/>
    <s v="Winter"/>
    <n v="3.5"/>
    <x v="0"/>
    <x v="1"/>
    <x v="0"/>
    <x v="0"/>
    <n v="29"/>
    <x v="4"/>
    <x v="0"/>
    <x v="0"/>
  </r>
  <r>
    <n v="242"/>
    <x v="24"/>
    <x v="0"/>
    <x v="15"/>
    <x v="0"/>
    <x v="19"/>
    <x v="12"/>
    <s v="M"/>
    <s v="Peach"/>
    <s v="Winter"/>
    <n v="4.0999999999999996"/>
    <x v="0"/>
    <x v="1"/>
    <x v="0"/>
    <x v="0"/>
    <n v="43"/>
    <x v="0"/>
    <x v="4"/>
    <x v="4"/>
  </r>
  <r>
    <n v="243"/>
    <x v="0"/>
    <x v="0"/>
    <x v="7"/>
    <x v="2"/>
    <x v="6"/>
    <x v="14"/>
    <s v="L"/>
    <s v="Gray"/>
    <s v="Summer"/>
    <n v="4.3"/>
    <x v="0"/>
    <x v="5"/>
    <x v="0"/>
    <x v="0"/>
    <n v="40"/>
    <x v="5"/>
    <x v="6"/>
    <x v="3"/>
  </r>
  <r>
    <n v="244"/>
    <x v="15"/>
    <x v="0"/>
    <x v="16"/>
    <x v="3"/>
    <x v="33"/>
    <x v="0"/>
    <s v="M"/>
    <s v="Olive"/>
    <s v="Winter"/>
    <n v="2.8"/>
    <x v="0"/>
    <x v="4"/>
    <x v="0"/>
    <x v="0"/>
    <n v="4"/>
    <x v="5"/>
    <x v="5"/>
    <x v="5"/>
  </r>
  <r>
    <n v="245"/>
    <x v="10"/>
    <x v="0"/>
    <x v="22"/>
    <x v="3"/>
    <x v="69"/>
    <x v="4"/>
    <s v="S"/>
    <s v="Indigo"/>
    <s v="Spring"/>
    <n v="4.9000000000000004"/>
    <x v="0"/>
    <x v="4"/>
    <x v="0"/>
    <x v="0"/>
    <n v="39"/>
    <x v="3"/>
    <x v="1"/>
    <x v="1"/>
  </r>
  <r>
    <n v="246"/>
    <x v="34"/>
    <x v="0"/>
    <x v="3"/>
    <x v="1"/>
    <x v="0"/>
    <x v="3"/>
    <s v="L"/>
    <s v="Charcoal"/>
    <s v="Summer"/>
    <n v="3.3"/>
    <x v="0"/>
    <x v="2"/>
    <x v="0"/>
    <x v="0"/>
    <n v="45"/>
    <x v="0"/>
    <x v="0"/>
    <x v="0"/>
  </r>
  <r>
    <n v="247"/>
    <x v="25"/>
    <x v="0"/>
    <x v="12"/>
    <x v="3"/>
    <x v="62"/>
    <x v="22"/>
    <s v="XL"/>
    <s v="Beige"/>
    <s v="Spring"/>
    <n v="3.2"/>
    <x v="0"/>
    <x v="0"/>
    <x v="0"/>
    <x v="0"/>
    <n v="20"/>
    <x v="0"/>
    <x v="4"/>
    <x v="4"/>
  </r>
  <r>
    <n v="248"/>
    <x v="26"/>
    <x v="0"/>
    <x v="1"/>
    <x v="0"/>
    <x v="76"/>
    <x v="6"/>
    <s v="XL"/>
    <s v="Brown"/>
    <s v="Spring"/>
    <n v="4.4000000000000004"/>
    <x v="0"/>
    <x v="3"/>
    <x v="0"/>
    <x v="0"/>
    <n v="14"/>
    <x v="5"/>
    <x v="1"/>
    <x v="1"/>
  </r>
  <r>
    <n v="249"/>
    <x v="36"/>
    <x v="0"/>
    <x v="22"/>
    <x v="3"/>
    <x v="33"/>
    <x v="38"/>
    <s v="M"/>
    <s v="Blue"/>
    <s v="Winter"/>
    <n v="4.8"/>
    <x v="0"/>
    <x v="0"/>
    <x v="0"/>
    <x v="0"/>
    <n v="33"/>
    <x v="3"/>
    <x v="1"/>
    <x v="1"/>
  </r>
  <r>
    <n v="250"/>
    <x v="10"/>
    <x v="0"/>
    <x v="8"/>
    <x v="3"/>
    <x v="53"/>
    <x v="29"/>
    <s v="S"/>
    <s v="Teal"/>
    <s v="Fall"/>
    <n v="4.2"/>
    <x v="0"/>
    <x v="3"/>
    <x v="0"/>
    <x v="0"/>
    <n v="18"/>
    <x v="2"/>
    <x v="2"/>
    <x v="2"/>
  </r>
  <r>
    <n v="251"/>
    <x v="23"/>
    <x v="0"/>
    <x v="11"/>
    <x v="0"/>
    <x v="21"/>
    <x v="16"/>
    <s v="L"/>
    <s v="Black"/>
    <s v="Fall"/>
    <n v="4"/>
    <x v="0"/>
    <x v="0"/>
    <x v="0"/>
    <x v="0"/>
    <n v="9"/>
    <x v="4"/>
    <x v="1"/>
    <x v="1"/>
  </r>
  <r>
    <n v="252"/>
    <x v="3"/>
    <x v="0"/>
    <x v="8"/>
    <x v="3"/>
    <x v="12"/>
    <x v="5"/>
    <s v="XL"/>
    <s v="Gold"/>
    <s v="Winter"/>
    <n v="2.5"/>
    <x v="0"/>
    <x v="3"/>
    <x v="0"/>
    <x v="0"/>
    <n v="34"/>
    <x v="3"/>
    <x v="2"/>
    <x v="2"/>
  </r>
  <r>
    <n v="253"/>
    <x v="45"/>
    <x v="0"/>
    <x v="6"/>
    <x v="0"/>
    <x v="52"/>
    <x v="12"/>
    <s v="M"/>
    <s v="Violet"/>
    <s v="Summer"/>
    <n v="3.9"/>
    <x v="0"/>
    <x v="1"/>
    <x v="0"/>
    <x v="0"/>
    <n v="33"/>
    <x v="0"/>
    <x v="0"/>
    <x v="0"/>
  </r>
  <r>
    <n v="254"/>
    <x v="16"/>
    <x v="0"/>
    <x v="23"/>
    <x v="1"/>
    <x v="2"/>
    <x v="19"/>
    <s v="L"/>
    <s v="Cyan"/>
    <s v="Winter"/>
    <n v="4.9000000000000004"/>
    <x v="0"/>
    <x v="4"/>
    <x v="0"/>
    <x v="0"/>
    <n v="15"/>
    <x v="4"/>
    <x v="4"/>
    <x v="4"/>
  </r>
  <r>
    <n v="255"/>
    <x v="29"/>
    <x v="0"/>
    <x v="12"/>
    <x v="3"/>
    <x v="69"/>
    <x v="27"/>
    <s v="M"/>
    <s v="White"/>
    <s v="Winter"/>
    <n v="3.5"/>
    <x v="0"/>
    <x v="5"/>
    <x v="0"/>
    <x v="0"/>
    <n v="4"/>
    <x v="3"/>
    <x v="4"/>
    <x v="4"/>
  </r>
  <r>
    <n v="256"/>
    <x v="49"/>
    <x v="0"/>
    <x v="18"/>
    <x v="3"/>
    <x v="5"/>
    <x v="33"/>
    <s v="M"/>
    <s v="Charcoal"/>
    <s v="Spring"/>
    <n v="4.2"/>
    <x v="0"/>
    <x v="1"/>
    <x v="0"/>
    <x v="0"/>
    <n v="25"/>
    <x v="5"/>
    <x v="2"/>
    <x v="2"/>
  </r>
  <r>
    <n v="257"/>
    <x v="44"/>
    <x v="0"/>
    <x v="16"/>
    <x v="3"/>
    <x v="38"/>
    <x v="45"/>
    <s v="XL"/>
    <s v="Violet"/>
    <s v="Spring"/>
    <n v="4.7"/>
    <x v="0"/>
    <x v="0"/>
    <x v="0"/>
    <x v="0"/>
    <n v="20"/>
    <x v="2"/>
    <x v="6"/>
    <x v="3"/>
  </r>
  <r>
    <n v="258"/>
    <x v="30"/>
    <x v="0"/>
    <x v="8"/>
    <x v="3"/>
    <x v="0"/>
    <x v="8"/>
    <s v="M"/>
    <s v="Red"/>
    <s v="Summer"/>
    <n v="4.5"/>
    <x v="0"/>
    <x v="0"/>
    <x v="0"/>
    <x v="0"/>
    <n v="5"/>
    <x v="2"/>
    <x v="3"/>
    <x v="3"/>
  </r>
  <r>
    <n v="259"/>
    <x v="12"/>
    <x v="0"/>
    <x v="24"/>
    <x v="3"/>
    <x v="67"/>
    <x v="15"/>
    <s v="S"/>
    <s v="Lavender"/>
    <s v="Spring"/>
    <n v="2.8"/>
    <x v="0"/>
    <x v="0"/>
    <x v="0"/>
    <x v="0"/>
    <n v="16"/>
    <x v="1"/>
    <x v="3"/>
    <x v="3"/>
  </r>
  <r>
    <n v="260"/>
    <x v="45"/>
    <x v="0"/>
    <x v="2"/>
    <x v="0"/>
    <x v="75"/>
    <x v="7"/>
    <s v="M"/>
    <s v="Gold"/>
    <s v="Fall"/>
    <n v="2.9"/>
    <x v="0"/>
    <x v="3"/>
    <x v="0"/>
    <x v="0"/>
    <n v="13"/>
    <x v="5"/>
    <x v="2"/>
    <x v="2"/>
  </r>
  <r>
    <n v="261"/>
    <x v="21"/>
    <x v="0"/>
    <x v="19"/>
    <x v="3"/>
    <x v="75"/>
    <x v="6"/>
    <s v="S"/>
    <s v="Red"/>
    <s v="Winter"/>
    <n v="3.2"/>
    <x v="0"/>
    <x v="4"/>
    <x v="0"/>
    <x v="0"/>
    <n v="11"/>
    <x v="2"/>
    <x v="6"/>
    <x v="3"/>
  </r>
  <r>
    <n v="262"/>
    <x v="3"/>
    <x v="0"/>
    <x v="2"/>
    <x v="0"/>
    <x v="64"/>
    <x v="18"/>
    <s v="L"/>
    <s v="Magenta"/>
    <s v="Winter"/>
    <n v="4.9000000000000004"/>
    <x v="0"/>
    <x v="3"/>
    <x v="0"/>
    <x v="0"/>
    <n v="21"/>
    <x v="2"/>
    <x v="2"/>
    <x v="2"/>
  </r>
  <r>
    <n v="263"/>
    <x v="43"/>
    <x v="0"/>
    <x v="13"/>
    <x v="0"/>
    <x v="49"/>
    <x v="11"/>
    <s v="M"/>
    <s v="Teal"/>
    <s v="Summer"/>
    <n v="3.7"/>
    <x v="0"/>
    <x v="2"/>
    <x v="0"/>
    <x v="0"/>
    <n v="6"/>
    <x v="5"/>
    <x v="2"/>
    <x v="2"/>
  </r>
  <r>
    <n v="264"/>
    <x v="7"/>
    <x v="0"/>
    <x v="6"/>
    <x v="0"/>
    <x v="43"/>
    <x v="44"/>
    <s v="M"/>
    <s v="Purple"/>
    <s v="Summer"/>
    <n v="4.3"/>
    <x v="0"/>
    <x v="5"/>
    <x v="0"/>
    <x v="0"/>
    <n v="29"/>
    <x v="0"/>
    <x v="5"/>
    <x v="5"/>
  </r>
  <r>
    <n v="265"/>
    <x v="24"/>
    <x v="0"/>
    <x v="13"/>
    <x v="0"/>
    <x v="72"/>
    <x v="24"/>
    <s v="S"/>
    <s v="Charcoal"/>
    <s v="Fall"/>
    <n v="3.9"/>
    <x v="0"/>
    <x v="5"/>
    <x v="0"/>
    <x v="0"/>
    <n v="15"/>
    <x v="1"/>
    <x v="2"/>
    <x v="2"/>
  </r>
  <r>
    <n v="266"/>
    <x v="45"/>
    <x v="0"/>
    <x v="21"/>
    <x v="3"/>
    <x v="40"/>
    <x v="49"/>
    <s v="M"/>
    <s v="Gray"/>
    <s v="Spring"/>
    <n v="3.2"/>
    <x v="0"/>
    <x v="4"/>
    <x v="0"/>
    <x v="0"/>
    <n v="17"/>
    <x v="4"/>
    <x v="4"/>
    <x v="4"/>
  </r>
  <r>
    <n v="267"/>
    <x v="47"/>
    <x v="0"/>
    <x v="16"/>
    <x v="3"/>
    <x v="60"/>
    <x v="7"/>
    <s v="L"/>
    <s v="White"/>
    <s v="Summer"/>
    <n v="3.1"/>
    <x v="0"/>
    <x v="0"/>
    <x v="0"/>
    <x v="0"/>
    <n v="32"/>
    <x v="2"/>
    <x v="1"/>
    <x v="1"/>
  </r>
  <r>
    <n v="268"/>
    <x v="14"/>
    <x v="0"/>
    <x v="1"/>
    <x v="0"/>
    <x v="36"/>
    <x v="33"/>
    <s v="M"/>
    <s v="Olive"/>
    <s v="Spring"/>
    <n v="3.9"/>
    <x v="0"/>
    <x v="4"/>
    <x v="0"/>
    <x v="0"/>
    <n v="42"/>
    <x v="0"/>
    <x v="2"/>
    <x v="2"/>
  </r>
  <r>
    <n v="269"/>
    <x v="33"/>
    <x v="0"/>
    <x v="9"/>
    <x v="1"/>
    <x v="69"/>
    <x v="42"/>
    <s v="M"/>
    <s v="Charcoal"/>
    <s v="Spring"/>
    <n v="2.6"/>
    <x v="0"/>
    <x v="5"/>
    <x v="0"/>
    <x v="0"/>
    <n v="21"/>
    <x v="1"/>
    <x v="5"/>
    <x v="5"/>
  </r>
  <r>
    <n v="270"/>
    <x v="33"/>
    <x v="0"/>
    <x v="0"/>
    <x v="0"/>
    <x v="77"/>
    <x v="42"/>
    <s v="M"/>
    <s v="Charcoal"/>
    <s v="Winter"/>
    <n v="3.3"/>
    <x v="0"/>
    <x v="2"/>
    <x v="0"/>
    <x v="0"/>
    <n v="9"/>
    <x v="1"/>
    <x v="4"/>
    <x v="4"/>
  </r>
  <r>
    <n v="271"/>
    <x v="23"/>
    <x v="0"/>
    <x v="2"/>
    <x v="0"/>
    <x v="78"/>
    <x v="25"/>
    <s v="XL"/>
    <s v="Orange"/>
    <s v="Fall"/>
    <n v="4.5999999999999996"/>
    <x v="0"/>
    <x v="1"/>
    <x v="0"/>
    <x v="0"/>
    <n v="16"/>
    <x v="4"/>
    <x v="2"/>
    <x v="2"/>
  </r>
  <r>
    <n v="272"/>
    <x v="13"/>
    <x v="0"/>
    <x v="12"/>
    <x v="3"/>
    <x v="28"/>
    <x v="33"/>
    <s v="XL"/>
    <s v="Yellow"/>
    <s v="Summer"/>
    <n v="4.5999999999999996"/>
    <x v="0"/>
    <x v="0"/>
    <x v="0"/>
    <x v="0"/>
    <n v="42"/>
    <x v="2"/>
    <x v="0"/>
    <x v="0"/>
  </r>
  <r>
    <n v="273"/>
    <x v="39"/>
    <x v="0"/>
    <x v="16"/>
    <x v="3"/>
    <x v="46"/>
    <x v="4"/>
    <s v="M"/>
    <s v="Beige"/>
    <s v="Summer"/>
    <n v="4.4000000000000004"/>
    <x v="0"/>
    <x v="4"/>
    <x v="0"/>
    <x v="0"/>
    <n v="37"/>
    <x v="5"/>
    <x v="4"/>
    <x v="4"/>
  </r>
  <r>
    <n v="274"/>
    <x v="28"/>
    <x v="0"/>
    <x v="7"/>
    <x v="2"/>
    <x v="27"/>
    <x v="25"/>
    <s v="S"/>
    <s v="Silver"/>
    <s v="Spring"/>
    <n v="4.2"/>
    <x v="0"/>
    <x v="0"/>
    <x v="0"/>
    <x v="0"/>
    <n v="32"/>
    <x v="5"/>
    <x v="3"/>
    <x v="3"/>
  </r>
  <r>
    <n v="275"/>
    <x v="35"/>
    <x v="0"/>
    <x v="16"/>
    <x v="3"/>
    <x v="50"/>
    <x v="33"/>
    <s v="M"/>
    <s v="Indigo"/>
    <s v="Spring"/>
    <n v="3"/>
    <x v="0"/>
    <x v="0"/>
    <x v="0"/>
    <x v="0"/>
    <n v="28"/>
    <x v="1"/>
    <x v="4"/>
    <x v="4"/>
  </r>
  <r>
    <n v="276"/>
    <x v="39"/>
    <x v="0"/>
    <x v="21"/>
    <x v="3"/>
    <x v="6"/>
    <x v="41"/>
    <s v="XL"/>
    <s v="Lavender"/>
    <s v="Winter"/>
    <n v="4"/>
    <x v="0"/>
    <x v="0"/>
    <x v="0"/>
    <x v="0"/>
    <n v="13"/>
    <x v="2"/>
    <x v="1"/>
    <x v="1"/>
  </r>
  <r>
    <n v="277"/>
    <x v="15"/>
    <x v="0"/>
    <x v="11"/>
    <x v="0"/>
    <x v="38"/>
    <x v="45"/>
    <s v="XL"/>
    <s v="Turquoise"/>
    <s v="Fall"/>
    <n v="3.5"/>
    <x v="0"/>
    <x v="0"/>
    <x v="0"/>
    <x v="0"/>
    <n v="11"/>
    <x v="4"/>
    <x v="0"/>
    <x v="0"/>
  </r>
  <r>
    <n v="278"/>
    <x v="26"/>
    <x v="0"/>
    <x v="5"/>
    <x v="0"/>
    <x v="45"/>
    <x v="42"/>
    <s v="M"/>
    <s v="Green"/>
    <s v="Winter"/>
    <n v="3"/>
    <x v="0"/>
    <x v="5"/>
    <x v="0"/>
    <x v="0"/>
    <n v="36"/>
    <x v="4"/>
    <x v="4"/>
    <x v="4"/>
  </r>
  <r>
    <n v="279"/>
    <x v="9"/>
    <x v="0"/>
    <x v="1"/>
    <x v="0"/>
    <x v="51"/>
    <x v="11"/>
    <s v="M"/>
    <s v="Orange"/>
    <s v="Spring"/>
    <n v="3.7"/>
    <x v="0"/>
    <x v="0"/>
    <x v="0"/>
    <x v="0"/>
    <n v="23"/>
    <x v="5"/>
    <x v="2"/>
    <x v="2"/>
  </r>
  <r>
    <n v="280"/>
    <x v="51"/>
    <x v="0"/>
    <x v="4"/>
    <x v="1"/>
    <x v="28"/>
    <x v="10"/>
    <s v="L"/>
    <s v="Turquoise"/>
    <s v="Summer"/>
    <n v="4"/>
    <x v="0"/>
    <x v="3"/>
    <x v="0"/>
    <x v="0"/>
    <n v="37"/>
    <x v="4"/>
    <x v="5"/>
    <x v="5"/>
  </r>
  <r>
    <n v="281"/>
    <x v="4"/>
    <x v="0"/>
    <x v="3"/>
    <x v="1"/>
    <x v="28"/>
    <x v="6"/>
    <s v="S"/>
    <s v="Cyan"/>
    <s v="Fall"/>
    <n v="4.2"/>
    <x v="0"/>
    <x v="4"/>
    <x v="0"/>
    <x v="0"/>
    <n v="21"/>
    <x v="1"/>
    <x v="4"/>
    <x v="4"/>
  </r>
  <r>
    <n v="282"/>
    <x v="21"/>
    <x v="0"/>
    <x v="22"/>
    <x v="3"/>
    <x v="70"/>
    <x v="19"/>
    <s v="XL"/>
    <s v="Charcoal"/>
    <s v="Spring"/>
    <n v="2.5"/>
    <x v="0"/>
    <x v="3"/>
    <x v="0"/>
    <x v="0"/>
    <n v="22"/>
    <x v="5"/>
    <x v="4"/>
    <x v="4"/>
  </r>
  <r>
    <n v="283"/>
    <x v="3"/>
    <x v="0"/>
    <x v="11"/>
    <x v="0"/>
    <x v="23"/>
    <x v="46"/>
    <s v="M"/>
    <s v="Teal"/>
    <s v="Summer"/>
    <n v="3"/>
    <x v="0"/>
    <x v="4"/>
    <x v="0"/>
    <x v="0"/>
    <n v="9"/>
    <x v="1"/>
    <x v="5"/>
    <x v="5"/>
  </r>
  <r>
    <n v="284"/>
    <x v="45"/>
    <x v="0"/>
    <x v="1"/>
    <x v="0"/>
    <x v="38"/>
    <x v="6"/>
    <s v="S"/>
    <s v="Maroon"/>
    <s v="Fall"/>
    <n v="3.2"/>
    <x v="0"/>
    <x v="2"/>
    <x v="0"/>
    <x v="0"/>
    <n v="16"/>
    <x v="0"/>
    <x v="2"/>
    <x v="2"/>
  </r>
  <r>
    <n v="285"/>
    <x v="6"/>
    <x v="0"/>
    <x v="11"/>
    <x v="0"/>
    <x v="29"/>
    <x v="31"/>
    <s v="M"/>
    <s v="Red"/>
    <s v="Summer"/>
    <n v="3.5"/>
    <x v="0"/>
    <x v="3"/>
    <x v="0"/>
    <x v="0"/>
    <n v="4"/>
    <x v="3"/>
    <x v="3"/>
    <x v="3"/>
  </r>
  <r>
    <n v="286"/>
    <x v="26"/>
    <x v="0"/>
    <x v="8"/>
    <x v="3"/>
    <x v="32"/>
    <x v="0"/>
    <s v="XL"/>
    <s v="Yellow"/>
    <s v="Summer"/>
    <n v="4.8"/>
    <x v="0"/>
    <x v="0"/>
    <x v="0"/>
    <x v="0"/>
    <n v="3"/>
    <x v="5"/>
    <x v="4"/>
    <x v="4"/>
  </r>
  <r>
    <n v="287"/>
    <x v="7"/>
    <x v="0"/>
    <x v="16"/>
    <x v="3"/>
    <x v="12"/>
    <x v="43"/>
    <s v="L"/>
    <s v="Gray"/>
    <s v="Summer"/>
    <n v="2.6"/>
    <x v="0"/>
    <x v="5"/>
    <x v="0"/>
    <x v="0"/>
    <n v="6"/>
    <x v="5"/>
    <x v="2"/>
    <x v="2"/>
  </r>
  <r>
    <n v="288"/>
    <x v="19"/>
    <x v="0"/>
    <x v="18"/>
    <x v="3"/>
    <x v="18"/>
    <x v="12"/>
    <s v="L"/>
    <s v="Blue"/>
    <s v="Spring"/>
    <n v="3.4"/>
    <x v="0"/>
    <x v="4"/>
    <x v="0"/>
    <x v="0"/>
    <n v="18"/>
    <x v="0"/>
    <x v="0"/>
    <x v="0"/>
  </r>
  <r>
    <n v="289"/>
    <x v="11"/>
    <x v="0"/>
    <x v="17"/>
    <x v="0"/>
    <x v="17"/>
    <x v="17"/>
    <s v="M"/>
    <s v="Lavender"/>
    <s v="Winter"/>
    <n v="3.7"/>
    <x v="0"/>
    <x v="4"/>
    <x v="0"/>
    <x v="0"/>
    <n v="34"/>
    <x v="0"/>
    <x v="4"/>
    <x v="4"/>
  </r>
  <r>
    <n v="290"/>
    <x v="34"/>
    <x v="0"/>
    <x v="7"/>
    <x v="2"/>
    <x v="6"/>
    <x v="14"/>
    <s v="M"/>
    <s v="Yellow"/>
    <s v="Fall"/>
    <n v="4.5"/>
    <x v="0"/>
    <x v="4"/>
    <x v="0"/>
    <x v="0"/>
    <n v="26"/>
    <x v="2"/>
    <x v="5"/>
    <x v="5"/>
  </r>
  <r>
    <n v="291"/>
    <x v="44"/>
    <x v="0"/>
    <x v="17"/>
    <x v="0"/>
    <x v="27"/>
    <x v="24"/>
    <s v="M"/>
    <s v="Indigo"/>
    <s v="Winter"/>
    <n v="3.7"/>
    <x v="0"/>
    <x v="3"/>
    <x v="0"/>
    <x v="0"/>
    <n v="50"/>
    <x v="3"/>
    <x v="1"/>
    <x v="1"/>
  </r>
  <r>
    <n v="292"/>
    <x v="9"/>
    <x v="0"/>
    <x v="10"/>
    <x v="0"/>
    <x v="46"/>
    <x v="12"/>
    <s v="XL"/>
    <s v="Violet"/>
    <s v="Fall"/>
    <n v="3.3"/>
    <x v="0"/>
    <x v="2"/>
    <x v="0"/>
    <x v="0"/>
    <n v="40"/>
    <x v="4"/>
    <x v="5"/>
    <x v="5"/>
  </r>
  <r>
    <n v="293"/>
    <x v="52"/>
    <x v="0"/>
    <x v="9"/>
    <x v="1"/>
    <x v="54"/>
    <x v="40"/>
    <s v="M"/>
    <s v="Green"/>
    <s v="Spring"/>
    <n v="4.7"/>
    <x v="0"/>
    <x v="1"/>
    <x v="0"/>
    <x v="0"/>
    <n v="24"/>
    <x v="1"/>
    <x v="3"/>
    <x v="3"/>
  </r>
  <r>
    <n v="294"/>
    <x v="28"/>
    <x v="0"/>
    <x v="8"/>
    <x v="3"/>
    <x v="32"/>
    <x v="39"/>
    <s v="M"/>
    <s v="White"/>
    <s v="Spring"/>
    <n v="2.7"/>
    <x v="0"/>
    <x v="0"/>
    <x v="0"/>
    <x v="0"/>
    <n v="33"/>
    <x v="3"/>
    <x v="2"/>
    <x v="2"/>
  </r>
  <r>
    <n v="295"/>
    <x v="27"/>
    <x v="0"/>
    <x v="11"/>
    <x v="0"/>
    <x v="5"/>
    <x v="32"/>
    <s v="M"/>
    <s v="Gold"/>
    <s v="Spring"/>
    <n v="4.5999999999999996"/>
    <x v="0"/>
    <x v="5"/>
    <x v="0"/>
    <x v="0"/>
    <n v="19"/>
    <x v="2"/>
    <x v="6"/>
    <x v="3"/>
  </r>
  <r>
    <n v="296"/>
    <x v="10"/>
    <x v="0"/>
    <x v="12"/>
    <x v="3"/>
    <x v="69"/>
    <x v="8"/>
    <s v="M"/>
    <s v="Indigo"/>
    <s v="Winter"/>
    <n v="2.7"/>
    <x v="0"/>
    <x v="5"/>
    <x v="0"/>
    <x v="0"/>
    <n v="24"/>
    <x v="2"/>
    <x v="3"/>
    <x v="3"/>
  </r>
  <r>
    <n v="297"/>
    <x v="15"/>
    <x v="0"/>
    <x v="3"/>
    <x v="1"/>
    <x v="67"/>
    <x v="27"/>
    <s v="S"/>
    <s v="Lavender"/>
    <s v="Spring"/>
    <n v="4.8"/>
    <x v="0"/>
    <x v="4"/>
    <x v="0"/>
    <x v="0"/>
    <n v="19"/>
    <x v="2"/>
    <x v="1"/>
    <x v="1"/>
  </r>
  <r>
    <n v="298"/>
    <x v="39"/>
    <x v="0"/>
    <x v="9"/>
    <x v="1"/>
    <x v="46"/>
    <x v="12"/>
    <s v="XL"/>
    <s v="Purple"/>
    <s v="Summer"/>
    <n v="4.4000000000000004"/>
    <x v="0"/>
    <x v="3"/>
    <x v="0"/>
    <x v="0"/>
    <n v="4"/>
    <x v="2"/>
    <x v="4"/>
    <x v="4"/>
  </r>
  <r>
    <n v="299"/>
    <x v="28"/>
    <x v="0"/>
    <x v="17"/>
    <x v="0"/>
    <x v="0"/>
    <x v="33"/>
    <s v="M"/>
    <s v="Lavender"/>
    <s v="Winter"/>
    <n v="4"/>
    <x v="0"/>
    <x v="3"/>
    <x v="0"/>
    <x v="0"/>
    <n v="11"/>
    <x v="0"/>
    <x v="6"/>
    <x v="3"/>
  </r>
  <r>
    <n v="300"/>
    <x v="15"/>
    <x v="0"/>
    <x v="4"/>
    <x v="1"/>
    <x v="68"/>
    <x v="38"/>
    <s v="M"/>
    <s v="Maroon"/>
    <s v="Summer"/>
    <n v="3.2"/>
    <x v="0"/>
    <x v="2"/>
    <x v="0"/>
    <x v="0"/>
    <n v="28"/>
    <x v="3"/>
    <x v="0"/>
    <x v="0"/>
  </r>
  <r>
    <n v="301"/>
    <x v="26"/>
    <x v="0"/>
    <x v="19"/>
    <x v="3"/>
    <x v="57"/>
    <x v="44"/>
    <s v="M"/>
    <s v="Teal"/>
    <s v="Spring"/>
    <n v="4.4000000000000004"/>
    <x v="0"/>
    <x v="5"/>
    <x v="0"/>
    <x v="0"/>
    <n v="24"/>
    <x v="3"/>
    <x v="1"/>
    <x v="1"/>
  </r>
  <r>
    <n v="302"/>
    <x v="5"/>
    <x v="0"/>
    <x v="11"/>
    <x v="0"/>
    <x v="51"/>
    <x v="38"/>
    <s v="M"/>
    <s v="Green"/>
    <s v="Spring"/>
    <n v="3.8"/>
    <x v="0"/>
    <x v="3"/>
    <x v="0"/>
    <x v="0"/>
    <n v="25"/>
    <x v="2"/>
    <x v="6"/>
    <x v="3"/>
  </r>
  <r>
    <n v="303"/>
    <x v="43"/>
    <x v="0"/>
    <x v="1"/>
    <x v="0"/>
    <x v="77"/>
    <x v="12"/>
    <s v="L"/>
    <s v="Olive"/>
    <s v="Summer"/>
    <n v="3.6"/>
    <x v="0"/>
    <x v="0"/>
    <x v="0"/>
    <x v="0"/>
    <n v="27"/>
    <x v="4"/>
    <x v="6"/>
    <x v="3"/>
  </r>
  <r>
    <n v="304"/>
    <x v="30"/>
    <x v="0"/>
    <x v="3"/>
    <x v="1"/>
    <x v="30"/>
    <x v="4"/>
    <s v="M"/>
    <s v="Turquoise"/>
    <s v="Summer"/>
    <n v="3.3"/>
    <x v="0"/>
    <x v="2"/>
    <x v="0"/>
    <x v="0"/>
    <n v="49"/>
    <x v="0"/>
    <x v="1"/>
    <x v="1"/>
  </r>
  <r>
    <n v="305"/>
    <x v="37"/>
    <x v="0"/>
    <x v="10"/>
    <x v="0"/>
    <x v="63"/>
    <x v="4"/>
    <s v="M"/>
    <s v="Green"/>
    <s v="Winter"/>
    <n v="3.4"/>
    <x v="0"/>
    <x v="2"/>
    <x v="0"/>
    <x v="0"/>
    <n v="45"/>
    <x v="2"/>
    <x v="4"/>
    <x v="4"/>
  </r>
  <r>
    <n v="306"/>
    <x v="52"/>
    <x v="0"/>
    <x v="1"/>
    <x v="0"/>
    <x v="40"/>
    <x v="40"/>
    <s v="M"/>
    <s v="Teal"/>
    <s v="Fall"/>
    <n v="3.5"/>
    <x v="0"/>
    <x v="4"/>
    <x v="0"/>
    <x v="0"/>
    <n v="26"/>
    <x v="3"/>
    <x v="2"/>
    <x v="2"/>
  </r>
  <r>
    <n v="307"/>
    <x v="8"/>
    <x v="0"/>
    <x v="14"/>
    <x v="2"/>
    <x v="4"/>
    <x v="25"/>
    <s v="S"/>
    <s v="White"/>
    <s v="Summer"/>
    <n v="3.6"/>
    <x v="0"/>
    <x v="0"/>
    <x v="0"/>
    <x v="0"/>
    <n v="4"/>
    <x v="1"/>
    <x v="2"/>
    <x v="2"/>
  </r>
  <r>
    <n v="308"/>
    <x v="26"/>
    <x v="0"/>
    <x v="24"/>
    <x v="3"/>
    <x v="50"/>
    <x v="20"/>
    <s v="M"/>
    <s v="Orange"/>
    <s v="Winter"/>
    <n v="3.2"/>
    <x v="0"/>
    <x v="1"/>
    <x v="0"/>
    <x v="0"/>
    <n v="3"/>
    <x v="2"/>
    <x v="6"/>
    <x v="3"/>
  </r>
  <r>
    <n v="309"/>
    <x v="17"/>
    <x v="0"/>
    <x v="8"/>
    <x v="3"/>
    <x v="45"/>
    <x v="33"/>
    <s v="M"/>
    <s v="Beige"/>
    <s v="Fall"/>
    <n v="3.7"/>
    <x v="0"/>
    <x v="3"/>
    <x v="0"/>
    <x v="0"/>
    <n v="45"/>
    <x v="0"/>
    <x v="4"/>
    <x v="4"/>
  </r>
  <r>
    <n v="310"/>
    <x v="17"/>
    <x v="0"/>
    <x v="10"/>
    <x v="0"/>
    <x v="20"/>
    <x v="46"/>
    <s v="M"/>
    <s v="Yellow"/>
    <s v="Spring"/>
    <n v="4.5"/>
    <x v="0"/>
    <x v="3"/>
    <x v="0"/>
    <x v="0"/>
    <n v="21"/>
    <x v="1"/>
    <x v="0"/>
    <x v="0"/>
  </r>
  <r>
    <n v="311"/>
    <x v="19"/>
    <x v="0"/>
    <x v="13"/>
    <x v="0"/>
    <x v="6"/>
    <x v="6"/>
    <s v="M"/>
    <s v="Charcoal"/>
    <s v="Winter"/>
    <n v="4.5999999999999996"/>
    <x v="0"/>
    <x v="3"/>
    <x v="0"/>
    <x v="0"/>
    <n v="50"/>
    <x v="1"/>
    <x v="0"/>
    <x v="0"/>
  </r>
  <r>
    <n v="312"/>
    <x v="28"/>
    <x v="0"/>
    <x v="2"/>
    <x v="0"/>
    <x v="78"/>
    <x v="3"/>
    <s v="L"/>
    <s v="Silver"/>
    <s v="Winter"/>
    <n v="4.0999999999999996"/>
    <x v="0"/>
    <x v="5"/>
    <x v="0"/>
    <x v="0"/>
    <n v="19"/>
    <x v="4"/>
    <x v="5"/>
    <x v="5"/>
  </r>
  <r>
    <n v="313"/>
    <x v="21"/>
    <x v="0"/>
    <x v="13"/>
    <x v="0"/>
    <x v="58"/>
    <x v="2"/>
    <s v="L"/>
    <s v="Green"/>
    <s v="Spring"/>
    <n v="3.4"/>
    <x v="0"/>
    <x v="2"/>
    <x v="0"/>
    <x v="0"/>
    <n v="6"/>
    <x v="3"/>
    <x v="2"/>
    <x v="2"/>
  </r>
  <r>
    <n v="314"/>
    <x v="32"/>
    <x v="0"/>
    <x v="10"/>
    <x v="0"/>
    <x v="64"/>
    <x v="34"/>
    <s v="M"/>
    <s v="Pink"/>
    <s v="Spring"/>
    <n v="3.7"/>
    <x v="0"/>
    <x v="0"/>
    <x v="0"/>
    <x v="0"/>
    <n v="50"/>
    <x v="2"/>
    <x v="6"/>
    <x v="3"/>
  </r>
  <r>
    <n v="315"/>
    <x v="11"/>
    <x v="0"/>
    <x v="13"/>
    <x v="0"/>
    <x v="41"/>
    <x v="32"/>
    <s v="M"/>
    <s v="Purple"/>
    <s v="Summer"/>
    <n v="3.3"/>
    <x v="0"/>
    <x v="5"/>
    <x v="0"/>
    <x v="0"/>
    <n v="17"/>
    <x v="5"/>
    <x v="6"/>
    <x v="3"/>
  </r>
  <r>
    <n v="316"/>
    <x v="17"/>
    <x v="0"/>
    <x v="16"/>
    <x v="3"/>
    <x v="41"/>
    <x v="48"/>
    <s v="XL"/>
    <s v="Orange"/>
    <s v="Spring"/>
    <n v="4.5"/>
    <x v="0"/>
    <x v="0"/>
    <x v="0"/>
    <x v="0"/>
    <n v="24"/>
    <x v="5"/>
    <x v="2"/>
    <x v="2"/>
  </r>
  <r>
    <n v="317"/>
    <x v="24"/>
    <x v="0"/>
    <x v="8"/>
    <x v="3"/>
    <x v="20"/>
    <x v="18"/>
    <s v="M"/>
    <s v="Charcoal"/>
    <s v="Fall"/>
    <n v="3.3"/>
    <x v="0"/>
    <x v="1"/>
    <x v="0"/>
    <x v="0"/>
    <n v="46"/>
    <x v="0"/>
    <x v="5"/>
    <x v="5"/>
  </r>
  <r>
    <n v="318"/>
    <x v="44"/>
    <x v="0"/>
    <x v="1"/>
    <x v="0"/>
    <x v="71"/>
    <x v="8"/>
    <s v="L"/>
    <s v="Teal"/>
    <s v="Fall"/>
    <n v="4.3"/>
    <x v="0"/>
    <x v="3"/>
    <x v="0"/>
    <x v="0"/>
    <n v="42"/>
    <x v="1"/>
    <x v="6"/>
    <x v="3"/>
  </r>
  <r>
    <n v="319"/>
    <x v="4"/>
    <x v="0"/>
    <x v="21"/>
    <x v="3"/>
    <x v="25"/>
    <x v="45"/>
    <s v="M"/>
    <s v="Beige"/>
    <s v="Winter"/>
    <n v="2.5"/>
    <x v="0"/>
    <x v="3"/>
    <x v="0"/>
    <x v="0"/>
    <n v="10"/>
    <x v="1"/>
    <x v="2"/>
    <x v="2"/>
  </r>
  <r>
    <n v="320"/>
    <x v="36"/>
    <x v="0"/>
    <x v="6"/>
    <x v="0"/>
    <x v="67"/>
    <x v="1"/>
    <s v="XL"/>
    <s v="White"/>
    <s v="Spring"/>
    <n v="2.6"/>
    <x v="0"/>
    <x v="3"/>
    <x v="0"/>
    <x v="0"/>
    <n v="1"/>
    <x v="1"/>
    <x v="6"/>
    <x v="3"/>
  </r>
  <r>
    <n v="321"/>
    <x v="17"/>
    <x v="0"/>
    <x v="16"/>
    <x v="3"/>
    <x v="11"/>
    <x v="23"/>
    <s v="L"/>
    <s v="White"/>
    <s v="Summer"/>
    <n v="4.9000000000000004"/>
    <x v="0"/>
    <x v="3"/>
    <x v="0"/>
    <x v="0"/>
    <n v="28"/>
    <x v="5"/>
    <x v="3"/>
    <x v="3"/>
  </r>
  <r>
    <n v="322"/>
    <x v="38"/>
    <x v="0"/>
    <x v="4"/>
    <x v="1"/>
    <x v="14"/>
    <x v="34"/>
    <s v="L"/>
    <s v="Orange"/>
    <s v="Summer"/>
    <n v="4.7"/>
    <x v="0"/>
    <x v="1"/>
    <x v="0"/>
    <x v="0"/>
    <n v="48"/>
    <x v="5"/>
    <x v="3"/>
    <x v="3"/>
  </r>
  <r>
    <n v="323"/>
    <x v="38"/>
    <x v="0"/>
    <x v="22"/>
    <x v="3"/>
    <x v="51"/>
    <x v="30"/>
    <s v="S"/>
    <s v="Cyan"/>
    <s v="Winter"/>
    <n v="3"/>
    <x v="0"/>
    <x v="3"/>
    <x v="0"/>
    <x v="0"/>
    <n v="47"/>
    <x v="2"/>
    <x v="5"/>
    <x v="5"/>
  </r>
  <r>
    <n v="324"/>
    <x v="17"/>
    <x v="0"/>
    <x v="15"/>
    <x v="0"/>
    <x v="72"/>
    <x v="30"/>
    <s v="M"/>
    <s v="Orange"/>
    <s v="Winter"/>
    <n v="3.5"/>
    <x v="0"/>
    <x v="2"/>
    <x v="0"/>
    <x v="0"/>
    <n v="29"/>
    <x v="3"/>
    <x v="4"/>
    <x v="4"/>
  </r>
  <r>
    <n v="325"/>
    <x v="43"/>
    <x v="0"/>
    <x v="5"/>
    <x v="0"/>
    <x v="71"/>
    <x v="5"/>
    <s v="M"/>
    <s v="Olive"/>
    <s v="Summer"/>
    <n v="4.8"/>
    <x v="0"/>
    <x v="3"/>
    <x v="0"/>
    <x v="0"/>
    <n v="37"/>
    <x v="0"/>
    <x v="3"/>
    <x v="3"/>
  </r>
  <r>
    <n v="326"/>
    <x v="27"/>
    <x v="0"/>
    <x v="13"/>
    <x v="0"/>
    <x v="44"/>
    <x v="34"/>
    <s v="M"/>
    <s v="Charcoal"/>
    <s v="Winter"/>
    <n v="4.3"/>
    <x v="0"/>
    <x v="1"/>
    <x v="0"/>
    <x v="0"/>
    <n v="38"/>
    <x v="5"/>
    <x v="2"/>
    <x v="2"/>
  </r>
  <r>
    <n v="327"/>
    <x v="46"/>
    <x v="0"/>
    <x v="18"/>
    <x v="3"/>
    <x v="52"/>
    <x v="32"/>
    <s v="M"/>
    <s v="White"/>
    <s v="Fall"/>
    <n v="3.2"/>
    <x v="0"/>
    <x v="5"/>
    <x v="0"/>
    <x v="0"/>
    <n v="48"/>
    <x v="4"/>
    <x v="1"/>
    <x v="1"/>
  </r>
  <r>
    <n v="328"/>
    <x v="12"/>
    <x v="0"/>
    <x v="7"/>
    <x v="2"/>
    <x v="69"/>
    <x v="44"/>
    <s v="M"/>
    <s v="Teal"/>
    <s v="Summer"/>
    <n v="3.1"/>
    <x v="0"/>
    <x v="1"/>
    <x v="0"/>
    <x v="0"/>
    <n v="36"/>
    <x v="3"/>
    <x v="1"/>
    <x v="1"/>
  </r>
  <r>
    <n v="329"/>
    <x v="39"/>
    <x v="0"/>
    <x v="7"/>
    <x v="2"/>
    <x v="74"/>
    <x v="20"/>
    <s v="M"/>
    <s v="Yellow"/>
    <s v="Fall"/>
    <n v="2.8"/>
    <x v="0"/>
    <x v="1"/>
    <x v="0"/>
    <x v="0"/>
    <n v="9"/>
    <x v="2"/>
    <x v="1"/>
    <x v="1"/>
  </r>
  <r>
    <n v="330"/>
    <x v="27"/>
    <x v="0"/>
    <x v="20"/>
    <x v="0"/>
    <x v="9"/>
    <x v="22"/>
    <s v="S"/>
    <s v="White"/>
    <s v="Summer"/>
    <n v="2.9"/>
    <x v="0"/>
    <x v="4"/>
    <x v="0"/>
    <x v="0"/>
    <n v="34"/>
    <x v="4"/>
    <x v="5"/>
    <x v="5"/>
  </r>
  <r>
    <n v="331"/>
    <x v="5"/>
    <x v="0"/>
    <x v="1"/>
    <x v="0"/>
    <x v="12"/>
    <x v="25"/>
    <s v="M"/>
    <s v="Beige"/>
    <s v="Winter"/>
    <n v="3.7"/>
    <x v="0"/>
    <x v="0"/>
    <x v="0"/>
    <x v="0"/>
    <n v="43"/>
    <x v="0"/>
    <x v="4"/>
    <x v="4"/>
  </r>
  <r>
    <n v="332"/>
    <x v="18"/>
    <x v="0"/>
    <x v="5"/>
    <x v="0"/>
    <x v="57"/>
    <x v="20"/>
    <s v="L"/>
    <s v="Beige"/>
    <s v="Fall"/>
    <n v="3.3"/>
    <x v="0"/>
    <x v="5"/>
    <x v="0"/>
    <x v="0"/>
    <n v="46"/>
    <x v="3"/>
    <x v="3"/>
    <x v="3"/>
  </r>
  <r>
    <n v="333"/>
    <x v="1"/>
    <x v="0"/>
    <x v="5"/>
    <x v="0"/>
    <x v="62"/>
    <x v="14"/>
    <s v="M"/>
    <s v="Maroon"/>
    <s v="Winter"/>
    <n v="2.8"/>
    <x v="0"/>
    <x v="4"/>
    <x v="0"/>
    <x v="0"/>
    <n v="5"/>
    <x v="2"/>
    <x v="5"/>
    <x v="5"/>
  </r>
  <r>
    <n v="334"/>
    <x v="31"/>
    <x v="0"/>
    <x v="1"/>
    <x v="0"/>
    <x v="1"/>
    <x v="29"/>
    <s v="M"/>
    <s v="Teal"/>
    <s v="Winter"/>
    <n v="4.5"/>
    <x v="0"/>
    <x v="3"/>
    <x v="0"/>
    <x v="0"/>
    <n v="15"/>
    <x v="4"/>
    <x v="4"/>
    <x v="4"/>
  </r>
  <r>
    <n v="335"/>
    <x v="38"/>
    <x v="0"/>
    <x v="0"/>
    <x v="0"/>
    <x v="43"/>
    <x v="23"/>
    <s v="M"/>
    <s v="Lavender"/>
    <s v="Fall"/>
    <n v="2.6"/>
    <x v="0"/>
    <x v="2"/>
    <x v="0"/>
    <x v="0"/>
    <n v="30"/>
    <x v="2"/>
    <x v="2"/>
    <x v="2"/>
  </r>
  <r>
    <n v="336"/>
    <x v="30"/>
    <x v="0"/>
    <x v="1"/>
    <x v="0"/>
    <x v="6"/>
    <x v="4"/>
    <s v="L"/>
    <s v="Maroon"/>
    <s v="Spring"/>
    <n v="3.7"/>
    <x v="0"/>
    <x v="3"/>
    <x v="0"/>
    <x v="0"/>
    <n v="44"/>
    <x v="0"/>
    <x v="6"/>
    <x v="3"/>
  </r>
  <r>
    <n v="337"/>
    <x v="24"/>
    <x v="0"/>
    <x v="19"/>
    <x v="3"/>
    <x v="13"/>
    <x v="3"/>
    <s v="S"/>
    <s v="Orange"/>
    <s v="Fall"/>
    <n v="4.4000000000000004"/>
    <x v="0"/>
    <x v="0"/>
    <x v="0"/>
    <x v="0"/>
    <n v="16"/>
    <x v="3"/>
    <x v="2"/>
    <x v="2"/>
  </r>
  <r>
    <n v="338"/>
    <x v="45"/>
    <x v="0"/>
    <x v="1"/>
    <x v="0"/>
    <x v="40"/>
    <x v="35"/>
    <s v="M"/>
    <s v="Cyan"/>
    <s v="Winter"/>
    <n v="4.3"/>
    <x v="0"/>
    <x v="4"/>
    <x v="0"/>
    <x v="0"/>
    <n v="16"/>
    <x v="4"/>
    <x v="2"/>
    <x v="2"/>
  </r>
  <r>
    <n v="339"/>
    <x v="28"/>
    <x v="0"/>
    <x v="15"/>
    <x v="0"/>
    <x v="24"/>
    <x v="2"/>
    <s v="M"/>
    <s v="Silver"/>
    <s v="Winter"/>
    <n v="3.5"/>
    <x v="0"/>
    <x v="0"/>
    <x v="0"/>
    <x v="0"/>
    <n v="16"/>
    <x v="1"/>
    <x v="1"/>
    <x v="1"/>
  </r>
  <r>
    <n v="340"/>
    <x v="37"/>
    <x v="0"/>
    <x v="6"/>
    <x v="0"/>
    <x v="27"/>
    <x v="38"/>
    <s v="M"/>
    <s v="Teal"/>
    <s v="Spring"/>
    <n v="3.8"/>
    <x v="0"/>
    <x v="4"/>
    <x v="0"/>
    <x v="0"/>
    <n v="21"/>
    <x v="2"/>
    <x v="6"/>
    <x v="3"/>
  </r>
  <r>
    <n v="341"/>
    <x v="37"/>
    <x v="0"/>
    <x v="6"/>
    <x v="0"/>
    <x v="53"/>
    <x v="32"/>
    <s v="L"/>
    <s v="Blue"/>
    <s v="Summer"/>
    <n v="3.5"/>
    <x v="0"/>
    <x v="0"/>
    <x v="0"/>
    <x v="0"/>
    <n v="39"/>
    <x v="0"/>
    <x v="6"/>
    <x v="3"/>
  </r>
  <r>
    <n v="342"/>
    <x v="30"/>
    <x v="0"/>
    <x v="19"/>
    <x v="3"/>
    <x v="5"/>
    <x v="40"/>
    <s v="S"/>
    <s v="Blue"/>
    <s v="Summer"/>
    <n v="4.5999999999999996"/>
    <x v="0"/>
    <x v="5"/>
    <x v="0"/>
    <x v="0"/>
    <n v="40"/>
    <x v="5"/>
    <x v="4"/>
    <x v="4"/>
  </r>
  <r>
    <n v="343"/>
    <x v="14"/>
    <x v="0"/>
    <x v="7"/>
    <x v="2"/>
    <x v="14"/>
    <x v="0"/>
    <s v="M"/>
    <s v="Olive"/>
    <s v="Spring"/>
    <n v="2.6"/>
    <x v="0"/>
    <x v="2"/>
    <x v="0"/>
    <x v="0"/>
    <n v="48"/>
    <x v="2"/>
    <x v="6"/>
    <x v="3"/>
  </r>
  <r>
    <n v="344"/>
    <x v="7"/>
    <x v="0"/>
    <x v="3"/>
    <x v="1"/>
    <x v="32"/>
    <x v="43"/>
    <s v="M"/>
    <s v="Purple"/>
    <s v="Summer"/>
    <n v="4.4000000000000004"/>
    <x v="0"/>
    <x v="2"/>
    <x v="0"/>
    <x v="0"/>
    <n v="26"/>
    <x v="0"/>
    <x v="5"/>
    <x v="5"/>
  </r>
  <r>
    <n v="345"/>
    <x v="41"/>
    <x v="0"/>
    <x v="11"/>
    <x v="0"/>
    <x v="79"/>
    <x v="41"/>
    <s v="M"/>
    <s v="Charcoal"/>
    <s v="Winter"/>
    <n v="4"/>
    <x v="0"/>
    <x v="3"/>
    <x v="0"/>
    <x v="0"/>
    <n v="46"/>
    <x v="5"/>
    <x v="5"/>
    <x v="5"/>
  </r>
  <r>
    <n v="346"/>
    <x v="39"/>
    <x v="0"/>
    <x v="9"/>
    <x v="1"/>
    <x v="40"/>
    <x v="5"/>
    <s v="S"/>
    <s v="Olive"/>
    <s v="Winter"/>
    <n v="4.4000000000000004"/>
    <x v="0"/>
    <x v="2"/>
    <x v="0"/>
    <x v="0"/>
    <n v="27"/>
    <x v="4"/>
    <x v="2"/>
    <x v="2"/>
  </r>
  <r>
    <n v="347"/>
    <x v="34"/>
    <x v="0"/>
    <x v="2"/>
    <x v="0"/>
    <x v="74"/>
    <x v="35"/>
    <s v="L"/>
    <s v="Violet"/>
    <s v="Spring"/>
    <n v="4.7"/>
    <x v="0"/>
    <x v="2"/>
    <x v="0"/>
    <x v="0"/>
    <n v="5"/>
    <x v="1"/>
    <x v="1"/>
    <x v="1"/>
  </r>
  <r>
    <n v="348"/>
    <x v="24"/>
    <x v="0"/>
    <x v="3"/>
    <x v="1"/>
    <x v="52"/>
    <x v="4"/>
    <s v="L"/>
    <s v="Red"/>
    <s v="Fall"/>
    <n v="3.9"/>
    <x v="0"/>
    <x v="5"/>
    <x v="0"/>
    <x v="0"/>
    <n v="43"/>
    <x v="3"/>
    <x v="0"/>
    <x v="0"/>
  </r>
  <r>
    <n v="349"/>
    <x v="19"/>
    <x v="0"/>
    <x v="0"/>
    <x v="0"/>
    <x v="40"/>
    <x v="36"/>
    <s v="M"/>
    <s v="Beige"/>
    <s v="Fall"/>
    <n v="2.7"/>
    <x v="0"/>
    <x v="1"/>
    <x v="0"/>
    <x v="0"/>
    <n v="17"/>
    <x v="3"/>
    <x v="0"/>
    <x v="0"/>
  </r>
  <r>
    <n v="350"/>
    <x v="43"/>
    <x v="0"/>
    <x v="19"/>
    <x v="3"/>
    <x v="55"/>
    <x v="28"/>
    <s v="M"/>
    <s v="Green"/>
    <s v="Winter"/>
    <n v="3.7"/>
    <x v="0"/>
    <x v="4"/>
    <x v="0"/>
    <x v="0"/>
    <n v="3"/>
    <x v="4"/>
    <x v="4"/>
    <x v="4"/>
  </r>
  <r>
    <n v="351"/>
    <x v="32"/>
    <x v="0"/>
    <x v="1"/>
    <x v="0"/>
    <x v="10"/>
    <x v="0"/>
    <s v="M"/>
    <s v="Violet"/>
    <s v="Spring"/>
    <n v="2.6"/>
    <x v="0"/>
    <x v="4"/>
    <x v="0"/>
    <x v="0"/>
    <n v="47"/>
    <x v="4"/>
    <x v="0"/>
    <x v="0"/>
  </r>
  <r>
    <n v="352"/>
    <x v="48"/>
    <x v="0"/>
    <x v="11"/>
    <x v="0"/>
    <x v="3"/>
    <x v="14"/>
    <s v="M"/>
    <s v="Teal"/>
    <s v="Winter"/>
    <n v="3.9"/>
    <x v="0"/>
    <x v="3"/>
    <x v="0"/>
    <x v="0"/>
    <n v="24"/>
    <x v="5"/>
    <x v="4"/>
    <x v="4"/>
  </r>
  <r>
    <n v="353"/>
    <x v="7"/>
    <x v="0"/>
    <x v="2"/>
    <x v="0"/>
    <x v="79"/>
    <x v="21"/>
    <s v="XL"/>
    <s v="Yellow"/>
    <s v="Fall"/>
    <n v="4.9000000000000004"/>
    <x v="0"/>
    <x v="2"/>
    <x v="0"/>
    <x v="0"/>
    <n v="12"/>
    <x v="1"/>
    <x v="6"/>
    <x v="3"/>
  </r>
  <r>
    <n v="354"/>
    <x v="6"/>
    <x v="0"/>
    <x v="4"/>
    <x v="1"/>
    <x v="1"/>
    <x v="9"/>
    <s v="L"/>
    <s v="Yellow"/>
    <s v="Fall"/>
    <n v="4.0999999999999996"/>
    <x v="0"/>
    <x v="5"/>
    <x v="0"/>
    <x v="0"/>
    <n v="35"/>
    <x v="5"/>
    <x v="5"/>
    <x v="5"/>
  </r>
  <r>
    <n v="355"/>
    <x v="44"/>
    <x v="0"/>
    <x v="16"/>
    <x v="3"/>
    <x v="31"/>
    <x v="38"/>
    <s v="S"/>
    <s v="Olive"/>
    <s v="Fall"/>
    <n v="3"/>
    <x v="0"/>
    <x v="1"/>
    <x v="0"/>
    <x v="0"/>
    <n v="42"/>
    <x v="0"/>
    <x v="1"/>
    <x v="1"/>
  </r>
  <r>
    <n v="356"/>
    <x v="43"/>
    <x v="0"/>
    <x v="16"/>
    <x v="3"/>
    <x v="69"/>
    <x v="4"/>
    <s v="XL"/>
    <s v="Magenta"/>
    <s v="Fall"/>
    <n v="4.0999999999999996"/>
    <x v="0"/>
    <x v="4"/>
    <x v="0"/>
    <x v="0"/>
    <n v="1"/>
    <x v="3"/>
    <x v="6"/>
    <x v="3"/>
  </r>
  <r>
    <n v="357"/>
    <x v="19"/>
    <x v="0"/>
    <x v="13"/>
    <x v="0"/>
    <x v="68"/>
    <x v="22"/>
    <s v="L"/>
    <s v="Black"/>
    <s v="Spring"/>
    <n v="3.8"/>
    <x v="0"/>
    <x v="3"/>
    <x v="0"/>
    <x v="0"/>
    <n v="27"/>
    <x v="1"/>
    <x v="1"/>
    <x v="1"/>
  </r>
  <r>
    <n v="358"/>
    <x v="20"/>
    <x v="0"/>
    <x v="22"/>
    <x v="3"/>
    <x v="22"/>
    <x v="10"/>
    <s v="M"/>
    <s v="Olive"/>
    <s v="Spring"/>
    <n v="4"/>
    <x v="0"/>
    <x v="3"/>
    <x v="0"/>
    <x v="0"/>
    <n v="16"/>
    <x v="2"/>
    <x v="4"/>
    <x v="4"/>
  </r>
  <r>
    <n v="359"/>
    <x v="39"/>
    <x v="0"/>
    <x v="19"/>
    <x v="3"/>
    <x v="21"/>
    <x v="46"/>
    <s v="XL"/>
    <s v="Magenta"/>
    <s v="Summer"/>
    <n v="3.6"/>
    <x v="0"/>
    <x v="0"/>
    <x v="0"/>
    <x v="0"/>
    <n v="36"/>
    <x v="2"/>
    <x v="6"/>
    <x v="3"/>
  </r>
  <r>
    <n v="360"/>
    <x v="18"/>
    <x v="0"/>
    <x v="4"/>
    <x v="1"/>
    <x v="67"/>
    <x v="42"/>
    <s v="M"/>
    <s v="Olive"/>
    <s v="Winter"/>
    <n v="3"/>
    <x v="0"/>
    <x v="5"/>
    <x v="0"/>
    <x v="0"/>
    <n v="30"/>
    <x v="2"/>
    <x v="6"/>
    <x v="3"/>
  </r>
  <r>
    <n v="361"/>
    <x v="47"/>
    <x v="0"/>
    <x v="13"/>
    <x v="0"/>
    <x v="38"/>
    <x v="3"/>
    <s v="M"/>
    <s v="Teal"/>
    <s v="Summer"/>
    <n v="3"/>
    <x v="0"/>
    <x v="3"/>
    <x v="0"/>
    <x v="0"/>
    <n v="18"/>
    <x v="5"/>
    <x v="0"/>
    <x v="0"/>
  </r>
  <r>
    <n v="362"/>
    <x v="13"/>
    <x v="0"/>
    <x v="17"/>
    <x v="0"/>
    <x v="48"/>
    <x v="22"/>
    <s v="M"/>
    <s v="White"/>
    <s v="Spring"/>
    <n v="2.6"/>
    <x v="0"/>
    <x v="1"/>
    <x v="0"/>
    <x v="0"/>
    <n v="45"/>
    <x v="1"/>
    <x v="2"/>
    <x v="2"/>
  </r>
  <r>
    <n v="363"/>
    <x v="10"/>
    <x v="0"/>
    <x v="4"/>
    <x v="1"/>
    <x v="1"/>
    <x v="21"/>
    <s v="M"/>
    <s v="Charcoal"/>
    <s v="Fall"/>
    <n v="3.4"/>
    <x v="0"/>
    <x v="1"/>
    <x v="0"/>
    <x v="0"/>
    <n v="1"/>
    <x v="0"/>
    <x v="0"/>
    <x v="0"/>
  </r>
  <r>
    <n v="364"/>
    <x v="0"/>
    <x v="0"/>
    <x v="6"/>
    <x v="0"/>
    <x v="19"/>
    <x v="20"/>
    <s v="L"/>
    <s v="Yellow"/>
    <s v="Winter"/>
    <n v="3.1"/>
    <x v="0"/>
    <x v="1"/>
    <x v="0"/>
    <x v="0"/>
    <n v="42"/>
    <x v="4"/>
    <x v="0"/>
    <x v="0"/>
  </r>
  <r>
    <n v="365"/>
    <x v="46"/>
    <x v="0"/>
    <x v="9"/>
    <x v="1"/>
    <x v="19"/>
    <x v="25"/>
    <s v="L"/>
    <s v="Charcoal"/>
    <s v="Summer"/>
    <n v="3"/>
    <x v="0"/>
    <x v="1"/>
    <x v="0"/>
    <x v="0"/>
    <n v="7"/>
    <x v="0"/>
    <x v="6"/>
    <x v="3"/>
  </r>
  <r>
    <n v="366"/>
    <x v="0"/>
    <x v="0"/>
    <x v="24"/>
    <x v="3"/>
    <x v="19"/>
    <x v="8"/>
    <s v="XL"/>
    <s v="Gray"/>
    <s v="Summer"/>
    <n v="3.7"/>
    <x v="0"/>
    <x v="3"/>
    <x v="0"/>
    <x v="0"/>
    <n v="50"/>
    <x v="3"/>
    <x v="3"/>
    <x v="3"/>
  </r>
  <r>
    <n v="367"/>
    <x v="14"/>
    <x v="0"/>
    <x v="20"/>
    <x v="0"/>
    <x v="14"/>
    <x v="43"/>
    <s v="M"/>
    <s v="Turquoise"/>
    <s v="Spring"/>
    <n v="3.5"/>
    <x v="0"/>
    <x v="5"/>
    <x v="0"/>
    <x v="0"/>
    <n v="37"/>
    <x v="0"/>
    <x v="0"/>
    <x v="0"/>
  </r>
  <r>
    <n v="368"/>
    <x v="16"/>
    <x v="0"/>
    <x v="10"/>
    <x v="0"/>
    <x v="49"/>
    <x v="30"/>
    <s v="XL"/>
    <s v="Cyan"/>
    <s v="Spring"/>
    <n v="2.8"/>
    <x v="0"/>
    <x v="5"/>
    <x v="0"/>
    <x v="0"/>
    <n v="18"/>
    <x v="4"/>
    <x v="5"/>
    <x v="5"/>
  </r>
  <r>
    <n v="369"/>
    <x v="41"/>
    <x v="0"/>
    <x v="8"/>
    <x v="3"/>
    <x v="32"/>
    <x v="19"/>
    <s v="M"/>
    <s v="Charcoal"/>
    <s v="Spring"/>
    <n v="4.5"/>
    <x v="0"/>
    <x v="3"/>
    <x v="0"/>
    <x v="0"/>
    <n v="29"/>
    <x v="1"/>
    <x v="5"/>
    <x v="5"/>
  </r>
  <r>
    <n v="370"/>
    <x v="21"/>
    <x v="0"/>
    <x v="22"/>
    <x v="3"/>
    <x v="49"/>
    <x v="48"/>
    <s v="M"/>
    <s v="Silver"/>
    <s v="Summer"/>
    <n v="3.3"/>
    <x v="0"/>
    <x v="5"/>
    <x v="0"/>
    <x v="0"/>
    <n v="45"/>
    <x v="3"/>
    <x v="3"/>
    <x v="3"/>
  </r>
  <r>
    <n v="371"/>
    <x v="35"/>
    <x v="0"/>
    <x v="18"/>
    <x v="3"/>
    <x v="7"/>
    <x v="4"/>
    <s v="M"/>
    <s v="Olive"/>
    <s v="Winter"/>
    <n v="3.4"/>
    <x v="0"/>
    <x v="0"/>
    <x v="0"/>
    <x v="0"/>
    <n v="13"/>
    <x v="3"/>
    <x v="1"/>
    <x v="1"/>
  </r>
  <r>
    <n v="372"/>
    <x v="7"/>
    <x v="0"/>
    <x v="4"/>
    <x v="1"/>
    <x v="42"/>
    <x v="17"/>
    <s v="S"/>
    <s v="Pink"/>
    <s v="Winter"/>
    <n v="3.2"/>
    <x v="0"/>
    <x v="4"/>
    <x v="0"/>
    <x v="0"/>
    <n v="47"/>
    <x v="3"/>
    <x v="5"/>
    <x v="5"/>
  </r>
  <r>
    <n v="373"/>
    <x v="41"/>
    <x v="0"/>
    <x v="1"/>
    <x v="0"/>
    <x v="6"/>
    <x v="38"/>
    <s v="L"/>
    <s v="Orange"/>
    <s v="Summer"/>
    <n v="3.7"/>
    <x v="0"/>
    <x v="3"/>
    <x v="0"/>
    <x v="0"/>
    <n v="7"/>
    <x v="5"/>
    <x v="1"/>
    <x v="1"/>
  </r>
  <r>
    <n v="374"/>
    <x v="51"/>
    <x v="0"/>
    <x v="7"/>
    <x v="2"/>
    <x v="65"/>
    <x v="25"/>
    <s v="L"/>
    <s v="White"/>
    <s v="Summer"/>
    <n v="4.5999999999999996"/>
    <x v="0"/>
    <x v="0"/>
    <x v="0"/>
    <x v="0"/>
    <n v="11"/>
    <x v="0"/>
    <x v="4"/>
    <x v="4"/>
  </r>
  <r>
    <n v="375"/>
    <x v="28"/>
    <x v="0"/>
    <x v="16"/>
    <x v="3"/>
    <x v="72"/>
    <x v="31"/>
    <s v="S"/>
    <s v="Purple"/>
    <s v="Spring"/>
    <n v="5"/>
    <x v="0"/>
    <x v="5"/>
    <x v="0"/>
    <x v="0"/>
    <n v="39"/>
    <x v="4"/>
    <x v="5"/>
    <x v="5"/>
  </r>
  <r>
    <n v="376"/>
    <x v="35"/>
    <x v="0"/>
    <x v="12"/>
    <x v="3"/>
    <x v="50"/>
    <x v="19"/>
    <s v="M"/>
    <s v="Olive"/>
    <s v="Summer"/>
    <n v="4.4000000000000004"/>
    <x v="0"/>
    <x v="3"/>
    <x v="0"/>
    <x v="0"/>
    <n v="6"/>
    <x v="5"/>
    <x v="3"/>
    <x v="3"/>
  </r>
  <r>
    <n v="377"/>
    <x v="47"/>
    <x v="0"/>
    <x v="9"/>
    <x v="1"/>
    <x v="12"/>
    <x v="36"/>
    <s v="S"/>
    <s v="Gray"/>
    <s v="Fall"/>
    <n v="4.9000000000000004"/>
    <x v="0"/>
    <x v="0"/>
    <x v="0"/>
    <x v="0"/>
    <n v="2"/>
    <x v="0"/>
    <x v="4"/>
    <x v="4"/>
  </r>
  <r>
    <n v="378"/>
    <x v="6"/>
    <x v="0"/>
    <x v="18"/>
    <x v="3"/>
    <x v="50"/>
    <x v="1"/>
    <s v="M"/>
    <s v="Silver"/>
    <s v="Spring"/>
    <n v="4.0999999999999996"/>
    <x v="0"/>
    <x v="3"/>
    <x v="0"/>
    <x v="0"/>
    <n v="39"/>
    <x v="2"/>
    <x v="6"/>
    <x v="3"/>
  </r>
  <r>
    <n v="379"/>
    <x v="22"/>
    <x v="0"/>
    <x v="10"/>
    <x v="0"/>
    <x v="17"/>
    <x v="22"/>
    <s v="L"/>
    <s v="Orange"/>
    <s v="Winter"/>
    <n v="4.9000000000000004"/>
    <x v="0"/>
    <x v="2"/>
    <x v="0"/>
    <x v="0"/>
    <n v="23"/>
    <x v="2"/>
    <x v="5"/>
    <x v="5"/>
  </r>
  <r>
    <n v="380"/>
    <x v="45"/>
    <x v="0"/>
    <x v="17"/>
    <x v="0"/>
    <x v="45"/>
    <x v="6"/>
    <s v="S"/>
    <s v="Magenta"/>
    <s v="Fall"/>
    <n v="4.7"/>
    <x v="0"/>
    <x v="4"/>
    <x v="0"/>
    <x v="0"/>
    <n v="46"/>
    <x v="5"/>
    <x v="4"/>
    <x v="4"/>
  </r>
  <r>
    <n v="381"/>
    <x v="31"/>
    <x v="0"/>
    <x v="21"/>
    <x v="3"/>
    <x v="28"/>
    <x v="13"/>
    <s v="XL"/>
    <s v="Beige"/>
    <s v="Fall"/>
    <n v="3"/>
    <x v="0"/>
    <x v="5"/>
    <x v="0"/>
    <x v="0"/>
    <n v="19"/>
    <x v="4"/>
    <x v="1"/>
    <x v="1"/>
  </r>
  <r>
    <n v="382"/>
    <x v="17"/>
    <x v="0"/>
    <x v="16"/>
    <x v="3"/>
    <x v="21"/>
    <x v="1"/>
    <s v="L"/>
    <s v="Lavender"/>
    <s v="Winter"/>
    <n v="3.4"/>
    <x v="0"/>
    <x v="5"/>
    <x v="0"/>
    <x v="0"/>
    <n v="3"/>
    <x v="2"/>
    <x v="6"/>
    <x v="3"/>
  </r>
  <r>
    <n v="383"/>
    <x v="48"/>
    <x v="0"/>
    <x v="2"/>
    <x v="0"/>
    <x v="31"/>
    <x v="18"/>
    <s v="M"/>
    <s v="Peach"/>
    <s v="Winter"/>
    <n v="3.2"/>
    <x v="0"/>
    <x v="5"/>
    <x v="0"/>
    <x v="0"/>
    <n v="47"/>
    <x v="3"/>
    <x v="3"/>
    <x v="3"/>
  </r>
  <r>
    <n v="384"/>
    <x v="2"/>
    <x v="0"/>
    <x v="12"/>
    <x v="3"/>
    <x v="64"/>
    <x v="8"/>
    <s v="S"/>
    <s v="Magenta"/>
    <s v="Fall"/>
    <n v="2.9"/>
    <x v="0"/>
    <x v="3"/>
    <x v="0"/>
    <x v="0"/>
    <n v="6"/>
    <x v="3"/>
    <x v="3"/>
    <x v="3"/>
  </r>
  <r>
    <n v="385"/>
    <x v="27"/>
    <x v="0"/>
    <x v="1"/>
    <x v="0"/>
    <x v="27"/>
    <x v="18"/>
    <s v="M"/>
    <s v="Beige"/>
    <s v="Fall"/>
    <n v="4.5"/>
    <x v="0"/>
    <x v="4"/>
    <x v="0"/>
    <x v="0"/>
    <n v="6"/>
    <x v="0"/>
    <x v="2"/>
    <x v="2"/>
  </r>
  <r>
    <n v="386"/>
    <x v="29"/>
    <x v="0"/>
    <x v="6"/>
    <x v="0"/>
    <x v="73"/>
    <x v="8"/>
    <s v="S"/>
    <s v="Yellow"/>
    <s v="Fall"/>
    <n v="2.7"/>
    <x v="0"/>
    <x v="2"/>
    <x v="0"/>
    <x v="0"/>
    <n v="12"/>
    <x v="2"/>
    <x v="4"/>
    <x v="4"/>
  </r>
  <r>
    <n v="387"/>
    <x v="14"/>
    <x v="0"/>
    <x v="16"/>
    <x v="3"/>
    <x v="32"/>
    <x v="7"/>
    <s v="L"/>
    <s v="Brown"/>
    <s v="Spring"/>
    <n v="3.4"/>
    <x v="0"/>
    <x v="0"/>
    <x v="0"/>
    <x v="0"/>
    <n v="40"/>
    <x v="3"/>
    <x v="3"/>
    <x v="3"/>
  </r>
  <r>
    <n v="388"/>
    <x v="4"/>
    <x v="0"/>
    <x v="7"/>
    <x v="2"/>
    <x v="73"/>
    <x v="42"/>
    <s v="L"/>
    <s v="Silver"/>
    <s v="Summer"/>
    <n v="4.5999999999999996"/>
    <x v="0"/>
    <x v="5"/>
    <x v="0"/>
    <x v="0"/>
    <n v="38"/>
    <x v="3"/>
    <x v="0"/>
    <x v="0"/>
  </r>
  <r>
    <n v="389"/>
    <x v="40"/>
    <x v="0"/>
    <x v="8"/>
    <x v="3"/>
    <x v="71"/>
    <x v="47"/>
    <s v="M"/>
    <s v="Orange"/>
    <s v="Summer"/>
    <n v="2.7"/>
    <x v="0"/>
    <x v="5"/>
    <x v="0"/>
    <x v="0"/>
    <n v="10"/>
    <x v="3"/>
    <x v="3"/>
    <x v="3"/>
  </r>
  <r>
    <n v="390"/>
    <x v="7"/>
    <x v="0"/>
    <x v="23"/>
    <x v="1"/>
    <x v="69"/>
    <x v="41"/>
    <s v="L"/>
    <s v="Purple"/>
    <s v="Spring"/>
    <n v="4.2"/>
    <x v="0"/>
    <x v="3"/>
    <x v="0"/>
    <x v="0"/>
    <n v="28"/>
    <x v="4"/>
    <x v="5"/>
    <x v="5"/>
  </r>
  <r>
    <n v="391"/>
    <x v="15"/>
    <x v="0"/>
    <x v="24"/>
    <x v="3"/>
    <x v="79"/>
    <x v="27"/>
    <s v="M"/>
    <s v="Indigo"/>
    <s v="Winter"/>
    <n v="3.2"/>
    <x v="0"/>
    <x v="4"/>
    <x v="0"/>
    <x v="0"/>
    <n v="19"/>
    <x v="3"/>
    <x v="2"/>
    <x v="2"/>
  </r>
  <r>
    <n v="392"/>
    <x v="43"/>
    <x v="0"/>
    <x v="1"/>
    <x v="0"/>
    <x v="62"/>
    <x v="46"/>
    <s v="L"/>
    <s v="Gray"/>
    <s v="Spring"/>
    <n v="4.8"/>
    <x v="0"/>
    <x v="3"/>
    <x v="0"/>
    <x v="0"/>
    <n v="25"/>
    <x v="1"/>
    <x v="0"/>
    <x v="0"/>
  </r>
  <r>
    <n v="393"/>
    <x v="8"/>
    <x v="0"/>
    <x v="17"/>
    <x v="0"/>
    <x v="71"/>
    <x v="37"/>
    <s v="XL"/>
    <s v="Black"/>
    <s v="Spring"/>
    <n v="3.3"/>
    <x v="0"/>
    <x v="2"/>
    <x v="0"/>
    <x v="0"/>
    <n v="38"/>
    <x v="2"/>
    <x v="2"/>
    <x v="2"/>
  </r>
  <r>
    <n v="394"/>
    <x v="23"/>
    <x v="0"/>
    <x v="9"/>
    <x v="1"/>
    <x v="61"/>
    <x v="34"/>
    <s v="L"/>
    <s v="Maroon"/>
    <s v="Fall"/>
    <n v="4.2"/>
    <x v="0"/>
    <x v="3"/>
    <x v="0"/>
    <x v="0"/>
    <n v="6"/>
    <x v="3"/>
    <x v="0"/>
    <x v="0"/>
  </r>
  <r>
    <n v="395"/>
    <x v="49"/>
    <x v="0"/>
    <x v="18"/>
    <x v="3"/>
    <x v="45"/>
    <x v="25"/>
    <s v="M"/>
    <s v="Beige"/>
    <s v="Spring"/>
    <n v="4.8"/>
    <x v="0"/>
    <x v="5"/>
    <x v="0"/>
    <x v="0"/>
    <n v="7"/>
    <x v="5"/>
    <x v="4"/>
    <x v="4"/>
  </r>
  <r>
    <n v="396"/>
    <x v="43"/>
    <x v="0"/>
    <x v="4"/>
    <x v="1"/>
    <x v="61"/>
    <x v="3"/>
    <s v="L"/>
    <s v="Brown"/>
    <s v="Winter"/>
    <n v="4.9000000000000004"/>
    <x v="0"/>
    <x v="5"/>
    <x v="0"/>
    <x v="0"/>
    <n v="2"/>
    <x v="3"/>
    <x v="2"/>
    <x v="2"/>
  </r>
  <r>
    <n v="397"/>
    <x v="5"/>
    <x v="0"/>
    <x v="10"/>
    <x v="0"/>
    <x v="19"/>
    <x v="36"/>
    <s v="S"/>
    <s v="Black"/>
    <s v="Fall"/>
    <n v="3.9"/>
    <x v="0"/>
    <x v="3"/>
    <x v="0"/>
    <x v="0"/>
    <n v="24"/>
    <x v="4"/>
    <x v="2"/>
    <x v="2"/>
  </r>
  <r>
    <n v="398"/>
    <x v="40"/>
    <x v="0"/>
    <x v="22"/>
    <x v="3"/>
    <x v="43"/>
    <x v="16"/>
    <s v="M"/>
    <s v="Indigo"/>
    <s v="Fall"/>
    <n v="3"/>
    <x v="0"/>
    <x v="1"/>
    <x v="0"/>
    <x v="0"/>
    <n v="26"/>
    <x v="1"/>
    <x v="2"/>
    <x v="2"/>
  </r>
  <r>
    <n v="399"/>
    <x v="30"/>
    <x v="0"/>
    <x v="23"/>
    <x v="1"/>
    <x v="25"/>
    <x v="6"/>
    <s v="S"/>
    <s v="Silver"/>
    <s v="Winter"/>
    <n v="4.5999999999999996"/>
    <x v="0"/>
    <x v="1"/>
    <x v="0"/>
    <x v="0"/>
    <n v="25"/>
    <x v="5"/>
    <x v="6"/>
    <x v="3"/>
  </r>
  <r>
    <n v="400"/>
    <x v="52"/>
    <x v="0"/>
    <x v="18"/>
    <x v="3"/>
    <x v="59"/>
    <x v="37"/>
    <s v="L"/>
    <s v="Blue"/>
    <s v="Fall"/>
    <n v="3.5"/>
    <x v="0"/>
    <x v="4"/>
    <x v="0"/>
    <x v="0"/>
    <n v="10"/>
    <x v="5"/>
    <x v="5"/>
    <x v="5"/>
  </r>
  <r>
    <n v="401"/>
    <x v="31"/>
    <x v="0"/>
    <x v="23"/>
    <x v="1"/>
    <x v="76"/>
    <x v="40"/>
    <s v="M"/>
    <s v="Green"/>
    <s v="Winter"/>
    <n v="4.8"/>
    <x v="0"/>
    <x v="1"/>
    <x v="0"/>
    <x v="0"/>
    <n v="14"/>
    <x v="3"/>
    <x v="0"/>
    <x v="0"/>
  </r>
  <r>
    <n v="402"/>
    <x v="49"/>
    <x v="0"/>
    <x v="17"/>
    <x v="0"/>
    <x v="26"/>
    <x v="19"/>
    <s v="L"/>
    <s v="Orange"/>
    <s v="Fall"/>
    <n v="4.8"/>
    <x v="0"/>
    <x v="3"/>
    <x v="0"/>
    <x v="0"/>
    <n v="21"/>
    <x v="1"/>
    <x v="3"/>
    <x v="3"/>
  </r>
  <r>
    <n v="403"/>
    <x v="18"/>
    <x v="0"/>
    <x v="21"/>
    <x v="3"/>
    <x v="72"/>
    <x v="18"/>
    <s v="L"/>
    <s v="Cyan"/>
    <s v="Fall"/>
    <n v="3"/>
    <x v="0"/>
    <x v="0"/>
    <x v="0"/>
    <x v="0"/>
    <n v="26"/>
    <x v="3"/>
    <x v="5"/>
    <x v="5"/>
  </r>
  <r>
    <n v="404"/>
    <x v="1"/>
    <x v="0"/>
    <x v="4"/>
    <x v="1"/>
    <x v="29"/>
    <x v="22"/>
    <s v="M"/>
    <s v="Orange"/>
    <s v="Winter"/>
    <n v="4.5"/>
    <x v="0"/>
    <x v="2"/>
    <x v="0"/>
    <x v="0"/>
    <n v="12"/>
    <x v="4"/>
    <x v="2"/>
    <x v="2"/>
  </r>
  <r>
    <n v="405"/>
    <x v="25"/>
    <x v="0"/>
    <x v="17"/>
    <x v="0"/>
    <x v="73"/>
    <x v="12"/>
    <s v="M"/>
    <s v="Indigo"/>
    <s v="Spring"/>
    <n v="4.8"/>
    <x v="0"/>
    <x v="5"/>
    <x v="0"/>
    <x v="0"/>
    <n v="11"/>
    <x v="2"/>
    <x v="5"/>
    <x v="5"/>
  </r>
  <r>
    <n v="406"/>
    <x v="38"/>
    <x v="0"/>
    <x v="2"/>
    <x v="0"/>
    <x v="67"/>
    <x v="36"/>
    <s v="S"/>
    <s v="Silver"/>
    <s v="Summer"/>
    <n v="3.8"/>
    <x v="0"/>
    <x v="3"/>
    <x v="0"/>
    <x v="0"/>
    <n v="15"/>
    <x v="1"/>
    <x v="2"/>
    <x v="2"/>
  </r>
  <r>
    <n v="407"/>
    <x v="16"/>
    <x v="0"/>
    <x v="24"/>
    <x v="3"/>
    <x v="37"/>
    <x v="33"/>
    <s v="M"/>
    <s v="Peach"/>
    <s v="Spring"/>
    <n v="4.5999999999999996"/>
    <x v="0"/>
    <x v="0"/>
    <x v="0"/>
    <x v="0"/>
    <n v="13"/>
    <x v="1"/>
    <x v="5"/>
    <x v="5"/>
  </r>
  <r>
    <n v="408"/>
    <x v="4"/>
    <x v="0"/>
    <x v="15"/>
    <x v="0"/>
    <x v="31"/>
    <x v="17"/>
    <s v="XL"/>
    <s v="Teal"/>
    <s v="Spring"/>
    <n v="3.1"/>
    <x v="0"/>
    <x v="2"/>
    <x v="0"/>
    <x v="0"/>
    <n v="5"/>
    <x v="2"/>
    <x v="4"/>
    <x v="4"/>
  </r>
  <r>
    <n v="409"/>
    <x v="50"/>
    <x v="0"/>
    <x v="4"/>
    <x v="1"/>
    <x v="76"/>
    <x v="15"/>
    <s v="L"/>
    <s v="White"/>
    <s v="Spring"/>
    <n v="3.4"/>
    <x v="0"/>
    <x v="0"/>
    <x v="0"/>
    <x v="0"/>
    <n v="36"/>
    <x v="1"/>
    <x v="0"/>
    <x v="0"/>
  </r>
  <r>
    <n v="410"/>
    <x v="25"/>
    <x v="0"/>
    <x v="6"/>
    <x v="0"/>
    <x v="12"/>
    <x v="46"/>
    <s v="M"/>
    <s v="Brown"/>
    <s v="Winter"/>
    <n v="3.3"/>
    <x v="0"/>
    <x v="4"/>
    <x v="0"/>
    <x v="0"/>
    <n v="32"/>
    <x v="4"/>
    <x v="5"/>
    <x v="5"/>
  </r>
  <r>
    <n v="411"/>
    <x v="26"/>
    <x v="0"/>
    <x v="1"/>
    <x v="0"/>
    <x v="46"/>
    <x v="41"/>
    <s v="L"/>
    <s v="Lavender"/>
    <s v="Spring"/>
    <n v="4.8"/>
    <x v="0"/>
    <x v="4"/>
    <x v="0"/>
    <x v="0"/>
    <n v="1"/>
    <x v="2"/>
    <x v="3"/>
    <x v="3"/>
  </r>
  <r>
    <n v="412"/>
    <x v="35"/>
    <x v="0"/>
    <x v="2"/>
    <x v="0"/>
    <x v="45"/>
    <x v="49"/>
    <s v="M"/>
    <s v="Indigo"/>
    <s v="Summer"/>
    <n v="2.8"/>
    <x v="0"/>
    <x v="0"/>
    <x v="0"/>
    <x v="0"/>
    <n v="15"/>
    <x v="3"/>
    <x v="2"/>
    <x v="2"/>
  </r>
  <r>
    <n v="413"/>
    <x v="41"/>
    <x v="0"/>
    <x v="14"/>
    <x v="2"/>
    <x v="67"/>
    <x v="1"/>
    <s v="M"/>
    <s v="Yellow"/>
    <s v="Summer"/>
    <n v="3.1"/>
    <x v="0"/>
    <x v="5"/>
    <x v="0"/>
    <x v="0"/>
    <n v="3"/>
    <x v="4"/>
    <x v="1"/>
    <x v="1"/>
  </r>
  <r>
    <n v="414"/>
    <x v="27"/>
    <x v="0"/>
    <x v="16"/>
    <x v="3"/>
    <x v="54"/>
    <x v="22"/>
    <s v="S"/>
    <s v="White"/>
    <s v="Summer"/>
    <n v="4.5999999999999996"/>
    <x v="0"/>
    <x v="1"/>
    <x v="0"/>
    <x v="0"/>
    <n v="48"/>
    <x v="1"/>
    <x v="5"/>
    <x v="5"/>
  </r>
  <r>
    <n v="415"/>
    <x v="26"/>
    <x v="0"/>
    <x v="21"/>
    <x v="3"/>
    <x v="19"/>
    <x v="5"/>
    <s v="L"/>
    <s v="Violet"/>
    <s v="Winter"/>
    <n v="2.6"/>
    <x v="0"/>
    <x v="5"/>
    <x v="0"/>
    <x v="0"/>
    <n v="30"/>
    <x v="5"/>
    <x v="1"/>
    <x v="1"/>
  </r>
  <r>
    <n v="416"/>
    <x v="29"/>
    <x v="0"/>
    <x v="7"/>
    <x v="2"/>
    <x v="9"/>
    <x v="39"/>
    <s v="M"/>
    <s v="Lavender"/>
    <s v="Winter"/>
    <n v="2.6"/>
    <x v="0"/>
    <x v="0"/>
    <x v="0"/>
    <x v="0"/>
    <n v="40"/>
    <x v="4"/>
    <x v="5"/>
    <x v="5"/>
  </r>
  <r>
    <n v="417"/>
    <x v="24"/>
    <x v="0"/>
    <x v="22"/>
    <x v="3"/>
    <x v="37"/>
    <x v="4"/>
    <s v="L"/>
    <s v="Olive"/>
    <s v="Spring"/>
    <n v="3.8"/>
    <x v="0"/>
    <x v="1"/>
    <x v="0"/>
    <x v="0"/>
    <n v="24"/>
    <x v="4"/>
    <x v="0"/>
    <x v="0"/>
  </r>
  <r>
    <n v="418"/>
    <x v="51"/>
    <x v="0"/>
    <x v="3"/>
    <x v="1"/>
    <x v="13"/>
    <x v="16"/>
    <s v="L"/>
    <s v="Beige"/>
    <s v="Fall"/>
    <n v="4.5"/>
    <x v="0"/>
    <x v="1"/>
    <x v="0"/>
    <x v="0"/>
    <n v="48"/>
    <x v="5"/>
    <x v="3"/>
    <x v="3"/>
  </r>
  <r>
    <n v="419"/>
    <x v="20"/>
    <x v="0"/>
    <x v="1"/>
    <x v="0"/>
    <x v="2"/>
    <x v="26"/>
    <s v="L"/>
    <s v="Purple"/>
    <s v="Spring"/>
    <n v="3"/>
    <x v="0"/>
    <x v="3"/>
    <x v="0"/>
    <x v="0"/>
    <n v="27"/>
    <x v="0"/>
    <x v="4"/>
    <x v="4"/>
  </r>
  <r>
    <n v="420"/>
    <x v="10"/>
    <x v="0"/>
    <x v="6"/>
    <x v="0"/>
    <x v="26"/>
    <x v="40"/>
    <s v="S"/>
    <s v="Teal"/>
    <s v="Winter"/>
    <n v="3.5"/>
    <x v="0"/>
    <x v="1"/>
    <x v="0"/>
    <x v="0"/>
    <n v="14"/>
    <x v="2"/>
    <x v="6"/>
    <x v="3"/>
  </r>
  <r>
    <n v="421"/>
    <x v="45"/>
    <x v="0"/>
    <x v="20"/>
    <x v="0"/>
    <x v="36"/>
    <x v="17"/>
    <s v="S"/>
    <s v="Peach"/>
    <s v="Spring"/>
    <n v="3.8"/>
    <x v="0"/>
    <x v="1"/>
    <x v="0"/>
    <x v="0"/>
    <n v="18"/>
    <x v="5"/>
    <x v="4"/>
    <x v="4"/>
  </r>
  <r>
    <n v="422"/>
    <x v="21"/>
    <x v="0"/>
    <x v="5"/>
    <x v="0"/>
    <x v="49"/>
    <x v="0"/>
    <s v="M"/>
    <s v="Violet"/>
    <s v="Winter"/>
    <n v="3.5"/>
    <x v="0"/>
    <x v="3"/>
    <x v="0"/>
    <x v="0"/>
    <n v="48"/>
    <x v="1"/>
    <x v="4"/>
    <x v="4"/>
  </r>
  <r>
    <n v="423"/>
    <x v="36"/>
    <x v="0"/>
    <x v="13"/>
    <x v="0"/>
    <x v="40"/>
    <x v="46"/>
    <s v="M"/>
    <s v="Purple"/>
    <s v="Fall"/>
    <n v="3.1"/>
    <x v="0"/>
    <x v="5"/>
    <x v="0"/>
    <x v="0"/>
    <n v="32"/>
    <x v="5"/>
    <x v="2"/>
    <x v="2"/>
  </r>
  <r>
    <n v="424"/>
    <x v="5"/>
    <x v="0"/>
    <x v="18"/>
    <x v="3"/>
    <x v="46"/>
    <x v="14"/>
    <s v="L"/>
    <s v="Teal"/>
    <s v="Spring"/>
    <n v="3"/>
    <x v="0"/>
    <x v="5"/>
    <x v="0"/>
    <x v="0"/>
    <n v="21"/>
    <x v="2"/>
    <x v="4"/>
    <x v="4"/>
  </r>
  <r>
    <n v="425"/>
    <x v="17"/>
    <x v="0"/>
    <x v="1"/>
    <x v="0"/>
    <x v="66"/>
    <x v="26"/>
    <s v="M"/>
    <s v="Gold"/>
    <s v="Winter"/>
    <n v="4.3"/>
    <x v="0"/>
    <x v="3"/>
    <x v="0"/>
    <x v="0"/>
    <n v="42"/>
    <x v="3"/>
    <x v="0"/>
    <x v="0"/>
  </r>
  <r>
    <n v="426"/>
    <x v="37"/>
    <x v="0"/>
    <x v="2"/>
    <x v="0"/>
    <x v="55"/>
    <x v="25"/>
    <s v="S"/>
    <s v="Teal"/>
    <s v="Winter"/>
    <n v="3.3"/>
    <x v="0"/>
    <x v="5"/>
    <x v="0"/>
    <x v="0"/>
    <n v="4"/>
    <x v="2"/>
    <x v="3"/>
    <x v="3"/>
  </r>
  <r>
    <n v="427"/>
    <x v="49"/>
    <x v="0"/>
    <x v="13"/>
    <x v="0"/>
    <x v="79"/>
    <x v="7"/>
    <s v="M"/>
    <s v="Violet"/>
    <s v="Winter"/>
    <n v="4.7"/>
    <x v="0"/>
    <x v="0"/>
    <x v="0"/>
    <x v="0"/>
    <n v="19"/>
    <x v="2"/>
    <x v="3"/>
    <x v="3"/>
  </r>
  <r>
    <n v="428"/>
    <x v="44"/>
    <x v="0"/>
    <x v="21"/>
    <x v="3"/>
    <x v="26"/>
    <x v="26"/>
    <s v="L"/>
    <s v="Black"/>
    <s v="Winter"/>
    <n v="4.5"/>
    <x v="0"/>
    <x v="5"/>
    <x v="0"/>
    <x v="0"/>
    <n v="6"/>
    <x v="2"/>
    <x v="3"/>
    <x v="3"/>
  </r>
  <r>
    <n v="429"/>
    <x v="3"/>
    <x v="0"/>
    <x v="7"/>
    <x v="2"/>
    <x v="1"/>
    <x v="5"/>
    <s v="XL"/>
    <s v="Gold"/>
    <s v="Winter"/>
    <n v="2.9"/>
    <x v="0"/>
    <x v="1"/>
    <x v="0"/>
    <x v="0"/>
    <n v="2"/>
    <x v="5"/>
    <x v="0"/>
    <x v="0"/>
  </r>
  <r>
    <n v="430"/>
    <x v="32"/>
    <x v="0"/>
    <x v="3"/>
    <x v="1"/>
    <x v="23"/>
    <x v="47"/>
    <s v="M"/>
    <s v="Gold"/>
    <s v="Winter"/>
    <n v="4.0999999999999996"/>
    <x v="0"/>
    <x v="4"/>
    <x v="0"/>
    <x v="0"/>
    <n v="21"/>
    <x v="1"/>
    <x v="0"/>
    <x v="0"/>
  </r>
  <r>
    <n v="431"/>
    <x v="41"/>
    <x v="0"/>
    <x v="5"/>
    <x v="0"/>
    <x v="49"/>
    <x v="21"/>
    <s v="M"/>
    <s v="Brown"/>
    <s v="Summer"/>
    <n v="3.5"/>
    <x v="0"/>
    <x v="5"/>
    <x v="0"/>
    <x v="0"/>
    <n v="40"/>
    <x v="5"/>
    <x v="2"/>
    <x v="2"/>
  </r>
  <r>
    <n v="432"/>
    <x v="49"/>
    <x v="0"/>
    <x v="19"/>
    <x v="3"/>
    <x v="31"/>
    <x v="13"/>
    <s v="L"/>
    <s v="Cyan"/>
    <s v="Winter"/>
    <n v="3.4"/>
    <x v="0"/>
    <x v="5"/>
    <x v="0"/>
    <x v="0"/>
    <n v="33"/>
    <x v="1"/>
    <x v="0"/>
    <x v="0"/>
  </r>
  <r>
    <n v="433"/>
    <x v="36"/>
    <x v="0"/>
    <x v="5"/>
    <x v="0"/>
    <x v="62"/>
    <x v="27"/>
    <s v="S"/>
    <s v="Indigo"/>
    <s v="Fall"/>
    <n v="3.3"/>
    <x v="0"/>
    <x v="1"/>
    <x v="0"/>
    <x v="0"/>
    <n v="26"/>
    <x v="0"/>
    <x v="1"/>
    <x v="1"/>
  </r>
  <r>
    <n v="434"/>
    <x v="34"/>
    <x v="0"/>
    <x v="11"/>
    <x v="0"/>
    <x v="56"/>
    <x v="15"/>
    <s v="M"/>
    <s v="Orange"/>
    <s v="Fall"/>
    <n v="3.2"/>
    <x v="0"/>
    <x v="5"/>
    <x v="0"/>
    <x v="0"/>
    <n v="23"/>
    <x v="2"/>
    <x v="0"/>
    <x v="0"/>
  </r>
  <r>
    <n v="435"/>
    <x v="2"/>
    <x v="0"/>
    <x v="9"/>
    <x v="1"/>
    <x v="78"/>
    <x v="19"/>
    <s v="L"/>
    <s v="Pink"/>
    <s v="Spring"/>
    <n v="4"/>
    <x v="0"/>
    <x v="5"/>
    <x v="0"/>
    <x v="0"/>
    <n v="39"/>
    <x v="3"/>
    <x v="6"/>
    <x v="3"/>
  </r>
  <r>
    <n v="436"/>
    <x v="47"/>
    <x v="0"/>
    <x v="7"/>
    <x v="2"/>
    <x v="39"/>
    <x v="6"/>
    <s v="XL"/>
    <s v="Olive"/>
    <s v="Winter"/>
    <n v="3.6"/>
    <x v="0"/>
    <x v="2"/>
    <x v="0"/>
    <x v="0"/>
    <n v="42"/>
    <x v="4"/>
    <x v="5"/>
    <x v="5"/>
  </r>
  <r>
    <n v="437"/>
    <x v="37"/>
    <x v="0"/>
    <x v="13"/>
    <x v="0"/>
    <x v="43"/>
    <x v="30"/>
    <s v="L"/>
    <s v="Cyan"/>
    <s v="Summer"/>
    <n v="4.5999999999999996"/>
    <x v="0"/>
    <x v="1"/>
    <x v="0"/>
    <x v="0"/>
    <n v="41"/>
    <x v="4"/>
    <x v="1"/>
    <x v="1"/>
  </r>
  <r>
    <n v="438"/>
    <x v="4"/>
    <x v="0"/>
    <x v="16"/>
    <x v="3"/>
    <x v="74"/>
    <x v="35"/>
    <s v="M"/>
    <s v="Peach"/>
    <s v="Summer"/>
    <n v="2.6"/>
    <x v="0"/>
    <x v="2"/>
    <x v="0"/>
    <x v="0"/>
    <n v="41"/>
    <x v="3"/>
    <x v="2"/>
    <x v="2"/>
  </r>
  <r>
    <n v="439"/>
    <x v="16"/>
    <x v="0"/>
    <x v="22"/>
    <x v="3"/>
    <x v="66"/>
    <x v="44"/>
    <s v="M"/>
    <s v="Turquoise"/>
    <s v="Winter"/>
    <n v="4.3"/>
    <x v="0"/>
    <x v="0"/>
    <x v="0"/>
    <x v="0"/>
    <n v="12"/>
    <x v="2"/>
    <x v="0"/>
    <x v="0"/>
  </r>
  <r>
    <n v="440"/>
    <x v="46"/>
    <x v="0"/>
    <x v="14"/>
    <x v="2"/>
    <x v="74"/>
    <x v="37"/>
    <s v="M"/>
    <s v="Turquoise"/>
    <s v="Summer"/>
    <n v="3.4"/>
    <x v="0"/>
    <x v="1"/>
    <x v="0"/>
    <x v="0"/>
    <n v="31"/>
    <x v="1"/>
    <x v="5"/>
    <x v="5"/>
  </r>
  <r>
    <n v="441"/>
    <x v="30"/>
    <x v="0"/>
    <x v="5"/>
    <x v="0"/>
    <x v="58"/>
    <x v="19"/>
    <s v="XL"/>
    <s v="Maroon"/>
    <s v="Winter"/>
    <n v="3.5"/>
    <x v="0"/>
    <x v="5"/>
    <x v="0"/>
    <x v="0"/>
    <n v="34"/>
    <x v="5"/>
    <x v="0"/>
    <x v="0"/>
  </r>
  <r>
    <n v="442"/>
    <x v="49"/>
    <x v="0"/>
    <x v="15"/>
    <x v="0"/>
    <x v="13"/>
    <x v="20"/>
    <s v="M"/>
    <s v="Maroon"/>
    <s v="Winter"/>
    <n v="4.2"/>
    <x v="0"/>
    <x v="3"/>
    <x v="0"/>
    <x v="0"/>
    <n v="32"/>
    <x v="2"/>
    <x v="2"/>
    <x v="2"/>
  </r>
  <r>
    <n v="443"/>
    <x v="26"/>
    <x v="0"/>
    <x v="12"/>
    <x v="3"/>
    <x v="28"/>
    <x v="49"/>
    <s v="M"/>
    <s v="Olive"/>
    <s v="Fall"/>
    <n v="3.5"/>
    <x v="0"/>
    <x v="5"/>
    <x v="0"/>
    <x v="0"/>
    <n v="31"/>
    <x v="2"/>
    <x v="3"/>
    <x v="3"/>
  </r>
  <r>
    <n v="444"/>
    <x v="40"/>
    <x v="0"/>
    <x v="12"/>
    <x v="3"/>
    <x v="25"/>
    <x v="11"/>
    <s v="M"/>
    <s v="Magenta"/>
    <s v="Summer"/>
    <n v="3.6"/>
    <x v="0"/>
    <x v="1"/>
    <x v="0"/>
    <x v="0"/>
    <n v="24"/>
    <x v="3"/>
    <x v="2"/>
    <x v="2"/>
  </r>
  <r>
    <n v="445"/>
    <x v="39"/>
    <x v="0"/>
    <x v="10"/>
    <x v="0"/>
    <x v="5"/>
    <x v="18"/>
    <s v="M"/>
    <s v="Red"/>
    <s v="Summer"/>
    <n v="4.3"/>
    <x v="0"/>
    <x v="5"/>
    <x v="0"/>
    <x v="0"/>
    <n v="31"/>
    <x v="5"/>
    <x v="2"/>
    <x v="2"/>
  </r>
  <r>
    <n v="446"/>
    <x v="32"/>
    <x v="0"/>
    <x v="23"/>
    <x v="1"/>
    <x v="45"/>
    <x v="44"/>
    <s v="M"/>
    <s v="Olive"/>
    <s v="Fall"/>
    <n v="4.9000000000000004"/>
    <x v="0"/>
    <x v="3"/>
    <x v="0"/>
    <x v="0"/>
    <n v="18"/>
    <x v="0"/>
    <x v="2"/>
    <x v="2"/>
  </r>
  <r>
    <n v="447"/>
    <x v="1"/>
    <x v="0"/>
    <x v="5"/>
    <x v="0"/>
    <x v="67"/>
    <x v="8"/>
    <s v="M"/>
    <s v="Silver"/>
    <s v="Summer"/>
    <n v="4.0999999999999996"/>
    <x v="0"/>
    <x v="5"/>
    <x v="0"/>
    <x v="0"/>
    <n v="15"/>
    <x v="0"/>
    <x v="5"/>
    <x v="5"/>
  </r>
  <r>
    <n v="448"/>
    <x v="52"/>
    <x v="0"/>
    <x v="6"/>
    <x v="0"/>
    <x v="71"/>
    <x v="47"/>
    <s v="S"/>
    <s v="Turquoise"/>
    <s v="Spring"/>
    <n v="3.6"/>
    <x v="0"/>
    <x v="3"/>
    <x v="0"/>
    <x v="0"/>
    <n v="7"/>
    <x v="4"/>
    <x v="6"/>
    <x v="3"/>
  </r>
  <r>
    <n v="449"/>
    <x v="45"/>
    <x v="0"/>
    <x v="24"/>
    <x v="3"/>
    <x v="66"/>
    <x v="9"/>
    <s v="M"/>
    <s v="Yellow"/>
    <s v="Summer"/>
    <n v="3.4"/>
    <x v="0"/>
    <x v="2"/>
    <x v="0"/>
    <x v="0"/>
    <n v="35"/>
    <x v="4"/>
    <x v="0"/>
    <x v="0"/>
  </r>
  <r>
    <n v="450"/>
    <x v="8"/>
    <x v="0"/>
    <x v="16"/>
    <x v="3"/>
    <x v="29"/>
    <x v="14"/>
    <s v="L"/>
    <s v="Peach"/>
    <s v="Summer"/>
    <n v="2.9"/>
    <x v="0"/>
    <x v="4"/>
    <x v="0"/>
    <x v="0"/>
    <n v="35"/>
    <x v="4"/>
    <x v="5"/>
    <x v="5"/>
  </r>
  <r>
    <n v="451"/>
    <x v="15"/>
    <x v="0"/>
    <x v="23"/>
    <x v="1"/>
    <x v="34"/>
    <x v="39"/>
    <s v="L"/>
    <s v="Beige"/>
    <s v="Summer"/>
    <n v="2.7"/>
    <x v="0"/>
    <x v="5"/>
    <x v="0"/>
    <x v="0"/>
    <n v="19"/>
    <x v="2"/>
    <x v="5"/>
    <x v="5"/>
  </r>
  <r>
    <n v="452"/>
    <x v="17"/>
    <x v="0"/>
    <x v="16"/>
    <x v="3"/>
    <x v="9"/>
    <x v="41"/>
    <s v="M"/>
    <s v="Pink"/>
    <s v="Summer"/>
    <n v="4.3"/>
    <x v="0"/>
    <x v="0"/>
    <x v="0"/>
    <x v="0"/>
    <n v="26"/>
    <x v="2"/>
    <x v="0"/>
    <x v="0"/>
  </r>
  <r>
    <n v="453"/>
    <x v="4"/>
    <x v="0"/>
    <x v="13"/>
    <x v="0"/>
    <x v="29"/>
    <x v="9"/>
    <s v="M"/>
    <s v="Violet"/>
    <s v="Summer"/>
    <n v="3.3"/>
    <x v="0"/>
    <x v="0"/>
    <x v="0"/>
    <x v="0"/>
    <n v="39"/>
    <x v="3"/>
    <x v="0"/>
    <x v="0"/>
  </r>
  <r>
    <n v="454"/>
    <x v="22"/>
    <x v="0"/>
    <x v="16"/>
    <x v="3"/>
    <x v="22"/>
    <x v="43"/>
    <s v="XL"/>
    <s v="Peach"/>
    <s v="Winter"/>
    <n v="2.8"/>
    <x v="0"/>
    <x v="2"/>
    <x v="0"/>
    <x v="0"/>
    <n v="22"/>
    <x v="2"/>
    <x v="1"/>
    <x v="1"/>
  </r>
  <r>
    <n v="455"/>
    <x v="43"/>
    <x v="0"/>
    <x v="14"/>
    <x v="2"/>
    <x v="8"/>
    <x v="32"/>
    <s v="S"/>
    <s v="Gold"/>
    <s v="Summer"/>
    <n v="3.2"/>
    <x v="0"/>
    <x v="2"/>
    <x v="0"/>
    <x v="0"/>
    <n v="14"/>
    <x v="1"/>
    <x v="4"/>
    <x v="4"/>
  </r>
  <r>
    <n v="456"/>
    <x v="22"/>
    <x v="0"/>
    <x v="0"/>
    <x v="0"/>
    <x v="33"/>
    <x v="40"/>
    <s v="XL"/>
    <s v="Gold"/>
    <s v="Fall"/>
    <n v="3.6"/>
    <x v="0"/>
    <x v="5"/>
    <x v="0"/>
    <x v="0"/>
    <n v="50"/>
    <x v="5"/>
    <x v="0"/>
    <x v="0"/>
  </r>
  <r>
    <n v="457"/>
    <x v="2"/>
    <x v="0"/>
    <x v="0"/>
    <x v="0"/>
    <x v="48"/>
    <x v="17"/>
    <s v="S"/>
    <s v="Indigo"/>
    <s v="Fall"/>
    <n v="4"/>
    <x v="0"/>
    <x v="4"/>
    <x v="0"/>
    <x v="0"/>
    <n v="33"/>
    <x v="2"/>
    <x v="3"/>
    <x v="3"/>
  </r>
  <r>
    <n v="458"/>
    <x v="15"/>
    <x v="0"/>
    <x v="24"/>
    <x v="3"/>
    <x v="54"/>
    <x v="3"/>
    <s v="M"/>
    <s v="Blue"/>
    <s v="Spring"/>
    <n v="4.9000000000000004"/>
    <x v="0"/>
    <x v="2"/>
    <x v="0"/>
    <x v="0"/>
    <n v="48"/>
    <x v="5"/>
    <x v="6"/>
    <x v="3"/>
  </r>
  <r>
    <n v="459"/>
    <x v="36"/>
    <x v="0"/>
    <x v="6"/>
    <x v="0"/>
    <x v="26"/>
    <x v="10"/>
    <s v="L"/>
    <s v="Black"/>
    <s v="Winter"/>
    <n v="4"/>
    <x v="0"/>
    <x v="4"/>
    <x v="0"/>
    <x v="0"/>
    <n v="48"/>
    <x v="3"/>
    <x v="5"/>
    <x v="5"/>
  </r>
  <r>
    <n v="460"/>
    <x v="6"/>
    <x v="0"/>
    <x v="19"/>
    <x v="3"/>
    <x v="38"/>
    <x v="33"/>
    <s v="L"/>
    <s v="Black"/>
    <s v="Winter"/>
    <n v="3.8"/>
    <x v="0"/>
    <x v="3"/>
    <x v="0"/>
    <x v="0"/>
    <n v="27"/>
    <x v="3"/>
    <x v="0"/>
    <x v="0"/>
  </r>
  <r>
    <n v="461"/>
    <x v="14"/>
    <x v="0"/>
    <x v="9"/>
    <x v="1"/>
    <x v="61"/>
    <x v="36"/>
    <s v="L"/>
    <s v="Teal"/>
    <s v="Summer"/>
    <n v="3.7"/>
    <x v="0"/>
    <x v="5"/>
    <x v="0"/>
    <x v="0"/>
    <n v="27"/>
    <x v="4"/>
    <x v="1"/>
    <x v="1"/>
  </r>
  <r>
    <n v="462"/>
    <x v="20"/>
    <x v="0"/>
    <x v="23"/>
    <x v="1"/>
    <x v="73"/>
    <x v="31"/>
    <s v="M"/>
    <s v="Yellow"/>
    <s v="Winter"/>
    <n v="3.9"/>
    <x v="0"/>
    <x v="0"/>
    <x v="0"/>
    <x v="0"/>
    <n v="20"/>
    <x v="0"/>
    <x v="1"/>
    <x v="1"/>
  </r>
  <r>
    <n v="463"/>
    <x v="35"/>
    <x v="0"/>
    <x v="14"/>
    <x v="2"/>
    <x v="13"/>
    <x v="26"/>
    <s v="M"/>
    <s v="White"/>
    <s v="Fall"/>
    <n v="3.3"/>
    <x v="0"/>
    <x v="0"/>
    <x v="0"/>
    <x v="0"/>
    <n v="48"/>
    <x v="0"/>
    <x v="6"/>
    <x v="3"/>
  </r>
  <r>
    <n v="464"/>
    <x v="43"/>
    <x v="0"/>
    <x v="16"/>
    <x v="3"/>
    <x v="13"/>
    <x v="42"/>
    <s v="S"/>
    <s v="Orange"/>
    <s v="Summer"/>
    <n v="2.7"/>
    <x v="0"/>
    <x v="3"/>
    <x v="0"/>
    <x v="0"/>
    <n v="29"/>
    <x v="0"/>
    <x v="1"/>
    <x v="1"/>
  </r>
  <r>
    <n v="465"/>
    <x v="51"/>
    <x v="0"/>
    <x v="12"/>
    <x v="3"/>
    <x v="78"/>
    <x v="15"/>
    <s v="M"/>
    <s v="Silver"/>
    <s v="Winter"/>
    <n v="4.7"/>
    <x v="0"/>
    <x v="2"/>
    <x v="0"/>
    <x v="0"/>
    <n v="45"/>
    <x v="3"/>
    <x v="5"/>
    <x v="5"/>
  </r>
  <r>
    <n v="466"/>
    <x v="22"/>
    <x v="0"/>
    <x v="11"/>
    <x v="0"/>
    <x v="19"/>
    <x v="19"/>
    <s v="M"/>
    <s v="Pink"/>
    <s v="Summer"/>
    <n v="2.8"/>
    <x v="0"/>
    <x v="2"/>
    <x v="0"/>
    <x v="0"/>
    <n v="25"/>
    <x v="1"/>
    <x v="3"/>
    <x v="3"/>
  </r>
  <r>
    <n v="467"/>
    <x v="21"/>
    <x v="0"/>
    <x v="2"/>
    <x v="0"/>
    <x v="41"/>
    <x v="34"/>
    <s v="L"/>
    <s v="Turquoise"/>
    <s v="Winter"/>
    <n v="4.5999999999999996"/>
    <x v="0"/>
    <x v="1"/>
    <x v="0"/>
    <x v="0"/>
    <n v="25"/>
    <x v="3"/>
    <x v="1"/>
    <x v="1"/>
  </r>
  <r>
    <n v="468"/>
    <x v="1"/>
    <x v="0"/>
    <x v="21"/>
    <x v="3"/>
    <x v="12"/>
    <x v="43"/>
    <s v="S"/>
    <s v="Orange"/>
    <s v="Spring"/>
    <n v="4.5"/>
    <x v="0"/>
    <x v="4"/>
    <x v="0"/>
    <x v="0"/>
    <n v="37"/>
    <x v="5"/>
    <x v="6"/>
    <x v="3"/>
  </r>
  <r>
    <n v="469"/>
    <x v="50"/>
    <x v="0"/>
    <x v="21"/>
    <x v="3"/>
    <x v="15"/>
    <x v="42"/>
    <s v="S"/>
    <s v="Peach"/>
    <s v="Fall"/>
    <n v="5"/>
    <x v="0"/>
    <x v="1"/>
    <x v="0"/>
    <x v="0"/>
    <n v="16"/>
    <x v="1"/>
    <x v="3"/>
    <x v="3"/>
  </r>
  <r>
    <n v="470"/>
    <x v="3"/>
    <x v="0"/>
    <x v="6"/>
    <x v="0"/>
    <x v="43"/>
    <x v="15"/>
    <s v="L"/>
    <s v="Pink"/>
    <s v="Fall"/>
    <n v="4.0999999999999996"/>
    <x v="0"/>
    <x v="4"/>
    <x v="0"/>
    <x v="0"/>
    <n v="30"/>
    <x v="5"/>
    <x v="4"/>
    <x v="4"/>
  </r>
  <r>
    <n v="471"/>
    <x v="2"/>
    <x v="0"/>
    <x v="10"/>
    <x v="0"/>
    <x v="80"/>
    <x v="46"/>
    <s v="L"/>
    <s v="Teal"/>
    <s v="Summer"/>
    <n v="4.5999999999999996"/>
    <x v="0"/>
    <x v="0"/>
    <x v="0"/>
    <x v="0"/>
    <n v="6"/>
    <x v="1"/>
    <x v="6"/>
    <x v="3"/>
  </r>
  <r>
    <n v="472"/>
    <x v="0"/>
    <x v="0"/>
    <x v="18"/>
    <x v="3"/>
    <x v="11"/>
    <x v="9"/>
    <s v="XL"/>
    <s v="White"/>
    <s v="Winter"/>
    <n v="4.9000000000000004"/>
    <x v="0"/>
    <x v="4"/>
    <x v="0"/>
    <x v="0"/>
    <n v="36"/>
    <x v="4"/>
    <x v="3"/>
    <x v="3"/>
  </r>
  <r>
    <n v="473"/>
    <x v="30"/>
    <x v="0"/>
    <x v="2"/>
    <x v="0"/>
    <x v="32"/>
    <x v="42"/>
    <s v="L"/>
    <s v="Gray"/>
    <s v="Winter"/>
    <n v="3.9"/>
    <x v="0"/>
    <x v="1"/>
    <x v="0"/>
    <x v="0"/>
    <n v="3"/>
    <x v="4"/>
    <x v="3"/>
    <x v="3"/>
  </r>
  <r>
    <n v="474"/>
    <x v="50"/>
    <x v="0"/>
    <x v="7"/>
    <x v="2"/>
    <x v="69"/>
    <x v="8"/>
    <s v="L"/>
    <s v="Olive"/>
    <s v="Spring"/>
    <n v="3.9"/>
    <x v="0"/>
    <x v="5"/>
    <x v="0"/>
    <x v="0"/>
    <n v="29"/>
    <x v="3"/>
    <x v="6"/>
    <x v="3"/>
  </r>
  <r>
    <n v="475"/>
    <x v="46"/>
    <x v="0"/>
    <x v="1"/>
    <x v="0"/>
    <x v="31"/>
    <x v="10"/>
    <s v="XL"/>
    <s v="Maroon"/>
    <s v="Summer"/>
    <n v="2.6"/>
    <x v="0"/>
    <x v="4"/>
    <x v="0"/>
    <x v="0"/>
    <n v="15"/>
    <x v="1"/>
    <x v="3"/>
    <x v="3"/>
  </r>
  <r>
    <n v="476"/>
    <x v="3"/>
    <x v="0"/>
    <x v="4"/>
    <x v="1"/>
    <x v="76"/>
    <x v="31"/>
    <s v="L"/>
    <s v="Magenta"/>
    <s v="Summer"/>
    <n v="2.7"/>
    <x v="0"/>
    <x v="1"/>
    <x v="0"/>
    <x v="0"/>
    <n v="18"/>
    <x v="5"/>
    <x v="2"/>
    <x v="2"/>
  </r>
  <r>
    <n v="477"/>
    <x v="3"/>
    <x v="0"/>
    <x v="18"/>
    <x v="3"/>
    <x v="3"/>
    <x v="39"/>
    <s v="M"/>
    <s v="Magenta"/>
    <s v="Spring"/>
    <n v="3.5"/>
    <x v="0"/>
    <x v="1"/>
    <x v="0"/>
    <x v="0"/>
    <n v="2"/>
    <x v="5"/>
    <x v="0"/>
    <x v="0"/>
  </r>
  <r>
    <n v="478"/>
    <x v="32"/>
    <x v="0"/>
    <x v="1"/>
    <x v="0"/>
    <x v="22"/>
    <x v="25"/>
    <s v="M"/>
    <s v="Green"/>
    <s v="Summer"/>
    <n v="3.7"/>
    <x v="0"/>
    <x v="1"/>
    <x v="0"/>
    <x v="0"/>
    <n v="49"/>
    <x v="5"/>
    <x v="1"/>
    <x v="1"/>
  </r>
  <r>
    <n v="479"/>
    <x v="25"/>
    <x v="0"/>
    <x v="16"/>
    <x v="3"/>
    <x v="35"/>
    <x v="23"/>
    <s v="XL"/>
    <s v="Turquoise"/>
    <s v="Winter"/>
    <n v="3.2"/>
    <x v="0"/>
    <x v="1"/>
    <x v="0"/>
    <x v="0"/>
    <n v="48"/>
    <x v="0"/>
    <x v="2"/>
    <x v="2"/>
  </r>
  <r>
    <n v="480"/>
    <x v="31"/>
    <x v="0"/>
    <x v="8"/>
    <x v="3"/>
    <x v="63"/>
    <x v="44"/>
    <s v="L"/>
    <s v="Yellow"/>
    <s v="Winter"/>
    <n v="3.3"/>
    <x v="0"/>
    <x v="5"/>
    <x v="0"/>
    <x v="0"/>
    <n v="43"/>
    <x v="0"/>
    <x v="5"/>
    <x v="5"/>
  </r>
  <r>
    <n v="481"/>
    <x v="33"/>
    <x v="0"/>
    <x v="15"/>
    <x v="0"/>
    <x v="19"/>
    <x v="34"/>
    <s v="M"/>
    <s v="Gray"/>
    <s v="Summer"/>
    <n v="4.8"/>
    <x v="0"/>
    <x v="3"/>
    <x v="0"/>
    <x v="0"/>
    <n v="30"/>
    <x v="5"/>
    <x v="4"/>
    <x v="4"/>
  </r>
  <r>
    <n v="482"/>
    <x v="5"/>
    <x v="0"/>
    <x v="19"/>
    <x v="3"/>
    <x v="19"/>
    <x v="48"/>
    <s v="L"/>
    <s v="Peach"/>
    <s v="Fall"/>
    <n v="3.2"/>
    <x v="0"/>
    <x v="4"/>
    <x v="0"/>
    <x v="0"/>
    <n v="10"/>
    <x v="3"/>
    <x v="0"/>
    <x v="0"/>
  </r>
  <r>
    <n v="483"/>
    <x v="38"/>
    <x v="0"/>
    <x v="22"/>
    <x v="3"/>
    <x v="69"/>
    <x v="39"/>
    <s v="M"/>
    <s v="Yellow"/>
    <s v="Winter"/>
    <n v="2.5"/>
    <x v="0"/>
    <x v="4"/>
    <x v="0"/>
    <x v="0"/>
    <n v="11"/>
    <x v="0"/>
    <x v="2"/>
    <x v="2"/>
  </r>
  <r>
    <n v="484"/>
    <x v="51"/>
    <x v="0"/>
    <x v="15"/>
    <x v="0"/>
    <x v="2"/>
    <x v="19"/>
    <s v="M"/>
    <s v="White"/>
    <s v="Fall"/>
    <n v="3.9"/>
    <x v="0"/>
    <x v="5"/>
    <x v="0"/>
    <x v="0"/>
    <n v="12"/>
    <x v="5"/>
    <x v="1"/>
    <x v="1"/>
  </r>
  <r>
    <n v="485"/>
    <x v="33"/>
    <x v="0"/>
    <x v="19"/>
    <x v="3"/>
    <x v="2"/>
    <x v="9"/>
    <s v="L"/>
    <s v="Lavender"/>
    <s v="Summer"/>
    <n v="4.7"/>
    <x v="0"/>
    <x v="1"/>
    <x v="0"/>
    <x v="0"/>
    <n v="28"/>
    <x v="4"/>
    <x v="3"/>
    <x v="3"/>
  </r>
  <r>
    <n v="486"/>
    <x v="39"/>
    <x v="0"/>
    <x v="9"/>
    <x v="1"/>
    <x v="77"/>
    <x v="30"/>
    <s v="S"/>
    <s v="Blue"/>
    <s v="Spring"/>
    <n v="2.6"/>
    <x v="0"/>
    <x v="2"/>
    <x v="0"/>
    <x v="0"/>
    <n v="36"/>
    <x v="5"/>
    <x v="0"/>
    <x v="0"/>
  </r>
  <r>
    <n v="487"/>
    <x v="21"/>
    <x v="0"/>
    <x v="3"/>
    <x v="1"/>
    <x v="80"/>
    <x v="35"/>
    <s v="M"/>
    <s v="Charcoal"/>
    <s v="Fall"/>
    <n v="2.8"/>
    <x v="0"/>
    <x v="5"/>
    <x v="0"/>
    <x v="0"/>
    <n v="37"/>
    <x v="0"/>
    <x v="6"/>
    <x v="3"/>
  </r>
  <r>
    <n v="488"/>
    <x v="38"/>
    <x v="0"/>
    <x v="14"/>
    <x v="2"/>
    <x v="10"/>
    <x v="44"/>
    <s v="L"/>
    <s v="Red"/>
    <s v="Winter"/>
    <n v="4.4000000000000004"/>
    <x v="0"/>
    <x v="5"/>
    <x v="0"/>
    <x v="0"/>
    <n v="22"/>
    <x v="2"/>
    <x v="3"/>
    <x v="3"/>
  </r>
  <r>
    <n v="489"/>
    <x v="44"/>
    <x v="0"/>
    <x v="1"/>
    <x v="0"/>
    <x v="45"/>
    <x v="1"/>
    <s v="L"/>
    <s v="Olive"/>
    <s v="Spring"/>
    <n v="4.5999999999999996"/>
    <x v="0"/>
    <x v="3"/>
    <x v="0"/>
    <x v="0"/>
    <n v="32"/>
    <x v="0"/>
    <x v="1"/>
    <x v="1"/>
  </r>
  <r>
    <n v="490"/>
    <x v="34"/>
    <x v="0"/>
    <x v="20"/>
    <x v="0"/>
    <x v="6"/>
    <x v="45"/>
    <s v="M"/>
    <s v="Green"/>
    <s v="Summer"/>
    <n v="3.2"/>
    <x v="0"/>
    <x v="3"/>
    <x v="0"/>
    <x v="0"/>
    <n v="40"/>
    <x v="3"/>
    <x v="2"/>
    <x v="2"/>
  </r>
  <r>
    <n v="491"/>
    <x v="9"/>
    <x v="0"/>
    <x v="4"/>
    <x v="1"/>
    <x v="69"/>
    <x v="24"/>
    <s v="M"/>
    <s v="Silver"/>
    <s v="Winter"/>
    <n v="4.2"/>
    <x v="0"/>
    <x v="4"/>
    <x v="0"/>
    <x v="0"/>
    <n v="47"/>
    <x v="1"/>
    <x v="5"/>
    <x v="5"/>
  </r>
  <r>
    <n v="492"/>
    <x v="34"/>
    <x v="0"/>
    <x v="7"/>
    <x v="2"/>
    <x v="28"/>
    <x v="34"/>
    <s v="M"/>
    <s v="Silver"/>
    <s v="Summer"/>
    <n v="3.7"/>
    <x v="0"/>
    <x v="4"/>
    <x v="0"/>
    <x v="0"/>
    <n v="24"/>
    <x v="2"/>
    <x v="4"/>
    <x v="4"/>
  </r>
  <r>
    <n v="493"/>
    <x v="2"/>
    <x v="0"/>
    <x v="5"/>
    <x v="0"/>
    <x v="17"/>
    <x v="49"/>
    <s v="M"/>
    <s v="Black"/>
    <s v="Fall"/>
    <n v="3.9"/>
    <x v="0"/>
    <x v="3"/>
    <x v="0"/>
    <x v="0"/>
    <n v="11"/>
    <x v="5"/>
    <x v="1"/>
    <x v="1"/>
  </r>
  <r>
    <n v="494"/>
    <x v="48"/>
    <x v="0"/>
    <x v="21"/>
    <x v="3"/>
    <x v="16"/>
    <x v="22"/>
    <s v="XL"/>
    <s v="Red"/>
    <s v="Summer"/>
    <n v="4.7"/>
    <x v="0"/>
    <x v="5"/>
    <x v="0"/>
    <x v="0"/>
    <n v="19"/>
    <x v="1"/>
    <x v="4"/>
    <x v="4"/>
  </r>
  <r>
    <n v="495"/>
    <x v="21"/>
    <x v="0"/>
    <x v="23"/>
    <x v="1"/>
    <x v="10"/>
    <x v="27"/>
    <s v="M"/>
    <s v="Indigo"/>
    <s v="Winter"/>
    <n v="4.5"/>
    <x v="0"/>
    <x v="0"/>
    <x v="0"/>
    <x v="0"/>
    <n v="42"/>
    <x v="5"/>
    <x v="1"/>
    <x v="1"/>
  </r>
  <r>
    <n v="496"/>
    <x v="23"/>
    <x v="0"/>
    <x v="8"/>
    <x v="3"/>
    <x v="14"/>
    <x v="49"/>
    <s v="XL"/>
    <s v="Cyan"/>
    <s v="Fall"/>
    <n v="3.3"/>
    <x v="0"/>
    <x v="1"/>
    <x v="0"/>
    <x v="0"/>
    <n v="6"/>
    <x v="5"/>
    <x v="0"/>
    <x v="0"/>
  </r>
  <r>
    <n v="497"/>
    <x v="11"/>
    <x v="0"/>
    <x v="10"/>
    <x v="0"/>
    <x v="80"/>
    <x v="18"/>
    <s v="S"/>
    <s v="Maroon"/>
    <s v="Fall"/>
    <n v="3.3"/>
    <x v="0"/>
    <x v="0"/>
    <x v="0"/>
    <x v="0"/>
    <n v="31"/>
    <x v="0"/>
    <x v="0"/>
    <x v="0"/>
  </r>
  <r>
    <n v="498"/>
    <x v="49"/>
    <x v="0"/>
    <x v="4"/>
    <x v="1"/>
    <x v="32"/>
    <x v="19"/>
    <s v="S"/>
    <s v="Silver"/>
    <s v="Winter"/>
    <n v="4.5999999999999996"/>
    <x v="0"/>
    <x v="1"/>
    <x v="0"/>
    <x v="0"/>
    <n v="31"/>
    <x v="1"/>
    <x v="1"/>
    <x v="1"/>
  </r>
  <r>
    <n v="499"/>
    <x v="49"/>
    <x v="0"/>
    <x v="23"/>
    <x v="1"/>
    <x v="72"/>
    <x v="44"/>
    <s v="M"/>
    <s v="Lavender"/>
    <s v="Spring"/>
    <n v="3.6"/>
    <x v="0"/>
    <x v="1"/>
    <x v="0"/>
    <x v="0"/>
    <n v="27"/>
    <x v="4"/>
    <x v="5"/>
    <x v="5"/>
  </r>
  <r>
    <n v="500"/>
    <x v="24"/>
    <x v="0"/>
    <x v="9"/>
    <x v="1"/>
    <x v="54"/>
    <x v="3"/>
    <s v="L"/>
    <s v="Silver"/>
    <s v="Winter"/>
    <n v="4.8"/>
    <x v="0"/>
    <x v="0"/>
    <x v="0"/>
    <x v="0"/>
    <n v="24"/>
    <x v="3"/>
    <x v="5"/>
    <x v="5"/>
  </r>
  <r>
    <n v="501"/>
    <x v="24"/>
    <x v="0"/>
    <x v="17"/>
    <x v="0"/>
    <x v="9"/>
    <x v="47"/>
    <s v="L"/>
    <s v="Purple"/>
    <s v="Fall"/>
    <n v="4.8"/>
    <x v="0"/>
    <x v="2"/>
    <x v="0"/>
    <x v="0"/>
    <n v="35"/>
    <x v="0"/>
    <x v="6"/>
    <x v="3"/>
  </r>
  <r>
    <n v="502"/>
    <x v="14"/>
    <x v="0"/>
    <x v="23"/>
    <x v="1"/>
    <x v="29"/>
    <x v="20"/>
    <s v="M"/>
    <s v="Cyan"/>
    <s v="Spring"/>
    <n v="2.9"/>
    <x v="0"/>
    <x v="2"/>
    <x v="0"/>
    <x v="0"/>
    <n v="21"/>
    <x v="0"/>
    <x v="2"/>
    <x v="2"/>
  </r>
  <r>
    <n v="503"/>
    <x v="35"/>
    <x v="0"/>
    <x v="13"/>
    <x v="0"/>
    <x v="38"/>
    <x v="36"/>
    <s v="S"/>
    <s v="Cyan"/>
    <s v="Fall"/>
    <n v="2.8"/>
    <x v="0"/>
    <x v="0"/>
    <x v="0"/>
    <x v="0"/>
    <n v="8"/>
    <x v="3"/>
    <x v="0"/>
    <x v="0"/>
  </r>
  <r>
    <n v="504"/>
    <x v="0"/>
    <x v="0"/>
    <x v="9"/>
    <x v="1"/>
    <x v="41"/>
    <x v="8"/>
    <s v="M"/>
    <s v="Lavender"/>
    <s v="Summer"/>
    <n v="3.2"/>
    <x v="0"/>
    <x v="2"/>
    <x v="0"/>
    <x v="0"/>
    <n v="26"/>
    <x v="4"/>
    <x v="3"/>
    <x v="3"/>
  </r>
  <r>
    <n v="505"/>
    <x v="32"/>
    <x v="0"/>
    <x v="9"/>
    <x v="1"/>
    <x v="20"/>
    <x v="9"/>
    <s v="M"/>
    <s v="Maroon"/>
    <s v="Winter"/>
    <n v="3.9"/>
    <x v="0"/>
    <x v="1"/>
    <x v="0"/>
    <x v="0"/>
    <n v="26"/>
    <x v="3"/>
    <x v="2"/>
    <x v="2"/>
  </r>
  <r>
    <n v="506"/>
    <x v="12"/>
    <x v="0"/>
    <x v="17"/>
    <x v="0"/>
    <x v="80"/>
    <x v="1"/>
    <s v="L"/>
    <s v="Gray"/>
    <s v="Spring"/>
    <n v="4.3"/>
    <x v="0"/>
    <x v="0"/>
    <x v="0"/>
    <x v="0"/>
    <n v="9"/>
    <x v="1"/>
    <x v="4"/>
    <x v="4"/>
  </r>
  <r>
    <n v="507"/>
    <x v="48"/>
    <x v="0"/>
    <x v="18"/>
    <x v="3"/>
    <x v="49"/>
    <x v="42"/>
    <s v="M"/>
    <s v="Olive"/>
    <s v="Fall"/>
    <n v="2.7"/>
    <x v="0"/>
    <x v="4"/>
    <x v="0"/>
    <x v="0"/>
    <n v="48"/>
    <x v="5"/>
    <x v="2"/>
    <x v="2"/>
  </r>
  <r>
    <n v="508"/>
    <x v="13"/>
    <x v="0"/>
    <x v="6"/>
    <x v="0"/>
    <x v="5"/>
    <x v="1"/>
    <s v="M"/>
    <s v="Magenta"/>
    <s v="Spring"/>
    <n v="5"/>
    <x v="0"/>
    <x v="5"/>
    <x v="0"/>
    <x v="0"/>
    <n v="33"/>
    <x v="5"/>
    <x v="0"/>
    <x v="0"/>
  </r>
  <r>
    <n v="509"/>
    <x v="7"/>
    <x v="0"/>
    <x v="16"/>
    <x v="3"/>
    <x v="5"/>
    <x v="26"/>
    <s v="S"/>
    <s v="Yellow"/>
    <s v="Winter"/>
    <n v="3.7"/>
    <x v="0"/>
    <x v="5"/>
    <x v="0"/>
    <x v="0"/>
    <n v="31"/>
    <x v="3"/>
    <x v="3"/>
    <x v="3"/>
  </r>
  <r>
    <n v="510"/>
    <x v="38"/>
    <x v="0"/>
    <x v="17"/>
    <x v="0"/>
    <x v="68"/>
    <x v="12"/>
    <s v="L"/>
    <s v="Cyan"/>
    <s v="Summer"/>
    <n v="3.9"/>
    <x v="0"/>
    <x v="1"/>
    <x v="0"/>
    <x v="0"/>
    <n v="17"/>
    <x v="5"/>
    <x v="1"/>
    <x v="1"/>
  </r>
  <r>
    <n v="511"/>
    <x v="3"/>
    <x v="0"/>
    <x v="5"/>
    <x v="0"/>
    <x v="55"/>
    <x v="8"/>
    <s v="M"/>
    <s v="Teal"/>
    <s v="Fall"/>
    <n v="3.9"/>
    <x v="0"/>
    <x v="4"/>
    <x v="0"/>
    <x v="0"/>
    <n v="22"/>
    <x v="0"/>
    <x v="2"/>
    <x v="2"/>
  </r>
  <r>
    <n v="512"/>
    <x v="12"/>
    <x v="0"/>
    <x v="5"/>
    <x v="0"/>
    <x v="43"/>
    <x v="11"/>
    <s v="L"/>
    <s v="Yellow"/>
    <s v="Fall"/>
    <n v="3.1"/>
    <x v="0"/>
    <x v="1"/>
    <x v="0"/>
    <x v="0"/>
    <n v="8"/>
    <x v="3"/>
    <x v="2"/>
    <x v="2"/>
  </r>
  <r>
    <n v="513"/>
    <x v="1"/>
    <x v="0"/>
    <x v="24"/>
    <x v="3"/>
    <x v="4"/>
    <x v="14"/>
    <s v="L"/>
    <s v="Peach"/>
    <s v="Winter"/>
    <n v="3.3"/>
    <x v="0"/>
    <x v="2"/>
    <x v="0"/>
    <x v="0"/>
    <n v="2"/>
    <x v="4"/>
    <x v="5"/>
    <x v="5"/>
  </r>
  <r>
    <n v="514"/>
    <x v="40"/>
    <x v="0"/>
    <x v="18"/>
    <x v="3"/>
    <x v="61"/>
    <x v="35"/>
    <s v="M"/>
    <s v="Peach"/>
    <s v="Fall"/>
    <n v="3.6"/>
    <x v="0"/>
    <x v="5"/>
    <x v="0"/>
    <x v="0"/>
    <n v="45"/>
    <x v="0"/>
    <x v="2"/>
    <x v="2"/>
  </r>
  <r>
    <n v="515"/>
    <x v="14"/>
    <x v="0"/>
    <x v="11"/>
    <x v="0"/>
    <x v="17"/>
    <x v="27"/>
    <s v="S"/>
    <s v="Olive"/>
    <s v="Winter"/>
    <n v="4.3"/>
    <x v="0"/>
    <x v="3"/>
    <x v="0"/>
    <x v="0"/>
    <n v="47"/>
    <x v="3"/>
    <x v="3"/>
    <x v="3"/>
  </r>
  <r>
    <n v="516"/>
    <x v="48"/>
    <x v="0"/>
    <x v="19"/>
    <x v="3"/>
    <x v="25"/>
    <x v="0"/>
    <s v="L"/>
    <s v="Charcoal"/>
    <s v="Spring"/>
    <n v="4.5"/>
    <x v="0"/>
    <x v="2"/>
    <x v="0"/>
    <x v="0"/>
    <n v="7"/>
    <x v="1"/>
    <x v="5"/>
    <x v="5"/>
  </r>
  <r>
    <n v="517"/>
    <x v="50"/>
    <x v="0"/>
    <x v="15"/>
    <x v="0"/>
    <x v="52"/>
    <x v="8"/>
    <s v="L"/>
    <s v="Indigo"/>
    <s v="Fall"/>
    <n v="2.8"/>
    <x v="0"/>
    <x v="4"/>
    <x v="0"/>
    <x v="0"/>
    <n v="19"/>
    <x v="5"/>
    <x v="4"/>
    <x v="4"/>
  </r>
  <r>
    <n v="518"/>
    <x v="12"/>
    <x v="0"/>
    <x v="23"/>
    <x v="1"/>
    <x v="4"/>
    <x v="25"/>
    <s v="L"/>
    <s v="Silver"/>
    <s v="Fall"/>
    <n v="2.7"/>
    <x v="0"/>
    <x v="1"/>
    <x v="0"/>
    <x v="0"/>
    <n v="44"/>
    <x v="1"/>
    <x v="6"/>
    <x v="3"/>
  </r>
  <r>
    <n v="519"/>
    <x v="41"/>
    <x v="0"/>
    <x v="0"/>
    <x v="0"/>
    <x v="33"/>
    <x v="4"/>
    <s v="M"/>
    <s v="Beige"/>
    <s v="Fall"/>
    <n v="2.9"/>
    <x v="0"/>
    <x v="2"/>
    <x v="0"/>
    <x v="0"/>
    <n v="16"/>
    <x v="0"/>
    <x v="6"/>
    <x v="3"/>
  </r>
  <r>
    <n v="520"/>
    <x v="1"/>
    <x v="0"/>
    <x v="22"/>
    <x v="3"/>
    <x v="36"/>
    <x v="46"/>
    <s v="L"/>
    <s v="Blue"/>
    <s v="Summer"/>
    <n v="4.4000000000000004"/>
    <x v="0"/>
    <x v="4"/>
    <x v="0"/>
    <x v="0"/>
    <n v="17"/>
    <x v="4"/>
    <x v="3"/>
    <x v="3"/>
  </r>
  <r>
    <n v="521"/>
    <x v="47"/>
    <x v="0"/>
    <x v="12"/>
    <x v="3"/>
    <x v="63"/>
    <x v="36"/>
    <s v="M"/>
    <s v="White"/>
    <s v="Spring"/>
    <n v="3.9"/>
    <x v="0"/>
    <x v="1"/>
    <x v="0"/>
    <x v="0"/>
    <n v="20"/>
    <x v="5"/>
    <x v="3"/>
    <x v="3"/>
  </r>
  <r>
    <n v="522"/>
    <x v="24"/>
    <x v="0"/>
    <x v="6"/>
    <x v="0"/>
    <x v="52"/>
    <x v="34"/>
    <s v="L"/>
    <s v="Gold"/>
    <s v="Winter"/>
    <n v="3.5"/>
    <x v="0"/>
    <x v="3"/>
    <x v="0"/>
    <x v="0"/>
    <n v="50"/>
    <x v="4"/>
    <x v="2"/>
    <x v="2"/>
  </r>
  <r>
    <n v="523"/>
    <x v="13"/>
    <x v="0"/>
    <x v="24"/>
    <x v="3"/>
    <x v="19"/>
    <x v="46"/>
    <s v="M"/>
    <s v="Blue"/>
    <s v="Spring"/>
    <n v="2.5"/>
    <x v="0"/>
    <x v="5"/>
    <x v="0"/>
    <x v="0"/>
    <n v="37"/>
    <x v="1"/>
    <x v="3"/>
    <x v="3"/>
  </r>
  <r>
    <n v="524"/>
    <x v="5"/>
    <x v="0"/>
    <x v="3"/>
    <x v="1"/>
    <x v="49"/>
    <x v="12"/>
    <s v="M"/>
    <s v="Orange"/>
    <s v="Spring"/>
    <n v="4.9000000000000004"/>
    <x v="0"/>
    <x v="0"/>
    <x v="0"/>
    <x v="0"/>
    <n v="5"/>
    <x v="3"/>
    <x v="3"/>
    <x v="3"/>
  </r>
  <r>
    <n v="525"/>
    <x v="35"/>
    <x v="0"/>
    <x v="5"/>
    <x v="0"/>
    <x v="32"/>
    <x v="38"/>
    <s v="M"/>
    <s v="Gold"/>
    <s v="Summer"/>
    <n v="4.8"/>
    <x v="0"/>
    <x v="1"/>
    <x v="0"/>
    <x v="0"/>
    <n v="44"/>
    <x v="3"/>
    <x v="2"/>
    <x v="2"/>
  </r>
  <r>
    <n v="526"/>
    <x v="47"/>
    <x v="0"/>
    <x v="7"/>
    <x v="2"/>
    <x v="18"/>
    <x v="44"/>
    <s v="M"/>
    <s v="Cyan"/>
    <s v="Spring"/>
    <n v="3.2"/>
    <x v="0"/>
    <x v="2"/>
    <x v="0"/>
    <x v="0"/>
    <n v="41"/>
    <x v="5"/>
    <x v="5"/>
    <x v="5"/>
  </r>
  <r>
    <n v="527"/>
    <x v="47"/>
    <x v="0"/>
    <x v="13"/>
    <x v="0"/>
    <x v="78"/>
    <x v="32"/>
    <s v="S"/>
    <s v="Red"/>
    <s v="Winter"/>
    <n v="4.9000000000000004"/>
    <x v="0"/>
    <x v="3"/>
    <x v="0"/>
    <x v="0"/>
    <n v="19"/>
    <x v="1"/>
    <x v="5"/>
    <x v="5"/>
  </r>
  <r>
    <n v="528"/>
    <x v="3"/>
    <x v="0"/>
    <x v="17"/>
    <x v="0"/>
    <x v="66"/>
    <x v="36"/>
    <s v="L"/>
    <s v="Yellow"/>
    <s v="Winter"/>
    <n v="4.3"/>
    <x v="0"/>
    <x v="2"/>
    <x v="0"/>
    <x v="0"/>
    <n v="47"/>
    <x v="4"/>
    <x v="6"/>
    <x v="3"/>
  </r>
  <r>
    <n v="529"/>
    <x v="50"/>
    <x v="0"/>
    <x v="4"/>
    <x v="1"/>
    <x v="19"/>
    <x v="33"/>
    <s v="S"/>
    <s v="Beige"/>
    <s v="Winter"/>
    <n v="3.2"/>
    <x v="0"/>
    <x v="0"/>
    <x v="0"/>
    <x v="0"/>
    <n v="40"/>
    <x v="1"/>
    <x v="2"/>
    <x v="2"/>
  </r>
  <r>
    <n v="530"/>
    <x v="45"/>
    <x v="0"/>
    <x v="6"/>
    <x v="0"/>
    <x v="63"/>
    <x v="18"/>
    <s v="M"/>
    <s v="Orange"/>
    <s v="Fall"/>
    <n v="3.7"/>
    <x v="0"/>
    <x v="3"/>
    <x v="0"/>
    <x v="0"/>
    <n v="6"/>
    <x v="2"/>
    <x v="5"/>
    <x v="5"/>
  </r>
  <r>
    <n v="531"/>
    <x v="39"/>
    <x v="0"/>
    <x v="7"/>
    <x v="2"/>
    <x v="18"/>
    <x v="6"/>
    <s v="XL"/>
    <s v="Magenta"/>
    <s v="Winter"/>
    <n v="3.2"/>
    <x v="0"/>
    <x v="5"/>
    <x v="0"/>
    <x v="0"/>
    <n v="25"/>
    <x v="2"/>
    <x v="4"/>
    <x v="4"/>
  </r>
  <r>
    <n v="532"/>
    <x v="2"/>
    <x v="0"/>
    <x v="3"/>
    <x v="1"/>
    <x v="12"/>
    <x v="34"/>
    <s v="L"/>
    <s v="Purple"/>
    <s v="Fall"/>
    <n v="3.4"/>
    <x v="0"/>
    <x v="2"/>
    <x v="0"/>
    <x v="0"/>
    <n v="42"/>
    <x v="1"/>
    <x v="1"/>
    <x v="1"/>
  </r>
  <r>
    <n v="533"/>
    <x v="8"/>
    <x v="0"/>
    <x v="13"/>
    <x v="0"/>
    <x v="31"/>
    <x v="21"/>
    <s v="L"/>
    <s v="Black"/>
    <s v="Winter"/>
    <n v="4.0999999999999996"/>
    <x v="0"/>
    <x v="0"/>
    <x v="0"/>
    <x v="0"/>
    <n v="35"/>
    <x v="4"/>
    <x v="6"/>
    <x v="3"/>
  </r>
  <r>
    <n v="534"/>
    <x v="9"/>
    <x v="0"/>
    <x v="3"/>
    <x v="1"/>
    <x v="30"/>
    <x v="17"/>
    <s v="L"/>
    <s v="Pink"/>
    <s v="Spring"/>
    <n v="4.5"/>
    <x v="0"/>
    <x v="2"/>
    <x v="0"/>
    <x v="0"/>
    <n v="17"/>
    <x v="5"/>
    <x v="1"/>
    <x v="1"/>
  </r>
  <r>
    <n v="535"/>
    <x v="13"/>
    <x v="0"/>
    <x v="24"/>
    <x v="3"/>
    <x v="11"/>
    <x v="20"/>
    <s v="L"/>
    <s v="Pink"/>
    <s v="Fall"/>
    <n v="4.5"/>
    <x v="0"/>
    <x v="2"/>
    <x v="0"/>
    <x v="0"/>
    <n v="4"/>
    <x v="3"/>
    <x v="3"/>
    <x v="3"/>
  </r>
  <r>
    <n v="536"/>
    <x v="19"/>
    <x v="0"/>
    <x v="17"/>
    <x v="0"/>
    <x v="29"/>
    <x v="8"/>
    <s v="L"/>
    <s v="Maroon"/>
    <s v="Spring"/>
    <n v="3.2"/>
    <x v="0"/>
    <x v="1"/>
    <x v="0"/>
    <x v="0"/>
    <n v="24"/>
    <x v="4"/>
    <x v="1"/>
    <x v="1"/>
  </r>
  <r>
    <n v="537"/>
    <x v="42"/>
    <x v="0"/>
    <x v="14"/>
    <x v="2"/>
    <x v="63"/>
    <x v="26"/>
    <s v="S"/>
    <s v="Maroon"/>
    <s v="Fall"/>
    <n v="4.4000000000000004"/>
    <x v="0"/>
    <x v="5"/>
    <x v="0"/>
    <x v="0"/>
    <n v="16"/>
    <x v="5"/>
    <x v="6"/>
    <x v="3"/>
  </r>
  <r>
    <n v="538"/>
    <x v="2"/>
    <x v="0"/>
    <x v="0"/>
    <x v="0"/>
    <x v="4"/>
    <x v="41"/>
    <s v="S"/>
    <s v="Turquoise"/>
    <s v="Summer"/>
    <n v="3"/>
    <x v="0"/>
    <x v="5"/>
    <x v="0"/>
    <x v="0"/>
    <n v="14"/>
    <x v="5"/>
    <x v="2"/>
    <x v="2"/>
  </r>
  <r>
    <n v="539"/>
    <x v="7"/>
    <x v="0"/>
    <x v="20"/>
    <x v="0"/>
    <x v="20"/>
    <x v="41"/>
    <s v="XL"/>
    <s v="Green"/>
    <s v="Spring"/>
    <n v="3.2"/>
    <x v="0"/>
    <x v="1"/>
    <x v="0"/>
    <x v="0"/>
    <n v="43"/>
    <x v="1"/>
    <x v="1"/>
    <x v="1"/>
  </r>
  <r>
    <n v="540"/>
    <x v="34"/>
    <x v="0"/>
    <x v="7"/>
    <x v="2"/>
    <x v="16"/>
    <x v="5"/>
    <s v="M"/>
    <s v="Violet"/>
    <s v="Winter"/>
    <n v="4"/>
    <x v="0"/>
    <x v="5"/>
    <x v="0"/>
    <x v="0"/>
    <n v="49"/>
    <x v="5"/>
    <x v="1"/>
    <x v="1"/>
  </r>
  <r>
    <n v="541"/>
    <x v="34"/>
    <x v="0"/>
    <x v="10"/>
    <x v="0"/>
    <x v="18"/>
    <x v="36"/>
    <s v="M"/>
    <s v="Lavender"/>
    <s v="Spring"/>
    <n v="3.1"/>
    <x v="0"/>
    <x v="2"/>
    <x v="0"/>
    <x v="0"/>
    <n v="33"/>
    <x v="1"/>
    <x v="6"/>
    <x v="3"/>
  </r>
  <r>
    <n v="542"/>
    <x v="16"/>
    <x v="0"/>
    <x v="14"/>
    <x v="2"/>
    <x v="65"/>
    <x v="39"/>
    <s v="L"/>
    <s v="Gray"/>
    <s v="Fall"/>
    <n v="2.8"/>
    <x v="0"/>
    <x v="2"/>
    <x v="0"/>
    <x v="0"/>
    <n v="45"/>
    <x v="1"/>
    <x v="4"/>
    <x v="4"/>
  </r>
  <r>
    <n v="543"/>
    <x v="7"/>
    <x v="0"/>
    <x v="23"/>
    <x v="1"/>
    <x v="24"/>
    <x v="26"/>
    <s v="XL"/>
    <s v="Teal"/>
    <s v="Spring"/>
    <n v="4.5999999999999996"/>
    <x v="0"/>
    <x v="2"/>
    <x v="0"/>
    <x v="0"/>
    <n v="35"/>
    <x v="1"/>
    <x v="4"/>
    <x v="4"/>
  </r>
  <r>
    <n v="544"/>
    <x v="10"/>
    <x v="0"/>
    <x v="11"/>
    <x v="0"/>
    <x v="57"/>
    <x v="15"/>
    <s v="S"/>
    <s v="Red"/>
    <s v="Spring"/>
    <n v="4.3"/>
    <x v="0"/>
    <x v="0"/>
    <x v="0"/>
    <x v="0"/>
    <n v="11"/>
    <x v="2"/>
    <x v="5"/>
    <x v="5"/>
  </r>
  <r>
    <n v="545"/>
    <x v="50"/>
    <x v="0"/>
    <x v="3"/>
    <x v="1"/>
    <x v="1"/>
    <x v="47"/>
    <s v="S"/>
    <s v="Yellow"/>
    <s v="Summer"/>
    <n v="3.3"/>
    <x v="0"/>
    <x v="3"/>
    <x v="0"/>
    <x v="0"/>
    <n v="30"/>
    <x v="4"/>
    <x v="6"/>
    <x v="3"/>
  </r>
  <r>
    <n v="546"/>
    <x v="23"/>
    <x v="0"/>
    <x v="7"/>
    <x v="2"/>
    <x v="50"/>
    <x v="15"/>
    <s v="L"/>
    <s v="Magenta"/>
    <s v="Summer"/>
    <n v="3.5"/>
    <x v="0"/>
    <x v="4"/>
    <x v="0"/>
    <x v="0"/>
    <n v="48"/>
    <x v="5"/>
    <x v="2"/>
    <x v="2"/>
  </r>
  <r>
    <n v="547"/>
    <x v="46"/>
    <x v="0"/>
    <x v="15"/>
    <x v="0"/>
    <x v="67"/>
    <x v="35"/>
    <s v="M"/>
    <s v="Brown"/>
    <s v="Winter"/>
    <n v="3.4"/>
    <x v="0"/>
    <x v="1"/>
    <x v="0"/>
    <x v="0"/>
    <n v="45"/>
    <x v="0"/>
    <x v="4"/>
    <x v="4"/>
  </r>
  <r>
    <n v="548"/>
    <x v="21"/>
    <x v="0"/>
    <x v="14"/>
    <x v="2"/>
    <x v="74"/>
    <x v="22"/>
    <s v="M"/>
    <s v="Blue"/>
    <s v="Winter"/>
    <n v="2.8"/>
    <x v="0"/>
    <x v="1"/>
    <x v="0"/>
    <x v="0"/>
    <n v="26"/>
    <x v="0"/>
    <x v="1"/>
    <x v="1"/>
  </r>
  <r>
    <n v="549"/>
    <x v="24"/>
    <x v="0"/>
    <x v="21"/>
    <x v="3"/>
    <x v="1"/>
    <x v="43"/>
    <s v="M"/>
    <s v="Black"/>
    <s v="Winter"/>
    <n v="4.5999999999999996"/>
    <x v="0"/>
    <x v="5"/>
    <x v="0"/>
    <x v="0"/>
    <n v="41"/>
    <x v="5"/>
    <x v="6"/>
    <x v="3"/>
  </r>
  <r>
    <n v="550"/>
    <x v="18"/>
    <x v="0"/>
    <x v="21"/>
    <x v="3"/>
    <x v="45"/>
    <x v="28"/>
    <s v="S"/>
    <s v="Olive"/>
    <s v="Fall"/>
    <n v="3.6"/>
    <x v="0"/>
    <x v="0"/>
    <x v="0"/>
    <x v="0"/>
    <n v="37"/>
    <x v="0"/>
    <x v="4"/>
    <x v="4"/>
  </r>
  <r>
    <n v="551"/>
    <x v="46"/>
    <x v="0"/>
    <x v="22"/>
    <x v="3"/>
    <x v="17"/>
    <x v="42"/>
    <s v="M"/>
    <s v="Olive"/>
    <s v="Summer"/>
    <n v="3.3"/>
    <x v="0"/>
    <x v="5"/>
    <x v="0"/>
    <x v="0"/>
    <n v="12"/>
    <x v="3"/>
    <x v="1"/>
    <x v="1"/>
  </r>
  <r>
    <n v="552"/>
    <x v="26"/>
    <x v="0"/>
    <x v="7"/>
    <x v="2"/>
    <x v="72"/>
    <x v="37"/>
    <s v="XL"/>
    <s v="Green"/>
    <s v="Fall"/>
    <n v="3.1"/>
    <x v="0"/>
    <x v="4"/>
    <x v="0"/>
    <x v="0"/>
    <n v="27"/>
    <x v="1"/>
    <x v="4"/>
    <x v="4"/>
  </r>
  <r>
    <n v="553"/>
    <x v="41"/>
    <x v="0"/>
    <x v="17"/>
    <x v="0"/>
    <x v="23"/>
    <x v="9"/>
    <s v="M"/>
    <s v="Peach"/>
    <s v="Fall"/>
    <n v="3.5"/>
    <x v="0"/>
    <x v="0"/>
    <x v="0"/>
    <x v="0"/>
    <n v="18"/>
    <x v="4"/>
    <x v="1"/>
    <x v="1"/>
  </r>
  <r>
    <n v="554"/>
    <x v="6"/>
    <x v="0"/>
    <x v="12"/>
    <x v="3"/>
    <x v="40"/>
    <x v="20"/>
    <s v="M"/>
    <s v="White"/>
    <s v="Winter"/>
    <n v="3.2"/>
    <x v="0"/>
    <x v="0"/>
    <x v="0"/>
    <x v="0"/>
    <n v="15"/>
    <x v="2"/>
    <x v="3"/>
    <x v="3"/>
  </r>
  <r>
    <n v="555"/>
    <x v="19"/>
    <x v="0"/>
    <x v="4"/>
    <x v="1"/>
    <x v="53"/>
    <x v="46"/>
    <s v="M"/>
    <s v="Red"/>
    <s v="Summer"/>
    <n v="3"/>
    <x v="0"/>
    <x v="0"/>
    <x v="0"/>
    <x v="0"/>
    <n v="34"/>
    <x v="4"/>
    <x v="1"/>
    <x v="1"/>
  </r>
  <r>
    <n v="556"/>
    <x v="6"/>
    <x v="0"/>
    <x v="24"/>
    <x v="3"/>
    <x v="75"/>
    <x v="1"/>
    <s v="M"/>
    <s v="White"/>
    <s v="Fall"/>
    <n v="4.8"/>
    <x v="0"/>
    <x v="0"/>
    <x v="0"/>
    <x v="0"/>
    <n v="37"/>
    <x v="0"/>
    <x v="2"/>
    <x v="2"/>
  </r>
  <r>
    <n v="557"/>
    <x v="37"/>
    <x v="0"/>
    <x v="7"/>
    <x v="2"/>
    <x v="3"/>
    <x v="6"/>
    <s v="L"/>
    <s v="Indigo"/>
    <s v="Winter"/>
    <n v="5"/>
    <x v="0"/>
    <x v="5"/>
    <x v="0"/>
    <x v="0"/>
    <n v="21"/>
    <x v="1"/>
    <x v="0"/>
    <x v="0"/>
  </r>
  <r>
    <n v="558"/>
    <x v="20"/>
    <x v="0"/>
    <x v="5"/>
    <x v="0"/>
    <x v="30"/>
    <x v="29"/>
    <s v="M"/>
    <s v="White"/>
    <s v="Spring"/>
    <n v="2.9"/>
    <x v="0"/>
    <x v="1"/>
    <x v="0"/>
    <x v="0"/>
    <n v="31"/>
    <x v="5"/>
    <x v="1"/>
    <x v="1"/>
  </r>
  <r>
    <n v="559"/>
    <x v="2"/>
    <x v="0"/>
    <x v="4"/>
    <x v="1"/>
    <x v="64"/>
    <x v="44"/>
    <s v="L"/>
    <s v="Teal"/>
    <s v="Fall"/>
    <n v="3.2"/>
    <x v="0"/>
    <x v="0"/>
    <x v="0"/>
    <x v="0"/>
    <n v="43"/>
    <x v="5"/>
    <x v="6"/>
    <x v="3"/>
  </r>
  <r>
    <n v="560"/>
    <x v="17"/>
    <x v="0"/>
    <x v="18"/>
    <x v="3"/>
    <x v="52"/>
    <x v="28"/>
    <s v="M"/>
    <s v="Indigo"/>
    <s v="Fall"/>
    <n v="2.9"/>
    <x v="0"/>
    <x v="5"/>
    <x v="0"/>
    <x v="0"/>
    <n v="22"/>
    <x v="4"/>
    <x v="5"/>
    <x v="5"/>
  </r>
  <r>
    <n v="561"/>
    <x v="15"/>
    <x v="0"/>
    <x v="16"/>
    <x v="3"/>
    <x v="16"/>
    <x v="7"/>
    <s v="L"/>
    <s v="Red"/>
    <s v="Fall"/>
    <n v="3.3"/>
    <x v="0"/>
    <x v="1"/>
    <x v="0"/>
    <x v="0"/>
    <n v="12"/>
    <x v="5"/>
    <x v="2"/>
    <x v="2"/>
  </r>
  <r>
    <n v="562"/>
    <x v="13"/>
    <x v="0"/>
    <x v="14"/>
    <x v="2"/>
    <x v="61"/>
    <x v="15"/>
    <s v="M"/>
    <s v="Blue"/>
    <s v="Fall"/>
    <n v="2.6"/>
    <x v="0"/>
    <x v="2"/>
    <x v="0"/>
    <x v="0"/>
    <n v="25"/>
    <x v="3"/>
    <x v="0"/>
    <x v="0"/>
  </r>
  <r>
    <n v="563"/>
    <x v="10"/>
    <x v="0"/>
    <x v="2"/>
    <x v="0"/>
    <x v="17"/>
    <x v="9"/>
    <s v="M"/>
    <s v="Blue"/>
    <s v="Summer"/>
    <n v="3.5"/>
    <x v="0"/>
    <x v="3"/>
    <x v="0"/>
    <x v="0"/>
    <n v="40"/>
    <x v="5"/>
    <x v="2"/>
    <x v="2"/>
  </r>
  <r>
    <n v="564"/>
    <x v="12"/>
    <x v="0"/>
    <x v="9"/>
    <x v="1"/>
    <x v="54"/>
    <x v="37"/>
    <s v="M"/>
    <s v="Black"/>
    <s v="Fall"/>
    <n v="4.4000000000000004"/>
    <x v="0"/>
    <x v="3"/>
    <x v="0"/>
    <x v="0"/>
    <n v="16"/>
    <x v="5"/>
    <x v="3"/>
    <x v="3"/>
  </r>
  <r>
    <n v="565"/>
    <x v="29"/>
    <x v="0"/>
    <x v="15"/>
    <x v="0"/>
    <x v="47"/>
    <x v="20"/>
    <s v="M"/>
    <s v="Olive"/>
    <s v="Winter"/>
    <n v="3.4"/>
    <x v="0"/>
    <x v="2"/>
    <x v="0"/>
    <x v="0"/>
    <n v="30"/>
    <x v="4"/>
    <x v="1"/>
    <x v="1"/>
  </r>
  <r>
    <n v="566"/>
    <x v="35"/>
    <x v="0"/>
    <x v="21"/>
    <x v="3"/>
    <x v="35"/>
    <x v="37"/>
    <s v="L"/>
    <s v="Lavender"/>
    <s v="Fall"/>
    <n v="4.2"/>
    <x v="0"/>
    <x v="5"/>
    <x v="0"/>
    <x v="0"/>
    <n v="10"/>
    <x v="0"/>
    <x v="1"/>
    <x v="1"/>
  </r>
  <r>
    <n v="567"/>
    <x v="0"/>
    <x v="0"/>
    <x v="4"/>
    <x v="1"/>
    <x v="73"/>
    <x v="15"/>
    <s v="M"/>
    <s v="Indigo"/>
    <s v="Spring"/>
    <n v="3.6"/>
    <x v="0"/>
    <x v="5"/>
    <x v="0"/>
    <x v="0"/>
    <n v="1"/>
    <x v="5"/>
    <x v="0"/>
    <x v="0"/>
  </r>
  <r>
    <n v="568"/>
    <x v="3"/>
    <x v="0"/>
    <x v="0"/>
    <x v="0"/>
    <x v="74"/>
    <x v="13"/>
    <s v="S"/>
    <s v="Red"/>
    <s v="Winter"/>
    <n v="3"/>
    <x v="0"/>
    <x v="2"/>
    <x v="0"/>
    <x v="0"/>
    <n v="24"/>
    <x v="0"/>
    <x v="0"/>
    <x v="0"/>
  </r>
  <r>
    <n v="569"/>
    <x v="42"/>
    <x v="0"/>
    <x v="13"/>
    <x v="0"/>
    <x v="19"/>
    <x v="40"/>
    <s v="L"/>
    <s v="Red"/>
    <s v="Summer"/>
    <n v="4"/>
    <x v="0"/>
    <x v="1"/>
    <x v="0"/>
    <x v="0"/>
    <n v="36"/>
    <x v="3"/>
    <x v="5"/>
    <x v="5"/>
  </r>
  <r>
    <n v="570"/>
    <x v="13"/>
    <x v="0"/>
    <x v="11"/>
    <x v="0"/>
    <x v="27"/>
    <x v="15"/>
    <s v="M"/>
    <s v="Pink"/>
    <s v="Fall"/>
    <n v="4.4000000000000004"/>
    <x v="0"/>
    <x v="0"/>
    <x v="0"/>
    <x v="0"/>
    <n v="46"/>
    <x v="2"/>
    <x v="6"/>
    <x v="3"/>
  </r>
  <r>
    <n v="571"/>
    <x v="13"/>
    <x v="0"/>
    <x v="17"/>
    <x v="0"/>
    <x v="54"/>
    <x v="44"/>
    <s v="XL"/>
    <s v="Purple"/>
    <s v="Fall"/>
    <n v="4.0999999999999996"/>
    <x v="0"/>
    <x v="3"/>
    <x v="0"/>
    <x v="0"/>
    <n v="20"/>
    <x v="1"/>
    <x v="2"/>
    <x v="2"/>
  </r>
  <r>
    <n v="572"/>
    <x v="22"/>
    <x v="0"/>
    <x v="14"/>
    <x v="2"/>
    <x v="31"/>
    <x v="0"/>
    <s v="XL"/>
    <s v="Cyan"/>
    <s v="Spring"/>
    <n v="3.6"/>
    <x v="0"/>
    <x v="1"/>
    <x v="0"/>
    <x v="0"/>
    <n v="37"/>
    <x v="0"/>
    <x v="1"/>
    <x v="1"/>
  </r>
  <r>
    <n v="573"/>
    <x v="19"/>
    <x v="0"/>
    <x v="18"/>
    <x v="3"/>
    <x v="8"/>
    <x v="36"/>
    <s v="XL"/>
    <s v="Cyan"/>
    <s v="Summer"/>
    <n v="4.5999999999999996"/>
    <x v="0"/>
    <x v="2"/>
    <x v="0"/>
    <x v="0"/>
    <n v="26"/>
    <x v="4"/>
    <x v="2"/>
    <x v="2"/>
  </r>
  <r>
    <n v="574"/>
    <x v="44"/>
    <x v="0"/>
    <x v="13"/>
    <x v="0"/>
    <x v="10"/>
    <x v="18"/>
    <s v="M"/>
    <s v="Charcoal"/>
    <s v="Summer"/>
    <n v="3.2"/>
    <x v="0"/>
    <x v="4"/>
    <x v="0"/>
    <x v="0"/>
    <n v="23"/>
    <x v="2"/>
    <x v="4"/>
    <x v="4"/>
  </r>
  <r>
    <n v="575"/>
    <x v="22"/>
    <x v="0"/>
    <x v="4"/>
    <x v="1"/>
    <x v="24"/>
    <x v="1"/>
    <s v="L"/>
    <s v="Red"/>
    <s v="Fall"/>
    <n v="4.8"/>
    <x v="0"/>
    <x v="1"/>
    <x v="0"/>
    <x v="0"/>
    <n v="20"/>
    <x v="4"/>
    <x v="4"/>
    <x v="4"/>
  </r>
  <r>
    <n v="576"/>
    <x v="44"/>
    <x v="0"/>
    <x v="2"/>
    <x v="0"/>
    <x v="62"/>
    <x v="43"/>
    <s v="M"/>
    <s v="Peach"/>
    <s v="Fall"/>
    <n v="4.8"/>
    <x v="0"/>
    <x v="0"/>
    <x v="0"/>
    <x v="0"/>
    <n v="38"/>
    <x v="3"/>
    <x v="5"/>
    <x v="5"/>
  </r>
  <r>
    <n v="577"/>
    <x v="39"/>
    <x v="0"/>
    <x v="19"/>
    <x v="3"/>
    <x v="10"/>
    <x v="47"/>
    <s v="M"/>
    <s v="Black"/>
    <s v="Winter"/>
    <n v="5"/>
    <x v="0"/>
    <x v="4"/>
    <x v="0"/>
    <x v="0"/>
    <n v="5"/>
    <x v="2"/>
    <x v="6"/>
    <x v="3"/>
  </r>
  <r>
    <n v="578"/>
    <x v="1"/>
    <x v="0"/>
    <x v="11"/>
    <x v="0"/>
    <x v="78"/>
    <x v="15"/>
    <s v="M"/>
    <s v="Black"/>
    <s v="Fall"/>
    <n v="3.7"/>
    <x v="0"/>
    <x v="5"/>
    <x v="0"/>
    <x v="0"/>
    <n v="41"/>
    <x v="0"/>
    <x v="2"/>
    <x v="2"/>
  </r>
  <r>
    <n v="579"/>
    <x v="28"/>
    <x v="0"/>
    <x v="3"/>
    <x v="1"/>
    <x v="3"/>
    <x v="1"/>
    <s v="M"/>
    <s v="Purple"/>
    <s v="Fall"/>
    <n v="4.5999999999999996"/>
    <x v="0"/>
    <x v="2"/>
    <x v="0"/>
    <x v="0"/>
    <n v="22"/>
    <x v="2"/>
    <x v="0"/>
    <x v="0"/>
  </r>
  <r>
    <n v="580"/>
    <x v="44"/>
    <x v="0"/>
    <x v="3"/>
    <x v="1"/>
    <x v="52"/>
    <x v="18"/>
    <s v="M"/>
    <s v="Violet"/>
    <s v="Winter"/>
    <n v="3.7"/>
    <x v="0"/>
    <x v="1"/>
    <x v="0"/>
    <x v="0"/>
    <n v="48"/>
    <x v="2"/>
    <x v="2"/>
    <x v="2"/>
  </r>
  <r>
    <n v="581"/>
    <x v="34"/>
    <x v="0"/>
    <x v="1"/>
    <x v="0"/>
    <x v="68"/>
    <x v="44"/>
    <s v="M"/>
    <s v="Orange"/>
    <s v="Spring"/>
    <n v="4.0999999999999996"/>
    <x v="0"/>
    <x v="1"/>
    <x v="0"/>
    <x v="0"/>
    <n v="10"/>
    <x v="3"/>
    <x v="1"/>
    <x v="1"/>
  </r>
  <r>
    <n v="582"/>
    <x v="45"/>
    <x v="0"/>
    <x v="1"/>
    <x v="0"/>
    <x v="33"/>
    <x v="44"/>
    <s v="XL"/>
    <s v="Charcoal"/>
    <s v="Winter"/>
    <n v="2.7"/>
    <x v="0"/>
    <x v="5"/>
    <x v="0"/>
    <x v="0"/>
    <n v="12"/>
    <x v="4"/>
    <x v="6"/>
    <x v="3"/>
  </r>
  <r>
    <n v="583"/>
    <x v="37"/>
    <x v="0"/>
    <x v="14"/>
    <x v="2"/>
    <x v="64"/>
    <x v="24"/>
    <s v="L"/>
    <s v="Turquoise"/>
    <s v="Spring"/>
    <n v="4.9000000000000004"/>
    <x v="0"/>
    <x v="5"/>
    <x v="0"/>
    <x v="0"/>
    <n v="2"/>
    <x v="4"/>
    <x v="3"/>
    <x v="3"/>
  </r>
  <r>
    <n v="584"/>
    <x v="15"/>
    <x v="0"/>
    <x v="6"/>
    <x v="0"/>
    <x v="72"/>
    <x v="18"/>
    <s v="L"/>
    <s v="Yellow"/>
    <s v="Spring"/>
    <n v="4"/>
    <x v="0"/>
    <x v="5"/>
    <x v="0"/>
    <x v="0"/>
    <n v="38"/>
    <x v="3"/>
    <x v="5"/>
    <x v="5"/>
  </r>
  <r>
    <n v="585"/>
    <x v="27"/>
    <x v="0"/>
    <x v="20"/>
    <x v="0"/>
    <x v="23"/>
    <x v="27"/>
    <s v="M"/>
    <s v="White"/>
    <s v="Spring"/>
    <n v="4.7"/>
    <x v="0"/>
    <x v="1"/>
    <x v="0"/>
    <x v="0"/>
    <n v="20"/>
    <x v="5"/>
    <x v="5"/>
    <x v="5"/>
  </r>
  <r>
    <n v="586"/>
    <x v="28"/>
    <x v="0"/>
    <x v="20"/>
    <x v="0"/>
    <x v="66"/>
    <x v="36"/>
    <s v="M"/>
    <s v="Gray"/>
    <s v="Fall"/>
    <n v="2.8"/>
    <x v="0"/>
    <x v="2"/>
    <x v="0"/>
    <x v="0"/>
    <n v="5"/>
    <x v="1"/>
    <x v="6"/>
    <x v="3"/>
  </r>
  <r>
    <n v="587"/>
    <x v="4"/>
    <x v="0"/>
    <x v="15"/>
    <x v="0"/>
    <x v="5"/>
    <x v="48"/>
    <s v="S"/>
    <s v="Blue"/>
    <s v="Winter"/>
    <n v="4.9000000000000004"/>
    <x v="0"/>
    <x v="4"/>
    <x v="0"/>
    <x v="0"/>
    <n v="9"/>
    <x v="0"/>
    <x v="2"/>
    <x v="2"/>
  </r>
  <r>
    <n v="588"/>
    <x v="26"/>
    <x v="0"/>
    <x v="20"/>
    <x v="0"/>
    <x v="62"/>
    <x v="47"/>
    <s v="S"/>
    <s v="Maroon"/>
    <s v="Fall"/>
    <n v="4.2"/>
    <x v="0"/>
    <x v="0"/>
    <x v="0"/>
    <x v="0"/>
    <n v="48"/>
    <x v="5"/>
    <x v="6"/>
    <x v="3"/>
  </r>
  <r>
    <n v="589"/>
    <x v="36"/>
    <x v="0"/>
    <x v="23"/>
    <x v="1"/>
    <x v="30"/>
    <x v="45"/>
    <s v="M"/>
    <s v="Violet"/>
    <s v="Fall"/>
    <n v="3"/>
    <x v="0"/>
    <x v="3"/>
    <x v="0"/>
    <x v="0"/>
    <n v="9"/>
    <x v="5"/>
    <x v="3"/>
    <x v="3"/>
  </r>
  <r>
    <n v="590"/>
    <x v="48"/>
    <x v="0"/>
    <x v="5"/>
    <x v="0"/>
    <x v="44"/>
    <x v="46"/>
    <s v="M"/>
    <s v="Orange"/>
    <s v="Fall"/>
    <n v="3.4"/>
    <x v="0"/>
    <x v="4"/>
    <x v="0"/>
    <x v="0"/>
    <n v="40"/>
    <x v="3"/>
    <x v="2"/>
    <x v="2"/>
  </r>
  <r>
    <n v="591"/>
    <x v="14"/>
    <x v="0"/>
    <x v="22"/>
    <x v="3"/>
    <x v="32"/>
    <x v="29"/>
    <s v="S"/>
    <s v="Turquoise"/>
    <s v="Fall"/>
    <n v="4.5999999999999996"/>
    <x v="0"/>
    <x v="3"/>
    <x v="0"/>
    <x v="0"/>
    <n v="30"/>
    <x v="0"/>
    <x v="0"/>
    <x v="0"/>
  </r>
  <r>
    <n v="592"/>
    <x v="36"/>
    <x v="0"/>
    <x v="21"/>
    <x v="3"/>
    <x v="18"/>
    <x v="0"/>
    <s v="L"/>
    <s v="Olive"/>
    <s v="Fall"/>
    <n v="4.2"/>
    <x v="0"/>
    <x v="5"/>
    <x v="0"/>
    <x v="0"/>
    <n v="6"/>
    <x v="5"/>
    <x v="4"/>
    <x v="4"/>
  </r>
  <r>
    <n v="593"/>
    <x v="52"/>
    <x v="0"/>
    <x v="23"/>
    <x v="1"/>
    <x v="45"/>
    <x v="25"/>
    <s v="M"/>
    <s v="Brown"/>
    <s v="Fall"/>
    <n v="3.2"/>
    <x v="0"/>
    <x v="1"/>
    <x v="0"/>
    <x v="0"/>
    <n v="42"/>
    <x v="0"/>
    <x v="6"/>
    <x v="3"/>
  </r>
  <r>
    <n v="594"/>
    <x v="29"/>
    <x v="0"/>
    <x v="7"/>
    <x v="2"/>
    <x v="59"/>
    <x v="29"/>
    <s v="S"/>
    <s v="Green"/>
    <s v="Winter"/>
    <n v="4.4000000000000004"/>
    <x v="0"/>
    <x v="5"/>
    <x v="0"/>
    <x v="0"/>
    <n v="9"/>
    <x v="3"/>
    <x v="6"/>
    <x v="3"/>
  </r>
  <r>
    <n v="595"/>
    <x v="25"/>
    <x v="0"/>
    <x v="15"/>
    <x v="0"/>
    <x v="42"/>
    <x v="19"/>
    <s v="S"/>
    <s v="Brown"/>
    <s v="Winter"/>
    <n v="2.5"/>
    <x v="0"/>
    <x v="2"/>
    <x v="0"/>
    <x v="0"/>
    <n v="6"/>
    <x v="5"/>
    <x v="5"/>
    <x v="5"/>
  </r>
  <r>
    <n v="596"/>
    <x v="11"/>
    <x v="0"/>
    <x v="9"/>
    <x v="1"/>
    <x v="64"/>
    <x v="12"/>
    <s v="M"/>
    <s v="Silver"/>
    <s v="Summer"/>
    <n v="3.6"/>
    <x v="0"/>
    <x v="2"/>
    <x v="0"/>
    <x v="0"/>
    <n v="47"/>
    <x v="3"/>
    <x v="3"/>
    <x v="3"/>
  </r>
  <r>
    <n v="597"/>
    <x v="51"/>
    <x v="0"/>
    <x v="9"/>
    <x v="1"/>
    <x v="18"/>
    <x v="6"/>
    <s v="XL"/>
    <s v="White"/>
    <s v="Summer"/>
    <n v="4.5"/>
    <x v="0"/>
    <x v="5"/>
    <x v="0"/>
    <x v="0"/>
    <n v="36"/>
    <x v="0"/>
    <x v="2"/>
    <x v="2"/>
  </r>
  <r>
    <n v="598"/>
    <x v="27"/>
    <x v="0"/>
    <x v="16"/>
    <x v="3"/>
    <x v="28"/>
    <x v="29"/>
    <s v="L"/>
    <s v="Gold"/>
    <s v="Summer"/>
    <n v="3.4"/>
    <x v="0"/>
    <x v="3"/>
    <x v="0"/>
    <x v="0"/>
    <n v="19"/>
    <x v="4"/>
    <x v="0"/>
    <x v="0"/>
  </r>
  <r>
    <n v="599"/>
    <x v="3"/>
    <x v="0"/>
    <x v="10"/>
    <x v="0"/>
    <x v="76"/>
    <x v="18"/>
    <s v="L"/>
    <s v="Green"/>
    <s v="Winter"/>
    <n v="3.2"/>
    <x v="0"/>
    <x v="4"/>
    <x v="0"/>
    <x v="0"/>
    <n v="30"/>
    <x v="1"/>
    <x v="6"/>
    <x v="3"/>
  </r>
  <r>
    <n v="600"/>
    <x v="47"/>
    <x v="0"/>
    <x v="23"/>
    <x v="1"/>
    <x v="46"/>
    <x v="2"/>
    <s v="L"/>
    <s v="Teal"/>
    <s v="Spring"/>
    <n v="4.2"/>
    <x v="0"/>
    <x v="3"/>
    <x v="0"/>
    <x v="0"/>
    <n v="27"/>
    <x v="5"/>
    <x v="6"/>
    <x v="3"/>
  </r>
  <r>
    <n v="601"/>
    <x v="40"/>
    <x v="0"/>
    <x v="19"/>
    <x v="3"/>
    <x v="80"/>
    <x v="36"/>
    <s v="M"/>
    <s v="Charcoal"/>
    <s v="Spring"/>
    <n v="5"/>
    <x v="0"/>
    <x v="4"/>
    <x v="0"/>
    <x v="0"/>
    <n v="25"/>
    <x v="0"/>
    <x v="5"/>
    <x v="5"/>
  </r>
  <r>
    <n v="602"/>
    <x v="45"/>
    <x v="0"/>
    <x v="21"/>
    <x v="3"/>
    <x v="15"/>
    <x v="8"/>
    <s v="M"/>
    <s v="Maroon"/>
    <s v="Summer"/>
    <n v="4.7"/>
    <x v="0"/>
    <x v="5"/>
    <x v="0"/>
    <x v="0"/>
    <n v="5"/>
    <x v="1"/>
    <x v="0"/>
    <x v="0"/>
  </r>
  <r>
    <n v="603"/>
    <x v="43"/>
    <x v="0"/>
    <x v="9"/>
    <x v="1"/>
    <x v="47"/>
    <x v="4"/>
    <s v="L"/>
    <s v="Lavender"/>
    <s v="Summer"/>
    <n v="4.2"/>
    <x v="0"/>
    <x v="2"/>
    <x v="0"/>
    <x v="0"/>
    <n v="10"/>
    <x v="1"/>
    <x v="6"/>
    <x v="3"/>
  </r>
  <r>
    <n v="604"/>
    <x v="18"/>
    <x v="0"/>
    <x v="8"/>
    <x v="3"/>
    <x v="43"/>
    <x v="2"/>
    <s v="L"/>
    <s v="Green"/>
    <s v="Winter"/>
    <n v="3.4"/>
    <x v="0"/>
    <x v="4"/>
    <x v="0"/>
    <x v="0"/>
    <n v="26"/>
    <x v="3"/>
    <x v="6"/>
    <x v="3"/>
  </r>
  <r>
    <n v="605"/>
    <x v="42"/>
    <x v="0"/>
    <x v="12"/>
    <x v="3"/>
    <x v="56"/>
    <x v="8"/>
    <s v="S"/>
    <s v="Pink"/>
    <s v="Fall"/>
    <n v="4.4000000000000004"/>
    <x v="0"/>
    <x v="5"/>
    <x v="0"/>
    <x v="0"/>
    <n v="11"/>
    <x v="2"/>
    <x v="6"/>
    <x v="3"/>
  </r>
  <r>
    <n v="606"/>
    <x v="37"/>
    <x v="0"/>
    <x v="19"/>
    <x v="3"/>
    <x v="50"/>
    <x v="18"/>
    <s v="XL"/>
    <s v="Charcoal"/>
    <s v="Winter"/>
    <n v="4.2"/>
    <x v="0"/>
    <x v="3"/>
    <x v="0"/>
    <x v="0"/>
    <n v="17"/>
    <x v="4"/>
    <x v="1"/>
    <x v="1"/>
  </r>
  <r>
    <n v="607"/>
    <x v="7"/>
    <x v="0"/>
    <x v="18"/>
    <x v="3"/>
    <x v="3"/>
    <x v="24"/>
    <s v="M"/>
    <s v="Blue"/>
    <s v="Spring"/>
    <n v="4.5"/>
    <x v="0"/>
    <x v="3"/>
    <x v="0"/>
    <x v="0"/>
    <n v="44"/>
    <x v="3"/>
    <x v="5"/>
    <x v="5"/>
  </r>
  <r>
    <n v="608"/>
    <x v="36"/>
    <x v="0"/>
    <x v="15"/>
    <x v="0"/>
    <x v="66"/>
    <x v="27"/>
    <s v="L"/>
    <s v="Purple"/>
    <s v="Fall"/>
    <n v="2.8"/>
    <x v="0"/>
    <x v="2"/>
    <x v="0"/>
    <x v="0"/>
    <n v="44"/>
    <x v="1"/>
    <x v="5"/>
    <x v="5"/>
  </r>
  <r>
    <n v="609"/>
    <x v="38"/>
    <x v="0"/>
    <x v="21"/>
    <x v="3"/>
    <x v="21"/>
    <x v="12"/>
    <s v="S"/>
    <s v="Gold"/>
    <s v="Fall"/>
    <n v="3.3"/>
    <x v="0"/>
    <x v="2"/>
    <x v="0"/>
    <x v="0"/>
    <n v="21"/>
    <x v="0"/>
    <x v="6"/>
    <x v="3"/>
  </r>
  <r>
    <n v="610"/>
    <x v="47"/>
    <x v="0"/>
    <x v="1"/>
    <x v="0"/>
    <x v="36"/>
    <x v="31"/>
    <s v="L"/>
    <s v="Purple"/>
    <s v="Fall"/>
    <n v="4.5999999999999996"/>
    <x v="0"/>
    <x v="2"/>
    <x v="0"/>
    <x v="0"/>
    <n v="49"/>
    <x v="2"/>
    <x v="0"/>
    <x v="0"/>
  </r>
  <r>
    <n v="611"/>
    <x v="10"/>
    <x v="0"/>
    <x v="6"/>
    <x v="0"/>
    <x v="11"/>
    <x v="19"/>
    <s v="M"/>
    <s v="Charcoal"/>
    <s v="Summer"/>
    <n v="2.5"/>
    <x v="0"/>
    <x v="1"/>
    <x v="0"/>
    <x v="0"/>
    <n v="27"/>
    <x v="4"/>
    <x v="6"/>
    <x v="3"/>
  </r>
  <r>
    <n v="612"/>
    <x v="49"/>
    <x v="0"/>
    <x v="18"/>
    <x v="3"/>
    <x v="27"/>
    <x v="18"/>
    <s v="M"/>
    <s v="Black"/>
    <s v="Winter"/>
    <n v="4.7"/>
    <x v="0"/>
    <x v="5"/>
    <x v="0"/>
    <x v="0"/>
    <n v="19"/>
    <x v="1"/>
    <x v="5"/>
    <x v="5"/>
  </r>
  <r>
    <n v="613"/>
    <x v="29"/>
    <x v="0"/>
    <x v="19"/>
    <x v="3"/>
    <x v="35"/>
    <x v="13"/>
    <s v="L"/>
    <s v="Lavender"/>
    <s v="Fall"/>
    <n v="4.5999999999999996"/>
    <x v="0"/>
    <x v="0"/>
    <x v="0"/>
    <x v="0"/>
    <n v="33"/>
    <x v="2"/>
    <x v="3"/>
    <x v="3"/>
  </r>
  <r>
    <n v="614"/>
    <x v="12"/>
    <x v="0"/>
    <x v="7"/>
    <x v="2"/>
    <x v="12"/>
    <x v="38"/>
    <s v="L"/>
    <s v="Lavender"/>
    <s v="Fall"/>
    <n v="2.6"/>
    <x v="0"/>
    <x v="3"/>
    <x v="0"/>
    <x v="0"/>
    <n v="46"/>
    <x v="1"/>
    <x v="4"/>
    <x v="4"/>
  </r>
  <r>
    <n v="615"/>
    <x v="33"/>
    <x v="0"/>
    <x v="16"/>
    <x v="3"/>
    <x v="6"/>
    <x v="37"/>
    <s v="M"/>
    <s v="Lavender"/>
    <s v="Winter"/>
    <n v="4"/>
    <x v="0"/>
    <x v="3"/>
    <x v="0"/>
    <x v="0"/>
    <n v="21"/>
    <x v="2"/>
    <x v="4"/>
    <x v="4"/>
  </r>
  <r>
    <n v="616"/>
    <x v="29"/>
    <x v="0"/>
    <x v="3"/>
    <x v="1"/>
    <x v="33"/>
    <x v="33"/>
    <s v="L"/>
    <s v="Olive"/>
    <s v="Summer"/>
    <n v="2.6"/>
    <x v="0"/>
    <x v="2"/>
    <x v="0"/>
    <x v="0"/>
    <n v="23"/>
    <x v="0"/>
    <x v="2"/>
    <x v="2"/>
  </r>
  <r>
    <n v="617"/>
    <x v="26"/>
    <x v="0"/>
    <x v="24"/>
    <x v="3"/>
    <x v="11"/>
    <x v="38"/>
    <s v="L"/>
    <s v="Teal"/>
    <s v="Spring"/>
    <n v="4.5999999999999996"/>
    <x v="0"/>
    <x v="1"/>
    <x v="0"/>
    <x v="0"/>
    <n v="38"/>
    <x v="2"/>
    <x v="6"/>
    <x v="3"/>
  </r>
  <r>
    <n v="618"/>
    <x v="2"/>
    <x v="0"/>
    <x v="21"/>
    <x v="3"/>
    <x v="75"/>
    <x v="24"/>
    <s v="M"/>
    <s v="Maroon"/>
    <s v="Fall"/>
    <n v="2.6"/>
    <x v="0"/>
    <x v="3"/>
    <x v="0"/>
    <x v="0"/>
    <n v="2"/>
    <x v="4"/>
    <x v="3"/>
    <x v="3"/>
  </r>
  <r>
    <n v="619"/>
    <x v="12"/>
    <x v="0"/>
    <x v="14"/>
    <x v="2"/>
    <x v="23"/>
    <x v="27"/>
    <s v="L"/>
    <s v="Cyan"/>
    <s v="Spring"/>
    <n v="4"/>
    <x v="0"/>
    <x v="0"/>
    <x v="0"/>
    <x v="0"/>
    <n v="21"/>
    <x v="5"/>
    <x v="4"/>
    <x v="4"/>
  </r>
  <r>
    <n v="620"/>
    <x v="1"/>
    <x v="0"/>
    <x v="21"/>
    <x v="3"/>
    <x v="7"/>
    <x v="43"/>
    <s v="M"/>
    <s v="Charcoal"/>
    <s v="Summer"/>
    <n v="4.5999999999999996"/>
    <x v="0"/>
    <x v="5"/>
    <x v="0"/>
    <x v="0"/>
    <n v="1"/>
    <x v="5"/>
    <x v="6"/>
    <x v="3"/>
  </r>
  <r>
    <n v="621"/>
    <x v="23"/>
    <x v="0"/>
    <x v="21"/>
    <x v="3"/>
    <x v="58"/>
    <x v="3"/>
    <s v="M"/>
    <s v="Black"/>
    <s v="Fall"/>
    <n v="3.7"/>
    <x v="0"/>
    <x v="4"/>
    <x v="0"/>
    <x v="0"/>
    <n v="10"/>
    <x v="0"/>
    <x v="6"/>
    <x v="3"/>
  </r>
  <r>
    <n v="622"/>
    <x v="47"/>
    <x v="0"/>
    <x v="12"/>
    <x v="3"/>
    <x v="65"/>
    <x v="23"/>
    <s v="S"/>
    <s v="Red"/>
    <s v="Fall"/>
    <n v="4.4000000000000004"/>
    <x v="0"/>
    <x v="5"/>
    <x v="0"/>
    <x v="0"/>
    <n v="45"/>
    <x v="2"/>
    <x v="1"/>
    <x v="1"/>
  </r>
  <r>
    <n v="623"/>
    <x v="28"/>
    <x v="0"/>
    <x v="20"/>
    <x v="0"/>
    <x v="80"/>
    <x v="42"/>
    <s v="S"/>
    <s v="Peach"/>
    <s v="Spring"/>
    <n v="4"/>
    <x v="0"/>
    <x v="2"/>
    <x v="0"/>
    <x v="0"/>
    <n v="44"/>
    <x v="4"/>
    <x v="0"/>
    <x v="0"/>
  </r>
  <r>
    <n v="624"/>
    <x v="1"/>
    <x v="0"/>
    <x v="9"/>
    <x v="1"/>
    <x v="44"/>
    <x v="22"/>
    <s v="M"/>
    <s v="White"/>
    <s v="Fall"/>
    <n v="4.7"/>
    <x v="0"/>
    <x v="3"/>
    <x v="0"/>
    <x v="0"/>
    <n v="48"/>
    <x v="3"/>
    <x v="4"/>
    <x v="4"/>
  </r>
  <r>
    <n v="625"/>
    <x v="0"/>
    <x v="0"/>
    <x v="13"/>
    <x v="0"/>
    <x v="55"/>
    <x v="36"/>
    <s v="XL"/>
    <s v="Pink"/>
    <s v="Fall"/>
    <n v="3.4"/>
    <x v="0"/>
    <x v="0"/>
    <x v="0"/>
    <x v="0"/>
    <n v="21"/>
    <x v="3"/>
    <x v="2"/>
    <x v="2"/>
  </r>
  <r>
    <n v="626"/>
    <x v="34"/>
    <x v="0"/>
    <x v="16"/>
    <x v="3"/>
    <x v="24"/>
    <x v="12"/>
    <s v="M"/>
    <s v="Red"/>
    <s v="Fall"/>
    <n v="4"/>
    <x v="0"/>
    <x v="2"/>
    <x v="0"/>
    <x v="0"/>
    <n v="1"/>
    <x v="0"/>
    <x v="1"/>
    <x v="1"/>
  </r>
  <r>
    <n v="627"/>
    <x v="18"/>
    <x v="0"/>
    <x v="12"/>
    <x v="3"/>
    <x v="24"/>
    <x v="13"/>
    <s v="M"/>
    <s v="Indigo"/>
    <s v="Spring"/>
    <n v="3.9"/>
    <x v="0"/>
    <x v="3"/>
    <x v="0"/>
    <x v="0"/>
    <n v="10"/>
    <x v="0"/>
    <x v="2"/>
    <x v="2"/>
  </r>
  <r>
    <n v="628"/>
    <x v="32"/>
    <x v="0"/>
    <x v="3"/>
    <x v="1"/>
    <x v="77"/>
    <x v="4"/>
    <s v="L"/>
    <s v="Black"/>
    <s v="Winter"/>
    <n v="4.0999999999999996"/>
    <x v="0"/>
    <x v="0"/>
    <x v="0"/>
    <x v="0"/>
    <n v="24"/>
    <x v="3"/>
    <x v="5"/>
    <x v="5"/>
  </r>
  <r>
    <n v="629"/>
    <x v="28"/>
    <x v="0"/>
    <x v="1"/>
    <x v="0"/>
    <x v="6"/>
    <x v="2"/>
    <s v="M"/>
    <s v="White"/>
    <s v="Fall"/>
    <n v="3.7"/>
    <x v="0"/>
    <x v="4"/>
    <x v="0"/>
    <x v="0"/>
    <n v="29"/>
    <x v="2"/>
    <x v="5"/>
    <x v="5"/>
  </r>
  <r>
    <n v="630"/>
    <x v="8"/>
    <x v="0"/>
    <x v="9"/>
    <x v="1"/>
    <x v="3"/>
    <x v="34"/>
    <s v="L"/>
    <s v="Beige"/>
    <s v="Spring"/>
    <n v="4.7"/>
    <x v="0"/>
    <x v="3"/>
    <x v="0"/>
    <x v="0"/>
    <n v="11"/>
    <x v="5"/>
    <x v="2"/>
    <x v="2"/>
  </r>
  <r>
    <n v="631"/>
    <x v="38"/>
    <x v="0"/>
    <x v="16"/>
    <x v="3"/>
    <x v="23"/>
    <x v="16"/>
    <s v="S"/>
    <s v="Silver"/>
    <s v="Fall"/>
    <n v="4.3"/>
    <x v="0"/>
    <x v="4"/>
    <x v="0"/>
    <x v="0"/>
    <n v="33"/>
    <x v="5"/>
    <x v="2"/>
    <x v="2"/>
  </r>
  <r>
    <n v="632"/>
    <x v="0"/>
    <x v="0"/>
    <x v="23"/>
    <x v="1"/>
    <x v="10"/>
    <x v="47"/>
    <s v="S"/>
    <s v="Violet"/>
    <s v="Summer"/>
    <n v="4.0999999999999996"/>
    <x v="0"/>
    <x v="5"/>
    <x v="0"/>
    <x v="0"/>
    <n v="27"/>
    <x v="1"/>
    <x v="0"/>
    <x v="0"/>
  </r>
  <r>
    <n v="633"/>
    <x v="25"/>
    <x v="0"/>
    <x v="21"/>
    <x v="3"/>
    <x v="12"/>
    <x v="5"/>
    <s v="M"/>
    <s v="Red"/>
    <s v="Winter"/>
    <n v="3.9"/>
    <x v="0"/>
    <x v="2"/>
    <x v="0"/>
    <x v="0"/>
    <n v="19"/>
    <x v="0"/>
    <x v="0"/>
    <x v="0"/>
  </r>
  <r>
    <n v="634"/>
    <x v="17"/>
    <x v="0"/>
    <x v="3"/>
    <x v="1"/>
    <x v="27"/>
    <x v="46"/>
    <s v="M"/>
    <s v="Orange"/>
    <s v="Spring"/>
    <n v="2.9"/>
    <x v="0"/>
    <x v="0"/>
    <x v="0"/>
    <x v="0"/>
    <n v="50"/>
    <x v="5"/>
    <x v="3"/>
    <x v="3"/>
  </r>
  <r>
    <n v="635"/>
    <x v="24"/>
    <x v="0"/>
    <x v="4"/>
    <x v="1"/>
    <x v="30"/>
    <x v="31"/>
    <s v="M"/>
    <s v="Teal"/>
    <s v="Summer"/>
    <n v="3.9"/>
    <x v="0"/>
    <x v="3"/>
    <x v="0"/>
    <x v="0"/>
    <n v="46"/>
    <x v="3"/>
    <x v="1"/>
    <x v="1"/>
  </r>
  <r>
    <n v="636"/>
    <x v="7"/>
    <x v="0"/>
    <x v="15"/>
    <x v="0"/>
    <x v="40"/>
    <x v="36"/>
    <s v="M"/>
    <s v="Brown"/>
    <s v="Fall"/>
    <n v="4.3"/>
    <x v="0"/>
    <x v="4"/>
    <x v="0"/>
    <x v="0"/>
    <n v="28"/>
    <x v="1"/>
    <x v="3"/>
    <x v="3"/>
  </r>
  <r>
    <n v="637"/>
    <x v="38"/>
    <x v="0"/>
    <x v="8"/>
    <x v="3"/>
    <x v="38"/>
    <x v="48"/>
    <s v="M"/>
    <s v="Indigo"/>
    <s v="Summer"/>
    <n v="2.8"/>
    <x v="0"/>
    <x v="5"/>
    <x v="0"/>
    <x v="0"/>
    <n v="14"/>
    <x v="4"/>
    <x v="6"/>
    <x v="3"/>
  </r>
  <r>
    <n v="638"/>
    <x v="3"/>
    <x v="0"/>
    <x v="1"/>
    <x v="0"/>
    <x v="5"/>
    <x v="30"/>
    <s v="M"/>
    <s v="Cyan"/>
    <s v="Winter"/>
    <n v="3.4"/>
    <x v="0"/>
    <x v="4"/>
    <x v="0"/>
    <x v="0"/>
    <n v="46"/>
    <x v="1"/>
    <x v="0"/>
    <x v="0"/>
  </r>
  <r>
    <n v="639"/>
    <x v="10"/>
    <x v="0"/>
    <x v="3"/>
    <x v="1"/>
    <x v="5"/>
    <x v="33"/>
    <s v="S"/>
    <s v="Blue"/>
    <s v="Summer"/>
    <n v="2.7"/>
    <x v="0"/>
    <x v="0"/>
    <x v="0"/>
    <x v="0"/>
    <n v="41"/>
    <x v="3"/>
    <x v="5"/>
    <x v="5"/>
  </r>
  <r>
    <n v="640"/>
    <x v="22"/>
    <x v="0"/>
    <x v="10"/>
    <x v="0"/>
    <x v="41"/>
    <x v="16"/>
    <s v="L"/>
    <s v="Olive"/>
    <s v="Spring"/>
    <n v="4"/>
    <x v="0"/>
    <x v="4"/>
    <x v="0"/>
    <x v="0"/>
    <n v="50"/>
    <x v="2"/>
    <x v="2"/>
    <x v="2"/>
  </r>
  <r>
    <n v="641"/>
    <x v="10"/>
    <x v="0"/>
    <x v="11"/>
    <x v="0"/>
    <x v="19"/>
    <x v="46"/>
    <s v="M"/>
    <s v="Gray"/>
    <s v="Summer"/>
    <n v="4.4000000000000004"/>
    <x v="0"/>
    <x v="5"/>
    <x v="0"/>
    <x v="0"/>
    <n v="28"/>
    <x v="5"/>
    <x v="0"/>
    <x v="0"/>
  </r>
  <r>
    <n v="642"/>
    <x v="36"/>
    <x v="0"/>
    <x v="0"/>
    <x v="0"/>
    <x v="72"/>
    <x v="29"/>
    <s v="M"/>
    <s v="Red"/>
    <s v="Winter"/>
    <n v="3.9"/>
    <x v="0"/>
    <x v="4"/>
    <x v="0"/>
    <x v="0"/>
    <n v="23"/>
    <x v="2"/>
    <x v="6"/>
    <x v="3"/>
  </r>
  <r>
    <n v="643"/>
    <x v="14"/>
    <x v="0"/>
    <x v="11"/>
    <x v="0"/>
    <x v="21"/>
    <x v="10"/>
    <s v="L"/>
    <s v="Red"/>
    <s v="Spring"/>
    <n v="2.8"/>
    <x v="0"/>
    <x v="4"/>
    <x v="0"/>
    <x v="0"/>
    <n v="14"/>
    <x v="5"/>
    <x v="4"/>
    <x v="4"/>
  </r>
  <r>
    <n v="644"/>
    <x v="20"/>
    <x v="0"/>
    <x v="1"/>
    <x v="0"/>
    <x v="75"/>
    <x v="4"/>
    <s v="XL"/>
    <s v="Green"/>
    <s v="Winter"/>
    <n v="3.2"/>
    <x v="0"/>
    <x v="2"/>
    <x v="0"/>
    <x v="0"/>
    <n v="10"/>
    <x v="4"/>
    <x v="6"/>
    <x v="3"/>
  </r>
  <r>
    <n v="645"/>
    <x v="33"/>
    <x v="0"/>
    <x v="21"/>
    <x v="3"/>
    <x v="73"/>
    <x v="7"/>
    <s v="S"/>
    <s v="Blue"/>
    <s v="Summer"/>
    <n v="4.3"/>
    <x v="0"/>
    <x v="2"/>
    <x v="0"/>
    <x v="0"/>
    <n v="37"/>
    <x v="1"/>
    <x v="1"/>
    <x v="1"/>
  </r>
  <r>
    <n v="646"/>
    <x v="46"/>
    <x v="0"/>
    <x v="15"/>
    <x v="0"/>
    <x v="69"/>
    <x v="19"/>
    <s v="S"/>
    <s v="Purple"/>
    <s v="Summer"/>
    <n v="4.2"/>
    <x v="0"/>
    <x v="0"/>
    <x v="0"/>
    <x v="0"/>
    <n v="15"/>
    <x v="0"/>
    <x v="4"/>
    <x v="4"/>
  </r>
  <r>
    <n v="647"/>
    <x v="47"/>
    <x v="0"/>
    <x v="23"/>
    <x v="1"/>
    <x v="36"/>
    <x v="27"/>
    <s v="XL"/>
    <s v="Pink"/>
    <s v="Spring"/>
    <n v="4.9000000000000004"/>
    <x v="0"/>
    <x v="3"/>
    <x v="0"/>
    <x v="0"/>
    <n v="19"/>
    <x v="0"/>
    <x v="4"/>
    <x v="4"/>
  </r>
  <r>
    <n v="648"/>
    <x v="22"/>
    <x v="0"/>
    <x v="0"/>
    <x v="0"/>
    <x v="44"/>
    <x v="16"/>
    <s v="XL"/>
    <s v="Charcoal"/>
    <s v="Summer"/>
    <n v="3.7"/>
    <x v="0"/>
    <x v="0"/>
    <x v="0"/>
    <x v="0"/>
    <n v="23"/>
    <x v="2"/>
    <x v="0"/>
    <x v="0"/>
  </r>
  <r>
    <n v="649"/>
    <x v="40"/>
    <x v="0"/>
    <x v="15"/>
    <x v="0"/>
    <x v="9"/>
    <x v="49"/>
    <s v="M"/>
    <s v="Brown"/>
    <s v="Winter"/>
    <n v="4.0999999999999996"/>
    <x v="0"/>
    <x v="5"/>
    <x v="0"/>
    <x v="0"/>
    <n v="35"/>
    <x v="2"/>
    <x v="1"/>
    <x v="1"/>
  </r>
  <r>
    <n v="650"/>
    <x v="10"/>
    <x v="0"/>
    <x v="13"/>
    <x v="0"/>
    <x v="73"/>
    <x v="12"/>
    <s v="L"/>
    <s v="Orange"/>
    <s v="Spring"/>
    <n v="4.2"/>
    <x v="0"/>
    <x v="5"/>
    <x v="0"/>
    <x v="0"/>
    <n v="33"/>
    <x v="3"/>
    <x v="6"/>
    <x v="3"/>
  </r>
  <r>
    <n v="651"/>
    <x v="50"/>
    <x v="0"/>
    <x v="24"/>
    <x v="3"/>
    <x v="49"/>
    <x v="20"/>
    <s v="M"/>
    <s v="Magenta"/>
    <s v="Spring"/>
    <n v="3.9"/>
    <x v="0"/>
    <x v="2"/>
    <x v="0"/>
    <x v="0"/>
    <n v="12"/>
    <x v="4"/>
    <x v="2"/>
    <x v="2"/>
  </r>
  <r>
    <n v="652"/>
    <x v="45"/>
    <x v="0"/>
    <x v="19"/>
    <x v="3"/>
    <x v="50"/>
    <x v="10"/>
    <s v="L"/>
    <s v="Yellow"/>
    <s v="Summer"/>
    <n v="2.9"/>
    <x v="0"/>
    <x v="2"/>
    <x v="0"/>
    <x v="0"/>
    <n v="41"/>
    <x v="0"/>
    <x v="0"/>
    <x v="0"/>
  </r>
  <r>
    <n v="653"/>
    <x v="14"/>
    <x v="0"/>
    <x v="12"/>
    <x v="3"/>
    <x v="65"/>
    <x v="46"/>
    <s v="M"/>
    <s v="Beige"/>
    <s v="Winter"/>
    <n v="3.1"/>
    <x v="0"/>
    <x v="1"/>
    <x v="0"/>
    <x v="0"/>
    <n v="27"/>
    <x v="0"/>
    <x v="1"/>
    <x v="1"/>
  </r>
  <r>
    <n v="654"/>
    <x v="30"/>
    <x v="0"/>
    <x v="18"/>
    <x v="3"/>
    <x v="10"/>
    <x v="25"/>
    <s v="M"/>
    <s v="Olive"/>
    <s v="Winter"/>
    <n v="3.6"/>
    <x v="0"/>
    <x v="4"/>
    <x v="0"/>
    <x v="0"/>
    <n v="45"/>
    <x v="1"/>
    <x v="0"/>
    <x v="0"/>
  </r>
  <r>
    <n v="655"/>
    <x v="41"/>
    <x v="0"/>
    <x v="8"/>
    <x v="3"/>
    <x v="40"/>
    <x v="18"/>
    <s v="L"/>
    <s v="Gray"/>
    <s v="Summer"/>
    <n v="4.4000000000000004"/>
    <x v="0"/>
    <x v="4"/>
    <x v="0"/>
    <x v="0"/>
    <n v="23"/>
    <x v="0"/>
    <x v="2"/>
    <x v="2"/>
  </r>
  <r>
    <n v="656"/>
    <x v="30"/>
    <x v="0"/>
    <x v="8"/>
    <x v="3"/>
    <x v="14"/>
    <x v="16"/>
    <s v="S"/>
    <s v="Purple"/>
    <s v="Fall"/>
    <n v="3.1"/>
    <x v="0"/>
    <x v="1"/>
    <x v="0"/>
    <x v="0"/>
    <n v="19"/>
    <x v="0"/>
    <x v="5"/>
    <x v="5"/>
  </r>
  <r>
    <n v="657"/>
    <x v="32"/>
    <x v="0"/>
    <x v="2"/>
    <x v="0"/>
    <x v="66"/>
    <x v="38"/>
    <s v="M"/>
    <s v="Beige"/>
    <s v="Summer"/>
    <n v="3.9"/>
    <x v="0"/>
    <x v="3"/>
    <x v="0"/>
    <x v="0"/>
    <n v="6"/>
    <x v="3"/>
    <x v="3"/>
    <x v="3"/>
  </r>
  <r>
    <n v="658"/>
    <x v="39"/>
    <x v="0"/>
    <x v="14"/>
    <x v="2"/>
    <x v="68"/>
    <x v="28"/>
    <s v="M"/>
    <s v="White"/>
    <s v="Winter"/>
    <n v="4.3"/>
    <x v="0"/>
    <x v="1"/>
    <x v="0"/>
    <x v="0"/>
    <n v="6"/>
    <x v="3"/>
    <x v="3"/>
    <x v="3"/>
  </r>
  <r>
    <n v="659"/>
    <x v="46"/>
    <x v="0"/>
    <x v="21"/>
    <x v="3"/>
    <x v="18"/>
    <x v="7"/>
    <s v="S"/>
    <s v="White"/>
    <s v="Fall"/>
    <n v="4.9000000000000004"/>
    <x v="0"/>
    <x v="5"/>
    <x v="0"/>
    <x v="0"/>
    <n v="20"/>
    <x v="0"/>
    <x v="1"/>
    <x v="1"/>
  </r>
  <r>
    <n v="660"/>
    <x v="46"/>
    <x v="0"/>
    <x v="6"/>
    <x v="0"/>
    <x v="78"/>
    <x v="41"/>
    <s v="S"/>
    <s v="Gold"/>
    <s v="Spring"/>
    <n v="3.6"/>
    <x v="0"/>
    <x v="4"/>
    <x v="0"/>
    <x v="0"/>
    <n v="8"/>
    <x v="1"/>
    <x v="1"/>
    <x v="1"/>
  </r>
  <r>
    <n v="661"/>
    <x v="2"/>
    <x v="0"/>
    <x v="7"/>
    <x v="2"/>
    <x v="24"/>
    <x v="6"/>
    <s v="M"/>
    <s v="Olive"/>
    <s v="Fall"/>
    <n v="5"/>
    <x v="0"/>
    <x v="4"/>
    <x v="0"/>
    <x v="0"/>
    <n v="39"/>
    <x v="2"/>
    <x v="3"/>
    <x v="3"/>
  </r>
  <r>
    <n v="662"/>
    <x v="9"/>
    <x v="0"/>
    <x v="5"/>
    <x v="0"/>
    <x v="10"/>
    <x v="44"/>
    <s v="XL"/>
    <s v="Green"/>
    <s v="Fall"/>
    <n v="4.0999999999999996"/>
    <x v="0"/>
    <x v="5"/>
    <x v="0"/>
    <x v="0"/>
    <n v="39"/>
    <x v="2"/>
    <x v="3"/>
    <x v="3"/>
  </r>
  <r>
    <n v="663"/>
    <x v="41"/>
    <x v="0"/>
    <x v="24"/>
    <x v="3"/>
    <x v="57"/>
    <x v="26"/>
    <s v="L"/>
    <s v="Magenta"/>
    <s v="Fall"/>
    <n v="2.8"/>
    <x v="0"/>
    <x v="0"/>
    <x v="0"/>
    <x v="0"/>
    <n v="39"/>
    <x v="0"/>
    <x v="4"/>
    <x v="4"/>
  </r>
  <r>
    <n v="664"/>
    <x v="35"/>
    <x v="0"/>
    <x v="10"/>
    <x v="0"/>
    <x v="42"/>
    <x v="29"/>
    <s v="M"/>
    <s v="Charcoal"/>
    <s v="Fall"/>
    <n v="4.7"/>
    <x v="0"/>
    <x v="0"/>
    <x v="0"/>
    <x v="0"/>
    <n v="23"/>
    <x v="2"/>
    <x v="5"/>
    <x v="5"/>
  </r>
  <r>
    <n v="665"/>
    <x v="6"/>
    <x v="0"/>
    <x v="13"/>
    <x v="0"/>
    <x v="42"/>
    <x v="24"/>
    <s v="M"/>
    <s v="Indigo"/>
    <s v="Winter"/>
    <n v="4.4000000000000004"/>
    <x v="0"/>
    <x v="0"/>
    <x v="0"/>
    <x v="0"/>
    <n v="41"/>
    <x v="3"/>
    <x v="4"/>
    <x v="4"/>
  </r>
  <r>
    <n v="666"/>
    <x v="38"/>
    <x v="0"/>
    <x v="13"/>
    <x v="0"/>
    <x v="37"/>
    <x v="35"/>
    <s v="M"/>
    <s v="Peach"/>
    <s v="Spring"/>
    <n v="4.9000000000000004"/>
    <x v="0"/>
    <x v="4"/>
    <x v="0"/>
    <x v="0"/>
    <n v="50"/>
    <x v="2"/>
    <x v="2"/>
    <x v="2"/>
  </r>
  <r>
    <n v="667"/>
    <x v="25"/>
    <x v="0"/>
    <x v="15"/>
    <x v="0"/>
    <x v="46"/>
    <x v="24"/>
    <s v="L"/>
    <s v="Turquoise"/>
    <s v="Winter"/>
    <n v="3.1"/>
    <x v="0"/>
    <x v="1"/>
    <x v="0"/>
    <x v="0"/>
    <n v="30"/>
    <x v="5"/>
    <x v="3"/>
    <x v="3"/>
  </r>
  <r>
    <n v="668"/>
    <x v="50"/>
    <x v="0"/>
    <x v="12"/>
    <x v="3"/>
    <x v="31"/>
    <x v="28"/>
    <s v="S"/>
    <s v="Blue"/>
    <s v="Winter"/>
    <n v="2.6"/>
    <x v="0"/>
    <x v="3"/>
    <x v="0"/>
    <x v="0"/>
    <n v="32"/>
    <x v="4"/>
    <x v="3"/>
    <x v="3"/>
  </r>
  <r>
    <n v="669"/>
    <x v="34"/>
    <x v="0"/>
    <x v="17"/>
    <x v="0"/>
    <x v="6"/>
    <x v="11"/>
    <s v="S"/>
    <s v="Turquoise"/>
    <s v="Fall"/>
    <n v="2.9"/>
    <x v="0"/>
    <x v="0"/>
    <x v="0"/>
    <x v="0"/>
    <n v="35"/>
    <x v="4"/>
    <x v="5"/>
    <x v="5"/>
  </r>
  <r>
    <n v="670"/>
    <x v="49"/>
    <x v="0"/>
    <x v="14"/>
    <x v="2"/>
    <x v="58"/>
    <x v="26"/>
    <s v="M"/>
    <s v="Gray"/>
    <s v="Spring"/>
    <n v="3.3"/>
    <x v="0"/>
    <x v="1"/>
    <x v="0"/>
    <x v="0"/>
    <n v="45"/>
    <x v="0"/>
    <x v="4"/>
    <x v="4"/>
  </r>
  <r>
    <n v="671"/>
    <x v="6"/>
    <x v="0"/>
    <x v="1"/>
    <x v="0"/>
    <x v="52"/>
    <x v="7"/>
    <s v="XL"/>
    <s v="Purple"/>
    <s v="Spring"/>
    <n v="4.8"/>
    <x v="0"/>
    <x v="2"/>
    <x v="0"/>
    <x v="0"/>
    <n v="37"/>
    <x v="1"/>
    <x v="4"/>
    <x v="4"/>
  </r>
  <r>
    <n v="672"/>
    <x v="21"/>
    <x v="0"/>
    <x v="14"/>
    <x v="2"/>
    <x v="38"/>
    <x v="44"/>
    <s v="L"/>
    <s v="Black"/>
    <s v="Winter"/>
    <n v="4.7"/>
    <x v="0"/>
    <x v="0"/>
    <x v="0"/>
    <x v="0"/>
    <n v="45"/>
    <x v="1"/>
    <x v="1"/>
    <x v="1"/>
  </r>
  <r>
    <n v="673"/>
    <x v="35"/>
    <x v="0"/>
    <x v="20"/>
    <x v="0"/>
    <x v="0"/>
    <x v="47"/>
    <s v="M"/>
    <s v="Peach"/>
    <s v="Winter"/>
    <n v="3.3"/>
    <x v="0"/>
    <x v="4"/>
    <x v="0"/>
    <x v="0"/>
    <n v="29"/>
    <x v="1"/>
    <x v="3"/>
    <x v="3"/>
  </r>
  <r>
    <n v="674"/>
    <x v="25"/>
    <x v="0"/>
    <x v="5"/>
    <x v="0"/>
    <x v="76"/>
    <x v="19"/>
    <s v="M"/>
    <s v="Indigo"/>
    <s v="Spring"/>
    <n v="4.2"/>
    <x v="0"/>
    <x v="1"/>
    <x v="0"/>
    <x v="0"/>
    <n v="27"/>
    <x v="0"/>
    <x v="4"/>
    <x v="4"/>
  </r>
  <r>
    <n v="675"/>
    <x v="39"/>
    <x v="0"/>
    <x v="16"/>
    <x v="3"/>
    <x v="27"/>
    <x v="47"/>
    <s v="XL"/>
    <s v="Beige"/>
    <s v="Winter"/>
    <n v="4.7"/>
    <x v="0"/>
    <x v="5"/>
    <x v="0"/>
    <x v="0"/>
    <n v="36"/>
    <x v="4"/>
    <x v="2"/>
    <x v="2"/>
  </r>
  <r>
    <n v="676"/>
    <x v="14"/>
    <x v="0"/>
    <x v="12"/>
    <x v="3"/>
    <x v="62"/>
    <x v="10"/>
    <s v="M"/>
    <s v="Yellow"/>
    <s v="Spring"/>
    <n v="2.6"/>
    <x v="0"/>
    <x v="4"/>
    <x v="0"/>
    <x v="0"/>
    <n v="9"/>
    <x v="1"/>
    <x v="2"/>
    <x v="2"/>
  </r>
  <r>
    <n v="677"/>
    <x v="48"/>
    <x v="0"/>
    <x v="13"/>
    <x v="0"/>
    <x v="30"/>
    <x v="39"/>
    <s v="M"/>
    <s v="Peach"/>
    <s v="Winter"/>
    <n v="2.9"/>
    <x v="0"/>
    <x v="4"/>
    <x v="0"/>
    <x v="0"/>
    <n v="38"/>
    <x v="0"/>
    <x v="4"/>
    <x v="4"/>
  </r>
  <r>
    <n v="678"/>
    <x v="52"/>
    <x v="0"/>
    <x v="20"/>
    <x v="0"/>
    <x v="17"/>
    <x v="47"/>
    <s v="S"/>
    <s v="Turquoise"/>
    <s v="Summer"/>
    <n v="2.7"/>
    <x v="0"/>
    <x v="0"/>
    <x v="0"/>
    <x v="0"/>
    <n v="41"/>
    <x v="3"/>
    <x v="2"/>
    <x v="2"/>
  </r>
  <r>
    <n v="679"/>
    <x v="7"/>
    <x v="0"/>
    <x v="0"/>
    <x v="0"/>
    <x v="67"/>
    <x v="1"/>
    <s v="M"/>
    <s v="Teal"/>
    <s v="Fall"/>
    <n v="3.3"/>
    <x v="0"/>
    <x v="5"/>
    <x v="0"/>
    <x v="0"/>
    <n v="25"/>
    <x v="5"/>
    <x v="6"/>
    <x v="3"/>
  </r>
  <r>
    <n v="680"/>
    <x v="19"/>
    <x v="0"/>
    <x v="3"/>
    <x v="1"/>
    <x v="51"/>
    <x v="49"/>
    <s v="M"/>
    <s v="Turquoise"/>
    <s v="Fall"/>
    <n v="3.4"/>
    <x v="0"/>
    <x v="0"/>
    <x v="0"/>
    <x v="0"/>
    <n v="37"/>
    <x v="0"/>
    <x v="0"/>
    <x v="0"/>
  </r>
  <r>
    <n v="681"/>
    <x v="44"/>
    <x v="0"/>
    <x v="4"/>
    <x v="1"/>
    <x v="21"/>
    <x v="30"/>
    <s v="M"/>
    <s v="Magenta"/>
    <s v="Spring"/>
    <n v="4.2"/>
    <x v="0"/>
    <x v="0"/>
    <x v="0"/>
    <x v="0"/>
    <n v="3"/>
    <x v="3"/>
    <x v="2"/>
    <x v="2"/>
  </r>
  <r>
    <n v="682"/>
    <x v="11"/>
    <x v="0"/>
    <x v="5"/>
    <x v="0"/>
    <x v="40"/>
    <x v="7"/>
    <s v="XL"/>
    <s v="Purple"/>
    <s v="Winter"/>
    <n v="3.8"/>
    <x v="0"/>
    <x v="4"/>
    <x v="0"/>
    <x v="0"/>
    <n v="24"/>
    <x v="2"/>
    <x v="6"/>
    <x v="3"/>
  </r>
  <r>
    <n v="683"/>
    <x v="51"/>
    <x v="0"/>
    <x v="14"/>
    <x v="2"/>
    <x v="45"/>
    <x v="9"/>
    <s v="M"/>
    <s v="Brown"/>
    <s v="Summer"/>
    <n v="4"/>
    <x v="0"/>
    <x v="3"/>
    <x v="0"/>
    <x v="0"/>
    <n v="49"/>
    <x v="2"/>
    <x v="4"/>
    <x v="4"/>
  </r>
  <r>
    <n v="684"/>
    <x v="23"/>
    <x v="0"/>
    <x v="3"/>
    <x v="1"/>
    <x v="14"/>
    <x v="49"/>
    <s v="S"/>
    <s v="Violet"/>
    <s v="Winter"/>
    <n v="2.7"/>
    <x v="0"/>
    <x v="1"/>
    <x v="0"/>
    <x v="0"/>
    <n v="3"/>
    <x v="4"/>
    <x v="5"/>
    <x v="5"/>
  </r>
  <r>
    <n v="685"/>
    <x v="6"/>
    <x v="0"/>
    <x v="19"/>
    <x v="3"/>
    <x v="71"/>
    <x v="15"/>
    <s v="M"/>
    <s v="Yellow"/>
    <s v="Summer"/>
    <n v="4.7"/>
    <x v="0"/>
    <x v="0"/>
    <x v="0"/>
    <x v="0"/>
    <n v="42"/>
    <x v="5"/>
    <x v="5"/>
    <x v="5"/>
  </r>
  <r>
    <n v="686"/>
    <x v="27"/>
    <x v="0"/>
    <x v="0"/>
    <x v="0"/>
    <x v="79"/>
    <x v="2"/>
    <s v="XL"/>
    <s v="Magenta"/>
    <s v="Winter"/>
    <n v="3.5"/>
    <x v="0"/>
    <x v="3"/>
    <x v="0"/>
    <x v="0"/>
    <n v="32"/>
    <x v="1"/>
    <x v="0"/>
    <x v="0"/>
  </r>
  <r>
    <n v="687"/>
    <x v="27"/>
    <x v="0"/>
    <x v="1"/>
    <x v="0"/>
    <x v="59"/>
    <x v="27"/>
    <s v="L"/>
    <s v="Beige"/>
    <s v="Fall"/>
    <n v="3"/>
    <x v="0"/>
    <x v="4"/>
    <x v="0"/>
    <x v="0"/>
    <n v="33"/>
    <x v="0"/>
    <x v="0"/>
    <x v="0"/>
  </r>
  <r>
    <n v="688"/>
    <x v="1"/>
    <x v="0"/>
    <x v="24"/>
    <x v="3"/>
    <x v="15"/>
    <x v="8"/>
    <s v="XL"/>
    <s v="Turquoise"/>
    <s v="Winter"/>
    <n v="3.3"/>
    <x v="0"/>
    <x v="1"/>
    <x v="0"/>
    <x v="0"/>
    <n v="46"/>
    <x v="4"/>
    <x v="3"/>
    <x v="3"/>
  </r>
  <r>
    <n v="689"/>
    <x v="15"/>
    <x v="0"/>
    <x v="18"/>
    <x v="3"/>
    <x v="40"/>
    <x v="49"/>
    <s v="S"/>
    <s v="Peach"/>
    <s v="Summer"/>
    <n v="4.7"/>
    <x v="0"/>
    <x v="5"/>
    <x v="0"/>
    <x v="0"/>
    <n v="44"/>
    <x v="0"/>
    <x v="5"/>
    <x v="5"/>
  </r>
  <r>
    <n v="690"/>
    <x v="1"/>
    <x v="0"/>
    <x v="15"/>
    <x v="0"/>
    <x v="26"/>
    <x v="38"/>
    <s v="M"/>
    <s v="Orange"/>
    <s v="Summer"/>
    <n v="4.7"/>
    <x v="0"/>
    <x v="0"/>
    <x v="0"/>
    <x v="0"/>
    <n v="35"/>
    <x v="2"/>
    <x v="6"/>
    <x v="3"/>
  </r>
  <r>
    <n v="691"/>
    <x v="15"/>
    <x v="0"/>
    <x v="6"/>
    <x v="0"/>
    <x v="10"/>
    <x v="29"/>
    <s v="XL"/>
    <s v="Red"/>
    <s v="Spring"/>
    <n v="4.8"/>
    <x v="0"/>
    <x v="3"/>
    <x v="0"/>
    <x v="0"/>
    <n v="45"/>
    <x v="4"/>
    <x v="1"/>
    <x v="1"/>
  </r>
  <r>
    <n v="692"/>
    <x v="52"/>
    <x v="0"/>
    <x v="21"/>
    <x v="3"/>
    <x v="34"/>
    <x v="2"/>
    <s v="L"/>
    <s v="Silver"/>
    <s v="Summer"/>
    <n v="2.9"/>
    <x v="0"/>
    <x v="3"/>
    <x v="0"/>
    <x v="0"/>
    <n v="37"/>
    <x v="3"/>
    <x v="4"/>
    <x v="4"/>
  </r>
  <r>
    <n v="693"/>
    <x v="25"/>
    <x v="0"/>
    <x v="12"/>
    <x v="3"/>
    <x v="51"/>
    <x v="25"/>
    <s v="M"/>
    <s v="Cyan"/>
    <s v="Spring"/>
    <n v="4"/>
    <x v="0"/>
    <x v="4"/>
    <x v="0"/>
    <x v="0"/>
    <n v="40"/>
    <x v="5"/>
    <x v="6"/>
    <x v="3"/>
  </r>
  <r>
    <n v="694"/>
    <x v="5"/>
    <x v="0"/>
    <x v="6"/>
    <x v="0"/>
    <x v="78"/>
    <x v="34"/>
    <s v="L"/>
    <s v="Turquoise"/>
    <s v="Spring"/>
    <n v="3.1"/>
    <x v="0"/>
    <x v="1"/>
    <x v="0"/>
    <x v="0"/>
    <n v="30"/>
    <x v="1"/>
    <x v="6"/>
    <x v="3"/>
  </r>
  <r>
    <n v="695"/>
    <x v="38"/>
    <x v="0"/>
    <x v="10"/>
    <x v="0"/>
    <x v="34"/>
    <x v="0"/>
    <s v="S"/>
    <s v="Charcoal"/>
    <s v="Fall"/>
    <n v="3.5"/>
    <x v="0"/>
    <x v="4"/>
    <x v="0"/>
    <x v="0"/>
    <n v="38"/>
    <x v="0"/>
    <x v="6"/>
    <x v="3"/>
  </r>
  <r>
    <n v="696"/>
    <x v="11"/>
    <x v="0"/>
    <x v="6"/>
    <x v="0"/>
    <x v="25"/>
    <x v="22"/>
    <s v="XL"/>
    <s v="Peach"/>
    <s v="Summer"/>
    <n v="3.7"/>
    <x v="0"/>
    <x v="2"/>
    <x v="0"/>
    <x v="0"/>
    <n v="15"/>
    <x v="5"/>
    <x v="6"/>
    <x v="3"/>
  </r>
  <r>
    <n v="697"/>
    <x v="42"/>
    <x v="0"/>
    <x v="22"/>
    <x v="3"/>
    <x v="69"/>
    <x v="40"/>
    <s v="L"/>
    <s v="Green"/>
    <s v="Fall"/>
    <n v="2.8"/>
    <x v="0"/>
    <x v="3"/>
    <x v="0"/>
    <x v="0"/>
    <n v="49"/>
    <x v="1"/>
    <x v="5"/>
    <x v="5"/>
  </r>
  <r>
    <n v="698"/>
    <x v="12"/>
    <x v="0"/>
    <x v="18"/>
    <x v="3"/>
    <x v="80"/>
    <x v="25"/>
    <s v="XL"/>
    <s v="Brown"/>
    <s v="Summer"/>
    <n v="4.5999999999999996"/>
    <x v="0"/>
    <x v="1"/>
    <x v="0"/>
    <x v="0"/>
    <n v="40"/>
    <x v="5"/>
    <x v="3"/>
    <x v="3"/>
  </r>
  <r>
    <n v="699"/>
    <x v="0"/>
    <x v="0"/>
    <x v="23"/>
    <x v="1"/>
    <x v="52"/>
    <x v="44"/>
    <s v="M"/>
    <s v="Yellow"/>
    <s v="Winter"/>
    <n v="3.8"/>
    <x v="0"/>
    <x v="3"/>
    <x v="0"/>
    <x v="0"/>
    <n v="40"/>
    <x v="5"/>
    <x v="1"/>
    <x v="1"/>
  </r>
  <r>
    <n v="700"/>
    <x v="2"/>
    <x v="0"/>
    <x v="8"/>
    <x v="3"/>
    <x v="43"/>
    <x v="39"/>
    <s v="M"/>
    <s v="Charcoal"/>
    <s v="Fall"/>
    <n v="2.6"/>
    <x v="0"/>
    <x v="4"/>
    <x v="0"/>
    <x v="0"/>
    <n v="5"/>
    <x v="3"/>
    <x v="1"/>
    <x v="1"/>
  </r>
  <r>
    <n v="701"/>
    <x v="9"/>
    <x v="0"/>
    <x v="13"/>
    <x v="0"/>
    <x v="24"/>
    <x v="48"/>
    <s v="L"/>
    <s v="Olive"/>
    <s v="Winter"/>
    <n v="4.0999999999999996"/>
    <x v="0"/>
    <x v="3"/>
    <x v="0"/>
    <x v="0"/>
    <n v="5"/>
    <x v="3"/>
    <x v="5"/>
    <x v="5"/>
  </r>
  <r>
    <n v="702"/>
    <x v="47"/>
    <x v="0"/>
    <x v="23"/>
    <x v="1"/>
    <x v="3"/>
    <x v="37"/>
    <s v="L"/>
    <s v="Red"/>
    <s v="Fall"/>
    <n v="3.3"/>
    <x v="0"/>
    <x v="2"/>
    <x v="0"/>
    <x v="0"/>
    <n v="5"/>
    <x v="5"/>
    <x v="6"/>
    <x v="3"/>
  </r>
  <r>
    <n v="703"/>
    <x v="20"/>
    <x v="0"/>
    <x v="5"/>
    <x v="0"/>
    <x v="79"/>
    <x v="6"/>
    <s v="M"/>
    <s v="White"/>
    <s v="Winter"/>
    <n v="3.4"/>
    <x v="0"/>
    <x v="5"/>
    <x v="0"/>
    <x v="0"/>
    <n v="1"/>
    <x v="1"/>
    <x v="1"/>
    <x v="1"/>
  </r>
  <r>
    <n v="704"/>
    <x v="6"/>
    <x v="0"/>
    <x v="10"/>
    <x v="0"/>
    <x v="55"/>
    <x v="39"/>
    <s v="L"/>
    <s v="Pink"/>
    <s v="Summer"/>
    <n v="3"/>
    <x v="0"/>
    <x v="3"/>
    <x v="0"/>
    <x v="0"/>
    <n v="21"/>
    <x v="0"/>
    <x v="1"/>
    <x v="1"/>
  </r>
  <r>
    <n v="705"/>
    <x v="50"/>
    <x v="0"/>
    <x v="15"/>
    <x v="0"/>
    <x v="76"/>
    <x v="37"/>
    <s v="S"/>
    <s v="Black"/>
    <s v="Spring"/>
    <n v="3.2"/>
    <x v="0"/>
    <x v="0"/>
    <x v="0"/>
    <x v="0"/>
    <n v="18"/>
    <x v="3"/>
    <x v="2"/>
    <x v="2"/>
  </r>
  <r>
    <n v="706"/>
    <x v="15"/>
    <x v="0"/>
    <x v="13"/>
    <x v="0"/>
    <x v="3"/>
    <x v="10"/>
    <s v="XL"/>
    <s v="Indigo"/>
    <s v="Summer"/>
    <n v="4.5"/>
    <x v="0"/>
    <x v="1"/>
    <x v="0"/>
    <x v="0"/>
    <n v="49"/>
    <x v="1"/>
    <x v="3"/>
    <x v="3"/>
  </r>
  <r>
    <n v="707"/>
    <x v="5"/>
    <x v="0"/>
    <x v="2"/>
    <x v="0"/>
    <x v="53"/>
    <x v="44"/>
    <s v="L"/>
    <s v="Turquoise"/>
    <s v="Summer"/>
    <n v="4.8"/>
    <x v="0"/>
    <x v="0"/>
    <x v="0"/>
    <x v="0"/>
    <n v="27"/>
    <x v="5"/>
    <x v="1"/>
    <x v="1"/>
  </r>
  <r>
    <n v="708"/>
    <x v="35"/>
    <x v="0"/>
    <x v="5"/>
    <x v="0"/>
    <x v="15"/>
    <x v="7"/>
    <s v="L"/>
    <s v="Purple"/>
    <s v="Spring"/>
    <n v="3.7"/>
    <x v="0"/>
    <x v="2"/>
    <x v="0"/>
    <x v="0"/>
    <n v="21"/>
    <x v="0"/>
    <x v="2"/>
    <x v="2"/>
  </r>
  <r>
    <n v="709"/>
    <x v="43"/>
    <x v="0"/>
    <x v="21"/>
    <x v="3"/>
    <x v="74"/>
    <x v="0"/>
    <s v="L"/>
    <s v="Beige"/>
    <s v="Summer"/>
    <n v="3.4"/>
    <x v="0"/>
    <x v="5"/>
    <x v="0"/>
    <x v="0"/>
    <n v="19"/>
    <x v="1"/>
    <x v="0"/>
    <x v="0"/>
  </r>
  <r>
    <n v="710"/>
    <x v="34"/>
    <x v="0"/>
    <x v="14"/>
    <x v="2"/>
    <x v="24"/>
    <x v="2"/>
    <s v="L"/>
    <s v="Charcoal"/>
    <s v="Summer"/>
    <n v="4.5999999999999996"/>
    <x v="0"/>
    <x v="3"/>
    <x v="0"/>
    <x v="0"/>
    <n v="23"/>
    <x v="5"/>
    <x v="5"/>
    <x v="5"/>
  </r>
  <r>
    <n v="711"/>
    <x v="40"/>
    <x v="0"/>
    <x v="18"/>
    <x v="3"/>
    <x v="26"/>
    <x v="41"/>
    <s v="L"/>
    <s v="Turquoise"/>
    <s v="Spring"/>
    <n v="4.0999999999999996"/>
    <x v="0"/>
    <x v="3"/>
    <x v="0"/>
    <x v="0"/>
    <n v="26"/>
    <x v="3"/>
    <x v="0"/>
    <x v="0"/>
  </r>
  <r>
    <n v="712"/>
    <x v="14"/>
    <x v="0"/>
    <x v="23"/>
    <x v="1"/>
    <x v="30"/>
    <x v="13"/>
    <s v="M"/>
    <s v="Maroon"/>
    <s v="Spring"/>
    <n v="3.5"/>
    <x v="0"/>
    <x v="4"/>
    <x v="0"/>
    <x v="0"/>
    <n v="13"/>
    <x v="4"/>
    <x v="4"/>
    <x v="4"/>
  </r>
  <r>
    <n v="713"/>
    <x v="32"/>
    <x v="0"/>
    <x v="0"/>
    <x v="0"/>
    <x v="13"/>
    <x v="13"/>
    <s v="XL"/>
    <s v="Black"/>
    <s v="Summer"/>
    <n v="3.8"/>
    <x v="0"/>
    <x v="2"/>
    <x v="0"/>
    <x v="0"/>
    <n v="36"/>
    <x v="4"/>
    <x v="3"/>
    <x v="3"/>
  </r>
  <r>
    <n v="714"/>
    <x v="43"/>
    <x v="0"/>
    <x v="15"/>
    <x v="0"/>
    <x v="3"/>
    <x v="4"/>
    <s v="M"/>
    <s v="Lavender"/>
    <s v="Summer"/>
    <n v="2.6"/>
    <x v="0"/>
    <x v="0"/>
    <x v="0"/>
    <x v="0"/>
    <n v="39"/>
    <x v="4"/>
    <x v="4"/>
    <x v="4"/>
  </r>
  <r>
    <n v="715"/>
    <x v="8"/>
    <x v="0"/>
    <x v="14"/>
    <x v="2"/>
    <x v="44"/>
    <x v="45"/>
    <s v="M"/>
    <s v="Magenta"/>
    <s v="Fall"/>
    <n v="4.4000000000000004"/>
    <x v="0"/>
    <x v="5"/>
    <x v="0"/>
    <x v="0"/>
    <n v="40"/>
    <x v="5"/>
    <x v="0"/>
    <x v="0"/>
  </r>
  <r>
    <n v="716"/>
    <x v="23"/>
    <x v="0"/>
    <x v="2"/>
    <x v="0"/>
    <x v="80"/>
    <x v="12"/>
    <s v="L"/>
    <s v="Green"/>
    <s v="Spring"/>
    <n v="2.6"/>
    <x v="0"/>
    <x v="0"/>
    <x v="0"/>
    <x v="0"/>
    <n v="37"/>
    <x v="5"/>
    <x v="3"/>
    <x v="3"/>
  </r>
  <r>
    <n v="717"/>
    <x v="11"/>
    <x v="0"/>
    <x v="16"/>
    <x v="3"/>
    <x v="45"/>
    <x v="9"/>
    <s v="M"/>
    <s v="Olive"/>
    <s v="Spring"/>
    <n v="3.6"/>
    <x v="0"/>
    <x v="0"/>
    <x v="0"/>
    <x v="0"/>
    <n v="9"/>
    <x v="0"/>
    <x v="4"/>
    <x v="4"/>
  </r>
  <r>
    <n v="718"/>
    <x v="3"/>
    <x v="0"/>
    <x v="20"/>
    <x v="0"/>
    <x v="3"/>
    <x v="29"/>
    <s v="L"/>
    <s v="Green"/>
    <s v="Spring"/>
    <n v="4.2"/>
    <x v="0"/>
    <x v="0"/>
    <x v="0"/>
    <x v="0"/>
    <n v="7"/>
    <x v="0"/>
    <x v="6"/>
    <x v="3"/>
  </r>
  <r>
    <n v="719"/>
    <x v="40"/>
    <x v="0"/>
    <x v="5"/>
    <x v="0"/>
    <x v="20"/>
    <x v="20"/>
    <s v="M"/>
    <s v="Peach"/>
    <s v="Summer"/>
    <n v="4.5999999999999996"/>
    <x v="0"/>
    <x v="3"/>
    <x v="0"/>
    <x v="0"/>
    <n v="25"/>
    <x v="4"/>
    <x v="2"/>
    <x v="2"/>
  </r>
  <r>
    <n v="720"/>
    <x v="6"/>
    <x v="0"/>
    <x v="6"/>
    <x v="0"/>
    <x v="20"/>
    <x v="16"/>
    <s v="L"/>
    <s v="Turquoise"/>
    <s v="Summer"/>
    <n v="3.3"/>
    <x v="0"/>
    <x v="2"/>
    <x v="0"/>
    <x v="0"/>
    <n v="42"/>
    <x v="0"/>
    <x v="4"/>
    <x v="4"/>
  </r>
  <r>
    <n v="721"/>
    <x v="23"/>
    <x v="0"/>
    <x v="16"/>
    <x v="3"/>
    <x v="17"/>
    <x v="35"/>
    <s v="L"/>
    <s v="Orange"/>
    <s v="Fall"/>
    <n v="3.4"/>
    <x v="0"/>
    <x v="1"/>
    <x v="0"/>
    <x v="0"/>
    <n v="19"/>
    <x v="5"/>
    <x v="1"/>
    <x v="1"/>
  </r>
  <r>
    <n v="722"/>
    <x v="49"/>
    <x v="0"/>
    <x v="0"/>
    <x v="0"/>
    <x v="75"/>
    <x v="18"/>
    <s v="L"/>
    <s v="Silver"/>
    <s v="Summer"/>
    <n v="4.4000000000000004"/>
    <x v="0"/>
    <x v="2"/>
    <x v="0"/>
    <x v="0"/>
    <n v="41"/>
    <x v="5"/>
    <x v="6"/>
    <x v="3"/>
  </r>
  <r>
    <n v="723"/>
    <x v="7"/>
    <x v="0"/>
    <x v="1"/>
    <x v="0"/>
    <x v="50"/>
    <x v="5"/>
    <s v="S"/>
    <s v="Blue"/>
    <s v="Summer"/>
    <n v="4.3"/>
    <x v="0"/>
    <x v="5"/>
    <x v="0"/>
    <x v="0"/>
    <n v="50"/>
    <x v="1"/>
    <x v="4"/>
    <x v="4"/>
  </r>
  <r>
    <n v="724"/>
    <x v="25"/>
    <x v="0"/>
    <x v="16"/>
    <x v="3"/>
    <x v="0"/>
    <x v="9"/>
    <s v="L"/>
    <s v="Cyan"/>
    <s v="Fall"/>
    <n v="3.5"/>
    <x v="0"/>
    <x v="0"/>
    <x v="0"/>
    <x v="0"/>
    <n v="43"/>
    <x v="3"/>
    <x v="5"/>
    <x v="5"/>
  </r>
  <r>
    <n v="725"/>
    <x v="43"/>
    <x v="0"/>
    <x v="17"/>
    <x v="0"/>
    <x v="24"/>
    <x v="13"/>
    <s v="XL"/>
    <s v="Green"/>
    <s v="Fall"/>
    <n v="4.7"/>
    <x v="0"/>
    <x v="5"/>
    <x v="0"/>
    <x v="0"/>
    <n v="36"/>
    <x v="0"/>
    <x v="6"/>
    <x v="3"/>
  </r>
  <r>
    <n v="726"/>
    <x v="12"/>
    <x v="0"/>
    <x v="19"/>
    <x v="3"/>
    <x v="70"/>
    <x v="21"/>
    <s v="L"/>
    <s v="Silver"/>
    <s v="Winter"/>
    <n v="3.1"/>
    <x v="0"/>
    <x v="3"/>
    <x v="0"/>
    <x v="0"/>
    <n v="33"/>
    <x v="5"/>
    <x v="0"/>
    <x v="0"/>
  </r>
  <r>
    <n v="727"/>
    <x v="45"/>
    <x v="0"/>
    <x v="6"/>
    <x v="0"/>
    <x v="72"/>
    <x v="25"/>
    <s v="L"/>
    <s v="Yellow"/>
    <s v="Summer"/>
    <n v="3.6"/>
    <x v="0"/>
    <x v="2"/>
    <x v="0"/>
    <x v="0"/>
    <n v="20"/>
    <x v="4"/>
    <x v="6"/>
    <x v="3"/>
  </r>
  <r>
    <n v="728"/>
    <x v="46"/>
    <x v="0"/>
    <x v="1"/>
    <x v="0"/>
    <x v="8"/>
    <x v="10"/>
    <s v="S"/>
    <s v="Gray"/>
    <s v="Winter"/>
    <n v="4.8"/>
    <x v="0"/>
    <x v="2"/>
    <x v="0"/>
    <x v="0"/>
    <n v="37"/>
    <x v="0"/>
    <x v="6"/>
    <x v="3"/>
  </r>
  <r>
    <n v="729"/>
    <x v="26"/>
    <x v="0"/>
    <x v="2"/>
    <x v="0"/>
    <x v="72"/>
    <x v="43"/>
    <s v="M"/>
    <s v="Pink"/>
    <s v="Winter"/>
    <n v="3.7"/>
    <x v="0"/>
    <x v="2"/>
    <x v="0"/>
    <x v="0"/>
    <n v="12"/>
    <x v="3"/>
    <x v="6"/>
    <x v="3"/>
  </r>
  <r>
    <n v="730"/>
    <x v="38"/>
    <x v="0"/>
    <x v="12"/>
    <x v="3"/>
    <x v="22"/>
    <x v="46"/>
    <s v="L"/>
    <s v="Beige"/>
    <s v="Summer"/>
    <n v="3.2"/>
    <x v="0"/>
    <x v="0"/>
    <x v="0"/>
    <x v="0"/>
    <n v="46"/>
    <x v="3"/>
    <x v="6"/>
    <x v="3"/>
  </r>
  <r>
    <n v="731"/>
    <x v="39"/>
    <x v="0"/>
    <x v="23"/>
    <x v="1"/>
    <x v="21"/>
    <x v="2"/>
    <s v="M"/>
    <s v="Indigo"/>
    <s v="Summer"/>
    <n v="3.9"/>
    <x v="0"/>
    <x v="3"/>
    <x v="0"/>
    <x v="0"/>
    <n v="28"/>
    <x v="0"/>
    <x v="0"/>
    <x v="0"/>
  </r>
  <r>
    <n v="732"/>
    <x v="49"/>
    <x v="0"/>
    <x v="7"/>
    <x v="2"/>
    <x v="39"/>
    <x v="10"/>
    <s v="M"/>
    <s v="Red"/>
    <s v="Spring"/>
    <n v="3.5"/>
    <x v="0"/>
    <x v="1"/>
    <x v="0"/>
    <x v="0"/>
    <n v="30"/>
    <x v="3"/>
    <x v="0"/>
    <x v="0"/>
  </r>
  <r>
    <n v="733"/>
    <x v="50"/>
    <x v="0"/>
    <x v="5"/>
    <x v="0"/>
    <x v="75"/>
    <x v="13"/>
    <s v="L"/>
    <s v="Blue"/>
    <s v="Spring"/>
    <n v="2.8"/>
    <x v="0"/>
    <x v="0"/>
    <x v="0"/>
    <x v="0"/>
    <n v="28"/>
    <x v="1"/>
    <x v="4"/>
    <x v="4"/>
  </r>
  <r>
    <n v="734"/>
    <x v="4"/>
    <x v="0"/>
    <x v="10"/>
    <x v="0"/>
    <x v="14"/>
    <x v="3"/>
    <s v="L"/>
    <s v="Cyan"/>
    <s v="Fall"/>
    <n v="2.7"/>
    <x v="0"/>
    <x v="4"/>
    <x v="0"/>
    <x v="0"/>
    <n v="20"/>
    <x v="5"/>
    <x v="4"/>
    <x v="4"/>
  </r>
  <r>
    <n v="735"/>
    <x v="13"/>
    <x v="0"/>
    <x v="5"/>
    <x v="0"/>
    <x v="28"/>
    <x v="32"/>
    <s v="S"/>
    <s v="Violet"/>
    <s v="Winter"/>
    <n v="3.1"/>
    <x v="0"/>
    <x v="0"/>
    <x v="0"/>
    <x v="0"/>
    <n v="39"/>
    <x v="4"/>
    <x v="6"/>
    <x v="3"/>
  </r>
  <r>
    <n v="736"/>
    <x v="12"/>
    <x v="0"/>
    <x v="12"/>
    <x v="3"/>
    <x v="16"/>
    <x v="6"/>
    <s v="M"/>
    <s v="Orange"/>
    <s v="Fall"/>
    <n v="3.6"/>
    <x v="0"/>
    <x v="4"/>
    <x v="0"/>
    <x v="0"/>
    <n v="48"/>
    <x v="1"/>
    <x v="4"/>
    <x v="4"/>
  </r>
  <r>
    <n v="737"/>
    <x v="20"/>
    <x v="0"/>
    <x v="10"/>
    <x v="0"/>
    <x v="47"/>
    <x v="24"/>
    <s v="L"/>
    <s v="Maroon"/>
    <s v="Spring"/>
    <n v="2.9"/>
    <x v="0"/>
    <x v="4"/>
    <x v="0"/>
    <x v="0"/>
    <n v="32"/>
    <x v="2"/>
    <x v="6"/>
    <x v="3"/>
  </r>
  <r>
    <n v="738"/>
    <x v="36"/>
    <x v="0"/>
    <x v="12"/>
    <x v="3"/>
    <x v="41"/>
    <x v="43"/>
    <s v="M"/>
    <s v="Teal"/>
    <s v="Spring"/>
    <n v="3.6"/>
    <x v="0"/>
    <x v="5"/>
    <x v="0"/>
    <x v="0"/>
    <n v="28"/>
    <x v="3"/>
    <x v="2"/>
    <x v="2"/>
  </r>
  <r>
    <n v="739"/>
    <x v="19"/>
    <x v="0"/>
    <x v="12"/>
    <x v="3"/>
    <x v="9"/>
    <x v="46"/>
    <s v="L"/>
    <s v="Orange"/>
    <s v="Winter"/>
    <n v="3.5"/>
    <x v="0"/>
    <x v="4"/>
    <x v="0"/>
    <x v="0"/>
    <n v="27"/>
    <x v="0"/>
    <x v="3"/>
    <x v="3"/>
  </r>
  <r>
    <n v="740"/>
    <x v="14"/>
    <x v="0"/>
    <x v="6"/>
    <x v="0"/>
    <x v="45"/>
    <x v="46"/>
    <s v="S"/>
    <s v="Purple"/>
    <s v="Summer"/>
    <n v="3.5"/>
    <x v="0"/>
    <x v="1"/>
    <x v="0"/>
    <x v="0"/>
    <n v="26"/>
    <x v="0"/>
    <x v="4"/>
    <x v="4"/>
  </r>
  <r>
    <n v="741"/>
    <x v="8"/>
    <x v="0"/>
    <x v="2"/>
    <x v="0"/>
    <x v="28"/>
    <x v="45"/>
    <s v="M"/>
    <s v="Orange"/>
    <s v="Summer"/>
    <n v="2.8"/>
    <x v="0"/>
    <x v="2"/>
    <x v="0"/>
    <x v="0"/>
    <n v="22"/>
    <x v="2"/>
    <x v="0"/>
    <x v="0"/>
  </r>
  <r>
    <n v="742"/>
    <x v="40"/>
    <x v="0"/>
    <x v="17"/>
    <x v="0"/>
    <x v="24"/>
    <x v="8"/>
    <s v="XL"/>
    <s v="Yellow"/>
    <s v="Summer"/>
    <n v="4.7"/>
    <x v="0"/>
    <x v="1"/>
    <x v="0"/>
    <x v="0"/>
    <n v="23"/>
    <x v="4"/>
    <x v="6"/>
    <x v="3"/>
  </r>
  <r>
    <n v="743"/>
    <x v="14"/>
    <x v="0"/>
    <x v="13"/>
    <x v="0"/>
    <x v="32"/>
    <x v="22"/>
    <s v="M"/>
    <s v="Charcoal"/>
    <s v="Summer"/>
    <n v="3.1"/>
    <x v="0"/>
    <x v="0"/>
    <x v="0"/>
    <x v="0"/>
    <n v="21"/>
    <x v="5"/>
    <x v="3"/>
    <x v="3"/>
  </r>
  <r>
    <n v="744"/>
    <x v="3"/>
    <x v="0"/>
    <x v="12"/>
    <x v="3"/>
    <x v="63"/>
    <x v="17"/>
    <s v="L"/>
    <s v="Gray"/>
    <s v="Fall"/>
    <n v="4.9000000000000004"/>
    <x v="0"/>
    <x v="1"/>
    <x v="0"/>
    <x v="0"/>
    <n v="36"/>
    <x v="1"/>
    <x v="1"/>
    <x v="1"/>
  </r>
  <r>
    <n v="745"/>
    <x v="29"/>
    <x v="0"/>
    <x v="23"/>
    <x v="1"/>
    <x v="76"/>
    <x v="26"/>
    <s v="S"/>
    <s v="Charcoal"/>
    <s v="Spring"/>
    <n v="4.0999999999999996"/>
    <x v="0"/>
    <x v="2"/>
    <x v="0"/>
    <x v="0"/>
    <n v="42"/>
    <x v="5"/>
    <x v="4"/>
    <x v="4"/>
  </r>
  <r>
    <n v="746"/>
    <x v="5"/>
    <x v="0"/>
    <x v="17"/>
    <x v="0"/>
    <x v="56"/>
    <x v="49"/>
    <s v="L"/>
    <s v="Orange"/>
    <s v="Fall"/>
    <n v="4.7"/>
    <x v="0"/>
    <x v="3"/>
    <x v="0"/>
    <x v="0"/>
    <n v="4"/>
    <x v="0"/>
    <x v="5"/>
    <x v="5"/>
  </r>
  <r>
    <n v="747"/>
    <x v="37"/>
    <x v="0"/>
    <x v="3"/>
    <x v="1"/>
    <x v="29"/>
    <x v="49"/>
    <s v="M"/>
    <s v="Red"/>
    <s v="Winter"/>
    <n v="2.5"/>
    <x v="0"/>
    <x v="1"/>
    <x v="0"/>
    <x v="0"/>
    <n v="47"/>
    <x v="2"/>
    <x v="2"/>
    <x v="2"/>
  </r>
  <r>
    <n v="748"/>
    <x v="47"/>
    <x v="0"/>
    <x v="6"/>
    <x v="0"/>
    <x v="67"/>
    <x v="19"/>
    <s v="L"/>
    <s v="Gold"/>
    <s v="Spring"/>
    <n v="4.4000000000000004"/>
    <x v="0"/>
    <x v="2"/>
    <x v="0"/>
    <x v="0"/>
    <n v="13"/>
    <x v="4"/>
    <x v="1"/>
    <x v="1"/>
  </r>
  <r>
    <n v="749"/>
    <x v="25"/>
    <x v="0"/>
    <x v="19"/>
    <x v="3"/>
    <x v="32"/>
    <x v="45"/>
    <s v="L"/>
    <s v="Brown"/>
    <s v="Fall"/>
    <n v="3.9"/>
    <x v="0"/>
    <x v="1"/>
    <x v="0"/>
    <x v="0"/>
    <n v="8"/>
    <x v="4"/>
    <x v="3"/>
    <x v="3"/>
  </r>
  <r>
    <n v="750"/>
    <x v="19"/>
    <x v="0"/>
    <x v="18"/>
    <x v="3"/>
    <x v="79"/>
    <x v="19"/>
    <s v="M"/>
    <s v="Olive"/>
    <s v="Winter"/>
    <n v="3.7"/>
    <x v="0"/>
    <x v="3"/>
    <x v="0"/>
    <x v="0"/>
    <n v="11"/>
    <x v="5"/>
    <x v="3"/>
    <x v="3"/>
  </r>
  <r>
    <n v="751"/>
    <x v="15"/>
    <x v="0"/>
    <x v="17"/>
    <x v="0"/>
    <x v="51"/>
    <x v="33"/>
    <s v="L"/>
    <s v="Violet"/>
    <s v="Fall"/>
    <n v="3.4"/>
    <x v="0"/>
    <x v="1"/>
    <x v="0"/>
    <x v="0"/>
    <n v="5"/>
    <x v="0"/>
    <x v="2"/>
    <x v="2"/>
  </r>
  <r>
    <n v="752"/>
    <x v="13"/>
    <x v="0"/>
    <x v="24"/>
    <x v="3"/>
    <x v="11"/>
    <x v="31"/>
    <s v="L"/>
    <s v="Indigo"/>
    <s v="Fall"/>
    <n v="4.8"/>
    <x v="0"/>
    <x v="1"/>
    <x v="0"/>
    <x v="0"/>
    <n v="1"/>
    <x v="2"/>
    <x v="5"/>
    <x v="5"/>
  </r>
  <r>
    <n v="753"/>
    <x v="31"/>
    <x v="0"/>
    <x v="18"/>
    <x v="3"/>
    <x v="6"/>
    <x v="31"/>
    <s v="L"/>
    <s v="Yellow"/>
    <s v="Fall"/>
    <n v="4.2"/>
    <x v="0"/>
    <x v="4"/>
    <x v="0"/>
    <x v="0"/>
    <n v="17"/>
    <x v="3"/>
    <x v="6"/>
    <x v="3"/>
  </r>
  <r>
    <n v="754"/>
    <x v="36"/>
    <x v="0"/>
    <x v="23"/>
    <x v="1"/>
    <x v="36"/>
    <x v="2"/>
    <s v="M"/>
    <s v="Teal"/>
    <s v="Fall"/>
    <n v="3.4"/>
    <x v="0"/>
    <x v="5"/>
    <x v="0"/>
    <x v="0"/>
    <n v="27"/>
    <x v="0"/>
    <x v="3"/>
    <x v="3"/>
  </r>
  <r>
    <n v="755"/>
    <x v="24"/>
    <x v="0"/>
    <x v="24"/>
    <x v="3"/>
    <x v="52"/>
    <x v="17"/>
    <s v="L"/>
    <s v="Pink"/>
    <s v="Spring"/>
    <n v="2.9"/>
    <x v="0"/>
    <x v="5"/>
    <x v="0"/>
    <x v="0"/>
    <n v="3"/>
    <x v="5"/>
    <x v="3"/>
    <x v="3"/>
  </r>
  <r>
    <n v="756"/>
    <x v="17"/>
    <x v="0"/>
    <x v="7"/>
    <x v="2"/>
    <x v="41"/>
    <x v="20"/>
    <s v="M"/>
    <s v="Violet"/>
    <s v="Spring"/>
    <n v="3.3"/>
    <x v="0"/>
    <x v="1"/>
    <x v="0"/>
    <x v="0"/>
    <n v="22"/>
    <x v="3"/>
    <x v="1"/>
    <x v="1"/>
  </r>
  <r>
    <n v="757"/>
    <x v="46"/>
    <x v="0"/>
    <x v="22"/>
    <x v="3"/>
    <x v="54"/>
    <x v="6"/>
    <s v="S"/>
    <s v="Orange"/>
    <s v="Summer"/>
    <n v="4.8"/>
    <x v="0"/>
    <x v="3"/>
    <x v="0"/>
    <x v="0"/>
    <n v="24"/>
    <x v="1"/>
    <x v="0"/>
    <x v="0"/>
  </r>
  <r>
    <n v="758"/>
    <x v="38"/>
    <x v="0"/>
    <x v="15"/>
    <x v="0"/>
    <x v="50"/>
    <x v="46"/>
    <s v="M"/>
    <s v="Red"/>
    <s v="Fall"/>
    <n v="3.8"/>
    <x v="0"/>
    <x v="5"/>
    <x v="0"/>
    <x v="0"/>
    <n v="18"/>
    <x v="5"/>
    <x v="3"/>
    <x v="3"/>
  </r>
  <r>
    <n v="759"/>
    <x v="17"/>
    <x v="0"/>
    <x v="9"/>
    <x v="1"/>
    <x v="79"/>
    <x v="2"/>
    <s v="L"/>
    <s v="Peach"/>
    <s v="Summer"/>
    <n v="4.5999999999999996"/>
    <x v="0"/>
    <x v="4"/>
    <x v="0"/>
    <x v="0"/>
    <n v="39"/>
    <x v="4"/>
    <x v="6"/>
    <x v="3"/>
  </r>
  <r>
    <n v="760"/>
    <x v="47"/>
    <x v="0"/>
    <x v="10"/>
    <x v="0"/>
    <x v="4"/>
    <x v="3"/>
    <s v="XL"/>
    <s v="Green"/>
    <s v="Winter"/>
    <n v="2.6"/>
    <x v="0"/>
    <x v="2"/>
    <x v="0"/>
    <x v="0"/>
    <n v="25"/>
    <x v="2"/>
    <x v="0"/>
    <x v="0"/>
  </r>
  <r>
    <n v="761"/>
    <x v="23"/>
    <x v="0"/>
    <x v="24"/>
    <x v="3"/>
    <x v="74"/>
    <x v="46"/>
    <s v="XL"/>
    <s v="Violet"/>
    <s v="Fall"/>
    <n v="3.4"/>
    <x v="0"/>
    <x v="1"/>
    <x v="0"/>
    <x v="0"/>
    <n v="6"/>
    <x v="1"/>
    <x v="2"/>
    <x v="2"/>
  </r>
  <r>
    <n v="762"/>
    <x v="9"/>
    <x v="0"/>
    <x v="16"/>
    <x v="3"/>
    <x v="26"/>
    <x v="22"/>
    <s v="L"/>
    <s v="Yellow"/>
    <s v="Fall"/>
    <n v="4.2"/>
    <x v="0"/>
    <x v="0"/>
    <x v="0"/>
    <x v="0"/>
    <n v="26"/>
    <x v="4"/>
    <x v="1"/>
    <x v="1"/>
  </r>
  <r>
    <n v="763"/>
    <x v="4"/>
    <x v="0"/>
    <x v="22"/>
    <x v="3"/>
    <x v="43"/>
    <x v="35"/>
    <s v="M"/>
    <s v="Pink"/>
    <s v="Fall"/>
    <n v="3.9"/>
    <x v="0"/>
    <x v="3"/>
    <x v="0"/>
    <x v="0"/>
    <n v="43"/>
    <x v="5"/>
    <x v="0"/>
    <x v="0"/>
  </r>
  <r>
    <n v="764"/>
    <x v="12"/>
    <x v="0"/>
    <x v="1"/>
    <x v="0"/>
    <x v="74"/>
    <x v="17"/>
    <s v="M"/>
    <s v="Brown"/>
    <s v="Spring"/>
    <n v="2.9"/>
    <x v="0"/>
    <x v="4"/>
    <x v="0"/>
    <x v="0"/>
    <n v="6"/>
    <x v="2"/>
    <x v="5"/>
    <x v="5"/>
  </r>
  <r>
    <n v="765"/>
    <x v="0"/>
    <x v="0"/>
    <x v="11"/>
    <x v="0"/>
    <x v="32"/>
    <x v="41"/>
    <s v="XL"/>
    <s v="Silver"/>
    <s v="Fall"/>
    <n v="4.2"/>
    <x v="0"/>
    <x v="1"/>
    <x v="0"/>
    <x v="0"/>
    <n v="6"/>
    <x v="5"/>
    <x v="3"/>
    <x v="3"/>
  </r>
  <r>
    <n v="766"/>
    <x v="22"/>
    <x v="0"/>
    <x v="4"/>
    <x v="1"/>
    <x v="54"/>
    <x v="29"/>
    <s v="M"/>
    <s v="Pink"/>
    <s v="Summer"/>
    <n v="3"/>
    <x v="0"/>
    <x v="5"/>
    <x v="0"/>
    <x v="0"/>
    <n v="13"/>
    <x v="1"/>
    <x v="3"/>
    <x v="3"/>
  </r>
  <r>
    <n v="767"/>
    <x v="9"/>
    <x v="0"/>
    <x v="24"/>
    <x v="3"/>
    <x v="16"/>
    <x v="22"/>
    <s v="M"/>
    <s v="Cyan"/>
    <s v="Winter"/>
    <n v="3.6"/>
    <x v="0"/>
    <x v="2"/>
    <x v="0"/>
    <x v="0"/>
    <n v="13"/>
    <x v="3"/>
    <x v="5"/>
    <x v="5"/>
  </r>
  <r>
    <n v="768"/>
    <x v="7"/>
    <x v="0"/>
    <x v="7"/>
    <x v="2"/>
    <x v="64"/>
    <x v="38"/>
    <s v="M"/>
    <s v="Brown"/>
    <s v="Fall"/>
    <n v="2.5"/>
    <x v="0"/>
    <x v="2"/>
    <x v="0"/>
    <x v="0"/>
    <n v="11"/>
    <x v="1"/>
    <x v="2"/>
    <x v="2"/>
  </r>
  <r>
    <n v="769"/>
    <x v="14"/>
    <x v="0"/>
    <x v="21"/>
    <x v="3"/>
    <x v="51"/>
    <x v="26"/>
    <s v="XL"/>
    <s v="Red"/>
    <s v="Spring"/>
    <n v="2.6"/>
    <x v="0"/>
    <x v="0"/>
    <x v="0"/>
    <x v="0"/>
    <n v="45"/>
    <x v="0"/>
    <x v="1"/>
    <x v="1"/>
  </r>
  <r>
    <n v="770"/>
    <x v="16"/>
    <x v="0"/>
    <x v="20"/>
    <x v="0"/>
    <x v="33"/>
    <x v="12"/>
    <s v="M"/>
    <s v="Silver"/>
    <s v="Spring"/>
    <n v="4.3"/>
    <x v="0"/>
    <x v="5"/>
    <x v="0"/>
    <x v="0"/>
    <n v="8"/>
    <x v="3"/>
    <x v="5"/>
    <x v="5"/>
  </r>
  <r>
    <n v="771"/>
    <x v="1"/>
    <x v="0"/>
    <x v="4"/>
    <x v="1"/>
    <x v="36"/>
    <x v="34"/>
    <s v="M"/>
    <s v="Gray"/>
    <s v="Spring"/>
    <n v="3.3"/>
    <x v="0"/>
    <x v="0"/>
    <x v="0"/>
    <x v="0"/>
    <n v="8"/>
    <x v="2"/>
    <x v="2"/>
    <x v="2"/>
  </r>
  <r>
    <n v="772"/>
    <x v="40"/>
    <x v="0"/>
    <x v="1"/>
    <x v="0"/>
    <x v="10"/>
    <x v="11"/>
    <s v="L"/>
    <s v="Cyan"/>
    <s v="Fall"/>
    <n v="2.6"/>
    <x v="0"/>
    <x v="2"/>
    <x v="0"/>
    <x v="0"/>
    <n v="34"/>
    <x v="4"/>
    <x v="0"/>
    <x v="0"/>
  </r>
  <r>
    <n v="773"/>
    <x v="20"/>
    <x v="0"/>
    <x v="2"/>
    <x v="0"/>
    <x v="20"/>
    <x v="26"/>
    <s v="L"/>
    <s v="Teal"/>
    <s v="Fall"/>
    <n v="3.6"/>
    <x v="0"/>
    <x v="1"/>
    <x v="0"/>
    <x v="0"/>
    <n v="40"/>
    <x v="5"/>
    <x v="4"/>
    <x v="4"/>
  </r>
  <r>
    <n v="774"/>
    <x v="26"/>
    <x v="0"/>
    <x v="19"/>
    <x v="3"/>
    <x v="63"/>
    <x v="18"/>
    <s v="L"/>
    <s v="Indigo"/>
    <s v="Winter"/>
    <n v="2.6"/>
    <x v="0"/>
    <x v="0"/>
    <x v="0"/>
    <x v="0"/>
    <n v="14"/>
    <x v="5"/>
    <x v="4"/>
    <x v="4"/>
  </r>
  <r>
    <n v="775"/>
    <x v="32"/>
    <x v="0"/>
    <x v="19"/>
    <x v="3"/>
    <x v="43"/>
    <x v="22"/>
    <s v="M"/>
    <s v="Yellow"/>
    <s v="Summer"/>
    <n v="3.5"/>
    <x v="0"/>
    <x v="3"/>
    <x v="0"/>
    <x v="0"/>
    <n v="11"/>
    <x v="2"/>
    <x v="3"/>
    <x v="3"/>
  </r>
  <r>
    <n v="776"/>
    <x v="34"/>
    <x v="0"/>
    <x v="8"/>
    <x v="3"/>
    <x v="0"/>
    <x v="0"/>
    <s v="S"/>
    <s v="Gold"/>
    <s v="Winter"/>
    <n v="3"/>
    <x v="0"/>
    <x v="5"/>
    <x v="0"/>
    <x v="0"/>
    <n v="8"/>
    <x v="3"/>
    <x v="5"/>
    <x v="5"/>
  </r>
  <r>
    <n v="777"/>
    <x v="34"/>
    <x v="0"/>
    <x v="5"/>
    <x v="0"/>
    <x v="30"/>
    <x v="15"/>
    <s v="M"/>
    <s v="Maroon"/>
    <s v="Spring"/>
    <n v="5"/>
    <x v="0"/>
    <x v="3"/>
    <x v="0"/>
    <x v="0"/>
    <n v="8"/>
    <x v="0"/>
    <x v="6"/>
    <x v="3"/>
  </r>
  <r>
    <n v="778"/>
    <x v="0"/>
    <x v="0"/>
    <x v="20"/>
    <x v="0"/>
    <x v="50"/>
    <x v="5"/>
    <s v="XL"/>
    <s v="Silver"/>
    <s v="Spring"/>
    <n v="2.5"/>
    <x v="0"/>
    <x v="0"/>
    <x v="0"/>
    <x v="0"/>
    <n v="37"/>
    <x v="0"/>
    <x v="1"/>
    <x v="1"/>
  </r>
  <r>
    <n v="779"/>
    <x v="26"/>
    <x v="0"/>
    <x v="20"/>
    <x v="0"/>
    <x v="74"/>
    <x v="2"/>
    <s v="M"/>
    <s v="Yellow"/>
    <s v="Summer"/>
    <n v="2.9"/>
    <x v="0"/>
    <x v="5"/>
    <x v="0"/>
    <x v="0"/>
    <n v="23"/>
    <x v="5"/>
    <x v="2"/>
    <x v="2"/>
  </r>
  <r>
    <n v="780"/>
    <x v="52"/>
    <x v="0"/>
    <x v="10"/>
    <x v="0"/>
    <x v="23"/>
    <x v="40"/>
    <s v="M"/>
    <s v="Blue"/>
    <s v="Spring"/>
    <n v="4.5999999999999996"/>
    <x v="0"/>
    <x v="0"/>
    <x v="0"/>
    <x v="0"/>
    <n v="38"/>
    <x v="1"/>
    <x v="2"/>
    <x v="2"/>
  </r>
  <r>
    <n v="781"/>
    <x v="50"/>
    <x v="0"/>
    <x v="9"/>
    <x v="1"/>
    <x v="46"/>
    <x v="14"/>
    <s v="M"/>
    <s v="Turquoise"/>
    <s v="Spring"/>
    <n v="3.6"/>
    <x v="0"/>
    <x v="1"/>
    <x v="0"/>
    <x v="0"/>
    <n v="38"/>
    <x v="1"/>
    <x v="3"/>
    <x v="3"/>
  </r>
  <r>
    <n v="782"/>
    <x v="11"/>
    <x v="0"/>
    <x v="18"/>
    <x v="3"/>
    <x v="77"/>
    <x v="34"/>
    <s v="L"/>
    <s v="Indigo"/>
    <s v="Winter"/>
    <n v="3"/>
    <x v="0"/>
    <x v="5"/>
    <x v="0"/>
    <x v="0"/>
    <n v="12"/>
    <x v="2"/>
    <x v="0"/>
    <x v="0"/>
  </r>
  <r>
    <n v="783"/>
    <x v="48"/>
    <x v="0"/>
    <x v="15"/>
    <x v="0"/>
    <x v="75"/>
    <x v="11"/>
    <s v="M"/>
    <s v="Green"/>
    <s v="Summer"/>
    <n v="4.5"/>
    <x v="0"/>
    <x v="3"/>
    <x v="0"/>
    <x v="0"/>
    <n v="15"/>
    <x v="1"/>
    <x v="1"/>
    <x v="1"/>
  </r>
  <r>
    <n v="784"/>
    <x v="6"/>
    <x v="0"/>
    <x v="17"/>
    <x v="0"/>
    <x v="61"/>
    <x v="7"/>
    <s v="L"/>
    <s v="Purple"/>
    <s v="Winter"/>
    <n v="4.5"/>
    <x v="0"/>
    <x v="2"/>
    <x v="0"/>
    <x v="0"/>
    <n v="38"/>
    <x v="3"/>
    <x v="0"/>
    <x v="0"/>
  </r>
  <r>
    <n v="785"/>
    <x v="18"/>
    <x v="0"/>
    <x v="2"/>
    <x v="0"/>
    <x v="11"/>
    <x v="15"/>
    <s v="M"/>
    <s v="Peach"/>
    <s v="Winter"/>
    <n v="3.2"/>
    <x v="0"/>
    <x v="5"/>
    <x v="0"/>
    <x v="0"/>
    <n v="41"/>
    <x v="4"/>
    <x v="6"/>
    <x v="3"/>
  </r>
  <r>
    <n v="786"/>
    <x v="5"/>
    <x v="0"/>
    <x v="6"/>
    <x v="0"/>
    <x v="17"/>
    <x v="7"/>
    <s v="S"/>
    <s v="Purple"/>
    <s v="Spring"/>
    <n v="4"/>
    <x v="0"/>
    <x v="2"/>
    <x v="0"/>
    <x v="0"/>
    <n v="37"/>
    <x v="3"/>
    <x v="0"/>
    <x v="0"/>
  </r>
  <r>
    <n v="787"/>
    <x v="27"/>
    <x v="0"/>
    <x v="19"/>
    <x v="3"/>
    <x v="34"/>
    <x v="27"/>
    <s v="S"/>
    <s v="Teal"/>
    <s v="Winter"/>
    <n v="4.8"/>
    <x v="0"/>
    <x v="0"/>
    <x v="0"/>
    <x v="0"/>
    <n v="16"/>
    <x v="4"/>
    <x v="6"/>
    <x v="3"/>
  </r>
  <r>
    <n v="788"/>
    <x v="10"/>
    <x v="0"/>
    <x v="8"/>
    <x v="3"/>
    <x v="6"/>
    <x v="49"/>
    <s v="S"/>
    <s v="Green"/>
    <s v="Spring"/>
    <n v="3.7"/>
    <x v="0"/>
    <x v="1"/>
    <x v="0"/>
    <x v="0"/>
    <n v="25"/>
    <x v="0"/>
    <x v="1"/>
    <x v="1"/>
  </r>
  <r>
    <n v="789"/>
    <x v="2"/>
    <x v="0"/>
    <x v="13"/>
    <x v="0"/>
    <x v="12"/>
    <x v="3"/>
    <s v="XL"/>
    <s v="Yellow"/>
    <s v="Summer"/>
    <n v="3.8"/>
    <x v="0"/>
    <x v="5"/>
    <x v="0"/>
    <x v="0"/>
    <n v="18"/>
    <x v="4"/>
    <x v="3"/>
    <x v="3"/>
  </r>
  <r>
    <n v="790"/>
    <x v="23"/>
    <x v="0"/>
    <x v="8"/>
    <x v="3"/>
    <x v="63"/>
    <x v="37"/>
    <s v="S"/>
    <s v="Purple"/>
    <s v="Fall"/>
    <n v="2.7"/>
    <x v="0"/>
    <x v="3"/>
    <x v="0"/>
    <x v="0"/>
    <n v="4"/>
    <x v="2"/>
    <x v="4"/>
    <x v="4"/>
  </r>
  <r>
    <n v="791"/>
    <x v="40"/>
    <x v="0"/>
    <x v="1"/>
    <x v="0"/>
    <x v="18"/>
    <x v="7"/>
    <s v="M"/>
    <s v="Indigo"/>
    <s v="Summer"/>
    <n v="4.9000000000000004"/>
    <x v="0"/>
    <x v="5"/>
    <x v="0"/>
    <x v="0"/>
    <n v="12"/>
    <x v="4"/>
    <x v="3"/>
    <x v="3"/>
  </r>
  <r>
    <n v="792"/>
    <x v="2"/>
    <x v="0"/>
    <x v="18"/>
    <x v="3"/>
    <x v="77"/>
    <x v="17"/>
    <s v="S"/>
    <s v="Magenta"/>
    <s v="Summer"/>
    <n v="3.1"/>
    <x v="0"/>
    <x v="4"/>
    <x v="0"/>
    <x v="0"/>
    <n v="35"/>
    <x v="3"/>
    <x v="0"/>
    <x v="0"/>
  </r>
  <r>
    <n v="793"/>
    <x v="50"/>
    <x v="0"/>
    <x v="4"/>
    <x v="1"/>
    <x v="29"/>
    <x v="32"/>
    <s v="M"/>
    <s v="Violet"/>
    <s v="Spring"/>
    <n v="4.2"/>
    <x v="0"/>
    <x v="2"/>
    <x v="0"/>
    <x v="0"/>
    <n v="45"/>
    <x v="0"/>
    <x v="1"/>
    <x v="1"/>
  </r>
  <r>
    <n v="794"/>
    <x v="41"/>
    <x v="0"/>
    <x v="13"/>
    <x v="0"/>
    <x v="59"/>
    <x v="15"/>
    <s v="L"/>
    <s v="Maroon"/>
    <s v="Summer"/>
    <n v="3.8"/>
    <x v="0"/>
    <x v="1"/>
    <x v="0"/>
    <x v="0"/>
    <n v="16"/>
    <x v="2"/>
    <x v="5"/>
    <x v="5"/>
  </r>
  <r>
    <n v="795"/>
    <x v="28"/>
    <x v="0"/>
    <x v="21"/>
    <x v="3"/>
    <x v="74"/>
    <x v="0"/>
    <s v="XL"/>
    <s v="Yellow"/>
    <s v="Winter"/>
    <n v="4.2"/>
    <x v="0"/>
    <x v="5"/>
    <x v="0"/>
    <x v="0"/>
    <n v="10"/>
    <x v="5"/>
    <x v="0"/>
    <x v="0"/>
  </r>
  <r>
    <n v="796"/>
    <x v="31"/>
    <x v="0"/>
    <x v="3"/>
    <x v="1"/>
    <x v="46"/>
    <x v="14"/>
    <s v="M"/>
    <s v="Beige"/>
    <s v="Summer"/>
    <n v="4.5999999999999996"/>
    <x v="0"/>
    <x v="5"/>
    <x v="0"/>
    <x v="0"/>
    <n v="34"/>
    <x v="0"/>
    <x v="2"/>
    <x v="2"/>
  </r>
  <r>
    <n v="797"/>
    <x v="32"/>
    <x v="0"/>
    <x v="20"/>
    <x v="0"/>
    <x v="72"/>
    <x v="28"/>
    <s v="XL"/>
    <s v="Black"/>
    <s v="Fall"/>
    <n v="4"/>
    <x v="0"/>
    <x v="4"/>
    <x v="0"/>
    <x v="0"/>
    <n v="43"/>
    <x v="2"/>
    <x v="2"/>
    <x v="2"/>
  </r>
  <r>
    <n v="798"/>
    <x v="32"/>
    <x v="0"/>
    <x v="7"/>
    <x v="2"/>
    <x v="71"/>
    <x v="33"/>
    <s v="M"/>
    <s v="Violet"/>
    <s v="Fall"/>
    <n v="4"/>
    <x v="0"/>
    <x v="4"/>
    <x v="0"/>
    <x v="0"/>
    <n v="38"/>
    <x v="5"/>
    <x v="1"/>
    <x v="1"/>
  </r>
  <r>
    <n v="799"/>
    <x v="26"/>
    <x v="0"/>
    <x v="20"/>
    <x v="0"/>
    <x v="32"/>
    <x v="29"/>
    <s v="M"/>
    <s v="Violet"/>
    <s v="Spring"/>
    <n v="3.8"/>
    <x v="0"/>
    <x v="4"/>
    <x v="0"/>
    <x v="0"/>
    <n v="48"/>
    <x v="3"/>
    <x v="6"/>
    <x v="3"/>
  </r>
  <r>
    <n v="800"/>
    <x v="0"/>
    <x v="0"/>
    <x v="22"/>
    <x v="3"/>
    <x v="37"/>
    <x v="22"/>
    <s v="L"/>
    <s v="Brown"/>
    <s v="Summer"/>
    <n v="3.3"/>
    <x v="0"/>
    <x v="1"/>
    <x v="0"/>
    <x v="0"/>
    <n v="31"/>
    <x v="3"/>
    <x v="2"/>
    <x v="2"/>
  </r>
  <r>
    <n v="801"/>
    <x v="45"/>
    <x v="0"/>
    <x v="20"/>
    <x v="0"/>
    <x v="5"/>
    <x v="40"/>
    <s v="S"/>
    <s v="Gold"/>
    <s v="Summer"/>
    <n v="2.6"/>
    <x v="0"/>
    <x v="1"/>
    <x v="0"/>
    <x v="0"/>
    <n v="20"/>
    <x v="1"/>
    <x v="6"/>
    <x v="3"/>
  </r>
  <r>
    <n v="802"/>
    <x v="15"/>
    <x v="0"/>
    <x v="22"/>
    <x v="3"/>
    <x v="45"/>
    <x v="35"/>
    <s v="L"/>
    <s v="Blue"/>
    <s v="Fall"/>
    <n v="4.9000000000000004"/>
    <x v="0"/>
    <x v="0"/>
    <x v="0"/>
    <x v="0"/>
    <n v="12"/>
    <x v="2"/>
    <x v="0"/>
    <x v="0"/>
  </r>
  <r>
    <n v="803"/>
    <x v="21"/>
    <x v="0"/>
    <x v="13"/>
    <x v="0"/>
    <x v="52"/>
    <x v="12"/>
    <s v="M"/>
    <s v="Teal"/>
    <s v="Winter"/>
    <n v="3.5"/>
    <x v="0"/>
    <x v="2"/>
    <x v="0"/>
    <x v="0"/>
    <n v="2"/>
    <x v="4"/>
    <x v="1"/>
    <x v="1"/>
  </r>
  <r>
    <n v="804"/>
    <x v="45"/>
    <x v="0"/>
    <x v="6"/>
    <x v="0"/>
    <x v="15"/>
    <x v="39"/>
    <s v="L"/>
    <s v="Silver"/>
    <s v="Winter"/>
    <n v="2.8"/>
    <x v="0"/>
    <x v="0"/>
    <x v="0"/>
    <x v="0"/>
    <n v="30"/>
    <x v="0"/>
    <x v="6"/>
    <x v="3"/>
  </r>
  <r>
    <n v="805"/>
    <x v="49"/>
    <x v="0"/>
    <x v="23"/>
    <x v="1"/>
    <x v="53"/>
    <x v="16"/>
    <s v="M"/>
    <s v="Maroon"/>
    <s v="Summer"/>
    <n v="2.6"/>
    <x v="0"/>
    <x v="5"/>
    <x v="0"/>
    <x v="0"/>
    <n v="28"/>
    <x v="0"/>
    <x v="3"/>
    <x v="3"/>
  </r>
  <r>
    <n v="806"/>
    <x v="38"/>
    <x v="0"/>
    <x v="10"/>
    <x v="0"/>
    <x v="38"/>
    <x v="39"/>
    <s v="L"/>
    <s v="White"/>
    <s v="Summer"/>
    <n v="3.7"/>
    <x v="0"/>
    <x v="2"/>
    <x v="0"/>
    <x v="0"/>
    <n v="40"/>
    <x v="5"/>
    <x v="5"/>
    <x v="5"/>
  </r>
  <r>
    <n v="807"/>
    <x v="19"/>
    <x v="0"/>
    <x v="2"/>
    <x v="0"/>
    <x v="22"/>
    <x v="20"/>
    <s v="L"/>
    <s v="Charcoal"/>
    <s v="Summer"/>
    <n v="2.7"/>
    <x v="0"/>
    <x v="3"/>
    <x v="0"/>
    <x v="0"/>
    <n v="46"/>
    <x v="3"/>
    <x v="3"/>
    <x v="3"/>
  </r>
  <r>
    <n v="808"/>
    <x v="7"/>
    <x v="0"/>
    <x v="17"/>
    <x v="0"/>
    <x v="58"/>
    <x v="14"/>
    <s v="S"/>
    <s v="Brown"/>
    <s v="Winter"/>
    <n v="3.3"/>
    <x v="0"/>
    <x v="0"/>
    <x v="0"/>
    <x v="0"/>
    <n v="15"/>
    <x v="2"/>
    <x v="1"/>
    <x v="1"/>
  </r>
  <r>
    <n v="809"/>
    <x v="5"/>
    <x v="0"/>
    <x v="9"/>
    <x v="1"/>
    <x v="48"/>
    <x v="48"/>
    <s v="L"/>
    <s v="Lavender"/>
    <s v="Fall"/>
    <n v="4.5999999999999996"/>
    <x v="0"/>
    <x v="2"/>
    <x v="0"/>
    <x v="0"/>
    <n v="38"/>
    <x v="1"/>
    <x v="6"/>
    <x v="3"/>
  </r>
  <r>
    <n v="810"/>
    <x v="39"/>
    <x v="0"/>
    <x v="23"/>
    <x v="1"/>
    <x v="13"/>
    <x v="36"/>
    <s v="M"/>
    <s v="Violet"/>
    <s v="Fall"/>
    <n v="4.9000000000000004"/>
    <x v="0"/>
    <x v="2"/>
    <x v="0"/>
    <x v="0"/>
    <n v="30"/>
    <x v="3"/>
    <x v="4"/>
    <x v="4"/>
  </r>
  <r>
    <n v="811"/>
    <x v="16"/>
    <x v="0"/>
    <x v="18"/>
    <x v="3"/>
    <x v="42"/>
    <x v="45"/>
    <s v="S"/>
    <s v="Lavender"/>
    <s v="Fall"/>
    <n v="4.9000000000000004"/>
    <x v="0"/>
    <x v="5"/>
    <x v="0"/>
    <x v="0"/>
    <n v="32"/>
    <x v="5"/>
    <x v="4"/>
    <x v="4"/>
  </r>
  <r>
    <n v="812"/>
    <x v="20"/>
    <x v="0"/>
    <x v="4"/>
    <x v="1"/>
    <x v="59"/>
    <x v="26"/>
    <s v="M"/>
    <s v="Green"/>
    <s v="Winter"/>
    <n v="2.7"/>
    <x v="0"/>
    <x v="1"/>
    <x v="0"/>
    <x v="0"/>
    <n v="36"/>
    <x v="0"/>
    <x v="3"/>
    <x v="3"/>
  </r>
  <r>
    <n v="813"/>
    <x v="14"/>
    <x v="0"/>
    <x v="23"/>
    <x v="1"/>
    <x v="22"/>
    <x v="29"/>
    <s v="M"/>
    <s v="Olive"/>
    <s v="Summer"/>
    <n v="3.2"/>
    <x v="0"/>
    <x v="3"/>
    <x v="0"/>
    <x v="0"/>
    <n v="32"/>
    <x v="2"/>
    <x v="1"/>
    <x v="1"/>
  </r>
  <r>
    <n v="814"/>
    <x v="22"/>
    <x v="0"/>
    <x v="8"/>
    <x v="3"/>
    <x v="29"/>
    <x v="6"/>
    <s v="S"/>
    <s v="Olive"/>
    <s v="Summer"/>
    <n v="2.9"/>
    <x v="0"/>
    <x v="5"/>
    <x v="0"/>
    <x v="0"/>
    <n v="14"/>
    <x v="5"/>
    <x v="2"/>
    <x v="2"/>
  </r>
  <r>
    <n v="815"/>
    <x v="18"/>
    <x v="0"/>
    <x v="5"/>
    <x v="0"/>
    <x v="17"/>
    <x v="46"/>
    <s v="M"/>
    <s v="Pink"/>
    <s v="Winter"/>
    <n v="3.8"/>
    <x v="0"/>
    <x v="0"/>
    <x v="0"/>
    <x v="0"/>
    <n v="8"/>
    <x v="3"/>
    <x v="5"/>
    <x v="5"/>
  </r>
  <r>
    <n v="816"/>
    <x v="11"/>
    <x v="0"/>
    <x v="19"/>
    <x v="3"/>
    <x v="63"/>
    <x v="8"/>
    <s v="L"/>
    <s v="Teal"/>
    <s v="Spring"/>
    <n v="3"/>
    <x v="0"/>
    <x v="2"/>
    <x v="0"/>
    <x v="0"/>
    <n v="27"/>
    <x v="0"/>
    <x v="4"/>
    <x v="4"/>
  </r>
  <r>
    <n v="817"/>
    <x v="8"/>
    <x v="0"/>
    <x v="1"/>
    <x v="0"/>
    <x v="41"/>
    <x v="26"/>
    <s v="L"/>
    <s v="Cyan"/>
    <s v="Summer"/>
    <n v="3.9"/>
    <x v="0"/>
    <x v="5"/>
    <x v="0"/>
    <x v="0"/>
    <n v="24"/>
    <x v="5"/>
    <x v="5"/>
    <x v="5"/>
  </r>
  <r>
    <n v="818"/>
    <x v="15"/>
    <x v="0"/>
    <x v="8"/>
    <x v="3"/>
    <x v="34"/>
    <x v="22"/>
    <s v="S"/>
    <s v="Gray"/>
    <s v="Spring"/>
    <n v="4.7"/>
    <x v="0"/>
    <x v="5"/>
    <x v="0"/>
    <x v="0"/>
    <n v="30"/>
    <x v="3"/>
    <x v="0"/>
    <x v="0"/>
  </r>
  <r>
    <n v="819"/>
    <x v="35"/>
    <x v="0"/>
    <x v="5"/>
    <x v="0"/>
    <x v="26"/>
    <x v="37"/>
    <s v="M"/>
    <s v="Peach"/>
    <s v="Winter"/>
    <n v="4.9000000000000004"/>
    <x v="0"/>
    <x v="5"/>
    <x v="0"/>
    <x v="0"/>
    <n v="34"/>
    <x v="5"/>
    <x v="5"/>
    <x v="5"/>
  </r>
  <r>
    <n v="820"/>
    <x v="0"/>
    <x v="0"/>
    <x v="12"/>
    <x v="3"/>
    <x v="14"/>
    <x v="24"/>
    <s v="S"/>
    <s v="Teal"/>
    <s v="Winter"/>
    <n v="4.8"/>
    <x v="0"/>
    <x v="2"/>
    <x v="0"/>
    <x v="0"/>
    <n v="28"/>
    <x v="5"/>
    <x v="3"/>
    <x v="3"/>
  </r>
  <r>
    <n v="821"/>
    <x v="19"/>
    <x v="0"/>
    <x v="4"/>
    <x v="1"/>
    <x v="32"/>
    <x v="7"/>
    <s v="M"/>
    <s v="Turquoise"/>
    <s v="Spring"/>
    <n v="2.5"/>
    <x v="0"/>
    <x v="4"/>
    <x v="0"/>
    <x v="0"/>
    <n v="27"/>
    <x v="5"/>
    <x v="5"/>
    <x v="5"/>
  </r>
  <r>
    <n v="822"/>
    <x v="46"/>
    <x v="0"/>
    <x v="15"/>
    <x v="0"/>
    <x v="32"/>
    <x v="34"/>
    <s v="M"/>
    <s v="Green"/>
    <s v="Spring"/>
    <n v="3.9"/>
    <x v="0"/>
    <x v="3"/>
    <x v="0"/>
    <x v="0"/>
    <n v="31"/>
    <x v="2"/>
    <x v="4"/>
    <x v="4"/>
  </r>
  <r>
    <n v="823"/>
    <x v="25"/>
    <x v="0"/>
    <x v="5"/>
    <x v="0"/>
    <x v="40"/>
    <x v="16"/>
    <s v="L"/>
    <s v="Magenta"/>
    <s v="Winter"/>
    <n v="3.4"/>
    <x v="0"/>
    <x v="3"/>
    <x v="0"/>
    <x v="0"/>
    <n v="23"/>
    <x v="4"/>
    <x v="2"/>
    <x v="2"/>
  </r>
  <r>
    <n v="824"/>
    <x v="47"/>
    <x v="0"/>
    <x v="12"/>
    <x v="3"/>
    <x v="65"/>
    <x v="42"/>
    <s v="M"/>
    <s v="Green"/>
    <s v="Winter"/>
    <n v="2.5"/>
    <x v="0"/>
    <x v="1"/>
    <x v="0"/>
    <x v="0"/>
    <n v="11"/>
    <x v="2"/>
    <x v="3"/>
    <x v="3"/>
  </r>
  <r>
    <n v="825"/>
    <x v="12"/>
    <x v="0"/>
    <x v="0"/>
    <x v="0"/>
    <x v="23"/>
    <x v="42"/>
    <s v="M"/>
    <s v="White"/>
    <s v="Spring"/>
    <n v="3"/>
    <x v="0"/>
    <x v="5"/>
    <x v="0"/>
    <x v="0"/>
    <n v="48"/>
    <x v="1"/>
    <x v="3"/>
    <x v="3"/>
  </r>
  <r>
    <n v="826"/>
    <x v="7"/>
    <x v="0"/>
    <x v="22"/>
    <x v="3"/>
    <x v="23"/>
    <x v="43"/>
    <s v="XL"/>
    <s v="Brown"/>
    <s v="Fall"/>
    <n v="3.6"/>
    <x v="0"/>
    <x v="2"/>
    <x v="0"/>
    <x v="0"/>
    <n v="17"/>
    <x v="1"/>
    <x v="5"/>
    <x v="5"/>
  </r>
  <r>
    <n v="827"/>
    <x v="22"/>
    <x v="0"/>
    <x v="10"/>
    <x v="0"/>
    <x v="23"/>
    <x v="2"/>
    <s v="M"/>
    <s v="Purple"/>
    <s v="Winter"/>
    <n v="3.6"/>
    <x v="0"/>
    <x v="3"/>
    <x v="0"/>
    <x v="0"/>
    <n v="36"/>
    <x v="3"/>
    <x v="1"/>
    <x v="1"/>
  </r>
  <r>
    <n v="828"/>
    <x v="18"/>
    <x v="0"/>
    <x v="9"/>
    <x v="1"/>
    <x v="12"/>
    <x v="24"/>
    <s v="S"/>
    <s v="Green"/>
    <s v="Fall"/>
    <n v="4.0999999999999996"/>
    <x v="0"/>
    <x v="1"/>
    <x v="0"/>
    <x v="0"/>
    <n v="33"/>
    <x v="4"/>
    <x v="0"/>
    <x v="0"/>
  </r>
  <r>
    <n v="829"/>
    <x v="41"/>
    <x v="0"/>
    <x v="20"/>
    <x v="0"/>
    <x v="17"/>
    <x v="22"/>
    <s v="M"/>
    <s v="Peach"/>
    <s v="Fall"/>
    <n v="3.7"/>
    <x v="0"/>
    <x v="4"/>
    <x v="0"/>
    <x v="0"/>
    <n v="27"/>
    <x v="3"/>
    <x v="4"/>
    <x v="4"/>
  </r>
  <r>
    <n v="830"/>
    <x v="32"/>
    <x v="0"/>
    <x v="20"/>
    <x v="0"/>
    <x v="75"/>
    <x v="37"/>
    <s v="S"/>
    <s v="Silver"/>
    <s v="Spring"/>
    <n v="3.1"/>
    <x v="0"/>
    <x v="4"/>
    <x v="0"/>
    <x v="0"/>
    <n v="14"/>
    <x v="2"/>
    <x v="0"/>
    <x v="0"/>
  </r>
  <r>
    <n v="831"/>
    <x v="38"/>
    <x v="0"/>
    <x v="6"/>
    <x v="0"/>
    <x v="31"/>
    <x v="5"/>
    <s v="M"/>
    <s v="Maroon"/>
    <s v="Fall"/>
    <n v="4.2"/>
    <x v="0"/>
    <x v="0"/>
    <x v="0"/>
    <x v="0"/>
    <n v="5"/>
    <x v="2"/>
    <x v="2"/>
    <x v="2"/>
  </r>
  <r>
    <n v="832"/>
    <x v="17"/>
    <x v="0"/>
    <x v="24"/>
    <x v="3"/>
    <x v="80"/>
    <x v="47"/>
    <s v="M"/>
    <s v="Red"/>
    <s v="Summer"/>
    <n v="4.3"/>
    <x v="0"/>
    <x v="0"/>
    <x v="0"/>
    <x v="0"/>
    <n v="47"/>
    <x v="1"/>
    <x v="6"/>
    <x v="3"/>
  </r>
  <r>
    <n v="833"/>
    <x v="44"/>
    <x v="0"/>
    <x v="14"/>
    <x v="2"/>
    <x v="68"/>
    <x v="18"/>
    <s v="L"/>
    <s v="Blue"/>
    <s v="Fall"/>
    <n v="2.5"/>
    <x v="0"/>
    <x v="0"/>
    <x v="0"/>
    <x v="0"/>
    <n v="28"/>
    <x v="1"/>
    <x v="4"/>
    <x v="4"/>
  </r>
  <r>
    <n v="834"/>
    <x v="49"/>
    <x v="0"/>
    <x v="8"/>
    <x v="3"/>
    <x v="10"/>
    <x v="19"/>
    <s v="M"/>
    <s v="Purple"/>
    <s v="Fall"/>
    <n v="3.5"/>
    <x v="0"/>
    <x v="3"/>
    <x v="0"/>
    <x v="0"/>
    <n v="11"/>
    <x v="2"/>
    <x v="2"/>
    <x v="2"/>
  </r>
  <r>
    <n v="835"/>
    <x v="16"/>
    <x v="0"/>
    <x v="21"/>
    <x v="3"/>
    <x v="58"/>
    <x v="22"/>
    <s v="M"/>
    <s v="Indigo"/>
    <s v="Summer"/>
    <n v="3.1"/>
    <x v="0"/>
    <x v="1"/>
    <x v="0"/>
    <x v="0"/>
    <n v="18"/>
    <x v="2"/>
    <x v="1"/>
    <x v="1"/>
  </r>
  <r>
    <n v="836"/>
    <x v="25"/>
    <x v="0"/>
    <x v="23"/>
    <x v="1"/>
    <x v="46"/>
    <x v="33"/>
    <s v="L"/>
    <s v="Indigo"/>
    <s v="Summer"/>
    <n v="2.5"/>
    <x v="0"/>
    <x v="2"/>
    <x v="0"/>
    <x v="0"/>
    <n v="21"/>
    <x v="5"/>
    <x v="1"/>
    <x v="1"/>
  </r>
  <r>
    <n v="837"/>
    <x v="51"/>
    <x v="0"/>
    <x v="24"/>
    <x v="3"/>
    <x v="3"/>
    <x v="8"/>
    <s v="L"/>
    <s v="Violet"/>
    <s v="Winter"/>
    <n v="3.9"/>
    <x v="0"/>
    <x v="5"/>
    <x v="0"/>
    <x v="0"/>
    <n v="22"/>
    <x v="1"/>
    <x v="4"/>
    <x v="4"/>
  </r>
  <r>
    <n v="838"/>
    <x v="15"/>
    <x v="0"/>
    <x v="15"/>
    <x v="0"/>
    <x v="39"/>
    <x v="26"/>
    <s v="L"/>
    <s v="Brown"/>
    <s v="Spring"/>
    <n v="4.9000000000000004"/>
    <x v="0"/>
    <x v="0"/>
    <x v="0"/>
    <x v="0"/>
    <n v="33"/>
    <x v="1"/>
    <x v="6"/>
    <x v="3"/>
  </r>
  <r>
    <n v="839"/>
    <x v="23"/>
    <x v="0"/>
    <x v="7"/>
    <x v="2"/>
    <x v="45"/>
    <x v="0"/>
    <s v="M"/>
    <s v="Gray"/>
    <s v="Spring"/>
    <n v="4.3"/>
    <x v="0"/>
    <x v="0"/>
    <x v="0"/>
    <x v="0"/>
    <n v="49"/>
    <x v="2"/>
    <x v="2"/>
    <x v="2"/>
  </r>
  <r>
    <n v="840"/>
    <x v="39"/>
    <x v="0"/>
    <x v="5"/>
    <x v="0"/>
    <x v="9"/>
    <x v="26"/>
    <s v="L"/>
    <s v="Teal"/>
    <s v="Spring"/>
    <n v="2.6"/>
    <x v="0"/>
    <x v="1"/>
    <x v="0"/>
    <x v="0"/>
    <n v="10"/>
    <x v="5"/>
    <x v="6"/>
    <x v="3"/>
  </r>
  <r>
    <n v="841"/>
    <x v="32"/>
    <x v="0"/>
    <x v="5"/>
    <x v="0"/>
    <x v="41"/>
    <x v="15"/>
    <s v="L"/>
    <s v="Teal"/>
    <s v="Summer"/>
    <n v="4.2"/>
    <x v="0"/>
    <x v="4"/>
    <x v="0"/>
    <x v="0"/>
    <n v="18"/>
    <x v="3"/>
    <x v="1"/>
    <x v="1"/>
  </r>
  <r>
    <n v="842"/>
    <x v="0"/>
    <x v="0"/>
    <x v="1"/>
    <x v="0"/>
    <x v="19"/>
    <x v="21"/>
    <s v="M"/>
    <s v="Beige"/>
    <s v="Summer"/>
    <n v="2.6"/>
    <x v="0"/>
    <x v="5"/>
    <x v="0"/>
    <x v="0"/>
    <n v="28"/>
    <x v="3"/>
    <x v="0"/>
    <x v="0"/>
  </r>
  <r>
    <n v="843"/>
    <x v="35"/>
    <x v="0"/>
    <x v="5"/>
    <x v="0"/>
    <x v="55"/>
    <x v="9"/>
    <s v="M"/>
    <s v="Violet"/>
    <s v="Spring"/>
    <n v="3.6"/>
    <x v="0"/>
    <x v="0"/>
    <x v="0"/>
    <x v="0"/>
    <n v="25"/>
    <x v="3"/>
    <x v="1"/>
    <x v="1"/>
  </r>
  <r>
    <n v="844"/>
    <x v="13"/>
    <x v="0"/>
    <x v="15"/>
    <x v="0"/>
    <x v="68"/>
    <x v="38"/>
    <s v="S"/>
    <s v="Beige"/>
    <s v="Summer"/>
    <n v="3.2"/>
    <x v="0"/>
    <x v="0"/>
    <x v="0"/>
    <x v="0"/>
    <n v="6"/>
    <x v="3"/>
    <x v="1"/>
    <x v="1"/>
  </r>
  <r>
    <n v="845"/>
    <x v="35"/>
    <x v="0"/>
    <x v="3"/>
    <x v="1"/>
    <x v="16"/>
    <x v="9"/>
    <s v="L"/>
    <s v="Purple"/>
    <s v="Winter"/>
    <n v="4.4000000000000004"/>
    <x v="0"/>
    <x v="0"/>
    <x v="0"/>
    <x v="0"/>
    <n v="44"/>
    <x v="0"/>
    <x v="4"/>
    <x v="4"/>
  </r>
  <r>
    <n v="846"/>
    <x v="18"/>
    <x v="0"/>
    <x v="22"/>
    <x v="3"/>
    <x v="34"/>
    <x v="49"/>
    <s v="XL"/>
    <s v="Charcoal"/>
    <s v="Winter"/>
    <n v="3.7"/>
    <x v="0"/>
    <x v="3"/>
    <x v="0"/>
    <x v="0"/>
    <n v="30"/>
    <x v="0"/>
    <x v="5"/>
    <x v="5"/>
  </r>
  <r>
    <n v="847"/>
    <x v="34"/>
    <x v="0"/>
    <x v="23"/>
    <x v="1"/>
    <x v="11"/>
    <x v="0"/>
    <s v="M"/>
    <s v="Pink"/>
    <s v="Spring"/>
    <n v="3.7"/>
    <x v="0"/>
    <x v="0"/>
    <x v="0"/>
    <x v="0"/>
    <n v="42"/>
    <x v="5"/>
    <x v="3"/>
    <x v="3"/>
  </r>
  <r>
    <n v="848"/>
    <x v="10"/>
    <x v="0"/>
    <x v="15"/>
    <x v="0"/>
    <x v="77"/>
    <x v="32"/>
    <s v="L"/>
    <s v="Blue"/>
    <s v="Fall"/>
    <n v="4.0999999999999996"/>
    <x v="0"/>
    <x v="3"/>
    <x v="0"/>
    <x v="0"/>
    <n v="30"/>
    <x v="3"/>
    <x v="5"/>
    <x v="5"/>
  </r>
  <r>
    <n v="849"/>
    <x v="39"/>
    <x v="0"/>
    <x v="3"/>
    <x v="1"/>
    <x v="2"/>
    <x v="12"/>
    <s v="M"/>
    <s v="Lavender"/>
    <s v="Fall"/>
    <n v="3.6"/>
    <x v="0"/>
    <x v="5"/>
    <x v="0"/>
    <x v="0"/>
    <n v="33"/>
    <x v="2"/>
    <x v="4"/>
    <x v="4"/>
  </r>
  <r>
    <n v="850"/>
    <x v="51"/>
    <x v="0"/>
    <x v="2"/>
    <x v="0"/>
    <x v="70"/>
    <x v="9"/>
    <s v="S"/>
    <s v="Charcoal"/>
    <s v="Spring"/>
    <n v="4.3"/>
    <x v="0"/>
    <x v="0"/>
    <x v="0"/>
    <x v="0"/>
    <n v="24"/>
    <x v="3"/>
    <x v="3"/>
    <x v="3"/>
  </r>
  <r>
    <n v="851"/>
    <x v="33"/>
    <x v="0"/>
    <x v="9"/>
    <x v="1"/>
    <x v="5"/>
    <x v="39"/>
    <s v="L"/>
    <s v="Turquoise"/>
    <s v="Winter"/>
    <n v="2.6"/>
    <x v="0"/>
    <x v="5"/>
    <x v="0"/>
    <x v="0"/>
    <n v="13"/>
    <x v="0"/>
    <x v="5"/>
    <x v="5"/>
  </r>
  <r>
    <n v="852"/>
    <x v="25"/>
    <x v="0"/>
    <x v="3"/>
    <x v="1"/>
    <x v="62"/>
    <x v="2"/>
    <s v="M"/>
    <s v="Red"/>
    <s v="Summer"/>
    <n v="2.9"/>
    <x v="0"/>
    <x v="0"/>
    <x v="0"/>
    <x v="0"/>
    <n v="19"/>
    <x v="5"/>
    <x v="5"/>
    <x v="5"/>
  </r>
  <r>
    <n v="853"/>
    <x v="50"/>
    <x v="0"/>
    <x v="10"/>
    <x v="0"/>
    <x v="30"/>
    <x v="20"/>
    <s v="L"/>
    <s v="Yellow"/>
    <s v="Spring"/>
    <n v="4.2"/>
    <x v="0"/>
    <x v="2"/>
    <x v="0"/>
    <x v="0"/>
    <n v="23"/>
    <x v="5"/>
    <x v="6"/>
    <x v="3"/>
  </r>
  <r>
    <n v="854"/>
    <x v="46"/>
    <x v="0"/>
    <x v="19"/>
    <x v="3"/>
    <x v="35"/>
    <x v="12"/>
    <s v="L"/>
    <s v="Orange"/>
    <s v="Winter"/>
    <n v="4"/>
    <x v="0"/>
    <x v="1"/>
    <x v="0"/>
    <x v="0"/>
    <n v="35"/>
    <x v="1"/>
    <x v="5"/>
    <x v="5"/>
  </r>
  <r>
    <n v="855"/>
    <x v="3"/>
    <x v="0"/>
    <x v="13"/>
    <x v="0"/>
    <x v="77"/>
    <x v="18"/>
    <s v="L"/>
    <s v="Blue"/>
    <s v="Spring"/>
    <n v="4.3"/>
    <x v="0"/>
    <x v="1"/>
    <x v="0"/>
    <x v="0"/>
    <n v="22"/>
    <x v="0"/>
    <x v="5"/>
    <x v="5"/>
  </r>
  <r>
    <n v="856"/>
    <x v="27"/>
    <x v="0"/>
    <x v="20"/>
    <x v="0"/>
    <x v="31"/>
    <x v="4"/>
    <s v="L"/>
    <s v="Gold"/>
    <s v="Spring"/>
    <n v="3"/>
    <x v="0"/>
    <x v="4"/>
    <x v="0"/>
    <x v="0"/>
    <n v="14"/>
    <x v="2"/>
    <x v="3"/>
    <x v="3"/>
  </r>
  <r>
    <n v="857"/>
    <x v="0"/>
    <x v="0"/>
    <x v="5"/>
    <x v="0"/>
    <x v="27"/>
    <x v="29"/>
    <s v="M"/>
    <s v="Gold"/>
    <s v="Summer"/>
    <n v="3.5"/>
    <x v="0"/>
    <x v="0"/>
    <x v="0"/>
    <x v="0"/>
    <n v="47"/>
    <x v="5"/>
    <x v="0"/>
    <x v="0"/>
  </r>
  <r>
    <n v="858"/>
    <x v="49"/>
    <x v="0"/>
    <x v="6"/>
    <x v="0"/>
    <x v="30"/>
    <x v="9"/>
    <s v="L"/>
    <s v="Cyan"/>
    <s v="Fall"/>
    <n v="3"/>
    <x v="0"/>
    <x v="3"/>
    <x v="0"/>
    <x v="0"/>
    <n v="50"/>
    <x v="5"/>
    <x v="6"/>
    <x v="3"/>
  </r>
  <r>
    <n v="859"/>
    <x v="1"/>
    <x v="0"/>
    <x v="14"/>
    <x v="2"/>
    <x v="46"/>
    <x v="19"/>
    <s v="L"/>
    <s v="Olive"/>
    <s v="Fall"/>
    <n v="3.1"/>
    <x v="0"/>
    <x v="1"/>
    <x v="0"/>
    <x v="0"/>
    <n v="33"/>
    <x v="3"/>
    <x v="1"/>
    <x v="1"/>
  </r>
  <r>
    <n v="860"/>
    <x v="36"/>
    <x v="0"/>
    <x v="15"/>
    <x v="0"/>
    <x v="2"/>
    <x v="48"/>
    <s v="M"/>
    <s v="Teal"/>
    <s v="Winter"/>
    <n v="4"/>
    <x v="0"/>
    <x v="2"/>
    <x v="0"/>
    <x v="0"/>
    <n v="7"/>
    <x v="5"/>
    <x v="5"/>
    <x v="5"/>
  </r>
  <r>
    <n v="861"/>
    <x v="8"/>
    <x v="0"/>
    <x v="9"/>
    <x v="1"/>
    <x v="55"/>
    <x v="36"/>
    <s v="M"/>
    <s v="Maroon"/>
    <s v="Spring"/>
    <n v="4.0999999999999996"/>
    <x v="0"/>
    <x v="3"/>
    <x v="0"/>
    <x v="0"/>
    <n v="3"/>
    <x v="1"/>
    <x v="5"/>
    <x v="5"/>
  </r>
  <r>
    <n v="862"/>
    <x v="5"/>
    <x v="0"/>
    <x v="11"/>
    <x v="0"/>
    <x v="33"/>
    <x v="41"/>
    <s v="XL"/>
    <s v="Green"/>
    <s v="Spring"/>
    <n v="3.3"/>
    <x v="0"/>
    <x v="4"/>
    <x v="0"/>
    <x v="0"/>
    <n v="35"/>
    <x v="2"/>
    <x v="6"/>
    <x v="3"/>
  </r>
  <r>
    <n v="863"/>
    <x v="1"/>
    <x v="0"/>
    <x v="7"/>
    <x v="2"/>
    <x v="63"/>
    <x v="10"/>
    <s v="M"/>
    <s v="Charcoal"/>
    <s v="Winter"/>
    <n v="4.9000000000000004"/>
    <x v="0"/>
    <x v="3"/>
    <x v="0"/>
    <x v="0"/>
    <n v="13"/>
    <x v="3"/>
    <x v="0"/>
    <x v="0"/>
  </r>
  <r>
    <n v="864"/>
    <x v="34"/>
    <x v="0"/>
    <x v="4"/>
    <x v="1"/>
    <x v="52"/>
    <x v="34"/>
    <s v="M"/>
    <s v="Cyan"/>
    <s v="Summer"/>
    <n v="3.9"/>
    <x v="0"/>
    <x v="3"/>
    <x v="0"/>
    <x v="0"/>
    <n v="42"/>
    <x v="3"/>
    <x v="0"/>
    <x v="0"/>
  </r>
  <r>
    <n v="865"/>
    <x v="47"/>
    <x v="0"/>
    <x v="2"/>
    <x v="0"/>
    <x v="40"/>
    <x v="0"/>
    <s v="S"/>
    <s v="Charcoal"/>
    <s v="Winter"/>
    <n v="3.9"/>
    <x v="0"/>
    <x v="2"/>
    <x v="0"/>
    <x v="0"/>
    <n v="5"/>
    <x v="3"/>
    <x v="2"/>
    <x v="2"/>
  </r>
  <r>
    <n v="866"/>
    <x v="14"/>
    <x v="0"/>
    <x v="0"/>
    <x v="0"/>
    <x v="46"/>
    <x v="24"/>
    <s v="L"/>
    <s v="Charcoal"/>
    <s v="Winter"/>
    <n v="4.8"/>
    <x v="0"/>
    <x v="5"/>
    <x v="0"/>
    <x v="0"/>
    <n v="23"/>
    <x v="0"/>
    <x v="2"/>
    <x v="2"/>
  </r>
  <r>
    <n v="867"/>
    <x v="29"/>
    <x v="0"/>
    <x v="12"/>
    <x v="3"/>
    <x v="28"/>
    <x v="35"/>
    <s v="M"/>
    <s v="Lavender"/>
    <s v="Summer"/>
    <n v="2.7"/>
    <x v="0"/>
    <x v="1"/>
    <x v="0"/>
    <x v="0"/>
    <n v="11"/>
    <x v="3"/>
    <x v="4"/>
    <x v="4"/>
  </r>
  <r>
    <n v="868"/>
    <x v="43"/>
    <x v="0"/>
    <x v="14"/>
    <x v="2"/>
    <x v="5"/>
    <x v="24"/>
    <s v="M"/>
    <s v="Turquoise"/>
    <s v="Spring"/>
    <n v="3.1"/>
    <x v="0"/>
    <x v="1"/>
    <x v="0"/>
    <x v="0"/>
    <n v="23"/>
    <x v="4"/>
    <x v="0"/>
    <x v="0"/>
  </r>
  <r>
    <n v="869"/>
    <x v="37"/>
    <x v="0"/>
    <x v="10"/>
    <x v="0"/>
    <x v="42"/>
    <x v="17"/>
    <s v="M"/>
    <s v="Green"/>
    <s v="Summer"/>
    <n v="3.2"/>
    <x v="0"/>
    <x v="2"/>
    <x v="0"/>
    <x v="0"/>
    <n v="2"/>
    <x v="2"/>
    <x v="6"/>
    <x v="3"/>
  </r>
  <r>
    <n v="870"/>
    <x v="21"/>
    <x v="0"/>
    <x v="19"/>
    <x v="3"/>
    <x v="36"/>
    <x v="13"/>
    <s v="M"/>
    <s v="Silver"/>
    <s v="Spring"/>
    <n v="2.7"/>
    <x v="0"/>
    <x v="4"/>
    <x v="0"/>
    <x v="0"/>
    <n v="33"/>
    <x v="3"/>
    <x v="1"/>
    <x v="1"/>
  </r>
  <r>
    <n v="871"/>
    <x v="17"/>
    <x v="0"/>
    <x v="15"/>
    <x v="0"/>
    <x v="76"/>
    <x v="8"/>
    <s v="M"/>
    <s v="Blue"/>
    <s v="Fall"/>
    <n v="2.5"/>
    <x v="0"/>
    <x v="3"/>
    <x v="0"/>
    <x v="0"/>
    <n v="6"/>
    <x v="4"/>
    <x v="4"/>
    <x v="4"/>
  </r>
  <r>
    <n v="872"/>
    <x v="36"/>
    <x v="0"/>
    <x v="8"/>
    <x v="3"/>
    <x v="69"/>
    <x v="11"/>
    <s v="M"/>
    <s v="Charcoal"/>
    <s v="Spring"/>
    <n v="2.6"/>
    <x v="0"/>
    <x v="2"/>
    <x v="0"/>
    <x v="0"/>
    <n v="45"/>
    <x v="5"/>
    <x v="3"/>
    <x v="3"/>
  </r>
  <r>
    <n v="873"/>
    <x v="19"/>
    <x v="0"/>
    <x v="2"/>
    <x v="0"/>
    <x v="27"/>
    <x v="25"/>
    <s v="M"/>
    <s v="Pink"/>
    <s v="Spring"/>
    <n v="2.9"/>
    <x v="0"/>
    <x v="3"/>
    <x v="0"/>
    <x v="0"/>
    <n v="25"/>
    <x v="1"/>
    <x v="3"/>
    <x v="3"/>
  </r>
  <r>
    <n v="874"/>
    <x v="47"/>
    <x v="0"/>
    <x v="23"/>
    <x v="1"/>
    <x v="64"/>
    <x v="16"/>
    <s v="M"/>
    <s v="Pink"/>
    <s v="Summer"/>
    <n v="4.2"/>
    <x v="0"/>
    <x v="1"/>
    <x v="0"/>
    <x v="0"/>
    <n v="24"/>
    <x v="0"/>
    <x v="3"/>
    <x v="3"/>
  </r>
  <r>
    <n v="875"/>
    <x v="15"/>
    <x v="0"/>
    <x v="14"/>
    <x v="2"/>
    <x v="61"/>
    <x v="1"/>
    <s v="M"/>
    <s v="Magenta"/>
    <s v="Fall"/>
    <n v="4.4000000000000004"/>
    <x v="0"/>
    <x v="1"/>
    <x v="0"/>
    <x v="0"/>
    <n v="10"/>
    <x v="0"/>
    <x v="6"/>
    <x v="3"/>
  </r>
  <r>
    <n v="876"/>
    <x v="43"/>
    <x v="0"/>
    <x v="3"/>
    <x v="1"/>
    <x v="32"/>
    <x v="25"/>
    <s v="L"/>
    <s v="Gray"/>
    <s v="Summer"/>
    <n v="4.0999999999999996"/>
    <x v="0"/>
    <x v="1"/>
    <x v="0"/>
    <x v="0"/>
    <n v="7"/>
    <x v="4"/>
    <x v="6"/>
    <x v="3"/>
  </r>
  <r>
    <n v="877"/>
    <x v="38"/>
    <x v="0"/>
    <x v="22"/>
    <x v="3"/>
    <x v="12"/>
    <x v="43"/>
    <s v="L"/>
    <s v="Gray"/>
    <s v="Summer"/>
    <n v="3.8"/>
    <x v="0"/>
    <x v="4"/>
    <x v="0"/>
    <x v="0"/>
    <n v="1"/>
    <x v="5"/>
    <x v="1"/>
    <x v="1"/>
  </r>
  <r>
    <n v="878"/>
    <x v="14"/>
    <x v="0"/>
    <x v="8"/>
    <x v="3"/>
    <x v="61"/>
    <x v="43"/>
    <s v="M"/>
    <s v="Orange"/>
    <s v="Winter"/>
    <n v="4.9000000000000004"/>
    <x v="0"/>
    <x v="2"/>
    <x v="0"/>
    <x v="0"/>
    <n v="45"/>
    <x v="0"/>
    <x v="6"/>
    <x v="3"/>
  </r>
  <r>
    <n v="879"/>
    <x v="51"/>
    <x v="0"/>
    <x v="12"/>
    <x v="3"/>
    <x v="58"/>
    <x v="30"/>
    <s v="S"/>
    <s v="Black"/>
    <s v="Summer"/>
    <n v="4.9000000000000004"/>
    <x v="0"/>
    <x v="0"/>
    <x v="0"/>
    <x v="0"/>
    <n v="37"/>
    <x v="5"/>
    <x v="1"/>
    <x v="1"/>
  </r>
  <r>
    <n v="880"/>
    <x v="46"/>
    <x v="0"/>
    <x v="11"/>
    <x v="0"/>
    <x v="31"/>
    <x v="5"/>
    <s v="S"/>
    <s v="Lavender"/>
    <s v="Spring"/>
    <n v="4.0999999999999996"/>
    <x v="0"/>
    <x v="1"/>
    <x v="0"/>
    <x v="0"/>
    <n v="14"/>
    <x v="3"/>
    <x v="3"/>
    <x v="3"/>
  </r>
  <r>
    <n v="881"/>
    <x v="31"/>
    <x v="0"/>
    <x v="21"/>
    <x v="3"/>
    <x v="60"/>
    <x v="22"/>
    <s v="L"/>
    <s v="Red"/>
    <s v="Spring"/>
    <n v="3.1"/>
    <x v="0"/>
    <x v="0"/>
    <x v="0"/>
    <x v="0"/>
    <n v="25"/>
    <x v="5"/>
    <x v="5"/>
    <x v="5"/>
  </r>
  <r>
    <n v="882"/>
    <x v="16"/>
    <x v="0"/>
    <x v="3"/>
    <x v="1"/>
    <x v="70"/>
    <x v="36"/>
    <s v="M"/>
    <s v="Silver"/>
    <s v="Summer"/>
    <n v="2.7"/>
    <x v="0"/>
    <x v="2"/>
    <x v="0"/>
    <x v="0"/>
    <n v="18"/>
    <x v="0"/>
    <x v="2"/>
    <x v="2"/>
  </r>
  <r>
    <n v="883"/>
    <x v="2"/>
    <x v="0"/>
    <x v="23"/>
    <x v="1"/>
    <x v="59"/>
    <x v="41"/>
    <s v="M"/>
    <s v="Cyan"/>
    <s v="Fall"/>
    <n v="3.8"/>
    <x v="0"/>
    <x v="2"/>
    <x v="0"/>
    <x v="0"/>
    <n v="37"/>
    <x v="1"/>
    <x v="6"/>
    <x v="3"/>
  </r>
  <r>
    <n v="884"/>
    <x v="48"/>
    <x v="0"/>
    <x v="4"/>
    <x v="1"/>
    <x v="18"/>
    <x v="38"/>
    <s v="S"/>
    <s v="Gold"/>
    <s v="Fall"/>
    <n v="4.3"/>
    <x v="0"/>
    <x v="1"/>
    <x v="0"/>
    <x v="0"/>
    <n v="30"/>
    <x v="4"/>
    <x v="5"/>
    <x v="5"/>
  </r>
  <r>
    <n v="885"/>
    <x v="29"/>
    <x v="0"/>
    <x v="11"/>
    <x v="0"/>
    <x v="26"/>
    <x v="11"/>
    <s v="L"/>
    <s v="Yellow"/>
    <s v="Winter"/>
    <n v="4.0999999999999996"/>
    <x v="0"/>
    <x v="0"/>
    <x v="0"/>
    <x v="0"/>
    <n v="34"/>
    <x v="4"/>
    <x v="1"/>
    <x v="1"/>
  </r>
  <r>
    <n v="886"/>
    <x v="38"/>
    <x v="0"/>
    <x v="10"/>
    <x v="0"/>
    <x v="54"/>
    <x v="31"/>
    <s v="L"/>
    <s v="Purple"/>
    <s v="Fall"/>
    <n v="4.4000000000000004"/>
    <x v="0"/>
    <x v="1"/>
    <x v="0"/>
    <x v="0"/>
    <n v="49"/>
    <x v="5"/>
    <x v="6"/>
    <x v="3"/>
  </r>
  <r>
    <n v="887"/>
    <x v="1"/>
    <x v="0"/>
    <x v="6"/>
    <x v="0"/>
    <x v="36"/>
    <x v="40"/>
    <s v="S"/>
    <s v="Brown"/>
    <s v="Summer"/>
    <n v="3.6"/>
    <x v="0"/>
    <x v="0"/>
    <x v="0"/>
    <x v="0"/>
    <n v="48"/>
    <x v="4"/>
    <x v="5"/>
    <x v="5"/>
  </r>
  <r>
    <n v="888"/>
    <x v="27"/>
    <x v="0"/>
    <x v="8"/>
    <x v="3"/>
    <x v="53"/>
    <x v="46"/>
    <s v="L"/>
    <s v="Turquoise"/>
    <s v="Winter"/>
    <n v="3.3"/>
    <x v="0"/>
    <x v="4"/>
    <x v="0"/>
    <x v="0"/>
    <n v="33"/>
    <x v="3"/>
    <x v="0"/>
    <x v="0"/>
  </r>
  <r>
    <n v="889"/>
    <x v="34"/>
    <x v="0"/>
    <x v="18"/>
    <x v="3"/>
    <x v="64"/>
    <x v="13"/>
    <s v="S"/>
    <s v="Gold"/>
    <s v="Spring"/>
    <n v="3.6"/>
    <x v="0"/>
    <x v="0"/>
    <x v="0"/>
    <x v="0"/>
    <n v="44"/>
    <x v="1"/>
    <x v="2"/>
    <x v="2"/>
  </r>
  <r>
    <n v="890"/>
    <x v="35"/>
    <x v="0"/>
    <x v="22"/>
    <x v="3"/>
    <x v="63"/>
    <x v="28"/>
    <s v="S"/>
    <s v="Olive"/>
    <s v="Fall"/>
    <n v="2.8"/>
    <x v="0"/>
    <x v="1"/>
    <x v="0"/>
    <x v="0"/>
    <n v="50"/>
    <x v="0"/>
    <x v="1"/>
    <x v="1"/>
  </r>
  <r>
    <n v="891"/>
    <x v="16"/>
    <x v="0"/>
    <x v="24"/>
    <x v="3"/>
    <x v="12"/>
    <x v="14"/>
    <s v="S"/>
    <s v="Purple"/>
    <s v="Spring"/>
    <n v="4.3"/>
    <x v="0"/>
    <x v="4"/>
    <x v="0"/>
    <x v="0"/>
    <n v="47"/>
    <x v="2"/>
    <x v="5"/>
    <x v="5"/>
  </r>
  <r>
    <n v="892"/>
    <x v="30"/>
    <x v="0"/>
    <x v="11"/>
    <x v="0"/>
    <x v="46"/>
    <x v="38"/>
    <s v="S"/>
    <s v="Lavender"/>
    <s v="Summer"/>
    <n v="3.9"/>
    <x v="0"/>
    <x v="5"/>
    <x v="0"/>
    <x v="0"/>
    <n v="24"/>
    <x v="3"/>
    <x v="6"/>
    <x v="3"/>
  </r>
  <r>
    <n v="893"/>
    <x v="18"/>
    <x v="0"/>
    <x v="6"/>
    <x v="0"/>
    <x v="1"/>
    <x v="35"/>
    <s v="L"/>
    <s v="Gray"/>
    <s v="Summer"/>
    <n v="2.7"/>
    <x v="0"/>
    <x v="1"/>
    <x v="0"/>
    <x v="0"/>
    <n v="43"/>
    <x v="5"/>
    <x v="5"/>
    <x v="5"/>
  </r>
  <r>
    <n v="894"/>
    <x v="23"/>
    <x v="0"/>
    <x v="21"/>
    <x v="3"/>
    <x v="12"/>
    <x v="43"/>
    <s v="M"/>
    <s v="Red"/>
    <s v="Spring"/>
    <n v="4.7"/>
    <x v="0"/>
    <x v="0"/>
    <x v="0"/>
    <x v="0"/>
    <n v="14"/>
    <x v="0"/>
    <x v="5"/>
    <x v="5"/>
  </r>
  <r>
    <n v="895"/>
    <x v="42"/>
    <x v="0"/>
    <x v="15"/>
    <x v="0"/>
    <x v="30"/>
    <x v="5"/>
    <s v="L"/>
    <s v="Purple"/>
    <s v="Spring"/>
    <n v="3.8"/>
    <x v="0"/>
    <x v="1"/>
    <x v="0"/>
    <x v="0"/>
    <n v="3"/>
    <x v="5"/>
    <x v="3"/>
    <x v="3"/>
  </r>
  <r>
    <n v="896"/>
    <x v="37"/>
    <x v="0"/>
    <x v="19"/>
    <x v="3"/>
    <x v="28"/>
    <x v="16"/>
    <s v="XL"/>
    <s v="Olive"/>
    <s v="Spring"/>
    <n v="4.7"/>
    <x v="0"/>
    <x v="2"/>
    <x v="0"/>
    <x v="0"/>
    <n v="33"/>
    <x v="5"/>
    <x v="3"/>
    <x v="3"/>
  </r>
  <r>
    <n v="897"/>
    <x v="28"/>
    <x v="0"/>
    <x v="16"/>
    <x v="3"/>
    <x v="45"/>
    <x v="10"/>
    <s v="M"/>
    <s v="Lavender"/>
    <s v="Spring"/>
    <n v="4.7"/>
    <x v="0"/>
    <x v="0"/>
    <x v="0"/>
    <x v="0"/>
    <n v="38"/>
    <x v="1"/>
    <x v="0"/>
    <x v="0"/>
  </r>
  <r>
    <n v="898"/>
    <x v="26"/>
    <x v="0"/>
    <x v="5"/>
    <x v="0"/>
    <x v="26"/>
    <x v="26"/>
    <s v="M"/>
    <s v="Gray"/>
    <s v="Spring"/>
    <n v="3.4"/>
    <x v="0"/>
    <x v="0"/>
    <x v="0"/>
    <x v="0"/>
    <n v="46"/>
    <x v="0"/>
    <x v="1"/>
    <x v="1"/>
  </r>
  <r>
    <n v="899"/>
    <x v="22"/>
    <x v="0"/>
    <x v="22"/>
    <x v="3"/>
    <x v="44"/>
    <x v="22"/>
    <s v="L"/>
    <s v="Red"/>
    <s v="Spring"/>
    <n v="3.5"/>
    <x v="0"/>
    <x v="4"/>
    <x v="0"/>
    <x v="0"/>
    <n v="19"/>
    <x v="4"/>
    <x v="6"/>
    <x v="3"/>
  </r>
  <r>
    <n v="900"/>
    <x v="13"/>
    <x v="0"/>
    <x v="1"/>
    <x v="0"/>
    <x v="47"/>
    <x v="3"/>
    <s v="M"/>
    <s v="Peach"/>
    <s v="Summer"/>
    <n v="4"/>
    <x v="0"/>
    <x v="3"/>
    <x v="0"/>
    <x v="0"/>
    <n v="20"/>
    <x v="3"/>
    <x v="2"/>
    <x v="2"/>
  </r>
  <r>
    <n v="901"/>
    <x v="22"/>
    <x v="0"/>
    <x v="19"/>
    <x v="3"/>
    <x v="57"/>
    <x v="8"/>
    <s v="L"/>
    <s v="Gray"/>
    <s v="Fall"/>
    <n v="3.3"/>
    <x v="0"/>
    <x v="1"/>
    <x v="0"/>
    <x v="0"/>
    <n v="42"/>
    <x v="4"/>
    <x v="3"/>
    <x v="3"/>
  </r>
  <r>
    <n v="902"/>
    <x v="52"/>
    <x v="0"/>
    <x v="18"/>
    <x v="3"/>
    <x v="10"/>
    <x v="9"/>
    <s v="L"/>
    <s v="Violet"/>
    <s v="Summer"/>
    <n v="4.7"/>
    <x v="0"/>
    <x v="4"/>
    <x v="0"/>
    <x v="0"/>
    <n v="34"/>
    <x v="1"/>
    <x v="5"/>
    <x v="5"/>
  </r>
  <r>
    <n v="903"/>
    <x v="49"/>
    <x v="0"/>
    <x v="19"/>
    <x v="3"/>
    <x v="77"/>
    <x v="0"/>
    <s v="M"/>
    <s v="Beige"/>
    <s v="Summer"/>
    <n v="2.8"/>
    <x v="0"/>
    <x v="2"/>
    <x v="0"/>
    <x v="0"/>
    <n v="5"/>
    <x v="1"/>
    <x v="5"/>
    <x v="5"/>
  </r>
  <r>
    <n v="904"/>
    <x v="42"/>
    <x v="0"/>
    <x v="14"/>
    <x v="2"/>
    <x v="29"/>
    <x v="47"/>
    <s v="M"/>
    <s v="Blue"/>
    <s v="Winter"/>
    <n v="3.3"/>
    <x v="0"/>
    <x v="0"/>
    <x v="0"/>
    <x v="0"/>
    <n v="3"/>
    <x v="3"/>
    <x v="3"/>
    <x v="3"/>
  </r>
  <r>
    <n v="905"/>
    <x v="28"/>
    <x v="0"/>
    <x v="17"/>
    <x v="0"/>
    <x v="54"/>
    <x v="29"/>
    <s v="L"/>
    <s v="Magenta"/>
    <s v="Spring"/>
    <n v="2.9"/>
    <x v="0"/>
    <x v="1"/>
    <x v="0"/>
    <x v="0"/>
    <n v="46"/>
    <x v="3"/>
    <x v="6"/>
    <x v="3"/>
  </r>
  <r>
    <n v="906"/>
    <x v="5"/>
    <x v="0"/>
    <x v="10"/>
    <x v="0"/>
    <x v="10"/>
    <x v="16"/>
    <s v="S"/>
    <s v="Cyan"/>
    <s v="Spring"/>
    <n v="2.8"/>
    <x v="0"/>
    <x v="3"/>
    <x v="0"/>
    <x v="0"/>
    <n v="16"/>
    <x v="0"/>
    <x v="2"/>
    <x v="2"/>
  </r>
  <r>
    <n v="907"/>
    <x v="38"/>
    <x v="0"/>
    <x v="13"/>
    <x v="0"/>
    <x v="22"/>
    <x v="36"/>
    <s v="M"/>
    <s v="Red"/>
    <s v="Spring"/>
    <n v="4.2"/>
    <x v="0"/>
    <x v="3"/>
    <x v="0"/>
    <x v="0"/>
    <n v="21"/>
    <x v="5"/>
    <x v="4"/>
    <x v="4"/>
  </r>
  <r>
    <n v="908"/>
    <x v="45"/>
    <x v="0"/>
    <x v="1"/>
    <x v="0"/>
    <x v="35"/>
    <x v="9"/>
    <s v="L"/>
    <s v="Cyan"/>
    <s v="Winter"/>
    <n v="4.4000000000000004"/>
    <x v="0"/>
    <x v="0"/>
    <x v="0"/>
    <x v="0"/>
    <n v="34"/>
    <x v="2"/>
    <x v="4"/>
    <x v="4"/>
  </r>
  <r>
    <n v="909"/>
    <x v="8"/>
    <x v="0"/>
    <x v="12"/>
    <x v="3"/>
    <x v="54"/>
    <x v="32"/>
    <s v="M"/>
    <s v="Turquoise"/>
    <s v="Winter"/>
    <n v="3.6"/>
    <x v="0"/>
    <x v="1"/>
    <x v="0"/>
    <x v="0"/>
    <n v="9"/>
    <x v="3"/>
    <x v="6"/>
    <x v="3"/>
  </r>
  <r>
    <n v="910"/>
    <x v="12"/>
    <x v="0"/>
    <x v="22"/>
    <x v="3"/>
    <x v="22"/>
    <x v="7"/>
    <s v="L"/>
    <s v="Silver"/>
    <s v="Fall"/>
    <n v="2.7"/>
    <x v="0"/>
    <x v="0"/>
    <x v="0"/>
    <x v="0"/>
    <n v="36"/>
    <x v="3"/>
    <x v="1"/>
    <x v="1"/>
  </r>
  <r>
    <n v="911"/>
    <x v="34"/>
    <x v="0"/>
    <x v="15"/>
    <x v="0"/>
    <x v="21"/>
    <x v="36"/>
    <s v="S"/>
    <s v="Pink"/>
    <s v="Spring"/>
    <n v="3.4"/>
    <x v="0"/>
    <x v="0"/>
    <x v="0"/>
    <x v="0"/>
    <n v="22"/>
    <x v="2"/>
    <x v="5"/>
    <x v="5"/>
  </r>
  <r>
    <n v="912"/>
    <x v="10"/>
    <x v="0"/>
    <x v="13"/>
    <x v="0"/>
    <x v="67"/>
    <x v="34"/>
    <s v="M"/>
    <s v="Black"/>
    <s v="Winter"/>
    <n v="2.8"/>
    <x v="0"/>
    <x v="4"/>
    <x v="0"/>
    <x v="0"/>
    <n v="2"/>
    <x v="4"/>
    <x v="3"/>
    <x v="3"/>
  </r>
  <r>
    <n v="913"/>
    <x v="41"/>
    <x v="0"/>
    <x v="15"/>
    <x v="0"/>
    <x v="22"/>
    <x v="10"/>
    <s v="M"/>
    <s v="Green"/>
    <s v="Winter"/>
    <n v="3.4"/>
    <x v="0"/>
    <x v="2"/>
    <x v="0"/>
    <x v="0"/>
    <n v="32"/>
    <x v="4"/>
    <x v="5"/>
    <x v="5"/>
  </r>
  <r>
    <n v="914"/>
    <x v="43"/>
    <x v="0"/>
    <x v="4"/>
    <x v="1"/>
    <x v="53"/>
    <x v="40"/>
    <s v="M"/>
    <s v="Yellow"/>
    <s v="Fall"/>
    <n v="2.6"/>
    <x v="0"/>
    <x v="2"/>
    <x v="0"/>
    <x v="0"/>
    <n v="29"/>
    <x v="1"/>
    <x v="6"/>
    <x v="3"/>
  </r>
  <r>
    <n v="915"/>
    <x v="49"/>
    <x v="0"/>
    <x v="10"/>
    <x v="0"/>
    <x v="25"/>
    <x v="47"/>
    <s v="L"/>
    <s v="Purple"/>
    <s v="Summer"/>
    <n v="4.0999999999999996"/>
    <x v="0"/>
    <x v="3"/>
    <x v="0"/>
    <x v="0"/>
    <n v="27"/>
    <x v="0"/>
    <x v="6"/>
    <x v="3"/>
  </r>
  <r>
    <n v="916"/>
    <x v="18"/>
    <x v="0"/>
    <x v="10"/>
    <x v="0"/>
    <x v="20"/>
    <x v="3"/>
    <s v="L"/>
    <s v="Purple"/>
    <s v="Winter"/>
    <n v="2.9"/>
    <x v="0"/>
    <x v="5"/>
    <x v="0"/>
    <x v="0"/>
    <n v="33"/>
    <x v="2"/>
    <x v="0"/>
    <x v="0"/>
  </r>
  <r>
    <n v="917"/>
    <x v="34"/>
    <x v="0"/>
    <x v="2"/>
    <x v="0"/>
    <x v="7"/>
    <x v="26"/>
    <s v="S"/>
    <s v="Blue"/>
    <s v="Spring"/>
    <n v="2.7"/>
    <x v="0"/>
    <x v="3"/>
    <x v="0"/>
    <x v="0"/>
    <n v="16"/>
    <x v="0"/>
    <x v="5"/>
    <x v="5"/>
  </r>
  <r>
    <n v="918"/>
    <x v="28"/>
    <x v="0"/>
    <x v="1"/>
    <x v="0"/>
    <x v="1"/>
    <x v="9"/>
    <s v="M"/>
    <s v="Maroon"/>
    <s v="Spring"/>
    <n v="3.7"/>
    <x v="0"/>
    <x v="3"/>
    <x v="0"/>
    <x v="0"/>
    <n v="11"/>
    <x v="4"/>
    <x v="3"/>
    <x v="3"/>
  </r>
  <r>
    <n v="919"/>
    <x v="13"/>
    <x v="0"/>
    <x v="6"/>
    <x v="0"/>
    <x v="69"/>
    <x v="17"/>
    <s v="M"/>
    <s v="Orange"/>
    <s v="Spring"/>
    <n v="4.3"/>
    <x v="0"/>
    <x v="4"/>
    <x v="0"/>
    <x v="0"/>
    <n v="11"/>
    <x v="1"/>
    <x v="0"/>
    <x v="0"/>
  </r>
  <r>
    <n v="920"/>
    <x v="38"/>
    <x v="0"/>
    <x v="5"/>
    <x v="0"/>
    <x v="71"/>
    <x v="2"/>
    <s v="L"/>
    <s v="Green"/>
    <s v="Winter"/>
    <n v="2.6"/>
    <x v="0"/>
    <x v="4"/>
    <x v="0"/>
    <x v="0"/>
    <n v="17"/>
    <x v="5"/>
    <x v="4"/>
    <x v="4"/>
  </r>
  <r>
    <n v="921"/>
    <x v="43"/>
    <x v="0"/>
    <x v="22"/>
    <x v="3"/>
    <x v="13"/>
    <x v="10"/>
    <s v="XL"/>
    <s v="Gold"/>
    <s v="Summer"/>
    <n v="4.3"/>
    <x v="0"/>
    <x v="1"/>
    <x v="0"/>
    <x v="0"/>
    <n v="37"/>
    <x v="1"/>
    <x v="1"/>
    <x v="1"/>
  </r>
  <r>
    <n v="922"/>
    <x v="27"/>
    <x v="0"/>
    <x v="7"/>
    <x v="2"/>
    <x v="41"/>
    <x v="45"/>
    <s v="L"/>
    <s v="Silver"/>
    <s v="Summer"/>
    <n v="4.0999999999999996"/>
    <x v="0"/>
    <x v="0"/>
    <x v="0"/>
    <x v="0"/>
    <n v="18"/>
    <x v="3"/>
    <x v="1"/>
    <x v="1"/>
  </r>
  <r>
    <n v="923"/>
    <x v="6"/>
    <x v="0"/>
    <x v="4"/>
    <x v="1"/>
    <x v="30"/>
    <x v="42"/>
    <s v="M"/>
    <s v="Cyan"/>
    <s v="Fall"/>
    <n v="4.2"/>
    <x v="0"/>
    <x v="3"/>
    <x v="0"/>
    <x v="0"/>
    <n v="13"/>
    <x v="2"/>
    <x v="5"/>
    <x v="5"/>
  </r>
  <r>
    <n v="924"/>
    <x v="0"/>
    <x v="0"/>
    <x v="5"/>
    <x v="0"/>
    <x v="41"/>
    <x v="10"/>
    <s v="M"/>
    <s v="Silver"/>
    <s v="Spring"/>
    <n v="4.2"/>
    <x v="0"/>
    <x v="4"/>
    <x v="0"/>
    <x v="0"/>
    <n v="7"/>
    <x v="3"/>
    <x v="1"/>
    <x v="1"/>
  </r>
  <r>
    <n v="925"/>
    <x v="16"/>
    <x v="0"/>
    <x v="20"/>
    <x v="0"/>
    <x v="72"/>
    <x v="23"/>
    <s v="XL"/>
    <s v="Beige"/>
    <s v="Winter"/>
    <n v="3.1"/>
    <x v="0"/>
    <x v="3"/>
    <x v="0"/>
    <x v="0"/>
    <n v="37"/>
    <x v="1"/>
    <x v="3"/>
    <x v="3"/>
  </r>
  <r>
    <n v="926"/>
    <x v="40"/>
    <x v="0"/>
    <x v="2"/>
    <x v="0"/>
    <x v="19"/>
    <x v="28"/>
    <s v="L"/>
    <s v="Teal"/>
    <s v="Winter"/>
    <n v="4.9000000000000004"/>
    <x v="0"/>
    <x v="0"/>
    <x v="0"/>
    <x v="0"/>
    <n v="8"/>
    <x v="1"/>
    <x v="5"/>
    <x v="5"/>
  </r>
  <r>
    <n v="927"/>
    <x v="22"/>
    <x v="0"/>
    <x v="2"/>
    <x v="0"/>
    <x v="80"/>
    <x v="2"/>
    <s v="XL"/>
    <s v="Green"/>
    <s v="Spring"/>
    <n v="4.4000000000000004"/>
    <x v="0"/>
    <x v="0"/>
    <x v="0"/>
    <x v="0"/>
    <n v="11"/>
    <x v="1"/>
    <x v="4"/>
    <x v="4"/>
  </r>
  <r>
    <n v="928"/>
    <x v="48"/>
    <x v="0"/>
    <x v="4"/>
    <x v="1"/>
    <x v="72"/>
    <x v="35"/>
    <s v="L"/>
    <s v="Black"/>
    <s v="Summer"/>
    <n v="4.4000000000000004"/>
    <x v="0"/>
    <x v="3"/>
    <x v="0"/>
    <x v="0"/>
    <n v="8"/>
    <x v="0"/>
    <x v="4"/>
    <x v="4"/>
  </r>
  <r>
    <n v="929"/>
    <x v="29"/>
    <x v="0"/>
    <x v="10"/>
    <x v="0"/>
    <x v="18"/>
    <x v="10"/>
    <s v="XL"/>
    <s v="Yellow"/>
    <s v="Winter"/>
    <n v="3.4"/>
    <x v="0"/>
    <x v="5"/>
    <x v="0"/>
    <x v="0"/>
    <n v="31"/>
    <x v="1"/>
    <x v="6"/>
    <x v="3"/>
  </r>
  <r>
    <n v="930"/>
    <x v="35"/>
    <x v="0"/>
    <x v="23"/>
    <x v="1"/>
    <x v="23"/>
    <x v="43"/>
    <s v="M"/>
    <s v="White"/>
    <s v="Fall"/>
    <n v="4.5"/>
    <x v="0"/>
    <x v="4"/>
    <x v="0"/>
    <x v="0"/>
    <n v="26"/>
    <x v="5"/>
    <x v="0"/>
    <x v="0"/>
  </r>
  <r>
    <n v="931"/>
    <x v="8"/>
    <x v="0"/>
    <x v="17"/>
    <x v="0"/>
    <x v="72"/>
    <x v="11"/>
    <s v="L"/>
    <s v="Green"/>
    <s v="Fall"/>
    <n v="4.5"/>
    <x v="0"/>
    <x v="5"/>
    <x v="0"/>
    <x v="0"/>
    <n v="20"/>
    <x v="2"/>
    <x v="4"/>
    <x v="4"/>
  </r>
  <r>
    <n v="932"/>
    <x v="41"/>
    <x v="0"/>
    <x v="7"/>
    <x v="2"/>
    <x v="14"/>
    <x v="43"/>
    <s v="M"/>
    <s v="Silver"/>
    <s v="Winter"/>
    <n v="4.0999999999999996"/>
    <x v="0"/>
    <x v="3"/>
    <x v="0"/>
    <x v="0"/>
    <n v="24"/>
    <x v="4"/>
    <x v="0"/>
    <x v="0"/>
  </r>
  <r>
    <n v="933"/>
    <x v="46"/>
    <x v="0"/>
    <x v="11"/>
    <x v="0"/>
    <x v="41"/>
    <x v="27"/>
    <s v="L"/>
    <s v="Blue"/>
    <s v="Winter"/>
    <n v="3.2"/>
    <x v="0"/>
    <x v="3"/>
    <x v="0"/>
    <x v="0"/>
    <n v="45"/>
    <x v="5"/>
    <x v="4"/>
    <x v="4"/>
  </r>
  <r>
    <n v="934"/>
    <x v="27"/>
    <x v="0"/>
    <x v="4"/>
    <x v="1"/>
    <x v="63"/>
    <x v="24"/>
    <s v="M"/>
    <s v="Magenta"/>
    <s v="Spring"/>
    <n v="2.7"/>
    <x v="0"/>
    <x v="5"/>
    <x v="0"/>
    <x v="0"/>
    <n v="33"/>
    <x v="5"/>
    <x v="5"/>
    <x v="5"/>
  </r>
  <r>
    <n v="935"/>
    <x v="4"/>
    <x v="0"/>
    <x v="2"/>
    <x v="0"/>
    <x v="53"/>
    <x v="4"/>
    <s v="S"/>
    <s v="Yellow"/>
    <s v="Spring"/>
    <n v="3.7"/>
    <x v="0"/>
    <x v="0"/>
    <x v="0"/>
    <x v="0"/>
    <n v="21"/>
    <x v="4"/>
    <x v="5"/>
    <x v="5"/>
  </r>
  <r>
    <n v="936"/>
    <x v="44"/>
    <x v="0"/>
    <x v="15"/>
    <x v="0"/>
    <x v="12"/>
    <x v="31"/>
    <s v="L"/>
    <s v="White"/>
    <s v="Fall"/>
    <n v="2.6"/>
    <x v="0"/>
    <x v="5"/>
    <x v="0"/>
    <x v="0"/>
    <n v="2"/>
    <x v="4"/>
    <x v="0"/>
    <x v="0"/>
  </r>
  <r>
    <n v="937"/>
    <x v="18"/>
    <x v="0"/>
    <x v="9"/>
    <x v="1"/>
    <x v="63"/>
    <x v="1"/>
    <s v="M"/>
    <s v="Pink"/>
    <s v="Summer"/>
    <n v="2.7"/>
    <x v="0"/>
    <x v="1"/>
    <x v="0"/>
    <x v="0"/>
    <n v="28"/>
    <x v="1"/>
    <x v="1"/>
    <x v="1"/>
  </r>
  <r>
    <n v="938"/>
    <x v="45"/>
    <x v="0"/>
    <x v="6"/>
    <x v="0"/>
    <x v="41"/>
    <x v="44"/>
    <s v="M"/>
    <s v="Magenta"/>
    <s v="Summer"/>
    <n v="2.7"/>
    <x v="0"/>
    <x v="0"/>
    <x v="0"/>
    <x v="0"/>
    <n v="18"/>
    <x v="0"/>
    <x v="3"/>
    <x v="3"/>
  </r>
  <r>
    <n v="939"/>
    <x v="24"/>
    <x v="0"/>
    <x v="0"/>
    <x v="0"/>
    <x v="8"/>
    <x v="48"/>
    <s v="S"/>
    <s v="Teal"/>
    <s v="Fall"/>
    <n v="4.8"/>
    <x v="0"/>
    <x v="1"/>
    <x v="0"/>
    <x v="0"/>
    <n v="21"/>
    <x v="5"/>
    <x v="0"/>
    <x v="0"/>
  </r>
  <r>
    <n v="940"/>
    <x v="15"/>
    <x v="0"/>
    <x v="17"/>
    <x v="0"/>
    <x v="58"/>
    <x v="14"/>
    <s v="L"/>
    <s v="Indigo"/>
    <s v="Winter"/>
    <n v="4.8"/>
    <x v="0"/>
    <x v="2"/>
    <x v="0"/>
    <x v="0"/>
    <n v="24"/>
    <x v="2"/>
    <x v="5"/>
    <x v="5"/>
  </r>
  <r>
    <n v="941"/>
    <x v="39"/>
    <x v="0"/>
    <x v="22"/>
    <x v="3"/>
    <x v="77"/>
    <x v="24"/>
    <s v="S"/>
    <s v="Maroon"/>
    <s v="Spring"/>
    <n v="2.6"/>
    <x v="0"/>
    <x v="5"/>
    <x v="0"/>
    <x v="0"/>
    <n v="15"/>
    <x v="3"/>
    <x v="6"/>
    <x v="3"/>
  </r>
  <r>
    <n v="942"/>
    <x v="31"/>
    <x v="0"/>
    <x v="8"/>
    <x v="3"/>
    <x v="59"/>
    <x v="26"/>
    <s v="L"/>
    <s v="Black"/>
    <s v="Winter"/>
    <n v="4.5"/>
    <x v="0"/>
    <x v="4"/>
    <x v="0"/>
    <x v="0"/>
    <n v="38"/>
    <x v="3"/>
    <x v="6"/>
    <x v="3"/>
  </r>
  <r>
    <n v="943"/>
    <x v="8"/>
    <x v="0"/>
    <x v="10"/>
    <x v="0"/>
    <x v="26"/>
    <x v="28"/>
    <s v="M"/>
    <s v="Cyan"/>
    <s v="Winter"/>
    <n v="3.2"/>
    <x v="0"/>
    <x v="0"/>
    <x v="0"/>
    <x v="0"/>
    <n v="38"/>
    <x v="3"/>
    <x v="4"/>
    <x v="4"/>
  </r>
  <r>
    <n v="944"/>
    <x v="45"/>
    <x v="0"/>
    <x v="19"/>
    <x v="3"/>
    <x v="80"/>
    <x v="19"/>
    <s v="L"/>
    <s v="Cyan"/>
    <s v="Winter"/>
    <n v="3.8"/>
    <x v="0"/>
    <x v="2"/>
    <x v="0"/>
    <x v="0"/>
    <n v="13"/>
    <x v="0"/>
    <x v="0"/>
    <x v="0"/>
  </r>
  <r>
    <n v="945"/>
    <x v="22"/>
    <x v="0"/>
    <x v="22"/>
    <x v="3"/>
    <x v="8"/>
    <x v="27"/>
    <s v="S"/>
    <s v="Gray"/>
    <s v="Spring"/>
    <n v="4.8"/>
    <x v="0"/>
    <x v="0"/>
    <x v="0"/>
    <x v="0"/>
    <n v="39"/>
    <x v="1"/>
    <x v="4"/>
    <x v="4"/>
  </r>
  <r>
    <n v="946"/>
    <x v="21"/>
    <x v="0"/>
    <x v="23"/>
    <x v="1"/>
    <x v="15"/>
    <x v="46"/>
    <s v="M"/>
    <s v="Violet"/>
    <s v="Summer"/>
    <n v="4.0999999999999996"/>
    <x v="0"/>
    <x v="5"/>
    <x v="0"/>
    <x v="0"/>
    <n v="8"/>
    <x v="0"/>
    <x v="6"/>
    <x v="3"/>
  </r>
  <r>
    <n v="947"/>
    <x v="5"/>
    <x v="0"/>
    <x v="7"/>
    <x v="2"/>
    <x v="41"/>
    <x v="38"/>
    <s v="XL"/>
    <s v="Blue"/>
    <s v="Spring"/>
    <n v="2.8"/>
    <x v="0"/>
    <x v="2"/>
    <x v="0"/>
    <x v="0"/>
    <n v="4"/>
    <x v="3"/>
    <x v="3"/>
    <x v="3"/>
  </r>
  <r>
    <n v="948"/>
    <x v="9"/>
    <x v="0"/>
    <x v="0"/>
    <x v="0"/>
    <x v="50"/>
    <x v="27"/>
    <s v="M"/>
    <s v="Charcoal"/>
    <s v="Winter"/>
    <n v="3.9"/>
    <x v="0"/>
    <x v="5"/>
    <x v="0"/>
    <x v="0"/>
    <n v="6"/>
    <x v="1"/>
    <x v="6"/>
    <x v="3"/>
  </r>
  <r>
    <n v="949"/>
    <x v="34"/>
    <x v="0"/>
    <x v="19"/>
    <x v="3"/>
    <x v="3"/>
    <x v="15"/>
    <s v="L"/>
    <s v="Olive"/>
    <s v="Summer"/>
    <n v="4.9000000000000004"/>
    <x v="0"/>
    <x v="0"/>
    <x v="0"/>
    <x v="0"/>
    <n v="11"/>
    <x v="0"/>
    <x v="6"/>
    <x v="3"/>
  </r>
  <r>
    <n v="950"/>
    <x v="23"/>
    <x v="0"/>
    <x v="2"/>
    <x v="0"/>
    <x v="14"/>
    <x v="6"/>
    <s v="M"/>
    <s v="Olive"/>
    <s v="Summer"/>
    <n v="3.4"/>
    <x v="0"/>
    <x v="3"/>
    <x v="0"/>
    <x v="0"/>
    <n v="49"/>
    <x v="0"/>
    <x v="5"/>
    <x v="5"/>
  </r>
  <r>
    <n v="951"/>
    <x v="22"/>
    <x v="0"/>
    <x v="21"/>
    <x v="3"/>
    <x v="18"/>
    <x v="35"/>
    <s v="XL"/>
    <s v="Turquoise"/>
    <s v="Winter"/>
    <n v="4.0999999999999996"/>
    <x v="0"/>
    <x v="1"/>
    <x v="0"/>
    <x v="0"/>
    <n v="30"/>
    <x v="3"/>
    <x v="3"/>
    <x v="3"/>
  </r>
  <r>
    <n v="952"/>
    <x v="36"/>
    <x v="0"/>
    <x v="10"/>
    <x v="0"/>
    <x v="12"/>
    <x v="29"/>
    <s v="M"/>
    <s v="Cyan"/>
    <s v="Summer"/>
    <n v="2.9"/>
    <x v="0"/>
    <x v="0"/>
    <x v="0"/>
    <x v="0"/>
    <n v="34"/>
    <x v="4"/>
    <x v="5"/>
    <x v="5"/>
  </r>
  <r>
    <n v="953"/>
    <x v="24"/>
    <x v="0"/>
    <x v="19"/>
    <x v="3"/>
    <x v="79"/>
    <x v="37"/>
    <s v="S"/>
    <s v="Red"/>
    <s v="Fall"/>
    <n v="3.1"/>
    <x v="0"/>
    <x v="4"/>
    <x v="0"/>
    <x v="0"/>
    <n v="28"/>
    <x v="3"/>
    <x v="5"/>
    <x v="5"/>
  </r>
  <r>
    <n v="954"/>
    <x v="33"/>
    <x v="0"/>
    <x v="12"/>
    <x v="3"/>
    <x v="74"/>
    <x v="40"/>
    <s v="S"/>
    <s v="Cyan"/>
    <s v="Spring"/>
    <n v="3.6"/>
    <x v="0"/>
    <x v="4"/>
    <x v="0"/>
    <x v="0"/>
    <n v="36"/>
    <x v="0"/>
    <x v="3"/>
    <x v="3"/>
  </r>
  <r>
    <n v="955"/>
    <x v="52"/>
    <x v="0"/>
    <x v="19"/>
    <x v="3"/>
    <x v="67"/>
    <x v="7"/>
    <s v="S"/>
    <s v="Turquoise"/>
    <s v="Fall"/>
    <n v="3.5"/>
    <x v="0"/>
    <x v="3"/>
    <x v="0"/>
    <x v="0"/>
    <n v="18"/>
    <x v="2"/>
    <x v="6"/>
    <x v="3"/>
  </r>
  <r>
    <n v="956"/>
    <x v="0"/>
    <x v="0"/>
    <x v="10"/>
    <x v="0"/>
    <x v="60"/>
    <x v="16"/>
    <s v="L"/>
    <s v="Lavender"/>
    <s v="Summer"/>
    <n v="3.4"/>
    <x v="0"/>
    <x v="1"/>
    <x v="0"/>
    <x v="0"/>
    <n v="4"/>
    <x v="3"/>
    <x v="5"/>
    <x v="5"/>
  </r>
  <r>
    <n v="957"/>
    <x v="26"/>
    <x v="0"/>
    <x v="5"/>
    <x v="0"/>
    <x v="54"/>
    <x v="16"/>
    <s v="XL"/>
    <s v="Cyan"/>
    <s v="Spring"/>
    <n v="2.9"/>
    <x v="0"/>
    <x v="4"/>
    <x v="0"/>
    <x v="0"/>
    <n v="42"/>
    <x v="5"/>
    <x v="3"/>
    <x v="3"/>
  </r>
  <r>
    <n v="958"/>
    <x v="21"/>
    <x v="0"/>
    <x v="18"/>
    <x v="3"/>
    <x v="66"/>
    <x v="27"/>
    <s v="XL"/>
    <s v="Violet"/>
    <s v="Spring"/>
    <n v="4.7"/>
    <x v="0"/>
    <x v="5"/>
    <x v="0"/>
    <x v="0"/>
    <n v="11"/>
    <x v="1"/>
    <x v="3"/>
    <x v="3"/>
  </r>
  <r>
    <n v="959"/>
    <x v="27"/>
    <x v="0"/>
    <x v="4"/>
    <x v="1"/>
    <x v="0"/>
    <x v="47"/>
    <s v="XL"/>
    <s v="Beige"/>
    <s v="Winter"/>
    <n v="4.4000000000000004"/>
    <x v="0"/>
    <x v="1"/>
    <x v="0"/>
    <x v="0"/>
    <n v="31"/>
    <x v="2"/>
    <x v="4"/>
    <x v="4"/>
  </r>
  <r>
    <n v="960"/>
    <x v="24"/>
    <x v="0"/>
    <x v="11"/>
    <x v="0"/>
    <x v="54"/>
    <x v="22"/>
    <s v="M"/>
    <s v="Cyan"/>
    <s v="Spring"/>
    <n v="2.6"/>
    <x v="0"/>
    <x v="3"/>
    <x v="0"/>
    <x v="0"/>
    <n v="12"/>
    <x v="1"/>
    <x v="0"/>
    <x v="0"/>
  </r>
  <r>
    <n v="961"/>
    <x v="20"/>
    <x v="0"/>
    <x v="16"/>
    <x v="3"/>
    <x v="16"/>
    <x v="7"/>
    <s v="XL"/>
    <s v="Indigo"/>
    <s v="Spring"/>
    <n v="4.4000000000000004"/>
    <x v="0"/>
    <x v="3"/>
    <x v="0"/>
    <x v="0"/>
    <n v="20"/>
    <x v="0"/>
    <x v="3"/>
    <x v="3"/>
  </r>
  <r>
    <n v="962"/>
    <x v="46"/>
    <x v="0"/>
    <x v="23"/>
    <x v="1"/>
    <x v="11"/>
    <x v="38"/>
    <s v="L"/>
    <s v="Olive"/>
    <s v="Fall"/>
    <n v="3.7"/>
    <x v="0"/>
    <x v="2"/>
    <x v="0"/>
    <x v="0"/>
    <n v="37"/>
    <x v="5"/>
    <x v="3"/>
    <x v="3"/>
  </r>
  <r>
    <n v="963"/>
    <x v="26"/>
    <x v="0"/>
    <x v="12"/>
    <x v="3"/>
    <x v="1"/>
    <x v="49"/>
    <s v="L"/>
    <s v="Green"/>
    <s v="Spring"/>
    <n v="4.4000000000000004"/>
    <x v="0"/>
    <x v="3"/>
    <x v="0"/>
    <x v="0"/>
    <n v="26"/>
    <x v="5"/>
    <x v="0"/>
    <x v="0"/>
  </r>
  <r>
    <n v="964"/>
    <x v="3"/>
    <x v="0"/>
    <x v="23"/>
    <x v="1"/>
    <x v="80"/>
    <x v="36"/>
    <s v="L"/>
    <s v="Green"/>
    <s v="Spring"/>
    <n v="2.5"/>
    <x v="0"/>
    <x v="4"/>
    <x v="0"/>
    <x v="0"/>
    <n v="14"/>
    <x v="2"/>
    <x v="1"/>
    <x v="1"/>
  </r>
  <r>
    <n v="965"/>
    <x v="32"/>
    <x v="0"/>
    <x v="3"/>
    <x v="1"/>
    <x v="12"/>
    <x v="28"/>
    <s v="M"/>
    <s v="Beige"/>
    <s v="Spring"/>
    <n v="2.6"/>
    <x v="0"/>
    <x v="2"/>
    <x v="0"/>
    <x v="0"/>
    <n v="12"/>
    <x v="0"/>
    <x v="4"/>
    <x v="4"/>
  </r>
  <r>
    <n v="966"/>
    <x v="49"/>
    <x v="0"/>
    <x v="23"/>
    <x v="1"/>
    <x v="37"/>
    <x v="12"/>
    <s v="L"/>
    <s v="Black"/>
    <s v="Spring"/>
    <n v="5"/>
    <x v="0"/>
    <x v="5"/>
    <x v="0"/>
    <x v="0"/>
    <n v="10"/>
    <x v="2"/>
    <x v="2"/>
    <x v="2"/>
  </r>
  <r>
    <n v="967"/>
    <x v="44"/>
    <x v="0"/>
    <x v="10"/>
    <x v="0"/>
    <x v="37"/>
    <x v="0"/>
    <s v="M"/>
    <s v="Brown"/>
    <s v="Spring"/>
    <n v="4.9000000000000004"/>
    <x v="0"/>
    <x v="0"/>
    <x v="0"/>
    <x v="0"/>
    <n v="19"/>
    <x v="1"/>
    <x v="2"/>
    <x v="2"/>
  </r>
  <r>
    <n v="968"/>
    <x v="7"/>
    <x v="0"/>
    <x v="15"/>
    <x v="0"/>
    <x v="46"/>
    <x v="42"/>
    <s v="S"/>
    <s v="Silver"/>
    <s v="Summer"/>
    <n v="3.7"/>
    <x v="0"/>
    <x v="5"/>
    <x v="0"/>
    <x v="0"/>
    <n v="4"/>
    <x v="1"/>
    <x v="1"/>
    <x v="1"/>
  </r>
  <r>
    <n v="969"/>
    <x v="9"/>
    <x v="0"/>
    <x v="6"/>
    <x v="0"/>
    <x v="25"/>
    <x v="17"/>
    <s v="L"/>
    <s v="Gray"/>
    <s v="Summer"/>
    <n v="3.1"/>
    <x v="0"/>
    <x v="2"/>
    <x v="0"/>
    <x v="0"/>
    <n v="48"/>
    <x v="4"/>
    <x v="3"/>
    <x v="3"/>
  </r>
  <r>
    <n v="970"/>
    <x v="37"/>
    <x v="0"/>
    <x v="7"/>
    <x v="2"/>
    <x v="9"/>
    <x v="18"/>
    <s v="S"/>
    <s v="Pink"/>
    <s v="Fall"/>
    <n v="3.2"/>
    <x v="0"/>
    <x v="0"/>
    <x v="0"/>
    <x v="0"/>
    <n v="37"/>
    <x v="3"/>
    <x v="5"/>
    <x v="5"/>
  </r>
  <r>
    <n v="971"/>
    <x v="4"/>
    <x v="0"/>
    <x v="2"/>
    <x v="0"/>
    <x v="76"/>
    <x v="18"/>
    <s v="S"/>
    <s v="Maroon"/>
    <s v="Winter"/>
    <n v="4.4000000000000004"/>
    <x v="0"/>
    <x v="1"/>
    <x v="0"/>
    <x v="0"/>
    <n v="4"/>
    <x v="1"/>
    <x v="5"/>
    <x v="5"/>
  </r>
  <r>
    <n v="972"/>
    <x v="36"/>
    <x v="0"/>
    <x v="12"/>
    <x v="3"/>
    <x v="25"/>
    <x v="27"/>
    <s v="M"/>
    <s v="Cyan"/>
    <s v="Summer"/>
    <n v="4.3"/>
    <x v="0"/>
    <x v="2"/>
    <x v="0"/>
    <x v="0"/>
    <n v="15"/>
    <x v="2"/>
    <x v="1"/>
    <x v="1"/>
  </r>
  <r>
    <n v="973"/>
    <x v="12"/>
    <x v="0"/>
    <x v="4"/>
    <x v="1"/>
    <x v="70"/>
    <x v="24"/>
    <s v="L"/>
    <s v="Gold"/>
    <s v="Winter"/>
    <n v="3"/>
    <x v="0"/>
    <x v="3"/>
    <x v="0"/>
    <x v="0"/>
    <n v="33"/>
    <x v="2"/>
    <x v="1"/>
    <x v="1"/>
  </r>
  <r>
    <n v="974"/>
    <x v="52"/>
    <x v="0"/>
    <x v="14"/>
    <x v="2"/>
    <x v="60"/>
    <x v="24"/>
    <s v="M"/>
    <s v="Teal"/>
    <s v="Fall"/>
    <n v="3.5"/>
    <x v="0"/>
    <x v="4"/>
    <x v="0"/>
    <x v="0"/>
    <n v="30"/>
    <x v="4"/>
    <x v="3"/>
    <x v="3"/>
  </r>
  <r>
    <n v="975"/>
    <x v="28"/>
    <x v="0"/>
    <x v="11"/>
    <x v="0"/>
    <x v="3"/>
    <x v="17"/>
    <s v="M"/>
    <s v="Beige"/>
    <s v="Spring"/>
    <n v="3.6"/>
    <x v="0"/>
    <x v="4"/>
    <x v="0"/>
    <x v="0"/>
    <n v="23"/>
    <x v="4"/>
    <x v="5"/>
    <x v="5"/>
  </r>
  <r>
    <n v="976"/>
    <x v="44"/>
    <x v="0"/>
    <x v="1"/>
    <x v="0"/>
    <x v="49"/>
    <x v="47"/>
    <s v="M"/>
    <s v="Olive"/>
    <s v="Summer"/>
    <n v="3.8"/>
    <x v="0"/>
    <x v="4"/>
    <x v="0"/>
    <x v="0"/>
    <n v="2"/>
    <x v="4"/>
    <x v="1"/>
    <x v="1"/>
  </r>
  <r>
    <n v="977"/>
    <x v="50"/>
    <x v="0"/>
    <x v="17"/>
    <x v="0"/>
    <x v="3"/>
    <x v="20"/>
    <s v="M"/>
    <s v="Gray"/>
    <s v="Fall"/>
    <n v="3.6"/>
    <x v="0"/>
    <x v="0"/>
    <x v="0"/>
    <x v="0"/>
    <n v="50"/>
    <x v="2"/>
    <x v="6"/>
    <x v="3"/>
  </r>
  <r>
    <n v="978"/>
    <x v="30"/>
    <x v="0"/>
    <x v="22"/>
    <x v="3"/>
    <x v="5"/>
    <x v="47"/>
    <s v="M"/>
    <s v="Black"/>
    <s v="Spring"/>
    <n v="4.5999999999999996"/>
    <x v="0"/>
    <x v="0"/>
    <x v="0"/>
    <x v="0"/>
    <n v="34"/>
    <x v="1"/>
    <x v="4"/>
    <x v="4"/>
  </r>
  <r>
    <n v="979"/>
    <x v="19"/>
    <x v="0"/>
    <x v="24"/>
    <x v="3"/>
    <x v="49"/>
    <x v="24"/>
    <s v="M"/>
    <s v="Turquoise"/>
    <s v="Summer"/>
    <n v="2.5"/>
    <x v="0"/>
    <x v="3"/>
    <x v="0"/>
    <x v="0"/>
    <n v="33"/>
    <x v="2"/>
    <x v="1"/>
    <x v="1"/>
  </r>
  <r>
    <n v="980"/>
    <x v="14"/>
    <x v="0"/>
    <x v="19"/>
    <x v="3"/>
    <x v="27"/>
    <x v="13"/>
    <s v="S"/>
    <s v="Brown"/>
    <s v="Fall"/>
    <n v="3.5"/>
    <x v="0"/>
    <x v="5"/>
    <x v="0"/>
    <x v="0"/>
    <n v="34"/>
    <x v="5"/>
    <x v="5"/>
    <x v="5"/>
  </r>
  <r>
    <n v="981"/>
    <x v="19"/>
    <x v="0"/>
    <x v="23"/>
    <x v="1"/>
    <x v="57"/>
    <x v="33"/>
    <s v="S"/>
    <s v="Magenta"/>
    <s v="Spring"/>
    <n v="4"/>
    <x v="0"/>
    <x v="1"/>
    <x v="0"/>
    <x v="0"/>
    <n v="39"/>
    <x v="3"/>
    <x v="6"/>
    <x v="3"/>
  </r>
  <r>
    <n v="982"/>
    <x v="7"/>
    <x v="0"/>
    <x v="22"/>
    <x v="3"/>
    <x v="69"/>
    <x v="33"/>
    <s v="M"/>
    <s v="Silver"/>
    <s v="Spring"/>
    <n v="3.5"/>
    <x v="0"/>
    <x v="2"/>
    <x v="0"/>
    <x v="0"/>
    <n v="47"/>
    <x v="2"/>
    <x v="3"/>
    <x v="3"/>
  </r>
  <r>
    <n v="983"/>
    <x v="25"/>
    <x v="0"/>
    <x v="7"/>
    <x v="2"/>
    <x v="17"/>
    <x v="21"/>
    <s v="S"/>
    <s v="Red"/>
    <s v="Summer"/>
    <n v="3.2"/>
    <x v="0"/>
    <x v="3"/>
    <x v="0"/>
    <x v="0"/>
    <n v="37"/>
    <x v="3"/>
    <x v="5"/>
    <x v="5"/>
  </r>
  <r>
    <n v="984"/>
    <x v="41"/>
    <x v="0"/>
    <x v="19"/>
    <x v="3"/>
    <x v="29"/>
    <x v="35"/>
    <s v="L"/>
    <s v="Indigo"/>
    <s v="Winter"/>
    <n v="3.5"/>
    <x v="0"/>
    <x v="1"/>
    <x v="0"/>
    <x v="0"/>
    <n v="40"/>
    <x v="0"/>
    <x v="4"/>
    <x v="4"/>
  </r>
  <r>
    <n v="985"/>
    <x v="8"/>
    <x v="0"/>
    <x v="9"/>
    <x v="1"/>
    <x v="72"/>
    <x v="40"/>
    <s v="M"/>
    <s v="Green"/>
    <s v="Summer"/>
    <n v="3.4"/>
    <x v="0"/>
    <x v="1"/>
    <x v="0"/>
    <x v="0"/>
    <n v="8"/>
    <x v="2"/>
    <x v="4"/>
    <x v="4"/>
  </r>
  <r>
    <n v="986"/>
    <x v="45"/>
    <x v="0"/>
    <x v="8"/>
    <x v="3"/>
    <x v="68"/>
    <x v="8"/>
    <s v="M"/>
    <s v="Gray"/>
    <s v="Fall"/>
    <n v="5"/>
    <x v="0"/>
    <x v="0"/>
    <x v="0"/>
    <x v="0"/>
    <n v="12"/>
    <x v="4"/>
    <x v="2"/>
    <x v="2"/>
  </r>
  <r>
    <n v="987"/>
    <x v="22"/>
    <x v="0"/>
    <x v="18"/>
    <x v="3"/>
    <x v="48"/>
    <x v="39"/>
    <s v="S"/>
    <s v="Peach"/>
    <s v="Spring"/>
    <n v="4.5"/>
    <x v="0"/>
    <x v="5"/>
    <x v="0"/>
    <x v="0"/>
    <n v="36"/>
    <x v="4"/>
    <x v="5"/>
    <x v="5"/>
  </r>
  <r>
    <n v="988"/>
    <x v="46"/>
    <x v="0"/>
    <x v="8"/>
    <x v="3"/>
    <x v="53"/>
    <x v="8"/>
    <s v="M"/>
    <s v="Charcoal"/>
    <s v="Summer"/>
    <n v="2.8"/>
    <x v="0"/>
    <x v="0"/>
    <x v="0"/>
    <x v="0"/>
    <n v="48"/>
    <x v="3"/>
    <x v="1"/>
    <x v="1"/>
  </r>
  <r>
    <n v="989"/>
    <x v="2"/>
    <x v="0"/>
    <x v="13"/>
    <x v="0"/>
    <x v="63"/>
    <x v="31"/>
    <s v="M"/>
    <s v="Orange"/>
    <s v="Winter"/>
    <n v="4.9000000000000004"/>
    <x v="0"/>
    <x v="4"/>
    <x v="0"/>
    <x v="0"/>
    <n v="47"/>
    <x v="3"/>
    <x v="0"/>
    <x v="0"/>
  </r>
  <r>
    <n v="990"/>
    <x v="27"/>
    <x v="0"/>
    <x v="9"/>
    <x v="1"/>
    <x v="9"/>
    <x v="21"/>
    <s v="M"/>
    <s v="Beige"/>
    <s v="Spring"/>
    <n v="3.1"/>
    <x v="0"/>
    <x v="5"/>
    <x v="0"/>
    <x v="0"/>
    <n v="2"/>
    <x v="4"/>
    <x v="5"/>
    <x v="5"/>
  </r>
  <r>
    <n v="991"/>
    <x v="39"/>
    <x v="0"/>
    <x v="12"/>
    <x v="3"/>
    <x v="80"/>
    <x v="47"/>
    <s v="S"/>
    <s v="Yellow"/>
    <s v="Spring"/>
    <n v="4.8"/>
    <x v="0"/>
    <x v="5"/>
    <x v="0"/>
    <x v="0"/>
    <n v="24"/>
    <x v="1"/>
    <x v="1"/>
    <x v="1"/>
  </r>
  <r>
    <n v="992"/>
    <x v="30"/>
    <x v="0"/>
    <x v="6"/>
    <x v="0"/>
    <x v="8"/>
    <x v="48"/>
    <s v="XL"/>
    <s v="White"/>
    <s v="Spring"/>
    <n v="2.7"/>
    <x v="0"/>
    <x v="3"/>
    <x v="0"/>
    <x v="0"/>
    <n v="40"/>
    <x v="4"/>
    <x v="4"/>
    <x v="4"/>
  </r>
  <r>
    <n v="993"/>
    <x v="5"/>
    <x v="0"/>
    <x v="14"/>
    <x v="2"/>
    <x v="54"/>
    <x v="7"/>
    <s v="M"/>
    <s v="Gray"/>
    <s v="Winter"/>
    <n v="4.5999999999999996"/>
    <x v="0"/>
    <x v="0"/>
    <x v="0"/>
    <x v="0"/>
    <n v="50"/>
    <x v="5"/>
    <x v="1"/>
    <x v="1"/>
  </r>
  <r>
    <n v="994"/>
    <x v="47"/>
    <x v="0"/>
    <x v="3"/>
    <x v="1"/>
    <x v="3"/>
    <x v="44"/>
    <s v="M"/>
    <s v="Peach"/>
    <s v="Winter"/>
    <n v="4.4000000000000004"/>
    <x v="0"/>
    <x v="5"/>
    <x v="0"/>
    <x v="0"/>
    <n v="25"/>
    <x v="1"/>
    <x v="1"/>
    <x v="1"/>
  </r>
  <r>
    <n v="995"/>
    <x v="10"/>
    <x v="0"/>
    <x v="9"/>
    <x v="1"/>
    <x v="10"/>
    <x v="14"/>
    <s v="L"/>
    <s v="Violet"/>
    <s v="Fall"/>
    <n v="3.2"/>
    <x v="0"/>
    <x v="0"/>
    <x v="0"/>
    <x v="0"/>
    <n v="20"/>
    <x v="5"/>
    <x v="5"/>
    <x v="5"/>
  </r>
  <r>
    <n v="996"/>
    <x v="42"/>
    <x v="0"/>
    <x v="16"/>
    <x v="3"/>
    <x v="68"/>
    <x v="37"/>
    <s v="M"/>
    <s v="Magenta"/>
    <s v="Spring"/>
    <n v="3"/>
    <x v="0"/>
    <x v="4"/>
    <x v="0"/>
    <x v="0"/>
    <n v="10"/>
    <x v="0"/>
    <x v="1"/>
    <x v="1"/>
  </r>
  <r>
    <n v="997"/>
    <x v="26"/>
    <x v="0"/>
    <x v="3"/>
    <x v="1"/>
    <x v="26"/>
    <x v="12"/>
    <s v="L"/>
    <s v="Maroon"/>
    <s v="Summer"/>
    <n v="4.9000000000000004"/>
    <x v="0"/>
    <x v="3"/>
    <x v="0"/>
    <x v="0"/>
    <n v="32"/>
    <x v="4"/>
    <x v="3"/>
    <x v="3"/>
  </r>
  <r>
    <n v="998"/>
    <x v="14"/>
    <x v="0"/>
    <x v="13"/>
    <x v="0"/>
    <x v="38"/>
    <x v="0"/>
    <s v="M"/>
    <s v="Cyan"/>
    <s v="Spring"/>
    <n v="3.6"/>
    <x v="0"/>
    <x v="0"/>
    <x v="0"/>
    <x v="0"/>
    <n v="31"/>
    <x v="1"/>
    <x v="0"/>
    <x v="0"/>
  </r>
  <r>
    <n v="999"/>
    <x v="47"/>
    <x v="0"/>
    <x v="9"/>
    <x v="1"/>
    <x v="3"/>
    <x v="39"/>
    <s v="M"/>
    <s v="White"/>
    <s v="Spring"/>
    <n v="3.8"/>
    <x v="0"/>
    <x v="2"/>
    <x v="0"/>
    <x v="0"/>
    <n v="48"/>
    <x v="4"/>
    <x v="4"/>
    <x v="4"/>
  </r>
  <r>
    <n v="1000"/>
    <x v="2"/>
    <x v="0"/>
    <x v="20"/>
    <x v="0"/>
    <x v="39"/>
    <x v="35"/>
    <s v="L"/>
    <s v="Brown"/>
    <s v="Spring"/>
    <n v="2.9"/>
    <x v="0"/>
    <x v="3"/>
    <x v="0"/>
    <x v="0"/>
    <n v="23"/>
    <x v="5"/>
    <x v="5"/>
    <x v="5"/>
  </r>
  <r>
    <n v="1001"/>
    <x v="49"/>
    <x v="0"/>
    <x v="20"/>
    <x v="0"/>
    <x v="43"/>
    <x v="42"/>
    <s v="M"/>
    <s v="Red"/>
    <s v="Winter"/>
    <n v="3.9"/>
    <x v="0"/>
    <x v="0"/>
    <x v="0"/>
    <x v="0"/>
    <n v="1"/>
    <x v="4"/>
    <x v="4"/>
    <x v="4"/>
  </r>
  <r>
    <n v="1002"/>
    <x v="12"/>
    <x v="0"/>
    <x v="10"/>
    <x v="0"/>
    <x v="30"/>
    <x v="47"/>
    <s v="M"/>
    <s v="Orange"/>
    <s v="Fall"/>
    <n v="3.6"/>
    <x v="0"/>
    <x v="3"/>
    <x v="0"/>
    <x v="0"/>
    <n v="4"/>
    <x v="5"/>
    <x v="0"/>
    <x v="0"/>
  </r>
  <r>
    <n v="1003"/>
    <x v="0"/>
    <x v="0"/>
    <x v="9"/>
    <x v="1"/>
    <x v="40"/>
    <x v="25"/>
    <s v="M"/>
    <s v="White"/>
    <s v="Spring"/>
    <n v="3.5"/>
    <x v="0"/>
    <x v="5"/>
    <x v="0"/>
    <x v="0"/>
    <n v="3"/>
    <x v="4"/>
    <x v="4"/>
    <x v="4"/>
  </r>
  <r>
    <n v="1004"/>
    <x v="19"/>
    <x v="0"/>
    <x v="19"/>
    <x v="3"/>
    <x v="10"/>
    <x v="31"/>
    <s v="M"/>
    <s v="Green"/>
    <s v="Fall"/>
    <n v="4"/>
    <x v="0"/>
    <x v="5"/>
    <x v="0"/>
    <x v="0"/>
    <n v="3"/>
    <x v="1"/>
    <x v="4"/>
    <x v="4"/>
  </r>
  <r>
    <n v="1005"/>
    <x v="23"/>
    <x v="0"/>
    <x v="21"/>
    <x v="3"/>
    <x v="24"/>
    <x v="30"/>
    <s v="M"/>
    <s v="Black"/>
    <s v="Summer"/>
    <n v="4.8"/>
    <x v="0"/>
    <x v="4"/>
    <x v="0"/>
    <x v="0"/>
    <n v="44"/>
    <x v="1"/>
    <x v="2"/>
    <x v="2"/>
  </r>
  <r>
    <n v="1006"/>
    <x v="49"/>
    <x v="0"/>
    <x v="21"/>
    <x v="3"/>
    <x v="23"/>
    <x v="14"/>
    <s v="M"/>
    <s v="Gold"/>
    <s v="Winter"/>
    <n v="3.9"/>
    <x v="0"/>
    <x v="5"/>
    <x v="0"/>
    <x v="0"/>
    <n v="5"/>
    <x v="5"/>
    <x v="4"/>
    <x v="4"/>
  </r>
  <r>
    <n v="1007"/>
    <x v="3"/>
    <x v="0"/>
    <x v="13"/>
    <x v="0"/>
    <x v="42"/>
    <x v="49"/>
    <s v="S"/>
    <s v="Lavender"/>
    <s v="Summer"/>
    <n v="4.5"/>
    <x v="0"/>
    <x v="2"/>
    <x v="0"/>
    <x v="0"/>
    <n v="50"/>
    <x v="0"/>
    <x v="3"/>
    <x v="3"/>
  </r>
  <r>
    <n v="1008"/>
    <x v="44"/>
    <x v="0"/>
    <x v="24"/>
    <x v="3"/>
    <x v="17"/>
    <x v="42"/>
    <s v="XL"/>
    <s v="Turquoise"/>
    <s v="Spring"/>
    <n v="4.8"/>
    <x v="0"/>
    <x v="3"/>
    <x v="0"/>
    <x v="0"/>
    <n v="2"/>
    <x v="2"/>
    <x v="2"/>
    <x v="2"/>
  </r>
  <r>
    <n v="1009"/>
    <x v="38"/>
    <x v="0"/>
    <x v="18"/>
    <x v="3"/>
    <x v="6"/>
    <x v="35"/>
    <s v="M"/>
    <s v="Pink"/>
    <s v="Spring"/>
    <n v="2.6"/>
    <x v="0"/>
    <x v="5"/>
    <x v="0"/>
    <x v="0"/>
    <n v="29"/>
    <x v="3"/>
    <x v="2"/>
    <x v="2"/>
  </r>
  <r>
    <n v="1010"/>
    <x v="31"/>
    <x v="0"/>
    <x v="15"/>
    <x v="0"/>
    <x v="38"/>
    <x v="7"/>
    <s v="M"/>
    <s v="Silver"/>
    <s v="Summer"/>
    <n v="3.1"/>
    <x v="0"/>
    <x v="0"/>
    <x v="0"/>
    <x v="0"/>
    <n v="11"/>
    <x v="0"/>
    <x v="2"/>
    <x v="2"/>
  </r>
  <r>
    <n v="1011"/>
    <x v="22"/>
    <x v="0"/>
    <x v="2"/>
    <x v="0"/>
    <x v="41"/>
    <x v="45"/>
    <s v="XL"/>
    <s v="Gray"/>
    <s v="Spring"/>
    <n v="4.7"/>
    <x v="0"/>
    <x v="4"/>
    <x v="0"/>
    <x v="0"/>
    <n v="37"/>
    <x v="2"/>
    <x v="0"/>
    <x v="0"/>
  </r>
  <r>
    <n v="1012"/>
    <x v="49"/>
    <x v="0"/>
    <x v="21"/>
    <x v="3"/>
    <x v="21"/>
    <x v="6"/>
    <s v="L"/>
    <s v="Indigo"/>
    <s v="Spring"/>
    <n v="2.9"/>
    <x v="0"/>
    <x v="2"/>
    <x v="0"/>
    <x v="0"/>
    <n v="32"/>
    <x v="5"/>
    <x v="0"/>
    <x v="0"/>
  </r>
  <r>
    <n v="1013"/>
    <x v="48"/>
    <x v="0"/>
    <x v="3"/>
    <x v="1"/>
    <x v="18"/>
    <x v="35"/>
    <s v="L"/>
    <s v="Teal"/>
    <s v="Summer"/>
    <n v="3.8"/>
    <x v="0"/>
    <x v="0"/>
    <x v="0"/>
    <x v="0"/>
    <n v="27"/>
    <x v="2"/>
    <x v="2"/>
    <x v="2"/>
  </r>
  <r>
    <n v="1014"/>
    <x v="35"/>
    <x v="0"/>
    <x v="22"/>
    <x v="3"/>
    <x v="28"/>
    <x v="36"/>
    <s v="XL"/>
    <s v="Green"/>
    <s v="Summer"/>
    <n v="3.8"/>
    <x v="0"/>
    <x v="4"/>
    <x v="0"/>
    <x v="0"/>
    <n v="31"/>
    <x v="0"/>
    <x v="4"/>
    <x v="4"/>
  </r>
  <r>
    <n v="1015"/>
    <x v="48"/>
    <x v="0"/>
    <x v="9"/>
    <x v="1"/>
    <x v="8"/>
    <x v="31"/>
    <s v="M"/>
    <s v="Violet"/>
    <s v="Summer"/>
    <n v="3"/>
    <x v="0"/>
    <x v="3"/>
    <x v="0"/>
    <x v="0"/>
    <n v="36"/>
    <x v="5"/>
    <x v="0"/>
    <x v="0"/>
  </r>
  <r>
    <n v="1016"/>
    <x v="33"/>
    <x v="0"/>
    <x v="24"/>
    <x v="3"/>
    <x v="41"/>
    <x v="17"/>
    <s v="M"/>
    <s v="Cyan"/>
    <s v="Summer"/>
    <n v="4.0999999999999996"/>
    <x v="0"/>
    <x v="3"/>
    <x v="0"/>
    <x v="0"/>
    <n v="34"/>
    <x v="1"/>
    <x v="1"/>
    <x v="1"/>
  </r>
  <r>
    <n v="1017"/>
    <x v="30"/>
    <x v="0"/>
    <x v="22"/>
    <x v="3"/>
    <x v="38"/>
    <x v="37"/>
    <s v="XL"/>
    <s v="Blue"/>
    <s v="Summer"/>
    <n v="3.4"/>
    <x v="0"/>
    <x v="0"/>
    <x v="0"/>
    <x v="0"/>
    <n v="15"/>
    <x v="4"/>
    <x v="6"/>
    <x v="3"/>
  </r>
  <r>
    <n v="1018"/>
    <x v="3"/>
    <x v="0"/>
    <x v="14"/>
    <x v="2"/>
    <x v="0"/>
    <x v="19"/>
    <s v="L"/>
    <s v="Orange"/>
    <s v="Fall"/>
    <n v="2.5"/>
    <x v="0"/>
    <x v="0"/>
    <x v="0"/>
    <x v="0"/>
    <n v="14"/>
    <x v="2"/>
    <x v="2"/>
    <x v="2"/>
  </r>
  <r>
    <n v="1019"/>
    <x v="2"/>
    <x v="0"/>
    <x v="10"/>
    <x v="0"/>
    <x v="44"/>
    <x v="42"/>
    <s v="XL"/>
    <s v="Charcoal"/>
    <s v="Spring"/>
    <n v="4.9000000000000004"/>
    <x v="0"/>
    <x v="2"/>
    <x v="0"/>
    <x v="0"/>
    <n v="46"/>
    <x v="1"/>
    <x v="1"/>
    <x v="1"/>
  </r>
  <r>
    <n v="1020"/>
    <x v="45"/>
    <x v="0"/>
    <x v="5"/>
    <x v="0"/>
    <x v="31"/>
    <x v="0"/>
    <s v="S"/>
    <s v="Beige"/>
    <s v="Winter"/>
    <n v="2.8"/>
    <x v="0"/>
    <x v="3"/>
    <x v="0"/>
    <x v="0"/>
    <n v="33"/>
    <x v="0"/>
    <x v="4"/>
    <x v="4"/>
  </r>
  <r>
    <n v="1021"/>
    <x v="41"/>
    <x v="0"/>
    <x v="18"/>
    <x v="3"/>
    <x v="51"/>
    <x v="12"/>
    <s v="M"/>
    <s v="Black"/>
    <s v="Fall"/>
    <n v="4.5"/>
    <x v="0"/>
    <x v="0"/>
    <x v="0"/>
    <x v="0"/>
    <n v="41"/>
    <x v="5"/>
    <x v="2"/>
    <x v="2"/>
  </r>
  <r>
    <n v="1022"/>
    <x v="0"/>
    <x v="0"/>
    <x v="7"/>
    <x v="2"/>
    <x v="12"/>
    <x v="2"/>
    <s v="S"/>
    <s v="Lavender"/>
    <s v="Winter"/>
    <n v="4.9000000000000004"/>
    <x v="0"/>
    <x v="4"/>
    <x v="0"/>
    <x v="0"/>
    <n v="39"/>
    <x v="3"/>
    <x v="1"/>
    <x v="1"/>
  </r>
  <r>
    <n v="1023"/>
    <x v="12"/>
    <x v="0"/>
    <x v="8"/>
    <x v="3"/>
    <x v="52"/>
    <x v="43"/>
    <s v="M"/>
    <s v="Lavender"/>
    <s v="Winter"/>
    <n v="4.9000000000000004"/>
    <x v="0"/>
    <x v="5"/>
    <x v="0"/>
    <x v="0"/>
    <n v="7"/>
    <x v="1"/>
    <x v="2"/>
    <x v="2"/>
  </r>
  <r>
    <n v="1024"/>
    <x v="12"/>
    <x v="0"/>
    <x v="12"/>
    <x v="3"/>
    <x v="79"/>
    <x v="1"/>
    <s v="S"/>
    <s v="Turquoise"/>
    <s v="Winter"/>
    <n v="3.5"/>
    <x v="0"/>
    <x v="1"/>
    <x v="0"/>
    <x v="0"/>
    <n v="29"/>
    <x v="4"/>
    <x v="6"/>
    <x v="3"/>
  </r>
  <r>
    <n v="1025"/>
    <x v="48"/>
    <x v="0"/>
    <x v="17"/>
    <x v="0"/>
    <x v="76"/>
    <x v="38"/>
    <s v="M"/>
    <s v="Purple"/>
    <s v="Summer"/>
    <n v="3.5"/>
    <x v="0"/>
    <x v="1"/>
    <x v="0"/>
    <x v="0"/>
    <n v="18"/>
    <x v="0"/>
    <x v="3"/>
    <x v="3"/>
  </r>
  <r>
    <n v="1026"/>
    <x v="52"/>
    <x v="0"/>
    <x v="5"/>
    <x v="0"/>
    <x v="63"/>
    <x v="43"/>
    <s v="M"/>
    <s v="Olive"/>
    <s v="Winter"/>
    <n v="4.9000000000000004"/>
    <x v="0"/>
    <x v="1"/>
    <x v="0"/>
    <x v="0"/>
    <n v="15"/>
    <x v="2"/>
    <x v="2"/>
    <x v="2"/>
  </r>
  <r>
    <n v="1027"/>
    <x v="34"/>
    <x v="0"/>
    <x v="8"/>
    <x v="3"/>
    <x v="51"/>
    <x v="41"/>
    <s v="L"/>
    <s v="Turquoise"/>
    <s v="Winter"/>
    <n v="3"/>
    <x v="0"/>
    <x v="0"/>
    <x v="0"/>
    <x v="0"/>
    <n v="39"/>
    <x v="3"/>
    <x v="4"/>
    <x v="4"/>
  </r>
  <r>
    <n v="1028"/>
    <x v="23"/>
    <x v="0"/>
    <x v="16"/>
    <x v="3"/>
    <x v="3"/>
    <x v="31"/>
    <s v="L"/>
    <s v="Teal"/>
    <s v="Summer"/>
    <n v="2.8"/>
    <x v="0"/>
    <x v="2"/>
    <x v="0"/>
    <x v="0"/>
    <n v="11"/>
    <x v="1"/>
    <x v="5"/>
    <x v="5"/>
  </r>
  <r>
    <n v="1029"/>
    <x v="4"/>
    <x v="0"/>
    <x v="15"/>
    <x v="0"/>
    <x v="14"/>
    <x v="43"/>
    <s v="S"/>
    <s v="Lavender"/>
    <s v="Summer"/>
    <n v="3.7"/>
    <x v="0"/>
    <x v="3"/>
    <x v="0"/>
    <x v="0"/>
    <n v="4"/>
    <x v="1"/>
    <x v="0"/>
    <x v="0"/>
  </r>
  <r>
    <n v="1030"/>
    <x v="26"/>
    <x v="0"/>
    <x v="24"/>
    <x v="3"/>
    <x v="20"/>
    <x v="31"/>
    <s v="M"/>
    <s v="Purple"/>
    <s v="Spring"/>
    <n v="3.6"/>
    <x v="0"/>
    <x v="4"/>
    <x v="0"/>
    <x v="0"/>
    <n v="33"/>
    <x v="0"/>
    <x v="4"/>
    <x v="4"/>
  </r>
  <r>
    <n v="1031"/>
    <x v="44"/>
    <x v="0"/>
    <x v="7"/>
    <x v="2"/>
    <x v="58"/>
    <x v="0"/>
    <s v="L"/>
    <s v="Blue"/>
    <s v="Winter"/>
    <n v="3.3"/>
    <x v="0"/>
    <x v="2"/>
    <x v="0"/>
    <x v="0"/>
    <n v="37"/>
    <x v="5"/>
    <x v="3"/>
    <x v="3"/>
  </r>
  <r>
    <n v="1032"/>
    <x v="40"/>
    <x v="0"/>
    <x v="3"/>
    <x v="1"/>
    <x v="74"/>
    <x v="30"/>
    <s v="M"/>
    <s v="Teal"/>
    <s v="Spring"/>
    <n v="3.4"/>
    <x v="0"/>
    <x v="1"/>
    <x v="0"/>
    <x v="0"/>
    <n v="32"/>
    <x v="1"/>
    <x v="3"/>
    <x v="3"/>
  </r>
  <r>
    <n v="1033"/>
    <x v="0"/>
    <x v="0"/>
    <x v="23"/>
    <x v="1"/>
    <x v="14"/>
    <x v="1"/>
    <s v="M"/>
    <s v="Lavender"/>
    <s v="Fall"/>
    <n v="4"/>
    <x v="0"/>
    <x v="1"/>
    <x v="0"/>
    <x v="0"/>
    <n v="44"/>
    <x v="2"/>
    <x v="3"/>
    <x v="3"/>
  </r>
  <r>
    <n v="1034"/>
    <x v="1"/>
    <x v="0"/>
    <x v="13"/>
    <x v="0"/>
    <x v="78"/>
    <x v="6"/>
    <s v="S"/>
    <s v="Silver"/>
    <s v="Spring"/>
    <n v="4.5999999999999996"/>
    <x v="0"/>
    <x v="1"/>
    <x v="0"/>
    <x v="0"/>
    <n v="41"/>
    <x v="4"/>
    <x v="3"/>
    <x v="3"/>
  </r>
  <r>
    <n v="1035"/>
    <x v="33"/>
    <x v="0"/>
    <x v="20"/>
    <x v="0"/>
    <x v="45"/>
    <x v="33"/>
    <s v="M"/>
    <s v="Olive"/>
    <s v="Fall"/>
    <n v="4.2"/>
    <x v="0"/>
    <x v="2"/>
    <x v="0"/>
    <x v="0"/>
    <n v="44"/>
    <x v="4"/>
    <x v="1"/>
    <x v="1"/>
  </r>
  <r>
    <n v="1036"/>
    <x v="12"/>
    <x v="0"/>
    <x v="0"/>
    <x v="0"/>
    <x v="58"/>
    <x v="42"/>
    <s v="M"/>
    <s v="Brown"/>
    <s v="Fall"/>
    <n v="2.8"/>
    <x v="0"/>
    <x v="0"/>
    <x v="0"/>
    <x v="0"/>
    <n v="32"/>
    <x v="0"/>
    <x v="2"/>
    <x v="2"/>
  </r>
  <r>
    <n v="1037"/>
    <x v="33"/>
    <x v="0"/>
    <x v="8"/>
    <x v="3"/>
    <x v="53"/>
    <x v="11"/>
    <s v="M"/>
    <s v="Yellow"/>
    <s v="Fall"/>
    <n v="3.7"/>
    <x v="0"/>
    <x v="4"/>
    <x v="0"/>
    <x v="0"/>
    <n v="13"/>
    <x v="4"/>
    <x v="5"/>
    <x v="5"/>
  </r>
  <r>
    <n v="1038"/>
    <x v="16"/>
    <x v="0"/>
    <x v="16"/>
    <x v="3"/>
    <x v="21"/>
    <x v="3"/>
    <s v="XL"/>
    <s v="Brown"/>
    <s v="Spring"/>
    <n v="3.4"/>
    <x v="0"/>
    <x v="3"/>
    <x v="0"/>
    <x v="0"/>
    <n v="48"/>
    <x v="5"/>
    <x v="3"/>
    <x v="3"/>
  </r>
  <r>
    <n v="1039"/>
    <x v="38"/>
    <x v="0"/>
    <x v="13"/>
    <x v="0"/>
    <x v="67"/>
    <x v="43"/>
    <s v="XL"/>
    <s v="Cyan"/>
    <s v="Fall"/>
    <n v="3"/>
    <x v="0"/>
    <x v="0"/>
    <x v="0"/>
    <x v="0"/>
    <n v="3"/>
    <x v="4"/>
    <x v="1"/>
    <x v="1"/>
  </r>
  <r>
    <n v="1040"/>
    <x v="26"/>
    <x v="0"/>
    <x v="22"/>
    <x v="3"/>
    <x v="43"/>
    <x v="49"/>
    <s v="M"/>
    <s v="Magenta"/>
    <s v="Fall"/>
    <n v="4.8"/>
    <x v="0"/>
    <x v="3"/>
    <x v="0"/>
    <x v="0"/>
    <n v="39"/>
    <x v="0"/>
    <x v="5"/>
    <x v="5"/>
  </r>
  <r>
    <n v="1041"/>
    <x v="33"/>
    <x v="0"/>
    <x v="2"/>
    <x v="0"/>
    <x v="20"/>
    <x v="17"/>
    <s v="S"/>
    <s v="Magenta"/>
    <s v="Fall"/>
    <n v="4"/>
    <x v="0"/>
    <x v="2"/>
    <x v="0"/>
    <x v="0"/>
    <n v="7"/>
    <x v="1"/>
    <x v="0"/>
    <x v="0"/>
  </r>
  <r>
    <n v="1042"/>
    <x v="24"/>
    <x v="0"/>
    <x v="5"/>
    <x v="0"/>
    <x v="21"/>
    <x v="46"/>
    <s v="M"/>
    <s v="Orange"/>
    <s v="Summer"/>
    <n v="4.9000000000000004"/>
    <x v="0"/>
    <x v="2"/>
    <x v="0"/>
    <x v="0"/>
    <n v="11"/>
    <x v="1"/>
    <x v="0"/>
    <x v="0"/>
  </r>
  <r>
    <n v="1043"/>
    <x v="0"/>
    <x v="0"/>
    <x v="22"/>
    <x v="3"/>
    <x v="68"/>
    <x v="33"/>
    <s v="M"/>
    <s v="Maroon"/>
    <s v="Spring"/>
    <n v="4.9000000000000004"/>
    <x v="0"/>
    <x v="2"/>
    <x v="0"/>
    <x v="0"/>
    <n v="47"/>
    <x v="2"/>
    <x v="1"/>
    <x v="1"/>
  </r>
  <r>
    <n v="1044"/>
    <x v="48"/>
    <x v="0"/>
    <x v="2"/>
    <x v="0"/>
    <x v="31"/>
    <x v="11"/>
    <s v="M"/>
    <s v="Green"/>
    <s v="Spring"/>
    <n v="3.3"/>
    <x v="0"/>
    <x v="4"/>
    <x v="0"/>
    <x v="0"/>
    <n v="28"/>
    <x v="5"/>
    <x v="0"/>
    <x v="0"/>
  </r>
  <r>
    <n v="1045"/>
    <x v="31"/>
    <x v="0"/>
    <x v="2"/>
    <x v="0"/>
    <x v="38"/>
    <x v="4"/>
    <s v="L"/>
    <s v="Teal"/>
    <s v="Summer"/>
    <n v="4.4000000000000004"/>
    <x v="0"/>
    <x v="2"/>
    <x v="0"/>
    <x v="0"/>
    <n v="17"/>
    <x v="4"/>
    <x v="6"/>
    <x v="3"/>
  </r>
  <r>
    <n v="1046"/>
    <x v="22"/>
    <x v="0"/>
    <x v="1"/>
    <x v="0"/>
    <x v="24"/>
    <x v="35"/>
    <s v="L"/>
    <s v="Black"/>
    <s v="Fall"/>
    <n v="3.5"/>
    <x v="0"/>
    <x v="4"/>
    <x v="0"/>
    <x v="0"/>
    <n v="11"/>
    <x v="3"/>
    <x v="4"/>
    <x v="4"/>
  </r>
  <r>
    <n v="1047"/>
    <x v="37"/>
    <x v="0"/>
    <x v="4"/>
    <x v="1"/>
    <x v="20"/>
    <x v="26"/>
    <s v="M"/>
    <s v="Magenta"/>
    <s v="Winter"/>
    <n v="4.2"/>
    <x v="0"/>
    <x v="3"/>
    <x v="0"/>
    <x v="0"/>
    <n v="12"/>
    <x v="0"/>
    <x v="2"/>
    <x v="2"/>
  </r>
  <r>
    <n v="1048"/>
    <x v="18"/>
    <x v="0"/>
    <x v="20"/>
    <x v="0"/>
    <x v="14"/>
    <x v="40"/>
    <s v="S"/>
    <s v="Olive"/>
    <s v="Fall"/>
    <n v="4.2"/>
    <x v="0"/>
    <x v="3"/>
    <x v="0"/>
    <x v="0"/>
    <n v="7"/>
    <x v="2"/>
    <x v="0"/>
    <x v="0"/>
  </r>
  <r>
    <n v="1049"/>
    <x v="11"/>
    <x v="0"/>
    <x v="20"/>
    <x v="0"/>
    <x v="64"/>
    <x v="1"/>
    <s v="L"/>
    <s v="Yellow"/>
    <s v="Fall"/>
    <n v="2.7"/>
    <x v="0"/>
    <x v="3"/>
    <x v="0"/>
    <x v="0"/>
    <n v="19"/>
    <x v="0"/>
    <x v="0"/>
    <x v="0"/>
  </r>
  <r>
    <n v="1050"/>
    <x v="4"/>
    <x v="0"/>
    <x v="12"/>
    <x v="3"/>
    <x v="27"/>
    <x v="41"/>
    <s v="S"/>
    <s v="Purple"/>
    <s v="Fall"/>
    <n v="2.8"/>
    <x v="0"/>
    <x v="5"/>
    <x v="0"/>
    <x v="0"/>
    <n v="24"/>
    <x v="1"/>
    <x v="3"/>
    <x v="3"/>
  </r>
  <r>
    <n v="1051"/>
    <x v="39"/>
    <x v="0"/>
    <x v="4"/>
    <x v="1"/>
    <x v="1"/>
    <x v="20"/>
    <s v="M"/>
    <s v="Beige"/>
    <s v="Winter"/>
    <n v="3.8"/>
    <x v="0"/>
    <x v="2"/>
    <x v="0"/>
    <x v="0"/>
    <n v="19"/>
    <x v="0"/>
    <x v="5"/>
    <x v="5"/>
  </r>
  <r>
    <n v="1052"/>
    <x v="4"/>
    <x v="0"/>
    <x v="20"/>
    <x v="0"/>
    <x v="0"/>
    <x v="31"/>
    <s v="M"/>
    <s v="Indigo"/>
    <s v="Fall"/>
    <n v="2.6"/>
    <x v="0"/>
    <x v="1"/>
    <x v="0"/>
    <x v="0"/>
    <n v="39"/>
    <x v="3"/>
    <x v="2"/>
    <x v="2"/>
  </r>
  <r>
    <n v="1053"/>
    <x v="52"/>
    <x v="0"/>
    <x v="9"/>
    <x v="1"/>
    <x v="14"/>
    <x v="41"/>
    <s v="XL"/>
    <s v="Pink"/>
    <s v="Fall"/>
    <n v="3"/>
    <x v="0"/>
    <x v="4"/>
    <x v="0"/>
    <x v="0"/>
    <n v="1"/>
    <x v="2"/>
    <x v="0"/>
    <x v="0"/>
  </r>
  <r>
    <n v="1054"/>
    <x v="35"/>
    <x v="0"/>
    <x v="0"/>
    <x v="0"/>
    <x v="44"/>
    <x v="23"/>
    <s v="M"/>
    <s v="Blue"/>
    <s v="Spring"/>
    <n v="3.3"/>
    <x v="1"/>
    <x v="4"/>
    <x v="0"/>
    <x v="0"/>
    <n v="10"/>
    <x v="5"/>
    <x v="4"/>
    <x v="4"/>
  </r>
  <r>
    <n v="1055"/>
    <x v="20"/>
    <x v="0"/>
    <x v="6"/>
    <x v="0"/>
    <x v="48"/>
    <x v="10"/>
    <s v="L"/>
    <s v="Cyan"/>
    <s v="Winter"/>
    <n v="4.9000000000000004"/>
    <x v="1"/>
    <x v="0"/>
    <x v="0"/>
    <x v="0"/>
    <n v="48"/>
    <x v="3"/>
    <x v="3"/>
    <x v="3"/>
  </r>
  <r>
    <n v="1056"/>
    <x v="27"/>
    <x v="0"/>
    <x v="14"/>
    <x v="2"/>
    <x v="65"/>
    <x v="2"/>
    <s v="M"/>
    <s v="Orange"/>
    <s v="Spring"/>
    <n v="3.3"/>
    <x v="1"/>
    <x v="2"/>
    <x v="0"/>
    <x v="0"/>
    <n v="24"/>
    <x v="5"/>
    <x v="2"/>
    <x v="2"/>
  </r>
  <r>
    <n v="1057"/>
    <x v="30"/>
    <x v="0"/>
    <x v="1"/>
    <x v="0"/>
    <x v="1"/>
    <x v="37"/>
    <s v="L"/>
    <s v="Black"/>
    <s v="Winter"/>
    <n v="2.9"/>
    <x v="1"/>
    <x v="4"/>
    <x v="0"/>
    <x v="0"/>
    <n v="42"/>
    <x v="0"/>
    <x v="0"/>
    <x v="0"/>
  </r>
  <r>
    <n v="1058"/>
    <x v="13"/>
    <x v="0"/>
    <x v="14"/>
    <x v="2"/>
    <x v="66"/>
    <x v="48"/>
    <s v="S"/>
    <s v="Maroon"/>
    <s v="Spring"/>
    <n v="4.4000000000000004"/>
    <x v="1"/>
    <x v="4"/>
    <x v="0"/>
    <x v="0"/>
    <n v="20"/>
    <x v="2"/>
    <x v="1"/>
    <x v="1"/>
  </r>
  <r>
    <n v="1059"/>
    <x v="26"/>
    <x v="0"/>
    <x v="18"/>
    <x v="3"/>
    <x v="27"/>
    <x v="35"/>
    <s v="L"/>
    <s v="Violet"/>
    <s v="Summer"/>
    <n v="3.1"/>
    <x v="1"/>
    <x v="2"/>
    <x v="0"/>
    <x v="0"/>
    <n v="49"/>
    <x v="4"/>
    <x v="6"/>
    <x v="3"/>
  </r>
  <r>
    <n v="1060"/>
    <x v="40"/>
    <x v="0"/>
    <x v="14"/>
    <x v="2"/>
    <x v="7"/>
    <x v="17"/>
    <s v="M"/>
    <s v="Beige"/>
    <s v="Winter"/>
    <n v="2.5"/>
    <x v="1"/>
    <x v="3"/>
    <x v="0"/>
    <x v="0"/>
    <n v="25"/>
    <x v="5"/>
    <x v="5"/>
    <x v="5"/>
  </r>
  <r>
    <n v="1061"/>
    <x v="7"/>
    <x v="0"/>
    <x v="1"/>
    <x v="0"/>
    <x v="59"/>
    <x v="44"/>
    <s v="S"/>
    <s v="Gray"/>
    <s v="Summer"/>
    <n v="2.6"/>
    <x v="1"/>
    <x v="2"/>
    <x v="0"/>
    <x v="0"/>
    <n v="21"/>
    <x v="5"/>
    <x v="6"/>
    <x v="3"/>
  </r>
  <r>
    <n v="1062"/>
    <x v="24"/>
    <x v="0"/>
    <x v="7"/>
    <x v="2"/>
    <x v="17"/>
    <x v="37"/>
    <s v="M"/>
    <s v="Gray"/>
    <s v="Summer"/>
    <n v="4.4000000000000004"/>
    <x v="1"/>
    <x v="1"/>
    <x v="0"/>
    <x v="0"/>
    <n v="12"/>
    <x v="0"/>
    <x v="6"/>
    <x v="3"/>
  </r>
  <r>
    <n v="1063"/>
    <x v="35"/>
    <x v="0"/>
    <x v="23"/>
    <x v="1"/>
    <x v="60"/>
    <x v="31"/>
    <s v="M"/>
    <s v="Brown"/>
    <s v="Fall"/>
    <n v="2.6"/>
    <x v="1"/>
    <x v="2"/>
    <x v="0"/>
    <x v="0"/>
    <n v="21"/>
    <x v="5"/>
    <x v="6"/>
    <x v="3"/>
  </r>
  <r>
    <n v="1064"/>
    <x v="46"/>
    <x v="0"/>
    <x v="15"/>
    <x v="0"/>
    <x v="45"/>
    <x v="15"/>
    <s v="S"/>
    <s v="Indigo"/>
    <s v="Summer"/>
    <n v="3.3"/>
    <x v="1"/>
    <x v="1"/>
    <x v="0"/>
    <x v="0"/>
    <n v="35"/>
    <x v="1"/>
    <x v="5"/>
    <x v="5"/>
  </r>
  <r>
    <n v="1065"/>
    <x v="50"/>
    <x v="0"/>
    <x v="19"/>
    <x v="3"/>
    <x v="39"/>
    <x v="5"/>
    <s v="M"/>
    <s v="Violet"/>
    <s v="Spring"/>
    <n v="3.5"/>
    <x v="1"/>
    <x v="0"/>
    <x v="0"/>
    <x v="0"/>
    <n v="42"/>
    <x v="2"/>
    <x v="6"/>
    <x v="3"/>
  </r>
  <r>
    <n v="1066"/>
    <x v="35"/>
    <x v="0"/>
    <x v="17"/>
    <x v="0"/>
    <x v="5"/>
    <x v="15"/>
    <s v="XL"/>
    <s v="Blue"/>
    <s v="Spring"/>
    <n v="4.0999999999999996"/>
    <x v="1"/>
    <x v="5"/>
    <x v="0"/>
    <x v="0"/>
    <n v="3"/>
    <x v="3"/>
    <x v="6"/>
    <x v="3"/>
  </r>
  <r>
    <n v="1067"/>
    <x v="34"/>
    <x v="0"/>
    <x v="7"/>
    <x v="2"/>
    <x v="48"/>
    <x v="16"/>
    <s v="M"/>
    <s v="Red"/>
    <s v="Winter"/>
    <n v="4"/>
    <x v="1"/>
    <x v="5"/>
    <x v="0"/>
    <x v="0"/>
    <n v="11"/>
    <x v="3"/>
    <x v="4"/>
    <x v="4"/>
  </r>
  <r>
    <n v="1068"/>
    <x v="20"/>
    <x v="0"/>
    <x v="10"/>
    <x v="0"/>
    <x v="35"/>
    <x v="38"/>
    <s v="S"/>
    <s v="Peach"/>
    <s v="Summer"/>
    <n v="2.7"/>
    <x v="1"/>
    <x v="4"/>
    <x v="0"/>
    <x v="0"/>
    <n v="22"/>
    <x v="3"/>
    <x v="3"/>
    <x v="3"/>
  </r>
  <r>
    <n v="1069"/>
    <x v="0"/>
    <x v="0"/>
    <x v="5"/>
    <x v="0"/>
    <x v="23"/>
    <x v="5"/>
    <s v="M"/>
    <s v="Olive"/>
    <s v="Fall"/>
    <n v="2.5"/>
    <x v="1"/>
    <x v="3"/>
    <x v="0"/>
    <x v="0"/>
    <n v="47"/>
    <x v="2"/>
    <x v="1"/>
    <x v="1"/>
  </r>
  <r>
    <n v="1070"/>
    <x v="21"/>
    <x v="0"/>
    <x v="11"/>
    <x v="0"/>
    <x v="13"/>
    <x v="33"/>
    <s v="XL"/>
    <s v="White"/>
    <s v="Fall"/>
    <n v="4.3"/>
    <x v="1"/>
    <x v="2"/>
    <x v="0"/>
    <x v="0"/>
    <n v="33"/>
    <x v="0"/>
    <x v="6"/>
    <x v="3"/>
  </r>
  <r>
    <n v="1071"/>
    <x v="2"/>
    <x v="0"/>
    <x v="16"/>
    <x v="3"/>
    <x v="60"/>
    <x v="17"/>
    <s v="M"/>
    <s v="Magenta"/>
    <s v="Summer"/>
    <n v="3.3"/>
    <x v="1"/>
    <x v="1"/>
    <x v="0"/>
    <x v="0"/>
    <n v="50"/>
    <x v="5"/>
    <x v="1"/>
    <x v="1"/>
  </r>
  <r>
    <n v="1072"/>
    <x v="12"/>
    <x v="0"/>
    <x v="19"/>
    <x v="3"/>
    <x v="13"/>
    <x v="38"/>
    <s v="M"/>
    <s v="Beige"/>
    <s v="Summer"/>
    <n v="2.6"/>
    <x v="1"/>
    <x v="0"/>
    <x v="0"/>
    <x v="0"/>
    <n v="46"/>
    <x v="2"/>
    <x v="5"/>
    <x v="5"/>
  </r>
  <r>
    <n v="1073"/>
    <x v="39"/>
    <x v="0"/>
    <x v="6"/>
    <x v="0"/>
    <x v="56"/>
    <x v="37"/>
    <s v="L"/>
    <s v="Gold"/>
    <s v="Fall"/>
    <n v="3.5"/>
    <x v="1"/>
    <x v="0"/>
    <x v="0"/>
    <x v="0"/>
    <n v="34"/>
    <x v="5"/>
    <x v="0"/>
    <x v="0"/>
  </r>
  <r>
    <n v="1074"/>
    <x v="40"/>
    <x v="0"/>
    <x v="18"/>
    <x v="3"/>
    <x v="48"/>
    <x v="18"/>
    <s v="XL"/>
    <s v="Purple"/>
    <s v="Spring"/>
    <n v="4"/>
    <x v="1"/>
    <x v="5"/>
    <x v="0"/>
    <x v="0"/>
    <n v="33"/>
    <x v="2"/>
    <x v="5"/>
    <x v="5"/>
  </r>
  <r>
    <n v="1075"/>
    <x v="39"/>
    <x v="0"/>
    <x v="16"/>
    <x v="3"/>
    <x v="79"/>
    <x v="30"/>
    <s v="S"/>
    <s v="White"/>
    <s v="Fall"/>
    <n v="2.6"/>
    <x v="1"/>
    <x v="3"/>
    <x v="0"/>
    <x v="0"/>
    <n v="45"/>
    <x v="4"/>
    <x v="0"/>
    <x v="0"/>
  </r>
  <r>
    <n v="1076"/>
    <x v="9"/>
    <x v="0"/>
    <x v="12"/>
    <x v="3"/>
    <x v="74"/>
    <x v="9"/>
    <s v="L"/>
    <s v="Indigo"/>
    <s v="Summer"/>
    <n v="4.9000000000000004"/>
    <x v="1"/>
    <x v="2"/>
    <x v="0"/>
    <x v="0"/>
    <n v="32"/>
    <x v="5"/>
    <x v="4"/>
    <x v="4"/>
  </r>
  <r>
    <n v="1077"/>
    <x v="23"/>
    <x v="0"/>
    <x v="7"/>
    <x v="2"/>
    <x v="11"/>
    <x v="25"/>
    <s v="L"/>
    <s v="Charcoal"/>
    <s v="Spring"/>
    <n v="2.9"/>
    <x v="1"/>
    <x v="3"/>
    <x v="0"/>
    <x v="0"/>
    <n v="47"/>
    <x v="0"/>
    <x v="4"/>
    <x v="4"/>
  </r>
  <r>
    <n v="1078"/>
    <x v="44"/>
    <x v="0"/>
    <x v="14"/>
    <x v="2"/>
    <x v="39"/>
    <x v="8"/>
    <s v="M"/>
    <s v="Pink"/>
    <s v="Winter"/>
    <n v="3.7"/>
    <x v="1"/>
    <x v="3"/>
    <x v="0"/>
    <x v="0"/>
    <n v="5"/>
    <x v="3"/>
    <x v="3"/>
    <x v="3"/>
  </r>
  <r>
    <n v="1079"/>
    <x v="43"/>
    <x v="0"/>
    <x v="1"/>
    <x v="0"/>
    <x v="40"/>
    <x v="28"/>
    <s v="M"/>
    <s v="Silver"/>
    <s v="Fall"/>
    <n v="4.4000000000000004"/>
    <x v="1"/>
    <x v="0"/>
    <x v="0"/>
    <x v="0"/>
    <n v="49"/>
    <x v="2"/>
    <x v="0"/>
    <x v="0"/>
  </r>
  <r>
    <n v="1080"/>
    <x v="20"/>
    <x v="0"/>
    <x v="7"/>
    <x v="2"/>
    <x v="27"/>
    <x v="19"/>
    <s v="S"/>
    <s v="Blue"/>
    <s v="Summer"/>
    <n v="4.4000000000000004"/>
    <x v="1"/>
    <x v="1"/>
    <x v="0"/>
    <x v="0"/>
    <n v="48"/>
    <x v="4"/>
    <x v="5"/>
    <x v="5"/>
  </r>
  <r>
    <n v="1081"/>
    <x v="13"/>
    <x v="0"/>
    <x v="18"/>
    <x v="3"/>
    <x v="40"/>
    <x v="38"/>
    <s v="L"/>
    <s v="Blue"/>
    <s v="Fall"/>
    <n v="3.8"/>
    <x v="1"/>
    <x v="0"/>
    <x v="0"/>
    <x v="0"/>
    <n v="22"/>
    <x v="1"/>
    <x v="6"/>
    <x v="3"/>
  </r>
  <r>
    <n v="1082"/>
    <x v="46"/>
    <x v="0"/>
    <x v="22"/>
    <x v="3"/>
    <x v="38"/>
    <x v="37"/>
    <s v="XL"/>
    <s v="Brown"/>
    <s v="Spring"/>
    <n v="4.5"/>
    <x v="1"/>
    <x v="3"/>
    <x v="0"/>
    <x v="0"/>
    <n v="45"/>
    <x v="2"/>
    <x v="2"/>
    <x v="2"/>
  </r>
  <r>
    <n v="1083"/>
    <x v="22"/>
    <x v="0"/>
    <x v="19"/>
    <x v="3"/>
    <x v="6"/>
    <x v="36"/>
    <s v="XL"/>
    <s v="Cyan"/>
    <s v="Winter"/>
    <n v="2.6"/>
    <x v="1"/>
    <x v="2"/>
    <x v="0"/>
    <x v="0"/>
    <n v="30"/>
    <x v="0"/>
    <x v="3"/>
    <x v="3"/>
  </r>
  <r>
    <n v="1084"/>
    <x v="25"/>
    <x v="0"/>
    <x v="21"/>
    <x v="3"/>
    <x v="8"/>
    <x v="47"/>
    <s v="L"/>
    <s v="Teal"/>
    <s v="Summer"/>
    <n v="3.3"/>
    <x v="1"/>
    <x v="5"/>
    <x v="0"/>
    <x v="0"/>
    <n v="43"/>
    <x v="1"/>
    <x v="1"/>
    <x v="1"/>
  </r>
  <r>
    <n v="1085"/>
    <x v="50"/>
    <x v="0"/>
    <x v="17"/>
    <x v="0"/>
    <x v="14"/>
    <x v="10"/>
    <s v="S"/>
    <s v="Purple"/>
    <s v="Fall"/>
    <n v="4.0999999999999996"/>
    <x v="1"/>
    <x v="2"/>
    <x v="0"/>
    <x v="0"/>
    <n v="48"/>
    <x v="1"/>
    <x v="3"/>
    <x v="3"/>
  </r>
  <r>
    <n v="1086"/>
    <x v="15"/>
    <x v="0"/>
    <x v="16"/>
    <x v="3"/>
    <x v="6"/>
    <x v="40"/>
    <s v="M"/>
    <s v="Turquoise"/>
    <s v="Winter"/>
    <n v="3"/>
    <x v="1"/>
    <x v="5"/>
    <x v="0"/>
    <x v="0"/>
    <n v="23"/>
    <x v="0"/>
    <x v="0"/>
    <x v="0"/>
  </r>
  <r>
    <n v="1087"/>
    <x v="10"/>
    <x v="0"/>
    <x v="12"/>
    <x v="3"/>
    <x v="17"/>
    <x v="29"/>
    <s v="M"/>
    <s v="Olive"/>
    <s v="Winter"/>
    <n v="3"/>
    <x v="1"/>
    <x v="1"/>
    <x v="0"/>
    <x v="0"/>
    <n v="27"/>
    <x v="3"/>
    <x v="4"/>
    <x v="4"/>
  </r>
  <r>
    <n v="1088"/>
    <x v="4"/>
    <x v="0"/>
    <x v="2"/>
    <x v="0"/>
    <x v="79"/>
    <x v="8"/>
    <s v="S"/>
    <s v="White"/>
    <s v="Winter"/>
    <n v="3.4"/>
    <x v="1"/>
    <x v="2"/>
    <x v="0"/>
    <x v="0"/>
    <n v="7"/>
    <x v="4"/>
    <x v="5"/>
    <x v="5"/>
  </r>
  <r>
    <n v="1089"/>
    <x v="34"/>
    <x v="0"/>
    <x v="13"/>
    <x v="0"/>
    <x v="34"/>
    <x v="7"/>
    <s v="M"/>
    <s v="Turquoise"/>
    <s v="Winter"/>
    <n v="2.7"/>
    <x v="1"/>
    <x v="1"/>
    <x v="0"/>
    <x v="0"/>
    <n v="2"/>
    <x v="3"/>
    <x v="1"/>
    <x v="1"/>
  </r>
  <r>
    <n v="1090"/>
    <x v="37"/>
    <x v="0"/>
    <x v="21"/>
    <x v="3"/>
    <x v="70"/>
    <x v="28"/>
    <s v="M"/>
    <s v="Silver"/>
    <s v="Spring"/>
    <n v="3.8"/>
    <x v="1"/>
    <x v="2"/>
    <x v="0"/>
    <x v="0"/>
    <n v="33"/>
    <x v="3"/>
    <x v="4"/>
    <x v="4"/>
  </r>
  <r>
    <n v="1091"/>
    <x v="21"/>
    <x v="0"/>
    <x v="18"/>
    <x v="3"/>
    <x v="47"/>
    <x v="39"/>
    <s v="M"/>
    <s v="Violet"/>
    <s v="Spring"/>
    <n v="4.2"/>
    <x v="1"/>
    <x v="5"/>
    <x v="0"/>
    <x v="0"/>
    <n v="27"/>
    <x v="1"/>
    <x v="0"/>
    <x v="0"/>
  </r>
  <r>
    <n v="1092"/>
    <x v="42"/>
    <x v="0"/>
    <x v="1"/>
    <x v="0"/>
    <x v="68"/>
    <x v="17"/>
    <s v="L"/>
    <s v="Lavender"/>
    <s v="Spring"/>
    <n v="4.7"/>
    <x v="1"/>
    <x v="5"/>
    <x v="0"/>
    <x v="0"/>
    <n v="6"/>
    <x v="2"/>
    <x v="0"/>
    <x v="0"/>
  </r>
  <r>
    <n v="1093"/>
    <x v="33"/>
    <x v="0"/>
    <x v="16"/>
    <x v="3"/>
    <x v="74"/>
    <x v="45"/>
    <s v="L"/>
    <s v="Magenta"/>
    <s v="Spring"/>
    <n v="4.0999999999999996"/>
    <x v="1"/>
    <x v="4"/>
    <x v="0"/>
    <x v="0"/>
    <n v="20"/>
    <x v="0"/>
    <x v="3"/>
    <x v="3"/>
  </r>
  <r>
    <n v="1094"/>
    <x v="52"/>
    <x v="0"/>
    <x v="4"/>
    <x v="1"/>
    <x v="16"/>
    <x v="12"/>
    <s v="S"/>
    <s v="Indigo"/>
    <s v="Winter"/>
    <n v="4.2"/>
    <x v="1"/>
    <x v="4"/>
    <x v="0"/>
    <x v="0"/>
    <n v="46"/>
    <x v="0"/>
    <x v="6"/>
    <x v="3"/>
  </r>
  <r>
    <n v="1095"/>
    <x v="15"/>
    <x v="0"/>
    <x v="16"/>
    <x v="3"/>
    <x v="49"/>
    <x v="39"/>
    <s v="M"/>
    <s v="Black"/>
    <s v="Winter"/>
    <n v="4.8"/>
    <x v="1"/>
    <x v="2"/>
    <x v="0"/>
    <x v="0"/>
    <n v="25"/>
    <x v="1"/>
    <x v="3"/>
    <x v="3"/>
  </r>
  <r>
    <n v="1096"/>
    <x v="1"/>
    <x v="0"/>
    <x v="7"/>
    <x v="2"/>
    <x v="7"/>
    <x v="30"/>
    <s v="S"/>
    <s v="Peach"/>
    <s v="Summer"/>
    <n v="3"/>
    <x v="1"/>
    <x v="1"/>
    <x v="0"/>
    <x v="0"/>
    <n v="30"/>
    <x v="4"/>
    <x v="3"/>
    <x v="3"/>
  </r>
  <r>
    <n v="1097"/>
    <x v="9"/>
    <x v="0"/>
    <x v="7"/>
    <x v="2"/>
    <x v="43"/>
    <x v="13"/>
    <s v="S"/>
    <s v="Beige"/>
    <s v="Fall"/>
    <n v="2.6"/>
    <x v="1"/>
    <x v="3"/>
    <x v="0"/>
    <x v="0"/>
    <n v="48"/>
    <x v="2"/>
    <x v="2"/>
    <x v="2"/>
  </r>
  <r>
    <n v="1098"/>
    <x v="44"/>
    <x v="0"/>
    <x v="12"/>
    <x v="3"/>
    <x v="65"/>
    <x v="34"/>
    <s v="M"/>
    <s v="Black"/>
    <s v="Summer"/>
    <n v="3.2"/>
    <x v="1"/>
    <x v="5"/>
    <x v="0"/>
    <x v="0"/>
    <n v="47"/>
    <x v="4"/>
    <x v="1"/>
    <x v="1"/>
  </r>
  <r>
    <n v="1099"/>
    <x v="34"/>
    <x v="0"/>
    <x v="8"/>
    <x v="3"/>
    <x v="57"/>
    <x v="37"/>
    <s v="S"/>
    <s v="Turquoise"/>
    <s v="Spring"/>
    <n v="3.6"/>
    <x v="1"/>
    <x v="2"/>
    <x v="0"/>
    <x v="0"/>
    <n v="27"/>
    <x v="2"/>
    <x v="1"/>
    <x v="1"/>
  </r>
  <r>
    <n v="1100"/>
    <x v="1"/>
    <x v="0"/>
    <x v="1"/>
    <x v="0"/>
    <x v="2"/>
    <x v="17"/>
    <s v="M"/>
    <s v="Peach"/>
    <s v="Fall"/>
    <n v="2.6"/>
    <x v="1"/>
    <x v="2"/>
    <x v="0"/>
    <x v="0"/>
    <n v="45"/>
    <x v="4"/>
    <x v="0"/>
    <x v="0"/>
  </r>
  <r>
    <n v="1101"/>
    <x v="2"/>
    <x v="0"/>
    <x v="13"/>
    <x v="0"/>
    <x v="39"/>
    <x v="22"/>
    <s v="L"/>
    <s v="Gold"/>
    <s v="Spring"/>
    <n v="4.4000000000000004"/>
    <x v="1"/>
    <x v="0"/>
    <x v="0"/>
    <x v="0"/>
    <n v="2"/>
    <x v="2"/>
    <x v="1"/>
    <x v="1"/>
  </r>
  <r>
    <n v="1102"/>
    <x v="11"/>
    <x v="0"/>
    <x v="24"/>
    <x v="3"/>
    <x v="31"/>
    <x v="12"/>
    <s v="XL"/>
    <s v="Silver"/>
    <s v="Fall"/>
    <n v="3"/>
    <x v="1"/>
    <x v="1"/>
    <x v="0"/>
    <x v="0"/>
    <n v="39"/>
    <x v="1"/>
    <x v="0"/>
    <x v="0"/>
  </r>
  <r>
    <n v="1103"/>
    <x v="16"/>
    <x v="0"/>
    <x v="1"/>
    <x v="0"/>
    <x v="42"/>
    <x v="21"/>
    <s v="M"/>
    <s v="Peach"/>
    <s v="Fall"/>
    <n v="2.9"/>
    <x v="1"/>
    <x v="0"/>
    <x v="0"/>
    <x v="0"/>
    <n v="24"/>
    <x v="1"/>
    <x v="0"/>
    <x v="0"/>
  </r>
  <r>
    <n v="1104"/>
    <x v="25"/>
    <x v="0"/>
    <x v="15"/>
    <x v="0"/>
    <x v="66"/>
    <x v="30"/>
    <s v="S"/>
    <s v="Charcoal"/>
    <s v="Spring"/>
    <n v="4.3"/>
    <x v="1"/>
    <x v="1"/>
    <x v="0"/>
    <x v="0"/>
    <n v="8"/>
    <x v="5"/>
    <x v="4"/>
    <x v="4"/>
  </r>
  <r>
    <n v="1105"/>
    <x v="25"/>
    <x v="0"/>
    <x v="19"/>
    <x v="3"/>
    <x v="39"/>
    <x v="12"/>
    <s v="M"/>
    <s v="Beige"/>
    <s v="Fall"/>
    <n v="3.1"/>
    <x v="1"/>
    <x v="0"/>
    <x v="0"/>
    <x v="0"/>
    <n v="8"/>
    <x v="4"/>
    <x v="3"/>
    <x v="3"/>
  </r>
  <r>
    <n v="1106"/>
    <x v="23"/>
    <x v="0"/>
    <x v="17"/>
    <x v="0"/>
    <x v="42"/>
    <x v="2"/>
    <s v="S"/>
    <s v="Olive"/>
    <s v="Spring"/>
    <n v="3"/>
    <x v="1"/>
    <x v="2"/>
    <x v="0"/>
    <x v="0"/>
    <n v="6"/>
    <x v="0"/>
    <x v="6"/>
    <x v="3"/>
  </r>
  <r>
    <n v="1107"/>
    <x v="16"/>
    <x v="0"/>
    <x v="11"/>
    <x v="0"/>
    <x v="48"/>
    <x v="46"/>
    <s v="L"/>
    <s v="Violet"/>
    <s v="Winter"/>
    <n v="3.6"/>
    <x v="1"/>
    <x v="5"/>
    <x v="0"/>
    <x v="0"/>
    <n v="12"/>
    <x v="0"/>
    <x v="0"/>
    <x v="0"/>
  </r>
  <r>
    <n v="1108"/>
    <x v="28"/>
    <x v="0"/>
    <x v="4"/>
    <x v="1"/>
    <x v="17"/>
    <x v="21"/>
    <s v="M"/>
    <s v="Peach"/>
    <s v="Fall"/>
    <n v="2.8"/>
    <x v="1"/>
    <x v="5"/>
    <x v="0"/>
    <x v="0"/>
    <n v="26"/>
    <x v="4"/>
    <x v="1"/>
    <x v="1"/>
  </r>
  <r>
    <n v="1109"/>
    <x v="7"/>
    <x v="0"/>
    <x v="6"/>
    <x v="0"/>
    <x v="21"/>
    <x v="43"/>
    <s v="M"/>
    <s v="Teal"/>
    <s v="Fall"/>
    <n v="2.8"/>
    <x v="1"/>
    <x v="3"/>
    <x v="0"/>
    <x v="0"/>
    <n v="50"/>
    <x v="1"/>
    <x v="0"/>
    <x v="0"/>
  </r>
  <r>
    <n v="1110"/>
    <x v="17"/>
    <x v="0"/>
    <x v="15"/>
    <x v="0"/>
    <x v="8"/>
    <x v="19"/>
    <s v="L"/>
    <s v="Violet"/>
    <s v="Winter"/>
    <n v="4.9000000000000004"/>
    <x v="1"/>
    <x v="2"/>
    <x v="0"/>
    <x v="0"/>
    <n v="2"/>
    <x v="0"/>
    <x v="1"/>
    <x v="1"/>
  </r>
  <r>
    <n v="1111"/>
    <x v="48"/>
    <x v="0"/>
    <x v="15"/>
    <x v="0"/>
    <x v="70"/>
    <x v="21"/>
    <s v="L"/>
    <s v="Cyan"/>
    <s v="Fall"/>
    <n v="3"/>
    <x v="1"/>
    <x v="3"/>
    <x v="0"/>
    <x v="0"/>
    <n v="31"/>
    <x v="1"/>
    <x v="4"/>
    <x v="4"/>
  </r>
  <r>
    <n v="1112"/>
    <x v="40"/>
    <x v="0"/>
    <x v="9"/>
    <x v="1"/>
    <x v="76"/>
    <x v="14"/>
    <s v="S"/>
    <s v="Olive"/>
    <s v="Summer"/>
    <n v="4.0999999999999996"/>
    <x v="1"/>
    <x v="2"/>
    <x v="0"/>
    <x v="0"/>
    <n v="4"/>
    <x v="2"/>
    <x v="4"/>
    <x v="4"/>
  </r>
  <r>
    <n v="1113"/>
    <x v="28"/>
    <x v="0"/>
    <x v="15"/>
    <x v="0"/>
    <x v="25"/>
    <x v="47"/>
    <s v="XL"/>
    <s v="Pink"/>
    <s v="Spring"/>
    <n v="4.5999999999999996"/>
    <x v="1"/>
    <x v="1"/>
    <x v="0"/>
    <x v="0"/>
    <n v="32"/>
    <x v="3"/>
    <x v="3"/>
    <x v="3"/>
  </r>
  <r>
    <n v="1114"/>
    <x v="48"/>
    <x v="0"/>
    <x v="12"/>
    <x v="3"/>
    <x v="68"/>
    <x v="33"/>
    <s v="M"/>
    <s v="Purple"/>
    <s v="Summer"/>
    <n v="4.8"/>
    <x v="1"/>
    <x v="2"/>
    <x v="0"/>
    <x v="0"/>
    <n v="11"/>
    <x v="3"/>
    <x v="4"/>
    <x v="4"/>
  </r>
  <r>
    <n v="1115"/>
    <x v="0"/>
    <x v="0"/>
    <x v="11"/>
    <x v="0"/>
    <x v="21"/>
    <x v="13"/>
    <s v="L"/>
    <s v="Violet"/>
    <s v="Fall"/>
    <n v="2.6"/>
    <x v="1"/>
    <x v="2"/>
    <x v="0"/>
    <x v="0"/>
    <n v="47"/>
    <x v="4"/>
    <x v="6"/>
    <x v="3"/>
  </r>
  <r>
    <n v="1116"/>
    <x v="11"/>
    <x v="0"/>
    <x v="19"/>
    <x v="3"/>
    <x v="47"/>
    <x v="14"/>
    <s v="S"/>
    <s v="Peach"/>
    <s v="Fall"/>
    <n v="4"/>
    <x v="1"/>
    <x v="4"/>
    <x v="0"/>
    <x v="0"/>
    <n v="37"/>
    <x v="1"/>
    <x v="1"/>
    <x v="1"/>
  </r>
  <r>
    <n v="1117"/>
    <x v="29"/>
    <x v="0"/>
    <x v="21"/>
    <x v="3"/>
    <x v="48"/>
    <x v="11"/>
    <s v="M"/>
    <s v="Charcoal"/>
    <s v="Winter"/>
    <n v="4.2"/>
    <x v="1"/>
    <x v="0"/>
    <x v="0"/>
    <x v="0"/>
    <n v="39"/>
    <x v="3"/>
    <x v="0"/>
    <x v="0"/>
  </r>
  <r>
    <n v="1118"/>
    <x v="15"/>
    <x v="0"/>
    <x v="12"/>
    <x v="3"/>
    <x v="64"/>
    <x v="18"/>
    <s v="L"/>
    <s v="Lavender"/>
    <s v="Spring"/>
    <n v="4.5"/>
    <x v="1"/>
    <x v="5"/>
    <x v="0"/>
    <x v="0"/>
    <n v="24"/>
    <x v="2"/>
    <x v="5"/>
    <x v="5"/>
  </r>
  <r>
    <n v="1119"/>
    <x v="34"/>
    <x v="0"/>
    <x v="22"/>
    <x v="3"/>
    <x v="61"/>
    <x v="27"/>
    <s v="M"/>
    <s v="Purple"/>
    <s v="Summer"/>
    <n v="4.9000000000000004"/>
    <x v="1"/>
    <x v="3"/>
    <x v="0"/>
    <x v="0"/>
    <n v="11"/>
    <x v="3"/>
    <x v="6"/>
    <x v="3"/>
  </r>
  <r>
    <n v="1120"/>
    <x v="50"/>
    <x v="0"/>
    <x v="16"/>
    <x v="3"/>
    <x v="14"/>
    <x v="7"/>
    <s v="M"/>
    <s v="Indigo"/>
    <s v="Spring"/>
    <n v="3.1"/>
    <x v="1"/>
    <x v="3"/>
    <x v="0"/>
    <x v="0"/>
    <n v="36"/>
    <x v="2"/>
    <x v="1"/>
    <x v="1"/>
  </r>
  <r>
    <n v="1121"/>
    <x v="40"/>
    <x v="0"/>
    <x v="4"/>
    <x v="1"/>
    <x v="63"/>
    <x v="38"/>
    <s v="M"/>
    <s v="Magenta"/>
    <s v="Winter"/>
    <n v="4"/>
    <x v="1"/>
    <x v="2"/>
    <x v="0"/>
    <x v="0"/>
    <n v="40"/>
    <x v="5"/>
    <x v="5"/>
    <x v="5"/>
  </r>
  <r>
    <n v="1122"/>
    <x v="6"/>
    <x v="0"/>
    <x v="17"/>
    <x v="0"/>
    <x v="47"/>
    <x v="20"/>
    <s v="XL"/>
    <s v="Peach"/>
    <s v="Fall"/>
    <n v="3.2"/>
    <x v="1"/>
    <x v="0"/>
    <x v="0"/>
    <x v="0"/>
    <n v="25"/>
    <x v="1"/>
    <x v="3"/>
    <x v="3"/>
  </r>
  <r>
    <n v="1123"/>
    <x v="27"/>
    <x v="0"/>
    <x v="8"/>
    <x v="3"/>
    <x v="17"/>
    <x v="17"/>
    <s v="S"/>
    <s v="Charcoal"/>
    <s v="Spring"/>
    <n v="4.3"/>
    <x v="1"/>
    <x v="4"/>
    <x v="0"/>
    <x v="0"/>
    <n v="12"/>
    <x v="2"/>
    <x v="2"/>
    <x v="2"/>
  </r>
  <r>
    <n v="1124"/>
    <x v="24"/>
    <x v="0"/>
    <x v="19"/>
    <x v="3"/>
    <x v="25"/>
    <x v="2"/>
    <s v="S"/>
    <s v="Purple"/>
    <s v="Fall"/>
    <n v="2.5"/>
    <x v="1"/>
    <x v="5"/>
    <x v="0"/>
    <x v="0"/>
    <n v="38"/>
    <x v="1"/>
    <x v="5"/>
    <x v="5"/>
  </r>
  <r>
    <n v="1125"/>
    <x v="32"/>
    <x v="0"/>
    <x v="1"/>
    <x v="0"/>
    <x v="5"/>
    <x v="44"/>
    <s v="M"/>
    <s v="Orange"/>
    <s v="Spring"/>
    <n v="4.9000000000000004"/>
    <x v="1"/>
    <x v="0"/>
    <x v="0"/>
    <x v="0"/>
    <n v="40"/>
    <x v="1"/>
    <x v="3"/>
    <x v="3"/>
  </r>
  <r>
    <n v="1126"/>
    <x v="7"/>
    <x v="0"/>
    <x v="3"/>
    <x v="1"/>
    <x v="3"/>
    <x v="25"/>
    <s v="M"/>
    <s v="Lavender"/>
    <s v="Summer"/>
    <n v="2.7"/>
    <x v="1"/>
    <x v="4"/>
    <x v="0"/>
    <x v="0"/>
    <n v="10"/>
    <x v="4"/>
    <x v="1"/>
    <x v="1"/>
  </r>
  <r>
    <n v="1127"/>
    <x v="51"/>
    <x v="0"/>
    <x v="18"/>
    <x v="3"/>
    <x v="47"/>
    <x v="44"/>
    <s v="L"/>
    <s v="Beige"/>
    <s v="Winter"/>
    <n v="3.4"/>
    <x v="1"/>
    <x v="3"/>
    <x v="0"/>
    <x v="0"/>
    <n v="47"/>
    <x v="0"/>
    <x v="0"/>
    <x v="0"/>
  </r>
  <r>
    <n v="1128"/>
    <x v="2"/>
    <x v="0"/>
    <x v="5"/>
    <x v="0"/>
    <x v="0"/>
    <x v="12"/>
    <s v="XL"/>
    <s v="Maroon"/>
    <s v="Spring"/>
    <n v="4.8"/>
    <x v="1"/>
    <x v="5"/>
    <x v="0"/>
    <x v="0"/>
    <n v="22"/>
    <x v="5"/>
    <x v="5"/>
    <x v="5"/>
  </r>
  <r>
    <n v="1129"/>
    <x v="19"/>
    <x v="0"/>
    <x v="24"/>
    <x v="3"/>
    <x v="38"/>
    <x v="14"/>
    <s v="L"/>
    <s v="Charcoal"/>
    <s v="Winter"/>
    <n v="4.7"/>
    <x v="1"/>
    <x v="2"/>
    <x v="0"/>
    <x v="0"/>
    <n v="35"/>
    <x v="5"/>
    <x v="5"/>
    <x v="5"/>
  </r>
  <r>
    <n v="1130"/>
    <x v="43"/>
    <x v="0"/>
    <x v="15"/>
    <x v="0"/>
    <x v="61"/>
    <x v="13"/>
    <s v="XL"/>
    <s v="White"/>
    <s v="Winter"/>
    <n v="4.7"/>
    <x v="1"/>
    <x v="0"/>
    <x v="0"/>
    <x v="0"/>
    <n v="46"/>
    <x v="0"/>
    <x v="0"/>
    <x v="0"/>
  </r>
  <r>
    <n v="1131"/>
    <x v="29"/>
    <x v="0"/>
    <x v="16"/>
    <x v="3"/>
    <x v="52"/>
    <x v="0"/>
    <s v="M"/>
    <s v="Lavender"/>
    <s v="Summer"/>
    <n v="3.9"/>
    <x v="1"/>
    <x v="3"/>
    <x v="0"/>
    <x v="0"/>
    <n v="30"/>
    <x v="3"/>
    <x v="4"/>
    <x v="4"/>
  </r>
  <r>
    <n v="1132"/>
    <x v="29"/>
    <x v="0"/>
    <x v="5"/>
    <x v="0"/>
    <x v="2"/>
    <x v="26"/>
    <s v="M"/>
    <s v="Black"/>
    <s v="Spring"/>
    <n v="3.7"/>
    <x v="1"/>
    <x v="0"/>
    <x v="0"/>
    <x v="0"/>
    <n v="20"/>
    <x v="4"/>
    <x v="5"/>
    <x v="5"/>
  </r>
  <r>
    <n v="1133"/>
    <x v="2"/>
    <x v="0"/>
    <x v="15"/>
    <x v="0"/>
    <x v="57"/>
    <x v="17"/>
    <s v="S"/>
    <s v="Teal"/>
    <s v="Spring"/>
    <n v="4.3"/>
    <x v="1"/>
    <x v="5"/>
    <x v="0"/>
    <x v="0"/>
    <n v="25"/>
    <x v="1"/>
    <x v="0"/>
    <x v="0"/>
  </r>
  <r>
    <n v="1134"/>
    <x v="24"/>
    <x v="0"/>
    <x v="9"/>
    <x v="1"/>
    <x v="14"/>
    <x v="39"/>
    <s v="XL"/>
    <s v="Magenta"/>
    <s v="Winter"/>
    <n v="4.0999999999999996"/>
    <x v="1"/>
    <x v="4"/>
    <x v="0"/>
    <x v="0"/>
    <n v="29"/>
    <x v="1"/>
    <x v="1"/>
    <x v="1"/>
  </r>
  <r>
    <n v="1135"/>
    <x v="46"/>
    <x v="0"/>
    <x v="17"/>
    <x v="0"/>
    <x v="13"/>
    <x v="48"/>
    <s v="M"/>
    <s v="Brown"/>
    <s v="Summer"/>
    <n v="4.5999999999999996"/>
    <x v="1"/>
    <x v="0"/>
    <x v="0"/>
    <x v="0"/>
    <n v="2"/>
    <x v="0"/>
    <x v="6"/>
    <x v="3"/>
  </r>
  <r>
    <n v="1136"/>
    <x v="13"/>
    <x v="0"/>
    <x v="11"/>
    <x v="0"/>
    <x v="3"/>
    <x v="2"/>
    <s v="L"/>
    <s v="Peach"/>
    <s v="Winter"/>
    <n v="3.6"/>
    <x v="1"/>
    <x v="4"/>
    <x v="0"/>
    <x v="0"/>
    <n v="32"/>
    <x v="4"/>
    <x v="3"/>
    <x v="3"/>
  </r>
  <r>
    <n v="1137"/>
    <x v="51"/>
    <x v="0"/>
    <x v="8"/>
    <x v="3"/>
    <x v="42"/>
    <x v="26"/>
    <s v="S"/>
    <s v="Cyan"/>
    <s v="Summer"/>
    <n v="4.8"/>
    <x v="1"/>
    <x v="1"/>
    <x v="0"/>
    <x v="0"/>
    <n v="37"/>
    <x v="1"/>
    <x v="5"/>
    <x v="5"/>
  </r>
  <r>
    <n v="1138"/>
    <x v="5"/>
    <x v="0"/>
    <x v="5"/>
    <x v="0"/>
    <x v="26"/>
    <x v="35"/>
    <s v="XL"/>
    <s v="Pink"/>
    <s v="Winter"/>
    <n v="2.8"/>
    <x v="1"/>
    <x v="4"/>
    <x v="0"/>
    <x v="0"/>
    <n v="16"/>
    <x v="4"/>
    <x v="6"/>
    <x v="3"/>
  </r>
  <r>
    <n v="1139"/>
    <x v="20"/>
    <x v="0"/>
    <x v="13"/>
    <x v="0"/>
    <x v="14"/>
    <x v="44"/>
    <s v="M"/>
    <s v="Purple"/>
    <s v="Summer"/>
    <n v="4.7"/>
    <x v="1"/>
    <x v="0"/>
    <x v="0"/>
    <x v="0"/>
    <n v="32"/>
    <x v="0"/>
    <x v="0"/>
    <x v="0"/>
  </r>
  <r>
    <n v="1140"/>
    <x v="44"/>
    <x v="0"/>
    <x v="7"/>
    <x v="2"/>
    <x v="0"/>
    <x v="15"/>
    <s v="L"/>
    <s v="Purple"/>
    <s v="Spring"/>
    <n v="3.9"/>
    <x v="1"/>
    <x v="3"/>
    <x v="0"/>
    <x v="0"/>
    <n v="42"/>
    <x v="5"/>
    <x v="4"/>
    <x v="4"/>
  </r>
  <r>
    <n v="1141"/>
    <x v="18"/>
    <x v="0"/>
    <x v="2"/>
    <x v="0"/>
    <x v="32"/>
    <x v="33"/>
    <s v="M"/>
    <s v="White"/>
    <s v="Winter"/>
    <n v="2.6"/>
    <x v="1"/>
    <x v="5"/>
    <x v="0"/>
    <x v="0"/>
    <n v="6"/>
    <x v="2"/>
    <x v="6"/>
    <x v="3"/>
  </r>
  <r>
    <n v="1142"/>
    <x v="31"/>
    <x v="0"/>
    <x v="24"/>
    <x v="3"/>
    <x v="27"/>
    <x v="31"/>
    <s v="S"/>
    <s v="Silver"/>
    <s v="Winter"/>
    <n v="4.7"/>
    <x v="1"/>
    <x v="2"/>
    <x v="0"/>
    <x v="0"/>
    <n v="23"/>
    <x v="3"/>
    <x v="0"/>
    <x v="0"/>
  </r>
  <r>
    <n v="1143"/>
    <x v="28"/>
    <x v="0"/>
    <x v="17"/>
    <x v="0"/>
    <x v="31"/>
    <x v="31"/>
    <s v="L"/>
    <s v="Green"/>
    <s v="Spring"/>
    <n v="3.5"/>
    <x v="1"/>
    <x v="5"/>
    <x v="0"/>
    <x v="0"/>
    <n v="27"/>
    <x v="0"/>
    <x v="4"/>
    <x v="4"/>
  </r>
  <r>
    <n v="1144"/>
    <x v="33"/>
    <x v="0"/>
    <x v="23"/>
    <x v="1"/>
    <x v="66"/>
    <x v="22"/>
    <s v="L"/>
    <s v="Teal"/>
    <s v="Winter"/>
    <n v="4.4000000000000004"/>
    <x v="1"/>
    <x v="3"/>
    <x v="0"/>
    <x v="0"/>
    <n v="43"/>
    <x v="3"/>
    <x v="3"/>
    <x v="3"/>
  </r>
  <r>
    <n v="1145"/>
    <x v="38"/>
    <x v="0"/>
    <x v="2"/>
    <x v="0"/>
    <x v="36"/>
    <x v="36"/>
    <s v="S"/>
    <s v="Indigo"/>
    <s v="Fall"/>
    <n v="4.4000000000000004"/>
    <x v="1"/>
    <x v="4"/>
    <x v="0"/>
    <x v="0"/>
    <n v="25"/>
    <x v="4"/>
    <x v="0"/>
    <x v="0"/>
  </r>
  <r>
    <n v="1146"/>
    <x v="18"/>
    <x v="0"/>
    <x v="4"/>
    <x v="1"/>
    <x v="58"/>
    <x v="22"/>
    <s v="L"/>
    <s v="Pink"/>
    <s v="Summer"/>
    <n v="3"/>
    <x v="1"/>
    <x v="0"/>
    <x v="0"/>
    <x v="0"/>
    <n v="30"/>
    <x v="1"/>
    <x v="6"/>
    <x v="3"/>
  </r>
  <r>
    <n v="1147"/>
    <x v="39"/>
    <x v="0"/>
    <x v="4"/>
    <x v="1"/>
    <x v="15"/>
    <x v="48"/>
    <s v="M"/>
    <s v="Indigo"/>
    <s v="Summer"/>
    <n v="4.2"/>
    <x v="1"/>
    <x v="3"/>
    <x v="0"/>
    <x v="0"/>
    <n v="7"/>
    <x v="4"/>
    <x v="6"/>
    <x v="3"/>
  </r>
  <r>
    <n v="1148"/>
    <x v="35"/>
    <x v="0"/>
    <x v="19"/>
    <x v="3"/>
    <x v="14"/>
    <x v="30"/>
    <s v="XL"/>
    <s v="Red"/>
    <s v="Winter"/>
    <n v="4.3"/>
    <x v="1"/>
    <x v="2"/>
    <x v="0"/>
    <x v="0"/>
    <n v="17"/>
    <x v="5"/>
    <x v="2"/>
    <x v="2"/>
  </r>
  <r>
    <n v="1149"/>
    <x v="50"/>
    <x v="0"/>
    <x v="13"/>
    <x v="0"/>
    <x v="76"/>
    <x v="20"/>
    <s v="M"/>
    <s v="Violet"/>
    <s v="Spring"/>
    <n v="2.6"/>
    <x v="1"/>
    <x v="5"/>
    <x v="0"/>
    <x v="0"/>
    <n v="10"/>
    <x v="3"/>
    <x v="0"/>
    <x v="0"/>
  </r>
  <r>
    <n v="1150"/>
    <x v="3"/>
    <x v="0"/>
    <x v="16"/>
    <x v="3"/>
    <x v="69"/>
    <x v="42"/>
    <s v="L"/>
    <s v="Cyan"/>
    <s v="Spring"/>
    <n v="3.3"/>
    <x v="1"/>
    <x v="5"/>
    <x v="0"/>
    <x v="0"/>
    <n v="40"/>
    <x v="0"/>
    <x v="2"/>
    <x v="2"/>
  </r>
  <r>
    <n v="1151"/>
    <x v="26"/>
    <x v="0"/>
    <x v="16"/>
    <x v="3"/>
    <x v="14"/>
    <x v="0"/>
    <s v="S"/>
    <s v="Red"/>
    <s v="Winter"/>
    <n v="2.7"/>
    <x v="1"/>
    <x v="2"/>
    <x v="0"/>
    <x v="0"/>
    <n v="50"/>
    <x v="0"/>
    <x v="4"/>
    <x v="4"/>
  </r>
  <r>
    <n v="1152"/>
    <x v="38"/>
    <x v="0"/>
    <x v="0"/>
    <x v="0"/>
    <x v="62"/>
    <x v="31"/>
    <s v="M"/>
    <s v="Gray"/>
    <s v="Spring"/>
    <n v="4.2"/>
    <x v="1"/>
    <x v="0"/>
    <x v="0"/>
    <x v="0"/>
    <n v="24"/>
    <x v="2"/>
    <x v="1"/>
    <x v="1"/>
  </r>
  <r>
    <n v="1153"/>
    <x v="46"/>
    <x v="0"/>
    <x v="8"/>
    <x v="3"/>
    <x v="4"/>
    <x v="39"/>
    <s v="M"/>
    <s v="Gold"/>
    <s v="Fall"/>
    <n v="4"/>
    <x v="1"/>
    <x v="3"/>
    <x v="0"/>
    <x v="0"/>
    <n v="8"/>
    <x v="3"/>
    <x v="6"/>
    <x v="3"/>
  </r>
  <r>
    <n v="1154"/>
    <x v="7"/>
    <x v="0"/>
    <x v="5"/>
    <x v="0"/>
    <x v="52"/>
    <x v="37"/>
    <s v="M"/>
    <s v="Pink"/>
    <s v="Summer"/>
    <n v="4"/>
    <x v="1"/>
    <x v="1"/>
    <x v="0"/>
    <x v="0"/>
    <n v="6"/>
    <x v="4"/>
    <x v="3"/>
    <x v="3"/>
  </r>
  <r>
    <n v="1155"/>
    <x v="34"/>
    <x v="0"/>
    <x v="10"/>
    <x v="0"/>
    <x v="71"/>
    <x v="42"/>
    <s v="L"/>
    <s v="Cyan"/>
    <s v="Spring"/>
    <n v="2.9"/>
    <x v="1"/>
    <x v="4"/>
    <x v="0"/>
    <x v="0"/>
    <n v="44"/>
    <x v="2"/>
    <x v="4"/>
    <x v="4"/>
  </r>
  <r>
    <n v="1156"/>
    <x v="29"/>
    <x v="0"/>
    <x v="17"/>
    <x v="0"/>
    <x v="0"/>
    <x v="30"/>
    <s v="S"/>
    <s v="Red"/>
    <s v="Fall"/>
    <n v="2.6"/>
    <x v="1"/>
    <x v="0"/>
    <x v="0"/>
    <x v="0"/>
    <n v="47"/>
    <x v="3"/>
    <x v="3"/>
    <x v="3"/>
  </r>
  <r>
    <n v="1157"/>
    <x v="30"/>
    <x v="0"/>
    <x v="9"/>
    <x v="1"/>
    <x v="34"/>
    <x v="11"/>
    <s v="M"/>
    <s v="Gold"/>
    <s v="Summer"/>
    <n v="4.8"/>
    <x v="1"/>
    <x v="0"/>
    <x v="0"/>
    <x v="0"/>
    <n v="6"/>
    <x v="0"/>
    <x v="6"/>
    <x v="3"/>
  </r>
  <r>
    <n v="1158"/>
    <x v="43"/>
    <x v="0"/>
    <x v="22"/>
    <x v="3"/>
    <x v="76"/>
    <x v="33"/>
    <s v="M"/>
    <s v="Charcoal"/>
    <s v="Fall"/>
    <n v="4.4000000000000004"/>
    <x v="1"/>
    <x v="3"/>
    <x v="0"/>
    <x v="0"/>
    <n v="11"/>
    <x v="1"/>
    <x v="3"/>
    <x v="3"/>
  </r>
  <r>
    <n v="1159"/>
    <x v="28"/>
    <x v="0"/>
    <x v="22"/>
    <x v="3"/>
    <x v="58"/>
    <x v="22"/>
    <s v="L"/>
    <s v="Orange"/>
    <s v="Summer"/>
    <n v="4"/>
    <x v="1"/>
    <x v="4"/>
    <x v="0"/>
    <x v="0"/>
    <n v="41"/>
    <x v="4"/>
    <x v="2"/>
    <x v="2"/>
  </r>
  <r>
    <n v="1160"/>
    <x v="17"/>
    <x v="0"/>
    <x v="8"/>
    <x v="3"/>
    <x v="37"/>
    <x v="13"/>
    <s v="L"/>
    <s v="Blue"/>
    <s v="Fall"/>
    <n v="3.6"/>
    <x v="1"/>
    <x v="4"/>
    <x v="0"/>
    <x v="0"/>
    <n v="46"/>
    <x v="0"/>
    <x v="6"/>
    <x v="3"/>
  </r>
  <r>
    <n v="1161"/>
    <x v="43"/>
    <x v="0"/>
    <x v="18"/>
    <x v="3"/>
    <x v="69"/>
    <x v="25"/>
    <s v="S"/>
    <s v="Blue"/>
    <s v="Summer"/>
    <n v="3.2"/>
    <x v="1"/>
    <x v="2"/>
    <x v="0"/>
    <x v="0"/>
    <n v="9"/>
    <x v="0"/>
    <x v="4"/>
    <x v="4"/>
  </r>
  <r>
    <n v="1162"/>
    <x v="6"/>
    <x v="0"/>
    <x v="6"/>
    <x v="0"/>
    <x v="78"/>
    <x v="19"/>
    <s v="S"/>
    <s v="Orange"/>
    <s v="Fall"/>
    <n v="3.1"/>
    <x v="1"/>
    <x v="4"/>
    <x v="0"/>
    <x v="0"/>
    <n v="37"/>
    <x v="3"/>
    <x v="5"/>
    <x v="5"/>
  </r>
  <r>
    <n v="1163"/>
    <x v="36"/>
    <x v="0"/>
    <x v="3"/>
    <x v="1"/>
    <x v="56"/>
    <x v="17"/>
    <s v="M"/>
    <s v="Blue"/>
    <s v="Winter"/>
    <n v="4.2"/>
    <x v="1"/>
    <x v="0"/>
    <x v="0"/>
    <x v="0"/>
    <n v="13"/>
    <x v="3"/>
    <x v="1"/>
    <x v="1"/>
  </r>
  <r>
    <n v="1164"/>
    <x v="8"/>
    <x v="0"/>
    <x v="13"/>
    <x v="0"/>
    <x v="22"/>
    <x v="30"/>
    <s v="L"/>
    <s v="White"/>
    <s v="Summer"/>
    <n v="3"/>
    <x v="1"/>
    <x v="4"/>
    <x v="0"/>
    <x v="0"/>
    <n v="24"/>
    <x v="5"/>
    <x v="5"/>
    <x v="5"/>
  </r>
  <r>
    <n v="1165"/>
    <x v="33"/>
    <x v="0"/>
    <x v="10"/>
    <x v="0"/>
    <x v="48"/>
    <x v="6"/>
    <s v="M"/>
    <s v="Green"/>
    <s v="Winter"/>
    <n v="4.2"/>
    <x v="1"/>
    <x v="3"/>
    <x v="0"/>
    <x v="0"/>
    <n v="47"/>
    <x v="3"/>
    <x v="3"/>
    <x v="3"/>
  </r>
  <r>
    <n v="1166"/>
    <x v="47"/>
    <x v="0"/>
    <x v="17"/>
    <x v="0"/>
    <x v="1"/>
    <x v="48"/>
    <s v="M"/>
    <s v="Silver"/>
    <s v="Winter"/>
    <n v="2.9"/>
    <x v="1"/>
    <x v="2"/>
    <x v="0"/>
    <x v="0"/>
    <n v="21"/>
    <x v="0"/>
    <x v="6"/>
    <x v="3"/>
  </r>
  <r>
    <n v="1167"/>
    <x v="39"/>
    <x v="0"/>
    <x v="10"/>
    <x v="0"/>
    <x v="16"/>
    <x v="39"/>
    <s v="S"/>
    <s v="Lavender"/>
    <s v="Winter"/>
    <n v="3.7"/>
    <x v="1"/>
    <x v="5"/>
    <x v="0"/>
    <x v="0"/>
    <n v="22"/>
    <x v="0"/>
    <x v="0"/>
    <x v="0"/>
  </r>
  <r>
    <n v="1168"/>
    <x v="52"/>
    <x v="0"/>
    <x v="20"/>
    <x v="0"/>
    <x v="42"/>
    <x v="32"/>
    <s v="XL"/>
    <s v="Beige"/>
    <s v="Summer"/>
    <n v="3.6"/>
    <x v="1"/>
    <x v="1"/>
    <x v="0"/>
    <x v="0"/>
    <n v="16"/>
    <x v="3"/>
    <x v="3"/>
    <x v="3"/>
  </r>
  <r>
    <n v="1169"/>
    <x v="33"/>
    <x v="0"/>
    <x v="18"/>
    <x v="3"/>
    <x v="26"/>
    <x v="16"/>
    <s v="L"/>
    <s v="Violet"/>
    <s v="Summer"/>
    <n v="3.6"/>
    <x v="1"/>
    <x v="3"/>
    <x v="0"/>
    <x v="0"/>
    <n v="37"/>
    <x v="5"/>
    <x v="0"/>
    <x v="0"/>
  </r>
  <r>
    <n v="1170"/>
    <x v="15"/>
    <x v="0"/>
    <x v="21"/>
    <x v="3"/>
    <x v="23"/>
    <x v="5"/>
    <s v="S"/>
    <s v="Gray"/>
    <s v="Fall"/>
    <n v="4.5"/>
    <x v="1"/>
    <x v="4"/>
    <x v="0"/>
    <x v="0"/>
    <n v="3"/>
    <x v="1"/>
    <x v="2"/>
    <x v="2"/>
  </r>
  <r>
    <n v="1171"/>
    <x v="9"/>
    <x v="0"/>
    <x v="11"/>
    <x v="0"/>
    <x v="17"/>
    <x v="26"/>
    <s v="S"/>
    <s v="Red"/>
    <s v="Spring"/>
    <n v="3.2"/>
    <x v="1"/>
    <x v="0"/>
    <x v="0"/>
    <x v="0"/>
    <n v="33"/>
    <x v="1"/>
    <x v="4"/>
    <x v="4"/>
  </r>
  <r>
    <n v="1172"/>
    <x v="38"/>
    <x v="0"/>
    <x v="20"/>
    <x v="0"/>
    <x v="37"/>
    <x v="7"/>
    <s v="M"/>
    <s v="Lavender"/>
    <s v="Spring"/>
    <n v="3.9"/>
    <x v="1"/>
    <x v="2"/>
    <x v="0"/>
    <x v="0"/>
    <n v="15"/>
    <x v="5"/>
    <x v="2"/>
    <x v="2"/>
  </r>
  <r>
    <n v="1173"/>
    <x v="35"/>
    <x v="0"/>
    <x v="7"/>
    <x v="2"/>
    <x v="10"/>
    <x v="4"/>
    <s v="L"/>
    <s v="Peach"/>
    <s v="Spring"/>
    <n v="4.5999999999999996"/>
    <x v="1"/>
    <x v="5"/>
    <x v="0"/>
    <x v="0"/>
    <n v="42"/>
    <x v="4"/>
    <x v="4"/>
    <x v="4"/>
  </r>
  <r>
    <n v="1174"/>
    <x v="42"/>
    <x v="0"/>
    <x v="16"/>
    <x v="3"/>
    <x v="31"/>
    <x v="45"/>
    <s v="M"/>
    <s v="Indigo"/>
    <s v="Winter"/>
    <n v="2.5"/>
    <x v="1"/>
    <x v="0"/>
    <x v="0"/>
    <x v="0"/>
    <n v="42"/>
    <x v="1"/>
    <x v="4"/>
    <x v="4"/>
  </r>
  <r>
    <n v="1175"/>
    <x v="32"/>
    <x v="0"/>
    <x v="21"/>
    <x v="3"/>
    <x v="9"/>
    <x v="49"/>
    <s v="M"/>
    <s v="Black"/>
    <s v="Winter"/>
    <n v="4.3"/>
    <x v="1"/>
    <x v="0"/>
    <x v="0"/>
    <x v="0"/>
    <n v="19"/>
    <x v="4"/>
    <x v="4"/>
    <x v="4"/>
  </r>
  <r>
    <n v="1176"/>
    <x v="25"/>
    <x v="0"/>
    <x v="22"/>
    <x v="3"/>
    <x v="13"/>
    <x v="32"/>
    <s v="M"/>
    <s v="Beige"/>
    <s v="Spring"/>
    <n v="4.0999999999999996"/>
    <x v="1"/>
    <x v="5"/>
    <x v="0"/>
    <x v="0"/>
    <n v="26"/>
    <x v="3"/>
    <x v="3"/>
    <x v="3"/>
  </r>
  <r>
    <n v="1177"/>
    <x v="24"/>
    <x v="0"/>
    <x v="10"/>
    <x v="0"/>
    <x v="42"/>
    <x v="4"/>
    <s v="M"/>
    <s v="Red"/>
    <s v="Winter"/>
    <n v="4.5999999999999996"/>
    <x v="1"/>
    <x v="1"/>
    <x v="0"/>
    <x v="0"/>
    <n v="39"/>
    <x v="3"/>
    <x v="3"/>
    <x v="3"/>
  </r>
  <r>
    <n v="1178"/>
    <x v="22"/>
    <x v="0"/>
    <x v="11"/>
    <x v="0"/>
    <x v="34"/>
    <x v="44"/>
    <s v="M"/>
    <s v="Black"/>
    <s v="Spring"/>
    <n v="4.8"/>
    <x v="1"/>
    <x v="3"/>
    <x v="0"/>
    <x v="0"/>
    <n v="24"/>
    <x v="5"/>
    <x v="5"/>
    <x v="5"/>
  </r>
  <r>
    <n v="1179"/>
    <x v="43"/>
    <x v="0"/>
    <x v="10"/>
    <x v="0"/>
    <x v="20"/>
    <x v="36"/>
    <s v="M"/>
    <s v="Teal"/>
    <s v="Spring"/>
    <n v="4.9000000000000004"/>
    <x v="1"/>
    <x v="0"/>
    <x v="0"/>
    <x v="0"/>
    <n v="23"/>
    <x v="5"/>
    <x v="2"/>
    <x v="2"/>
  </r>
  <r>
    <n v="1180"/>
    <x v="30"/>
    <x v="0"/>
    <x v="17"/>
    <x v="0"/>
    <x v="27"/>
    <x v="27"/>
    <s v="M"/>
    <s v="Blue"/>
    <s v="Summer"/>
    <n v="2.8"/>
    <x v="1"/>
    <x v="1"/>
    <x v="0"/>
    <x v="0"/>
    <n v="44"/>
    <x v="4"/>
    <x v="2"/>
    <x v="2"/>
  </r>
  <r>
    <n v="1181"/>
    <x v="51"/>
    <x v="0"/>
    <x v="11"/>
    <x v="0"/>
    <x v="66"/>
    <x v="4"/>
    <s v="S"/>
    <s v="Beige"/>
    <s v="Spring"/>
    <n v="4.9000000000000004"/>
    <x v="1"/>
    <x v="3"/>
    <x v="0"/>
    <x v="0"/>
    <n v="34"/>
    <x v="1"/>
    <x v="5"/>
    <x v="5"/>
  </r>
  <r>
    <n v="1182"/>
    <x v="12"/>
    <x v="0"/>
    <x v="6"/>
    <x v="0"/>
    <x v="48"/>
    <x v="14"/>
    <s v="L"/>
    <s v="Teal"/>
    <s v="Summer"/>
    <n v="3.5"/>
    <x v="1"/>
    <x v="1"/>
    <x v="0"/>
    <x v="0"/>
    <n v="43"/>
    <x v="4"/>
    <x v="3"/>
    <x v="3"/>
  </r>
  <r>
    <n v="1183"/>
    <x v="43"/>
    <x v="0"/>
    <x v="16"/>
    <x v="3"/>
    <x v="34"/>
    <x v="35"/>
    <s v="M"/>
    <s v="Maroon"/>
    <s v="Spring"/>
    <n v="3.8"/>
    <x v="1"/>
    <x v="0"/>
    <x v="0"/>
    <x v="0"/>
    <n v="45"/>
    <x v="3"/>
    <x v="3"/>
    <x v="3"/>
  </r>
  <r>
    <n v="1184"/>
    <x v="51"/>
    <x v="0"/>
    <x v="13"/>
    <x v="0"/>
    <x v="32"/>
    <x v="7"/>
    <s v="M"/>
    <s v="Yellow"/>
    <s v="Spring"/>
    <n v="4.5"/>
    <x v="1"/>
    <x v="4"/>
    <x v="0"/>
    <x v="0"/>
    <n v="4"/>
    <x v="2"/>
    <x v="1"/>
    <x v="1"/>
  </r>
  <r>
    <n v="1185"/>
    <x v="6"/>
    <x v="0"/>
    <x v="22"/>
    <x v="3"/>
    <x v="2"/>
    <x v="36"/>
    <s v="S"/>
    <s v="Indigo"/>
    <s v="Fall"/>
    <n v="3.4"/>
    <x v="1"/>
    <x v="0"/>
    <x v="0"/>
    <x v="0"/>
    <n v="19"/>
    <x v="2"/>
    <x v="2"/>
    <x v="2"/>
  </r>
  <r>
    <n v="1186"/>
    <x v="36"/>
    <x v="0"/>
    <x v="2"/>
    <x v="0"/>
    <x v="1"/>
    <x v="1"/>
    <s v="M"/>
    <s v="Magenta"/>
    <s v="Spring"/>
    <n v="3.9"/>
    <x v="1"/>
    <x v="3"/>
    <x v="0"/>
    <x v="0"/>
    <n v="29"/>
    <x v="2"/>
    <x v="5"/>
    <x v="5"/>
  </r>
  <r>
    <n v="1187"/>
    <x v="6"/>
    <x v="0"/>
    <x v="2"/>
    <x v="0"/>
    <x v="10"/>
    <x v="27"/>
    <s v="M"/>
    <s v="Beige"/>
    <s v="Summer"/>
    <n v="4.0999999999999996"/>
    <x v="1"/>
    <x v="4"/>
    <x v="0"/>
    <x v="0"/>
    <n v="27"/>
    <x v="2"/>
    <x v="2"/>
    <x v="2"/>
  </r>
  <r>
    <n v="1188"/>
    <x v="19"/>
    <x v="0"/>
    <x v="19"/>
    <x v="3"/>
    <x v="58"/>
    <x v="44"/>
    <s v="L"/>
    <s v="Maroon"/>
    <s v="Fall"/>
    <n v="3"/>
    <x v="1"/>
    <x v="0"/>
    <x v="0"/>
    <x v="0"/>
    <n v="37"/>
    <x v="2"/>
    <x v="6"/>
    <x v="3"/>
  </r>
  <r>
    <n v="1189"/>
    <x v="33"/>
    <x v="0"/>
    <x v="0"/>
    <x v="0"/>
    <x v="45"/>
    <x v="16"/>
    <s v="M"/>
    <s v="Magenta"/>
    <s v="Summer"/>
    <n v="3.3"/>
    <x v="1"/>
    <x v="2"/>
    <x v="0"/>
    <x v="0"/>
    <n v="11"/>
    <x v="2"/>
    <x v="1"/>
    <x v="1"/>
  </r>
  <r>
    <n v="1190"/>
    <x v="14"/>
    <x v="0"/>
    <x v="5"/>
    <x v="0"/>
    <x v="8"/>
    <x v="10"/>
    <s v="XL"/>
    <s v="Teal"/>
    <s v="Summer"/>
    <n v="4.9000000000000004"/>
    <x v="1"/>
    <x v="1"/>
    <x v="0"/>
    <x v="0"/>
    <n v="28"/>
    <x v="5"/>
    <x v="2"/>
    <x v="2"/>
  </r>
  <r>
    <n v="1191"/>
    <x v="46"/>
    <x v="0"/>
    <x v="5"/>
    <x v="0"/>
    <x v="29"/>
    <x v="36"/>
    <s v="M"/>
    <s v="Orange"/>
    <s v="Winter"/>
    <n v="4.3"/>
    <x v="1"/>
    <x v="2"/>
    <x v="0"/>
    <x v="0"/>
    <n v="31"/>
    <x v="2"/>
    <x v="1"/>
    <x v="1"/>
  </r>
  <r>
    <n v="1192"/>
    <x v="50"/>
    <x v="0"/>
    <x v="17"/>
    <x v="0"/>
    <x v="44"/>
    <x v="27"/>
    <s v="L"/>
    <s v="Charcoal"/>
    <s v="Winter"/>
    <n v="4.0999999999999996"/>
    <x v="1"/>
    <x v="1"/>
    <x v="0"/>
    <x v="0"/>
    <n v="50"/>
    <x v="0"/>
    <x v="3"/>
    <x v="3"/>
  </r>
  <r>
    <n v="1193"/>
    <x v="34"/>
    <x v="0"/>
    <x v="7"/>
    <x v="2"/>
    <x v="22"/>
    <x v="20"/>
    <s v="M"/>
    <s v="Turquoise"/>
    <s v="Summer"/>
    <n v="4"/>
    <x v="1"/>
    <x v="4"/>
    <x v="0"/>
    <x v="0"/>
    <n v="42"/>
    <x v="0"/>
    <x v="3"/>
    <x v="3"/>
  </r>
  <r>
    <n v="1194"/>
    <x v="37"/>
    <x v="0"/>
    <x v="14"/>
    <x v="2"/>
    <x v="37"/>
    <x v="29"/>
    <s v="L"/>
    <s v="Pink"/>
    <s v="Fall"/>
    <n v="5"/>
    <x v="1"/>
    <x v="4"/>
    <x v="0"/>
    <x v="0"/>
    <n v="18"/>
    <x v="2"/>
    <x v="0"/>
    <x v="0"/>
  </r>
  <r>
    <n v="1195"/>
    <x v="2"/>
    <x v="0"/>
    <x v="15"/>
    <x v="0"/>
    <x v="43"/>
    <x v="14"/>
    <s v="S"/>
    <s v="Teal"/>
    <s v="Winter"/>
    <n v="3.1"/>
    <x v="1"/>
    <x v="4"/>
    <x v="0"/>
    <x v="0"/>
    <n v="6"/>
    <x v="2"/>
    <x v="0"/>
    <x v="0"/>
  </r>
  <r>
    <n v="1196"/>
    <x v="15"/>
    <x v="0"/>
    <x v="18"/>
    <x v="3"/>
    <x v="51"/>
    <x v="21"/>
    <s v="M"/>
    <s v="White"/>
    <s v="Winter"/>
    <n v="4"/>
    <x v="1"/>
    <x v="4"/>
    <x v="0"/>
    <x v="0"/>
    <n v="33"/>
    <x v="0"/>
    <x v="5"/>
    <x v="5"/>
  </r>
  <r>
    <n v="1197"/>
    <x v="11"/>
    <x v="0"/>
    <x v="22"/>
    <x v="3"/>
    <x v="19"/>
    <x v="25"/>
    <s v="M"/>
    <s v="Maroon"/>
    <s v="Winter"/>
    <n v="3.2"/>
    <x v="1"/>
    <x v="4"/>
    <x v="0"/>
    <x v="0"/>
    <n v="13"/>
    <x v="4"/>
    <x v="4"/>
    <x v="4"/>
  </r>
  <r>
    <n v="1198"/>
    <x v="22"/>
    <x v="0"/>
    <x v="4"/>
    <x v="1"/>
    <x v="56"/>
    <x v="34"/>
    <s v="L"/>
    <s v="Violet"/>
    <s v="Fall"/>
    <n v="3.9"/>
    <x v="1"/>
    <x v="3"/>
    <x v="0"/>
    <x v="0"/>
    <n v="26"/>
    <x v="3"/>
    <x v="2"/>
    <x v="2"/>
  </r>
  <r>
    <n v="1199"/>
    <x v="37"/>
    <x v="0"/>
    <x v="20"/>
    <x v="0"/>
    <x v="4"/>
    <x v="32"/>
    <s v="M"/>
    <s v="Brown"/>
    <s v="Summer"/>
    <n v="3.9"/>
    <x v="1"/>
    <x v="4"/>
    <x v="0"/>
    <x v="0"/>
    <n v="17"/>
    <x v="1"/>
    <x v="2"/>
    <x v="2"/>
  </r>
  <r>
    <n v="1200"/>
    <x v="34"/>
    <x v="0"/>
    <x v="3"/>
    <x v="1"/>
    <x v="58"/>
    <x v="33"/>
    <s v="M"/>
    <s v="Indigo"/>
    <s v="Fall"/>
    <n v="4.5"/>
    <x v="1"/>
    <x v="1"/>
    <x v="0"/>
    <x v="0"/>
    <n v="3"/>
    <x v="5"/>
    <x v="1"/>
    <x v="1"/>
  </r>
  <r>
    <n v="1201"/>
    <x v="7"/>
    <x v="0"/>
    <x v="7"/>
    <x v="2"/>
    <x v="20"/>
    <x v="39"/>
    <s v="XL"/>
    <s v="Black"/>
    <s v="Winter"/>
    <n v="4.4000000000000004"/>
    <x v="1"/>
    <x v="5"/>
    <x v="0"/>
    <x v="0"/>
    <n v="7"/>
    <x v="3"/>
    <x v="1"/>
    <x v="1"/>
  </r>
  <r>
    <n v="1202"/>
    <x v="7"/>
    <x v="0"/>
    <x v="9"/>
    <x v="1"/>
    <x v="70"/>
    <x v="26"/>
    <s v="XL"/>
    <s v="Black"/>
    <s v="Summer"/>
    <n v="3.1"/>
    <x v="1"/>
    <x v="4"/>
    <x v="0"/>
    <x v="0"/>
    <n v="46"/>
    <x v="0"/>
    <x v="0"/>
    <x v="0"/>
  </r>
  <r>
    <n v="1203"/>
    <x v="39"/>
    <x v="0"/>
    <x v="18"/>
    <x v="3"/>
    <x v="45"/>
    <x v="33"/>
    <s v="S"/>
    <s v="Olive"/>
    <s v="Spring"/>
    <n v="2.9"/>
    <x v="1"/>
    <x v="3"/>
    <x v="0"/>
    <x v="0"/>
    <n v="14"/>
    <x v="0"/>
    <x v="6"/>
    <x v="3"/>
  </r>
  <r>
    <n v="1204"/>
    <x v="37"/>
    <x v="0"/>
    <x v="4"/>
    <x v="1"/>
    <x v="71"/>
    <x v="46"/>
    <s v="M"/>
    <s v="Orange"/>
    <s v="Winter"/>
    <n v="3.7"/>
    <x v="1"/>
    <x v="1"/>
    <x v="0"/>
    <x v="0"/>
    <n v="23"/>
    <x v="4"/>
    <x v="2"/>
    <x v="2"/>
  </r>
  <r>
    <n v="1205"/>
    <x v="29"/>
    <x v="0"/>
    <x v="22"/>
    <x v="3"/>
    <x v="23"/>
    <x v="20"/>
    <s v="M"/>
    <s v="Pink"/>
    <s v="Spring"/>
    <n v="3.2"/>
    <x v="1"/>
    <x v="4"/>
    <x v="0"/>
    <x v="0"/>
    <n v="20"/>
    <x v="2"/>
    <x v="6"/>
    <x v="3"/>
  </r>
  <r>
    <n v="1206"/>
    <x v="16"/>
    <x v="0"/>
    <x v="8"/>
    <x v="3"/>
    <x v="54"/>
    <x v="18"/>
    <s v="M"/>
    <s v="Olive"/>
    <s v="Spring"/>
    <n v="3.5"/>
    <x v="1"/>
    <x v="3"/>
    <x v="0"/>
    <x v="0"/>
    <n v="38"/>
    <x v="4"/>
    <x v="0"/>
    <x v="0"/>
  </r>
  <r>
    <n v="1207"/>
    <x v="40"/>
    <x v="0"/>
    <x v="8"/>
    <x v="3"/>
    <x v="40"/>
    <x v="16"/>
    <s v="S"/>
    <s v="Cyan"/>
    <s v="Fall"/>
    <n v="3"/>
    <x v="1"/>
    <x v="1"/>
    <x v="0"/>
    <x v="0"/>
    <n v="16"/>
    <x v="0"/>
    <x v="6"/>
    <x v="3"/>
  </r>
  <r>
    <n v="1208"/>
    <x v="46"/>
    <x v="0"/>
    <x v="23"/>
    <x v="1"/>
    <x v="3"/>
    <x v="47"/>
    <s v="M"/>
    <s v="White"/>
    <s v="Summer"/>
    <n v="4.0999999999999996"/>
    <x v="1"/>
    <x v="2"/>
    <x v="0"/>
    <x v="0"/>
    <n v="48"/>
    <x v="2"/>
    <x v="6"/>
    <x v="3"/>
  </r>
  <r>
    <n v="1209"/>
    <x v="30"/>
    <x v="0"/>
    <x v="23"/>
    <x v="1"/>
    <x v="33"/>
    <x v="48"/>
    <s v="S"/>
    <s v="Red"/>
    <s v="Winter"/>
    <n v="2.9"/>
    <x v="1"/>
    <x v="4"/>
    <x v="0"/>
    <x v="0"/>
    <n v="8"/>
    <x v="5"/>
    <x v="2"/>
    <x v="2"/>
  </r>
  <r>
    <n v="1210"/>
    <x v="38"/>
    <x v="0"/>
    <x v="13"/>
    <x v="0"/>
    <x v="17"/>
    <x v="38"/>
    <s v="M"/>
    <s v="Blue"/>
    <s v="Winter"/>
    <n v="3.8"/>
    <x v="1"/>
    <x v="2"/>
    <x v="0"/>
    <x v="0"/>
    <n v="16"/>
    <x v="4"/>
    <x v="5"/>
    <x v="5"/>
  </r>
  <r>
    <n v="1211"/>
    <x v="50"/>
    <x v="0"/>
    <x v="12"/>
    <x v="3"/>
    <x v="72"/>
    <x v="9"/>
    <s v="M"/>
    <s v="Olive"/>
    <s v="Fall"/>
    <n v="4.0999999999999996"/>
    <x v="1"/>
    <x v="2"/>
    <x v="0"/>
    <x v="0"/>
    <n v="5"/>
    <x v="1"/>
    <x v="3"/>
    <x v="3"/>
  </r>
  <r>
    <n v="1212"/>
    <x v="51"/>
    <x v="0"/>
    <x v="15"/>
    <x v="0"/>
    <x v="23"/>
    <x v="19"/>
    <s v="M"/>
    <s v="Green"/>
    <s v="Spring"/>
    <n v="4.5999999999999996"/>
    <x v="1"/>
    <x v="5"/>
    <x v="0"/>
    <x v="0"/>
    <n v="14"/>
    <x v="0"/>
    <x v="6"/>
    <x v="3"/>
  </r>
  <r>
    <n v="1213"/>
    <x v="45"/>
    <x v="0"/>
    <x v="9"/>
    <x v="1"/>
    <x v="67"/>
    <x v="38"/>
    <s v="M"/>
    <s v="Yellow"/>
    <s v="Summer"/>
    <n v="2.5"/>
    <x v="1"/>
    <x v="1"/>
    <x v="0"/>
    <x v="0"/>
    <n v="18"/>
    <x v="2"/>
    <x v="1"/>
    <x v="1"/>
  </r>
  <r>
    <n v="1214"/>
    <x v="33"/>
    <x v="0"/>
    <x v="8"/>
    <x v="3"/>
    <x v="78"/>
    <x v="0"/>
    <s v="XL"/>
    <s v="Black"/>
    <s v="Spring"/>
    <n v="3.7"/>
    <x v="1"/>
    <x v="0"/>
    <x v="0"/>
    <x v="0"/>
    <n v="14"/>
    <x v="5"/>
    <x v="6"/>
    <x v="3"/>
  </r>
  <r>
    <n v="1215"/>
    <x v="11"/>
    <x v="0"/>
    <x v="14"/>
    <x v="2"/>
    <x v="13"/>
    <x v="34"/>
    <s v="M"/>
    <s v="Blue"/>
    <s v="Fall"/>
    <n v="3.8"/>
    <x v="1"/>
    <x v="1"/>
    <x v="0"/>
    <x v="0"/>
    <n v="5"/>
    <x v="1"/>
    <x v="6"/>
    <x v="3"/>
  </r>
  <r>
    <n v="1216"/>
    <x v="17"/>
    <x v="0"/>
    <x v="0"/>
    <x v="0"/>
    <x v="5"/>
    <x v="4"/>
    <s v="L"/>
    <s v="Pink"/>
    <s v="Winter"/>
    <n v="2.6"/>
    <x v="1"/>
    <x v="4"/>
    <x v="0"/>
    <x v="0"/>
    <n v="15"/>
    <x v="2"/>
    <x v="6"/>
    <x v="3"/>
  </r>
  <r>
    <n v="1217"/>
    <x v="46"/>
    <x v="0"/>
    <x v="13"/>
    <x v="0"/>
    <x v="50"/>
    <x v="40"/>
    <s v="XL"/>
    <s v="Lavender"/>
    <s v="Summer"/>
    <n v="3.7"/>
    <x v="1"/>
    <x v="1"/>
    <x v="0"/>
    <x v="0"/>
    <n v="3"/>
    <x v="0"/>
    <x v="6"/>
    <x v="3"/>
  </r>
  <r>
    <n v="1218"/>
    <x v="2"/>
    <x v="0"/>
    <x v="23"/>
    <x v="1"/>
    <x v="80"/>
    <x v="43"/>
    <s v="XL"/>
    <s v="Cyan"/>
    <s v="Fall"/>
    <n v="2.6"/>
    <x v="1"/>
    <x v="1"/>
    <x v="0"/>
    <x v="0"/>
    <n v="12"/>
    <x v="1"/>
    <x v="6"/>
    <x v="3"/>
  </r>
  <r>
    <n v="1219"/>
    <x v="0"/>
    <x v="0"/>
    <x v="23"/>
    <x v="1"/>
    <x v="24"/>
    <x v="38"/>
    <s v="M"/>
    <s v="Cyan"/>
    <s v="Spring"/>
    <n v="3.1"/>
    <x v="1"/>
    <x v="5"/>
    <x v="0"/>
    <x v="0"/>
    <n v="43"/>
    <x v="1"/>
    <x v="6"/>
    <x v="3"/>
  </r>
  <r>
    <n v="1220"/>
    <x v="1"/>
    <x v="0"/>
    <x v="1"/>
    <x v="0"/>
    <x v="66"/>
    <x v="34"/>
    <s v="M"/>
    <s v="Gold"/>
    <s v="Winter"/>
    <n v="2.5"/>
    <x v="1"/>
    <x v="2"/>
    <x v="0"/>
    <x v="0"/>
    <n v="35"/>
    <x v="2"/>
    <x v="4"/>
    <x v="4"/>
  </r>
  <r>
    <n v="1221"/>
    <x v="29"/>
    <x v="0"/>
    <x v="24"/>
    <x v="3"/>
    <x v="1"/>
    <x v="0"/>
    <s v="M"/>
    <s v="Green"/>
    <s v="Winter"/>
    <n v="4.9000000000000004"/>
    <x v="1"/>
    <x v="0"/>
    <x v="0"/>
    <x v="0"/>
    <n v="36"/>
    <x v="4"/>
    <x v="3"/>
    <x v="3"/>
  </r>
  <r>
    <n v="1222"/>
    <x v="20"/>
    <x v="0"/>
    <x v="20"/>
    <x v="0"/>
    <x v="28"/>
    <x v="44"/>
    <s v="M"/>
    <s v="Red"/>
    <s v="Winter"/>
    <n v="4.5"/>
    <x v="1"/>
    <x v="3"/>
    <x v="0"/>
    <x v="0"/>
    <n v="3"/>
    <x v="1"/>
    <x v="3"/>
    <x v="3"/>
  </r>
  <r>
    <n v="1223"/>
    <x v="44"/>
    <x v="0"/>
    <x v="2"/>
    <x v="0"/>
    <x v="28"/>
    <x v="27"/>
    <s v="L"/>
    <s v="Magenta"/>
    <s v="Fall"/>
    <n v="3.4"/>
    <x v="1"/>
    <x v="5"/>
    <x v="0"/>
    <x v="0"/>
    <n v="27"/>
    <x v="4"/>
    <x v="2"/>
    <x v="2"/>
  </r>
  <r>
    <n v="1224"/>
    <x v="28"/>
    <x v="0"/>
    <x v="13"/>
    <x v="0"/>
    <x v="41"/>
    <x v="23"/>
    <s v="L"/>
    <s v="Red"/>
    <s v="Winter"/>
    <n v="3.9"/>
    <x v="1"/>
    <x v="1"/>
    <x v="0"/>
    <x v="0"/>
    <n v="21"/>
    <x v="4"/>
    <x v="1"/>
    <x v="1"/>
  </r>
  <r>
    <n v="1225"/>
    <x v="46"/>
    <x v="0"/>
    <x v="6"/>
    <x v="0"/>
    <x v="74"/>
    <x v="26"/>
    <s v="M"/>
    <s v="Yellow"/>
    <s v="Summer"/>
    <n v="3.7"/>
    <x v="1"/>
    <x v="5"/>
    <x v="0"/>
    <x v="0"/>
    <n v="18"/>
    <x v="0"/>
    <x v="1"/>
    <x v="1"/>
  </r>
  <r>
    <n v="1226"/>
    <x v="48"/>
    <x v="0"/>
    <x v="24"/>
    <x v="3"/>
    <x v="8"/>
    <x v="17"/>
    <s v="S"/>
    <s v="Turquoise"/>
    <s v="Fall"/>
    <n v="2.6"/>
    <x v="1"/>
    <x v="1"/>
    <x v="0"/>
    <x v="0"/>
    <n v="16"/>
    <x v="5"/>
    <x v="1"/>
    <x v="1"/>
  </r>
  <r>
    <n v="1227"/>
    <x v="10"/>
    <x v="0"/>
    <x v="3"/>
    <x v="1"/>
    <x v="26"/>
    <x v="31"/>
    <s v="S"/>
    <s v="Cyan"/>
    <s v="Fall"/>
    <n v="3.4"/>
    <x v="1"/>
    <x v="5"/>
    <x v="0"/>
    <x v="0"/>
    <n v="18"/>
    <x v="0"/>
    <x v="4"/>
    <x v="4"/>
  </r>
  <r>
    <n v="1228"/>
    <x v="7"/>
    <x v="0"/>
    <x v="0"/>
    <x v="0"/>
    <x v="18"/>
    <x v="26"/>
    <s v="L"/>
    <s v="Yellow"/>
    <s v="Spring"/>
    <n v="4.9000000000000004"/>
    <x v="1"/>
    <x v="5"/>
    <x v="0"/>
    <x v="0"/>
    <n v="19"/>
    <x v="4"/>
    <x v="4"/>
    <x v="4"/>
  </r>
  <r>
    <n v="1229"/>
    <x v="0"/>
    <x v="0"/>
    <x v="14"/>
    <x v="2"/>
    <x v="37"/>
    <x v="27"/>
    <s v="S"/>
    <s v="Yellow"/>
    <s v="Winter"/>
    <n v="3.9"/>
    <x v="1"/>
    <x v="0"/>
    <x v="0"/>
    <x v="0"/>
    <n v="1"/>
    <x v="1"/>
    <x v="2"/>
    <x v="2"/>
  </r>
  <r>
    <n v="1230"/>
    <x v="50"/>
    <x v="0"/>
    <x v="16"/>
    <x v="3"/>
    <x v="78"/>
    <x v="23"/>
    <s v="XL"/>
    <s v="Maroon"/>
    <s v="Winter"/>
    <n v="3.6"/>
    <x v="1"/>
    <x v="0"/>
    <x v="0"/>
    <x v="0"/>
    <n v="39"/>
    <x v="4"/>
    <x v="2"/>
    <x v="2"/>
  </r>
  <r>
    <n v="1231"/>
    <x v="15"/>
    <x v="0"/>
    <x v="19"/>
    <x v="3"/>
    <x v="68"/>
    <x v="26"/>
    <s v="L"/>
    <s v="Brown"/>
    <s v="Spring"/>
    <n v="4.5999999999999996"/>
    <x v="1"/>
    <x v="3"/>
    <x v="0"/>
    <x v="0"/>
    <n v="49"/>
    <x v="0"/>
    <x v="5"/>
    <x v="5"/>
  </r>
  <r>
    <n v="1232"/>
    <x v="17"/>
    <x v="0"/>
    <x v="20"/>
    <x v="0"/>
    <x v="24"/>
    <x v="38"/>
    <s v="M"/>
    <s v="Gold"/>
    <s v="Spring"/>
    <n v="4"/>
    <x v="1"/>
    <x v="4"/>
    <x v="0"/>
    <x v="0"/>
    <n v="43"/>
    <x v="2"/>
    <x v="0"/>
    <x v="0"/>
  </r>
  <r>
    <n v="1233"/>
    <x v="9"/>
    <x v="0"/>
    <x v="8"/>
    <x v="3"/>
    <x v="66"/>
    <x v="14"/>
    <s v="M"/>
    <s v="Charcoal"/>
    <s v="Summer"/>
    <n v="3.6"/>
    <x v="1"/>
    <x v="1"/>
    <x v="0"/>
    <x v="0"/>
    <n v="31"/>
    <x v="5"/>
    <x v="6"/>
    <x v="3"/>
  </r>
  <r>
    <n v="1234"/>
    <x v="5"/>
    <x v="0"/>
    <x v="13"/>
    <x v="0"/>
    <x v="2"/>
    <x v="40"/>
    <s v="L"/>
    <s v="Beige"/>
    <s v="Winter"/>
    <n v="3.5"/>
    <x v="1"/>
    <x v="2"/>
    <x v="0"/>
    <x v="0"/>
    <n v="40"/>
    <x v="0"/>
    <x v="6"/>
    <x v="3"/>
  </r>
  <r>
    <n v="1235"/>
    <x v="21"/>
    <x v="0"/>
    <x v="24"/>
    <x v="3"/>
    <x v="54"/>
    <x v="32"/>
    <s v="M"/>
    <s v="Indigo"/>
    <s v="Fall"/>
    <n v="4.0999999999999996"/>
    <x v="1"/>
    <x v="5"/>
    <x v="0"/>
    <x v="0"/>
    <n v="2"/>
    <x v="4"/>
    <x v="4"/>
    <x v="4"/>
  </r>
  <r>
    <n v="1236"/>
    <x v="51"/>
    <x v="0"/>
    <x v="1"/>
    <x v="0"/>
    <x v="20"/>
    <x v="37"/>
    <s v="M"/>
    <s v="Red"/>
    <s v="Spring"/>
    <n v="3"/>
    <x v="1"/>
    <x v="5"/>
    <x v="0"/>
    <x v="0"/>
    <n v="46"/>
    <x v="3"/>
    <x v="6"/>
    <x v="3"/>
  </r>
  <r>
    <n v="1237"/>
    <x v="32"/>
    <x v="0"/>
    <x v="19"/>
    <x v="3"/>
    <x v="10"/>
    <x v="35"/>
    <s v="M"/>
    <s v="White"/>
    <s v="Summer"/>
    <n v="4.4000000000000004"/>
    <x v="1"/>
    <x v="5"/>
    <x v="0"/>
    <x v="0"/>
    <n v="35"/>
    <x v="5"/>
    <x v="6"/>
    <x v="3"/>
  </r>
  <r>
    <n v="1238"/>
    <x v="15"/>
    <x v="0"/>
    <x v="10"/>
    <x v="0"/>
    <x v="56"/>
    <x v="49"/>
    <s v="S"/>
    <s v="Charcoal"/>
    <s v="Spring"/>
    <n v="4.4000000000000004"/>
    <x v="1"/>
    <x v="4"/>
    <x v="0"/>
    <x v="0"/>
    <n v="42"/>
    <x v="2"/>
    <x v="3"/>
    <x v="3"/>
  </r>
  <r>
    <n v="1239"/>
    <x v="0"/>
    <x v="0"/>
    <x v="13"/>
    <x v="0"/>
    <x v="64"/>
    <x v="5"/>
    <s v="M"/>
    <s v="Violet"/>
    <s v="Winter"/>
    <n v="3.7"/>
    <x v="1"/>
    <x v="0"/>
    <x v="0"/>
    <x v="0"/>
    <n v="3"/>
    <x v="0"/>
    <x v="0"/>
    <x v="0"/>
  </r>
  <r>
    <n v="1240"/>
    <x v="46"/>
    <x v="0"/>
    <x v="7"/>
    <x v="2"/>
    <x v="18"/>
    <x v="32"/>
    <s v="XL"/>
    <s v="Magenta"/>
    <s v="Spring"/>
    <n v="4.8"/>
    <x v="1"/>
    <x v="3"/>
    <x v="0"/>
    <x v="0"/>
    <n v="32"/>
    <x v="5"/>
    <x v="6"/>
    <x v="3"/>
  </r>
  <r>
    <n v="1241"/>
    <x v="38"/>
    <x v="0"/>
    <x v="18"/>
    <x v="3"/>
    <x v="24"/>
    <x v="32"/>
    <s v="L"/>
    <s v="White"/>
    <s v="Winter"/>
    <n v="2.9"/>
    <x v="1"/>
    <x v="5"/>
    <x v="0"/>
    <x v="0"/>
    <n v="48"/>
    <x v="5"/>
    <x v="2"/>
    <x v="2"/>
  </r>
  <r>
    <n v="1242"/>
    <x v="44"/>
    <x v="0"/>
    <x v="15"/>
    <x v="0"/>
    <x v="12"/>
    <x v="11"/>
    <s v="XL"/>
    <s v="Pink"/>
    <s v="Winter"/>
    <n v="3.1"/>
    <x v="1"/>
    <x v="0"/>
    <x v="0"/>
    <x v="0"/>
    <n v="34"/>
    <x v="2"/>
    <x v="1"/>
    <x v="1"/>
  </r>
  <r>
    <n v="1243"/>
    <x v="19"/>
    <x v="0"/>
    <x v="20"/>
    <x v="0"/>
    <x v="65"/>
    <x v="22"/>
    <s v="M"/>
    <s v="Lavender"/>
    <s v="Summer"/>
    <n v="4"/>
    <x v="1"/>
    <x v="2"/>
    <x v="0"/>
    <x v="0"/>
    <n v="15"/>
    <x v="4"/>
    <x v="3"/>
    <x v="3"/>
  </r>
  <r>
    <n v="1244"/>
    <x v="15"/>
    <x v="0"/>
    <x v="0"/>
    <x v="0"/>
    <x v="66"/>
    <x v="13"/>
    <s v="S"/>
    <s v="Pink"/>
    <s v="Spring"/>
    <n v="3"/>
    <x v="1"/>
    <x v="5"/>
    <x v="0"/>
    <x v="0"/>
    <n v="22"/>
    <x v="5"/>
    <x v="2"/>
    <x v="2"/>
  </r>
  <r>
    <n v="1245"/>
    <x v="27"/>
    <x v="0"/>
    <x v="20"/>
    <x v="0"/>
    <x v="31"/>
    <x v="27"/>
    <s v="S"/>
    <s v="Silver"/>
    <s v="Summer"/>
    <n v="3.9"/>
    <x v="1"/>
    <x v="4"/>
    <x v="0"/>
    <x v="0"/>
    <n v="2"/>
    <x v="1"/>
    <x v="5"/>
    <x v="5"/>
  </r>
  <r>
    <n v="1246"/>
    <x v="32"/>
    <x v="0"/>
    <x v="10"/>
    <x v="0"/>
    <x v="9"/>
    <x v="14"/>
    <s v="M"/>
    <s v="Violet"/>
    <s v="Fall"/>
    <n v="3.4"/>
    <x v="1"/>
    <x v="3"/>
    <x v="0"/>
    <x v="0"/>
    <n v="30"/>
    <x v="4"/>
    <x v="1"/>
    <x v="1"/>
  </r>
  <r>
    <n v="1247"/>
    <x v="7"/>
    <x v="0"/>
    <x v="15"/>
    <x v="0"/>
    <x v="30"/>
    <x v="7"/>
    <s v="M"/>
    <s v="Charcoal"/>
    <s v="Winter"/>
    <n v="2.7"/>
    <x v="1"/>
    <x v="3"/>
    <x v="0"/>
    <x v="0"/>
    <n v="27"/>
    <x v="1"/>
    <x v="5"/>
    <x v="5"/>
  </r>
  <r>
    <n v="1248"/>
    <x v="13"/>
    <x v="0"/>
    <x v="17"/>
    <x v="0"/>
    <x v="54"/>
    <x v="41"/>
    <s v="M"/>
    <s v="Charcoal"/>
    <s v="Spring"/>
    <n v="3.5"/>
    <x v="1"/>
    <x v="0"/>
    <x v="0"/>
    <x v="0"/>
    <n v="18"/>
    <x v="0"/>
    <x v="4"/>
    <x v="4"/>
  </r>
  <r>
    <n v="1249"/>
    <x v="46"/>
    <x v="0"/>
    <x v="19"/>
    <x v="3"/>
    <x v="18"/>
    <x v="48"/>
    <s v="XL"/>
    <s v="Red"/>
    <s v="Winter"/>
    <n v="3"/>
    <x v="1"/>
    <x v="1"/>
    <x v="0"/>
    <x v="0"/>
    <n v="8"/>
    <x v="2"/>
    <x v="2"/>
    <x v="2"/>
  </r>
  <r>
    <n v="1250"/>
    <x v="46"/>
    <x v="0"/>
    <x v="23"/>
    <x v="1"/>
    <x v="74"/>
    <x v="4"/>
    <s v="M"/>
    <s v="Peach"/>
    <s v="Winter"/>
    <n v="4.5"/>
    <x v="1"/>
    <x v="0"/>
    <x v="0"/>
    <x v="0"/>
    <n v="48"/>
    <x v="0"/>
    <x v="0"/>
    <x v="0"/>
  </r>
  <r>
    <n v="1251"/>
    <x v="16"/>
    <x v="0"/>
    <x v="2"/>
    <x v="0"/>
    <x v="46"/>
    <x v="13"/>
    <s v="XL"/>
    <s v="Purple"/>
    <s v="Winter"/>
    <n v="4.0999999999999996"/>
    <x v="1"/>
    <x v="1"/>
    <x v="0"/>
    <x v="0"/>
    <n v="24"/>
    <x v="1"/>
    <x v="5"/>
    <x v="5"/>
  </r>
  <r>
    <n v="1252"/>
    <x v="19"/>
    <x v="0"/>
    <x v="6"/>
    <x v="0"/>
    <x v="62"/>
    <x v="27"/>
    <s v="XL"/>
    <s v="Orange"/>
    <s v="Spring"/>
    <n v="5"/>
    <x v="1"/>
    <x v="2"/>
    <x v="0"/>
    <x v="0"/>
    <n v="43"/>
    <x v="2"/>
    <x v="5"/>
    <x v="5"/>
  </r>
  <r>
    <n v="1253"/>
    <x v="48"/>
    <x v="0"/>
    <x v="3"/>
    <x v="1"/>
    <x v="52"/>
    <x v="2"/>
    <s v="L"/>
    <s v="Magenta"/>
    <s v="Fall"/>
    <n v="4"/>
    <x v="1"/>
    <x v="3"/>
    <x v="0"/>
    <x v="0"/>
    <n v="8"/>
    <x v="1"/>
    <x v="3"/>
    <x v="3"/>
  </r>
  <r>
    <n v="1254"/>
    <x v="31"/>
    <x v="0"/>
    <x v="3"/>
    <x v="1"/>
    <x v="66"/>
    <x v="6"/>
    <s v="XL"/>
    <s v="Red"/>
    <s v="Winter"/>
    <n v="4.9000000000000004"/>
    <x v="1"/>
    <x v="0"/>
    <x v="0"/>
    <x v="0"/>
    <n v="49"/>
    <x v="3"/>
    <x v="2"/>
    <x v="2"/>
  </r>
  <r>
    <n v="1255"/>
    <x v="22"/>
    <x v="0"/>
    <x v="4"/>
    <x v="1"/>
    <x v="22"/>
    <x v="18"/>
    <s v="XL"/>
    <s v="Black"/>
    <s v="Spring"/>
    <n v="3.3"/>
    <x v="1"/>
    <x v="4"/>
    <x v="0"/>
    <x v="0"/>
    <n v="2"/>
    <x v="2"/>
    <x v="4"/>
    <x v="4"/>
  </r>
  <r>
    <n v="1256"/>
    <x v="11"/>
    <x v="0"/>
    <x v="19"/>
    <x v="3"/>
    <x v="10"/>
    <x v="27"/>
    <s v="M"/>
    <s v="Peach"/>
    <s v="Fall"/>
    <n v="4.0999999999999996"/>
    <x v="1"/>
    <x v="3"/>
    <x v="0"/>
    <x v="0"/>
    <n v="38"/>
    <x v="1"/>
    <x v="0"/>
    <x v="0"/>
  </r>
  <r>
    <n v="1257"/>
    <x v="4"/>
    <x v="0"/>
    <x v="7"/>
    <x v="2"/>
    <x v="16"/>
    <x v="8"/>
    <s v="S"/>
    <s v="Olive"/>
    <s v="Winter"/>
    <n v="3.6"/>
    <x v="1"/>
    <x v="0"/>
    <x v="0"/>
    <x v="0"/>
    <n v="4"/>
    <x v="1"/>
    <x v="0"/>
    <x v="0"/>
  </r>
  <r>
    <n v="1258"/>
    <x v="33"/>
    <x v="0"/>
    <x v="10"/>
    <x v="0"/>
    <x v="25"/>
    <x v="46"/>
    <s v="L"/>
    <s v="Gold"/>
    <s v="Spring"/>
    <n v="3"/>
    <x v="1"/>
    <x v="1"/>
    <x v="0"/>
    <x v="0"/>
    <n v="31"/>
    <x v="1"/>
    <x v="6"/>
    <x v="3"/>
  </r>
  <r>
    <n v="1259"/>
    <x v="36"/>
    <x v="0"/>
    <x v="23"/>
    <x v="1"/>
    <x v="55"/>
    <x v="31"/>
    <s v="XL"/>
    <s v="Gold"/>
    <s v="Spring"/>
    <n v="4.0999999999999996"/>
    <x v="1"/>
    <x v="4"/>
    <x v="0"/>
    <x v="0"/>
    <n v="34"/>
    <x v="5"/>
    <x v="6"/>
    <x v="3"/>
  </r>
  <r>
    <n v="1260"/>
    <x v="33"/>
    <x v="0"/>
    <x v="11"/>
    <x v="0"/>
    <x v="1"/>
    <x v="46"/>
    <s v="M"/>
    <s v="Turquoise"/>
    <s v="Fall"/>
    <n v="3.9"/>
    <x v="1"/>
    <x v="3"/>
    <x v="0"/>
    <x v="0"/>
    <n v="45"/>
    <x v="2"/>
    <x v="5"/>
    <x v="5"/>
  </r>
  <r>
    <n v="1261"/>
    <x v="6"/>
    <x v="0"/>
    <x v="5"/>
    <x v="0"/>
    <x v="73"/>
    <x v="41"/>
    <s v="XL"/>
    <s v="Green"/>
    <s v="Spring"/>
    <n v="4.0999999999999996"/>
    <x v="1"/>
    <x v="5"/>
    <x v="0"/>
    <x v="0"/>
    <n v="30"/>
    <x v="5"/>
    <x v="3"/>
    <x v="3"/>
  </r>
  <r>
    <n v="1262"/>
    <x v="30"/>
    <x v="0"/>
    <x v="5"/>
    <x v="0"/>
    <x v="45"/>
    <x v="39"/>
    <s v="L"/>
    <s v="Maroon"/>
    <s v="Summer"/>
    <n v="2.8"/>
    <x v="1"/>
    <x v="2"/>
    <x v="0"/>
    <x v="0"/>
    <n v="2"/>
    <x v="2"/>
    <x v="0"/>
    <x v="0"/>
  </r>
  <r>
    <n v="1263"/>
    <x v="26"/>
    <x v="0"/>
    <x v="23"/>
    <x v="1"/>
    <x v="17"/>
    <x v="30"/>
    <s v="L"/>
    <s v="Brown"/>
    <s v="Winter"/>
    <n v="4.8"/>
    <x v="1"/>
    <x v="5"/>
    <x v="0"/>
    <x v="0"/>
    <n v="44"/>
    <x v="0"/>
    <x v="5"/>
    <x v="5"/>
  </r>
  <r>
    <n v="1264"/>
    <x v="38"/>
    <x v="0"/>
    <x v="15"/>
    <x v="0"/>
    <x v="44"/>
    <x v="12"/>
    <s v="L"/>
    <s v="Brown"/>
    <s v="Winter"/>
    <n v="4.5999999999999996"/>
    <x v="1"/>
    <x v="4"/>
    <x v="0"/>
    <x v="0"/>
    <n v="1"/>
    <x v="2"/>
    <x v="4"/>
    <x v="4"/>
  </r>
  <r>
    <n v="1265"/>
    <x v="16"/>
    <x v="0"/>
    <x v="1"/>
    <x v="0"/>
    <x v="56"/>
    <x v="34"/>
    <s v="S"/>
    <s v="Blue"/>
    <s v="Winter"/>
    <n v="2.5"/>
    <x v="1"/>
    <x v="2"/>
    <x v="0"/>
    <x v="0"/>
    <n v="1"/>
    <x v="0"/>
    <x v="4"/>
    <x v="4"/>
  </r>
  <r>
    <n v="1266"/>
    <x v="45"/>
    <x v="0"/>
    <x v="5"/>
    <x v="0"/>
    <x v="24"/>
    <x v="7"/>
    <s v="M"/>
    <s v="Lavender"/>
    <s v="Spring"/>
    <n v="2.7"/>
    <x v="1"/>
    <x v="2"/>
    <x v="0"/>
    <x v="0"/>
    <n v="27"/>
    <x v="4"/>
    <x v="1"/>
    <x v="1"/>
  </r>
  <r>
    <n v="1267"/>
    <x v="30"/>
    <x v="0"/>
    <x v="0"/>
    <x v="0"/>
    <x v="9"/>
    <x v="25"/>
    <s v="M"/>
    <s v="Peach"/>
    <s v="Fall"/>
    <n v="4"/>
    <x v="1"/>
    <x v="3"/>
    <x v="0"/>
    <x v="0"/>
    <n v="14"/>
    <x v="5"/>
    <x v="6"/>
    <x v="3"/>
  </r>
  <r>
    <n v="1268"/>
    <x v="36"/>
    <x v="0"/>
    <x v="17"/>
    <x v="0"/>
    <x v="42"/>
    <x v="4"/>
    <s v="S"/>
    <s v="Gray"/>
    <s v="Spring"/>
    <n v="2.7"/>
    <x v="1"/>
    <x v="3"/>
    <x v="0"/>
    <x v="0"/>
    <n v="41"/>
    <x v="1"/>
    <x v="1"/>
    <x v="1"/>
  </r>
  <r>
    <n v="1269"/>
    <x v="51"/>
    <x v="0"/>
    <x v="14"/>
    <x v="2"/>
    <x v="19"/>
    <x v="37"/>
    <s v="XL"/>
    <s v="Charcoal"/>
    <s v="Winter"/>
    <n v="2.9"/>
    <x v="1"/>
    <x v="2"/>
    <x v="0"/>
    <x v="0"/>
    <n v="25"/>
    <x v="5"/>
    <x v="4"/>
    <x v="4"/>
  </r>
  <r>
    <n v="1270"/>
    <x v="49"/>
    <x v="0"/>
    <x v="16"/>
    <x v="3"/>
    <x v="0"/>
    <x v="34"/>
    <s v="M"/>
    <s v="Lavender"/>
    <s v="Spring"/>
    <n v="3"/>
    <x v="1"/>
    <x v="3"/>
    <x v="0"/>
    <x v="0"/>
    <n v="47"/>
    <x v="3"/>
    <x v="3"/>
    <x v="3"/>
  </r>
  <r>
    <n v="1271"/>
    <x v="29"/>
    <x v="0"/>
    <x v="15"/>
    <x v="0"/>
    <x v="57"/>
    <x v="8"/>
    <s v="M"/>
    <s v="Green"/>
    <s v="Fall"/>
    <n v="3.3"/>
    <x v="1"/>
    <x v="3"/>
    <x v="0"/>
    <x v="0"/>
    <n v="20"/>
    <x v="1"/>
    <x v="2"/>
    <x v="2"/>
  </r>
  <r>
    <n v="1272"/>
    <x v="27"/>
    <x v="0"/>
    <x v="16"/>
    <x v="3"/>
    <x v="75"/>
    <x v="0"/>
    <s v="S"/>
    <s v="Gray"/>
    <s v="Spring"/>
    <n v="4.3"/>
    <x v="1"/>
    <x v="5"/>
    <x v="0"/>
    <x v="0"/>
    <n v="42"/>
    <x v="3"/>
    <x v="2"/>
    <x v="2"/>
  </r>
  <r>
    <n v="1273"/>
    <x v="25"/>
    <x v="0"/>
    <x v="3"/>
    <x v="1"/>
    <x v="68"/>
    <x v="48"/>
    <s v="M"/>
    <s v="Orange"/>
    <s v="Winter"/>
    <n v="4.4000000000000004"/>
    <x v="1"/>
    <x v="0"/>
    <x v="0"/>
    <x v="0"/>
    <n v="16"/>
    <x v="4"/>
    <x v="5"/>
    <x v="5"/>
  </r>
  <r>
    <n v="1274"/>
    <x v="38"/>
    <x v="0"/>
    <x v="2"/>
    <x v="0"/>
    <x v="45"/>
    <x v="16"/>
    <s v="L"/>
    <s v="Silver"/>
    <s v="Spring"/>
    <n v="4.0999999999999996"/>
    <x v="1"/>
    <x v="2"/>
    <x v="0"/>
    <x v="0"/>
    <n v="32"/>
    <x v="2"/>
    <x v="6"/>
    <x v="3"/>
  </r>
  <r>
    <n v="1275"/>
    <x v="22"/>
    <x v="0"/>
    <x v="19"/>
    <x v="3"/>
    <x v="2"/>
    <x v="9"/>
    <s v="M"/>
    <s v="Olive"/>
    <s v="Spring"/>
    <n v="3.1"/>
    <x v="1"/>
    <x v="4"/>
    <x v="0"/>
    <x v="0"/>
    <n v="37"/>
    <x v="3"/>
    <x v="3"/>
    <x v="3"/>
  </r>
  <r>
    <n v="1276"/>
    <x v="0"/>
    <x v="0"/>
    <x v="1"/>
    <x v="0"/>
    <x v="50"/>
    <x v="10"/>
    <s v="S"/>
    <s v="Turquoise"/>
    <s v="Fall"/>
    <n v="4.5"/>
    <x v="1"/>
    <x v="3"/>
    <x v="0"/>
    <x v="0"/>
    <n v="1"/>
    <x v="3"/>
    <x v="5"/>
    <x v="5"/>
  </r>
  <r>
    <n v="1277"/>
    <x v="47"/>
    <x v="0"/>
    <x v="23"/>
    <x v="1"/>
    <x v="10"/>
    <x v="5"/>
    <s v="L"/>
    <s v="Turquoise"/>
    <s v="Spring"/>
    <n v="4.8"/>
    <x v="1"/>
    <x v="2"/>
    <x v="0"/>
    <x v="0"/>
    <n v="37"/>
    <x v="4"/>
    <x v="1"/>
    <x v="1"/>
  </r>
  <r>
    <n v="1278"/>
    <x v="1"/>
    <x v="0"/>
    <x v="0"/>
    <x v="0"/>
    <x v="8"/>
    <x v="3"/>
    <s v="L"/>
    <s v="Green"/>
    <s v="Spring"/>
    <n v="5"/>
    <x v="1"/>
    <x v="0"/>
    <x v="0"/>
    <x v="0"/>
    <n v="5"/>
    <x v="0"/>
    <x v="3"/>
    <x v="3"/>
  </r>
  <r>
    <n v="1279"/>
    <x v="48"/>
    <x v="0"/>
    <x v="6"/>
    <x v="0"/>
    <x v="57"/>
    <x v="40"/>
    <s v="M"/>
    <s v="Violet"/>
    <s v="Fall"/>
    <n v="2.8"/>
    <x v="1"/>
    <x v="2"/>
    <x v="0"/>
    <x v="0"/>
    <n v="31"/>
    <x v="0"/>
    <x v="0"/>
    <x v="0"/>
  </r>
  <r>
    <n v="1280"/>
    <x v="6"/>
    <x v="0"/>
    <x v="15"/>
    <x v="0"/>
    <x v="22"/>
    <x v="33"/>
    <s v="L"/>
    <s v="Charcoal"/>
    <s v="Fall"/>
    <n v="3.7"/>
    <x v="1"/>
    <x v="0"/>
    <x v="0"/>
    <x v="0"/>
    <n v="18"/>
    <x v="5"/>
    <x v="2"/>
    <x v="2"/>
  </r>
  <r>
    <n v="1281"/>
    <x v="11"/>
    <x v="0"/>
    <x v="13"/>
    <x v="0"/>
    <x v="72"/>
    <x v="42"/>
    <s v="L"/>
    <s v="White"/>
    <s v="Winter"/>
    <n v="4.4000000000000004"/>
    <x v="1"/>
    <x v="4"/>
    <x v="0"/>
    <x v="0"/>
    <n v="39"/>
    <x v="0"/>
    <x v="6"/>
    <x v="3"/>
  </r>
  <r>
    <n v="1282"/>
    <x v="26"/>
    <x v="0"/>
    <x v="22"/>
    <x v="3"/>
    <x v="13"/>
    <x v="32"/>
    <s v="M"/>
    <s v="Olive"/>
    <s v="Spring"/>
    <n v="4.5"/>
    <x v="1"/>
    <x v="5"/>
    <x v="0"/>
    <x v="0"/>
    <n v="8"/>
    <x v="0"/>
    <x v="4"/>
    <x v="4"/>
  </r>
  <r>
    <n v="1283"/>
    <x v="41"/>
    <x v="0"/>
    <x v="5"/>
    <x v="0"/>
    <x v="10"/>
    <x v="13"/>
    <s v="L"/>
    <s v="Violet"/>
    <s v="Winter"/>
    <n v="3"/>
    <x v="1"/>
    <x v="1"/>
    <x v="0"/>
    <x v="0"/>
    <n v="20"/>
    <x v="0"/>
    <x v="5"/>
    <x v="5"/>
  </r>
  <r>
    <n v="1284"/>
    <x v="28"/>
    <x v="0"/>
    <x v="5"/>
    <x v="0"/>
    <x v="23"/>
    <x v="4"/>
    <s v="M"/>
    <s v="Violet"/>
    <s v="Winter"/>
    <n v="3.9"/>
    <x v="1"/>
    <x v="4"/>
    <x v="0"/>
    <x v="0"/>
    <n v="23"/>
    <x v="5"/>
    <x v="6"/>
    <x v="3"/>
  </r>
  <r>
    <n v="1285"/>
    <x v="13"/>
    <x v="0"/>
    <x v="10"/>
    <x v="0"/>
    <x v="73"/>
    <x v="10"/>
    <s v="M"/>
    <s v="Black"/>
    <s v="Spring"/>
    <n v="3.9"/>
    <x v="1"/>
    <x v="0"/>
    <x v="0"/>
    <x v="0"/>
    <n v="38"/>
    <x v="3"/>
    <x v="0"/>
    <x v="0"/>
  </r>
  <r>
    <n v="1286"/>
    <x v="14"/>
    <x v="0"/>
    <x v="24"/>
    <x v="3"/>
    <x v="54"/>
    <x v="17"/>
    <s v="M"/>
    <s v="Charcoal"/>
    <s v="Fall"/>
    <n v="3.5"/>
    <x v="1"/>
    <x v="2"/>
    <x v="0"/>
    <x v="0"/>
    <n v="45"/>
    <x v="4"/>
    <x v="0"/>
    <x v="0"/>
  </r>
  <r>
    <n v="1287"/>
    <x v="37"/>
    <x v="0"/>
    <x v="24"/>
    <x v="3"/>
    <x v="4"/>
    <x v="8"/>
    <s v="L"/>
    <s v="Yellow"/>
    <s v="Winter"/>
    <n v="4.9000000000000004"/>
    <x v="1"/>
    <x v="2"/>
    <x v="0"/>
    <x v="0"/>
    <n v="44"/>
    <x v="5"/>
    <x v="0"/>
    <x v="0"/>
  </r>
  <r>
    <n v="1288"/>
    <x v="41"/>
    <x v="0"/>
    <x v="2"/>
    <x v="0"/>
    <x v="39"/>
    <x v="40"/>
    <s v="XL"/>
    <s v="Blue"/>
    <s v="Winter"/>
    <n v="3.4"/>
    <x v="1"/>
    <x v="3"/>
    <x v="0"/>
    <x v="0"/>
    <n v="20"/>
    <x v="3"/>
    <x v="5"/>
    <x v="5"/>
  </r>
  <r>
    <n v="1289"/>
    <x v="17"/>
    <x v="0"/>
    <x v="22"/>
    <x v="3"/>
    <x v="73"/>
    <x v="45"/>
    <s v="XL"/>
    <s v="Charcoal"/>
    <s v="Winter"/>
    <n v="4.0999999999999996"/>
    <x v="1"/>
    <x v="3"/>
    <x v="0"/>
    <x v="0"/>
    <n v="34"/>
    <x v="3"/>
    <x v="4"/>
    <x v="4"/>
  </r>
  <r>
    <n v="1290"/>
    <x v="25"/>
    <x v="0"/>
    <x v="14"/>
    <x v="2"/>
    <x v="41"/>
    <x v="13"/>
    <s v="M"/>
    <s v="Red"/>
    <s v="Fall"/>
    <n v="2.9"/>
    <x v="1"/>
    <x v="2"/>
    <x v="0"/>
    <x v="0"/>
    <n v="10"/>
    <x v="3"/>
    <x v="1"/>
    <x v="1"/>
  </r>
  <r>
    <n v="1291"/>
    <x v="29"/>
    <x v="0"/>
    <x v="11"/>
    <x v="0"/>
    <x v="59"/>
    <x v="33"/>
    <s v="M"/>
    <s v="Indigo"/>
    <s v="Spring"/>
    <n v="3.4"/>
    <x v="1"/>
    <x v="1"/>
    <x v="0"/>
    <x v="0"/>
    <n v="3"/>
    <x v="3"/>
    <x v="2"/>
    <x v="2"/>
  </r>
  <r>
    <n v="1292"/>
    <x v="28"/>
    <x v="0"/>
    <x v="3"/>
    <x v="1"/>
    <x v="10"/>
    <x v="45"/>
    <s v="S"/>
    <s v="Beige"/>
    <s v="Spring"/>
    <n v="3.2"/>
    <x v="1"/>
    <x v="4"/>
    <x v="0"/>
    <x v="0"/>
    <n v="23"/>
    <x v="5"/>
    <x v="0"/>
    <x v="0"/>
  </r>
  <r>
    <n v="1293"/>
    <x v="8"/>
    <x v="0"/>
    <x v="22"/>
    <x v="3"/>
    <x v="70"/>
    <x v="0"/>
    <s v="M"/>
    <s v="Maroon"/>
    <s v="Summer"/>
    <n v="3.9"/>
    <x v="1"/>
    <x v="1"/>
    <x v="0"/>
    <x v="0"/>
    <n v="42"/>
    <x v="4"/>
    <x v="2"/>
    <x v="2"/>
  </r>
  <r>
    <n v="1294"/>
    <x v="51"/>
    <x v="0"/>
    <x v="1"/>
    <x v="0"/>
    <x v="67"/>
    <x v="20"/>
    <s v="XL"/>
    <s v="Yellow"/>
    <s v="Fall"/>
    <n v="4.0999999999999996"/>
    <x v="1"/>
    <x v="3"/>
    <x v="0"/>
    <x v="0"/>
    <n v="30"/>
    <x v="5"/>
    <x v="2"/>
    <x v="2"/>
  </r>
  <r>
    <n v="1295"/>
    <x v="7"/>
    <x v="0"/>
    <x v="5"/>
    <x v="0"/>
    <x v="1"/>
    <x v="21"/>
    <s v="M"/>
    <s v="Silver"/>
    <s v="Summer"/>
    <n v="4.5"/>
    <x v="1"/>
    <x v="3"/>
    <x v="0"/>
    <x v="0"/>
    <n v="21"/>
    <x v="1"/>
    <x v="6"/>
    <x v="3"/>
  </r>
  <r>
    <n v="1296"/>
    <x v="11"/>
    <x v="0"/>
    <x v="4"/>
    <x v="1"/>
    <x v="30"/>
    <x v="35"/>
    <s v="M"/>
    <s v="Olive"/>
    <s v="Fall"/>
    <n v="2.8"/>
    <x v="1"/>
    <x v="3"/>
    <x v="0"/>
    <x v="0"/>
    <n v="50"/>
    <x v="3"/>
    <x v="1"/>
    <x v="1"/>
  </r>
  <r>
    <n v="1297"/>
    <x v="39"/>
    <x v="0"/>
    <x v="2"/>
    <x v="0"/>
    <x v="45"/>
    <x v="45"/>
    <s v="S"/>
    <s v="Teal"/>
    <s v="Spring"/>
    <n v="2.8"/>
    <x v="1"/>
    <x v="0"/>
    <x v="0"/>
    <x v="0"/>
    <n v="16"/>
    <x v="1"/>
    <x v="4"/>
    <x v="4"/>
  </r>
  <r>
    <n v="1298"/>
    <x v="42"/>
    <x v="0"/>
    <x v="3"/>
    <x v="1"/>
    <x v="6"/>
    <x v="32"/>
    <s v="M"/>
    <s v="Silver"/>
    <s v="Summer"/>
    <n v="4.5999999999999996"/>
    <x v="1"/>
    <x v="3"/>
    <x v="0"/>
    <x v="0"/>
    <n v="32"/>
    <x v="0"/>
    <x v="2"/>
    <x v="2"/>
  </r>
  <r>
    <n v="1299"/>
    <x v="26"/>
    <x v="0"/>
    <x v="13"/>
    <x v="0"/>
    <x v="13"/>
    <x v="27"/>
    <s v="S"/>
    <s v="Indigo"/>
    <s v="Summer"/>
    <n v="3"/>
    <x v="1"/>
    <x v="1"/>
    <x v="0"/>
    <x v="0"/>
    <n v="14"/>
    <x v="4"/>
    <x v="0"/>
    <x v="0"/>
  </r>
  <r>
    <n v="1300"/>
    <x v="26"/>
    <x v="0"/>
    <x v="22"/>
    <x v="3"/>
    <x v="66"/>
    <x v="7"/>
    <s v="L"/>
    <s v="Teal"/>
    <s v="Fall"/>
    <n v="3.6"/>
    <x v="1"/>
    <x v="4"/>
    <x v="0"/>
    <x v="0"/>
    <n v="42"/>
    <x v="0"/>
    <x v="4"/>
    <x v="4"/>
  </r>
  <r>
    <n v="1301"/>
    <x v="29"/>
    <x v="0"/>
    <x v="17"/>
    <x v="0"/>
    <x v="33"/>
    <x v="8"/>
    <s v="M"/>
    <s v="Charcoal"/>
    <s v="Spring"/>
    <n v="4.5"/>
    <x v="1"/>
    <x v="2"/>
    <x v="0"/>
    <x v="0"/>
    <n v="47"/>
    <x v="2"/>
    <x v="6"/>
    <x v="3"/>
  </r>
  <r>
    <n v="1302"/>
    <x v="32"/>
    <x v="0"/>
    <x v="5"/>
    <x v="0"/>
    <x v="36"/>
    <x v="1"/>
    <s v="M"/>
    <s v="Orange"/>
    <s v="Fall"/>
    <n v="5"/>
    <x v="1"/>
    <x v="0"/>
    <x v="0"/>
    <x v="0"/>
    <n v="21"/>
    <x v="5"/>
    <x v="1"/>
    <x v="1"/>
  </r>
  <r>
    <n v="1303"/>
    <x v="51"/>
    <x v="0"/>
    <x v="4"/>
    <x v="1"/>
    <x v="21"/>
    <x v="37"/>
    <s v="M"/>
    <s v="Gold"/>
    <s v="Fall"/>
    <n v="2.9"/>
    <x v="1"/>
    <x v="2"/>
    <x v="0"/>
    <x v="0"/>
    <n v="37"/>
    <x v="2"/>
    <x v="5"/>
    <x v="5"/>
  </r>
  <r>
    <n v="1304"/>
    <x v="50"/>
    <x v="0"/>
    <x v="0"/>
    <x v="0"/>
    <x v="50"/>
    <x v="14"/>
    <s v="L"/>
    <s v="Silver"/>
    <s v="Summer"/>
    <n v="3.1"/>
    <x v="1"/>
    <x v="2"/>
    <x v="0"/>
    <x v="0"/>
    <n v="10"/>
    <x v="2"/>
    <x v="2"/>
    <x v="2"/>
  </r>
  <r>
    <n v="1305"/>
    <x v="14"/>
    <x v="0"/>
    <x v="21"/>
    <x v="3"/>
    <x v="80"/>
    <x v="6"/>
    <s v="S"/>
    <s v="Orange"/>
    <s v="Spring"/>
    <n v="4"/>
    <x v="1"/>
    <x v="4"/>
    <x v="0"/>
    <x v="0"/>
    <n v="18"/>
    <x v="3"/>
    <x v="6"/>
    <x v="3"/>
  </r>
  <r>
    <n v="1306"/>
    <x v="18"/>
    <x v="0"/>
    <x v="13"/>
    <x v="0"/>
    <x v="22"/>
    <x v="16"/>
    <s v="XL"/>
    <s v="Peach"/>
    <s v="Spring"/>
    <n v="4.5"/>
    <x v="1"/>
    <x v="0"/>
    <x v="0"/>
    <x v="0"/>
    <n v="2"/>
    <x v="3"/>
    <x v="6"/>
    <x v="3"/>
  </r>
  <r>
    <n v="1307"/>
    <x v="22"/>
    <x v="0"/>
    <x v="1"/>
    <x v="0"/>
    <x v="27"/>
    <x v="29"/>
    <s v="L"/>
    <s v="Brown"/>
    <s v="Winter"/>
    <n v="4.5"/>
    <x v="1"/>
    <x v="2"/>
    <x v="0"/>
    <x v="0"/>
    <n v="40"/>
    <x v="3"/>
    <x v="2"/>
    <x v="2"/>
  </r>
  <r>
    <n v="1308"/>
    <x v="51"/>
    <x v="0"/>
    <x v="7"/>
    <x v="2"/>
    <x v="50"/>
    <x v="9"/>
    <s v="L"/>
    <s v="Black"/>
    <s v="Summer"/>
    <n v="3.1"/>
    <x v="1"/>
    <x v="0"/>
    <x v="0"/>
    <x v="0"/>
    <n v="43"/>
    <x v="3"/>
    <x v="2"/>
    <x v="2"/>
  </r>
  <r>
    <n v="1309"/>
    <x v="35"/>
    <x v="0"/>
    <x v="10"/>
    <x v="0"/>
    <x v="15"/>
    <x v="3"/>
    <s v="L"/>
    <s v="Red"/>
    <s v="Summer"/>
    <n v="4.4000000000000004"/>
    <x v="1"/>
    <x v="2"/>
    <x v="0"/>
    <x v="0"/>
    <n v="14"/>
    <x v="2"/>
    <x v="6"/>
    <x v="3"/>
  </r>
  <r>
    <n v="1310"/>
    <x v="45"/>
    <x v="0"/>
    <x v="0"/>
    <x v="0"/>
    <x v="34"/>
    <x v="11"/>
    <s v="L"/>
    <s v="Lavender"/>
    <s v="Summer"/>
    <n v="4.7"/>
    <x v="1"/>
    <x v="5"/>
    <x v="0"/>
    <x v="0"/>
    <n v="41"/>
    <x v="1"/>
    <x v="3"/>
    <x v="3"/>
  </r>
  <r>
    <n v="1311"/>
    <x v="49"/>
    <x v="0"/>
    <x v="15"/>
    <x v="0"/>
    <x v="40"/>
    <x v="36"/>
    <s v="L"/>
    <s v="Brown"/>
    <s v="Winter"/>
    <n v="3.1"/>
    <x v="1"/>
    <x v="5"/>
    <x v="0"/>
    <x v="0"/>
    <n v="38"/>
    <x v="2"/>
    <x v="6"/>
    <x v="3"/>
  </r>
  <r>
    <n v="1312"/>
    <x v="45"/>
    <x v="0"/>
    <x v="9"/>
    <x v="1"/>
    <x v="55"/>
    <x v="30"/>
    <s v="M"/>
    <s v="Maroon"/>
    <s v="Fall"/>
    <n v="4.2"/>
    <x v="1"/>
    <x v="0"/>
    <x v="0"/>
    <x v="0"/>
    <n v="12"/>
    <x v="0"/>
    <x v="2"/>
    <x v="2"/>
  </r>
  <r>
    <n v="1313"/>
    <x v="17"/>
    <x v="0"/>
    <x v="17"/>
    <x v="0"/>
    <x v="24"/>
    <x v="9"/>
    <s v="M"/>
    <s v="Violet"/>
    <s v="Winter"/>
    <n v="3"/>
    <x v="1"/>
    <x v="5"/>
    <x v="0"/>
    <x v="0"/>
    <n v="19"/>
    <x v="4"/>
    <x v="5"/>
    <x v="5"/>
  </r>
  <r>
    <n v="1314"/>
    <x v="27"/>
    <x v="0"/>
    <x v="9"/>
    <x v="1"/>
    <x v="39"/>
    <x v="9"/>
    <s v="M"/>
    <s v="Lavender"/>
    <s v="Summer"/>
    <n v="2.6"/>
    <x v="1"/>
    <x v="1"/>
    <x v="0"/>
    <x v="0"/>
    <n v="23"/>
    <x v="2"/>
    <x v="4"/>
    <x v="4"/>
  </r>
  <r>
    <n v="1315"/>
    <x v="32"/>
    <x v="0"/>
    <x v="23"/>
    <x v="1"/>
    <x v="25"/>
    <x v="9"/>
    <s v="S"/>
    <s v="Magenta"/>
    <s v="Summer"/>
    <n v="3.4"/>
    <x v="1"/>
    <x v="1"/>
    <x v="0"/>
    <x v="0"/>
    <n v="49"/>
    <x v="5"/>
    <x v="2"/>
    <x v="2"/>
  </r>
  <r>
    <n v="1316"/>
    <x v="19"/>
    <x v="0"/>
    <x v="6"/>
    <x v="0"/>
    <x v="60"/>
    <x v="16"/>
    <s v="L"/>
    <s v="Green"/>
    <s v="Spring"/>
    <n v="4.2"/>
    <x v="1"/>
    <x v="4"/>
    <x v="0"/>
    <x v="0"/>
    <n v="29"/>
    <x v="5"/>
    <x v="3"/>
    <x v="3"/>
  </r>
  <r>
    <n v="1317"/>
    <x v="48"/>
    <x v="0"/>
    <x v="22"/>
    <x v="3"/>
    <x v="50"/>
    <x v="10"/>
    <s v="S"/>
    <s v="Lavender"/>
    <s v="Spring"/>
    <n v="4.5999999999999996"/>
    <x v="1"/>
    <x v="3"/>
    <x v="0"/>
    <x v="0"/>
    <n v="14"/>
    <x v="5"/>
    <x v="4"/>
    <x v="4"/>
  </r>
  <r>
    <n v="1318"/>
    <x v="48"/>
    <x v="0"/>
    <x v="13"/>
    <x v="0"/>
    <x v="35"/>
    <x v="0"/>
    <s v="M"/>
    <s v="Green"/>
    <s v="Spring"/>
    <n v="2.8"/>
    <x v="1"/>
    <x v="1"/>
    <x v="0"/>
    <x v="0"/>
    <n v="19"/>
    <x v="1"/>
    <x v="5"/>
    <x v="5"/>
  </r>
  <r>
    <n v="1319"/>
    <x v="16"/>
    <x v="0"/>
    <x v="6"/>
    <x v="0"/>
    <x v="73"/>
    <x v="39"/>
    <s v="M"/>
    <s v="Maroon"/>
    <s v="Spring"/>
    <n v="2.7"/>
    <x v="1"/>
    <x v="0"/>
    <x v="0"/>
    <x v="0"/>
    <n v="19"/>
    <x v="2"/>
    <x v="4"/>
    <x v="4"/>
  </r>
  <r>
    <n v="1320"/>
    <x v="13"/>
    <x v="0"/>
    <x v="12"/>
    <x v="3"/>
    <x v="41"/>
    <x v="19"/>
    <s v="M"/>
    <s v="Magenta"/>
    <s v="Spring"/>
    <n v="4"/>
    <x v="1"/>
    <x v="3"/>
    <x v="0"/>
    <x v="0"/>
    <n v="48"/>
    <x v="4"/>
    <x v="1"/>
    <x v="1"/>
  </r>
  <r>
    <n v="1321"/>
    <x v="19"/>
    <x v="0"/>
    <x v="19"/>
    <x v="3"/>
    <x v="9"/>
    <x v="18"/>
    <s v="XL"/>
    <s v="Teal"/>
    <s v="Fall"/>
    <n v="3.1"/>
    <x v="1"/>
    <x v="1"/>
    <x v="0"/>
    <x v="0"/>
    <n v="19"/>
    <x v="5"/>
    <x v="2"/>
    <x v="2"/>
  </r>
  <r>
    <n v="1322"/>
    <x v="35"/>
    <x v="0"/>
    <x v="17"/>
    <x v="0"/>
    <x v="63"/>
    <x v="9"/>
    <s v="L"/>
    <s v="Orange"/>
    <s v="Winter"/>
    <n v="3.7"/>
    <x v="1"/>
    <x v="0"/>
    <x v="0"/>
    <x v="0"/>
    <n v="45"/>
    <x v="4"/>
    <x v="6"/>
    <x v="3"/>
  </r>
  <r>
    <n v="1323"/>
    <x v="51"/>
    <x v="0"/>
    <x v="13"/>
    <x v="0"/>
    <x v="67"/>
    <x v="47"/>
    <s v="M"/>
    <s v="Violet"/>
    <s v="Winter"/>
    <n v="4"/>
    <x v="1"/>
    <x v="2"/>
    <x v="0"/>
    <x v="0"/>
    <n v="17"/>
    <x v="4"/>
    <x v="3"/>
    <x v="3"/>
  </r>
  <r>
    <n v="1324"/>
    <x v="44"/>
    <x v="0"/>
    <x v="6"/>
    <x v="0"/>
    <x v="17"/>
    <x v="14"/>
    <s v="M"/>
    <s v="Yellow"/>
    <s v="Spring"/>
    <n v="4.5999999999999996"/>
    <x v="1"/>
    <x v="3"/>
    <x v="0"/>
    <x v="0"/>
    <n v="15"/>
    <x v="5"/>
    <x v="6"/>
    <x v="3"/>
  </r>
  <r>
    <n v="1325"/>
    <x v="31"/>
    <x v="0"/>
    <x v="16"/>
    <x v="3"/>
    <x v="64"/>
    <x v="27"/>
    <s v="S"/>
    <s v="Orange"/>
    <s v="Summer"/>
    <n v="3.8"/>
    <x v="1"/>
    <x v="1"/>
    <x v="0"/>
    <x v="0"/>
    <n v="11"/>
    <x v="2"/>
    <x v="0"/>
    <x v="0"/>
  </r>
  <r>
    <n v="1326"/>
    <x v="48"/>
    <x v="0"/>
    <x v="21"/>
    <x v="3"/>
    <x v="2"/>
    <x v="4"/>
    <s v="L"/>
    <s v="Gold"/>
    <s v="Summer"/>
    <n v="3.5"/>
    <x v="1"/>
    <x v="0"/>
    <x v="0"/>
    <x v="0"/>
    <n v="1"/>
    <x v="1"/>
    <x v="5"/>
    <x v="5"/>
  </r>
  <r>
    <n v="1327"/>
    <x v="37"/>
    <x v="0"/>
    <x v="9"/>
    <x v="1"/>
    <x v="74"/>
    <x v="21"/>
    <s v="M"/>
    <s v="Indigo"/>
    <s v="Spring"/>
    <n v="4.5999999999999996"/>
    <x v="1"/>
    <x v="1"/>
    <x v="0"/>
    <x v="0"/>
    <n v="17"/>
    <x v="1"/>
    <x v="5"/>
    <x v="5"/>
  </r>
  <r>
    <n v="1328"/>
    <x v="16"/>
    <x v="0"/>
    <x v="7"/>
    <x v="2"/>
    <x v="49"/>
    <x v="20"/>
    <s v="M"/>
    <s v="Turquoise"/>
    <s v="Winter"/>
    <n v="2.8"/>
    <x v="1"/>
    <x v="3"/>
    <x v="0"/>
    <x v="0"/>
    <n v="37"/>
    <x v="1"/>
    <x v="1"/>
    <x v="1"/>
  </r>
  <r>
    <n v="1329"/>
    <x v="43"/>
    <x v="0"/>
    <x v="1"/>
    <x v="0"/>
    <x v="8"/>
    <x v="3"/>
    <s v="M"/>
    <s v="Orange"/>
    <s v="Winter"/>
    <n v="3.7"/>
    <x v="1"/>
    <x v="3"/>
    <x v="0"/>
    <x v="0"/>
    <n v="40"/>
    <x v="4"/>
    <x v="1"/>
    <x v="1"/>
  </r>
  <r>
    <n v="1330"/>
    <x v="27"/>
    <x v="0"/>
    <x v="24"/>
    <x v="3"/>
    <x v="80"/>
    <x v="21"/>
    <s v="M"/>
    <s v="Indigo"/>
    <s v="Fall"/>
    <n v="3.3"/>
    <x v="1"/>
    <x v="0"/>
    <x v="0"/>
    <x v="0"/>
    <n v="50"/>
    <x v="3"/>
    <x v="6"/>
    <x v="3"/>
  </r>
  <r>
    <n v="1331"/>
    <x v="11"/>
    <x v="0"/>
    <x v="8"/>
    <x v="3"/>
    <x v="61"/>
    <x v="34"/>
    <s v="M"/>
    <s v="Charcoal"/>
    <s v="Fall"/>
    <n v="2.9"/>
    <x v="1"/>
    <x v="3"/>
    <x v="0"/>
    <x v="0"/>
    <n v="20"/>
    <x v="3"/>
    <x v="4"/>
    <x v="4"/>
  </r>
  <r>
    <n v="1332"/>
    <x v="21"/>
    <x v="0"/>
    <x v="20"/>
    <x v="0"/>
    <x v="26"/>
    <x v="33"/>
    <s v="M"/>
    <s v="Lavender"/>
    <s v="Spring"/>
    <n v="3.2"/>
    <x v="1"/>
    <x v="3"/>
    <x v="0"/>
    <x v="0"/>
    <n v="8"/>
    <x v="3"/>
    <x v="4"/>
    <x v="4"/>
  </r>
  <r>
    <n v="1333"/>
    <x v="17"/>
    <x v="0"/>
    <x v="15"/>
    <x v="0"/>
    <x v="30"/>
    <x v="29"/>
    <s v="S"/>
    <s v="Gold"/>
    <s v="Spring"/>
    <n v="4.3"/>
    <x v="1"/>
    <x v="5"/>
    <x v="0"/>
    <x v="0"/>
    <n v="16"/>
    <x v="4"/>
    <x v="3"/>
    <x v="3"/>
  </r>
  <r>
    <n v="1334"/>
    <x v="26"/>
    <x v="0"/>
    <x v="13"/>
    <x v="0"/>
    <x v="28"/>
    <x v="37"/>
    <s v="M"/>
    <s v="Lavender"/>
    <s v="Winter"/>
    <n v="2.7"/>
    <x v="1"/>
    <x v="2"/>
    <x v="0"/>
    <x v="0"/>
    <n v="9"/>
    <x v="4"/>
    <x v="3"/>
    <x v="3"/>
  </r>
  <r>
    <n v="1335"/>
    <x v="5"/>
    <x v="0"/>
    <x v="7"/>
    <x v="2"/>
    <x v="78"/>
    <x v="8"/>
    <s v="S"/>
    <s v="White"/>
    <s v="Spring"/>
    <n v="4.2"/>
    <x v="1"/>
    <x v="5"/>
    <x v="0"/>
    <x v="0"/>
    <n v="12"/>
    <x v="0"/>
    <x v="5"/>
    <x v="5"/>
  </r>
  <r>
    <n v="1336"/>
    <x v="19"/>
    <x v="0"/>
    <x v="23"/>
    <x v="1"/>
    <x v="4"/>
    <x v="22"/>
    <s v="M"/>
    <s v="Lavender"/>
    <s v="Fall"/>
    <n v="4.8"/>
    <x v="1"/>
    <x v="4"/>
    <x v="0"/>
    <x v="0"/>
    <n v="26"/>
    <x v="2"/>
    <x v="1"/>
    <x v="1"/>
  </r>
  <r>
    <n v="1337"/>
    <x v="51"/>
    <x v="0"/>
    <x v="4"/>
    <x v="1"/>
    <x v="6"/>
    <x v="4"/>
    <s v="M"/>
    <s v="Charcoal"/>
    <s v="Spring"/>
    <n v="4.8"/>
    <x v="1"/>
    <x v="5"/>
    <x v="0"/>
    <x v="0"/>
    <n v="44"/>
    <x v="5"/>
    <x v="0"/>
    <x v="0"/>
  </r>
  <r>
    <n v="1338"/>
    <x v="43"/>
    <x v="0"/>
    <x v="1"/>
    <x v="0"/>
    <x v="62"/>
    <x v="30"/>
    <s v="L"/>
    <s v="Silver"/>
    <s v="Spring"/>
    <n v="3.4"/>
    <x v="1"/>
    <x v="0"/>
    <x v="0"/>
    <x v="0"/>
    <n v="19"/>
    <x v="2"/>
    <x v="4"/>
    <x v="4"/>
  </r>
  <r>
    <n v="1339"/>
    <x v="19"/>
    <x v="0"/>
    <x v="8"/>
    <x v="3"/>
    <x v="12"/>
    <x v="15"/>
    <s v="S"/>
    <s v="Yellow"/>
    <s v="Winter"/>
    <n v="2.6"/>
    <x v="1"/>
    <x v="3"/>
    <x v="0"/>
    <x v="0"/>
    <n v="43"/>
    <x v="3"/>
    <x v="0"/>
    <x v="0"/>
  </r>
  <r>
    <n v="1340"/>
    <x v="24"/>
    <x v="0"/>
    <x v="22"/>
    <x v="3"/>
    <x v="22"/>
    <x v="27"/>
    <s v="L"/>
    <s v="Olive"/>
    <s v="Winter"/>
    <n v="5"/>
    <x v="1"/>
    <x v="2"/>
    <x v="0"/>
    <x v="0"/>
    <n v="5"/>
    <x v="4"/>
    <x v="6"/>
    <x v="3"/>
  </r>
  <r>
    <n v="1341"/>
    <x v="37"/>
    <x v="0"/>
    <x v="22"/>
    <x v="3"/>
    <x v="11"/>
    <x v="37"/>
    <s v="M"/>
    <s v="Peach"/>
    <s v="Fall"/>
    <n v="4.4000000000000004"/>
    <x v="1"/>
    <x v="2"/>
    <x v="0"/>
    <x v="0"/>
    <n v="5"/>
    <x v="5"/>
    <x v="6"/>
    <x v="3"/>
  </r>
  <r>
    <n v="1342"/>
    <x v="8"/>
    <x v="0"/>
    <x v="15"/>
    <x v="0"/>
    <x v="65"/>
    <x v="3"/>
    <s v="XL"/>
    <s v="Yellow"/>
    <s v="Fall"/>
    <n v="2.9"/>
    <x v="1"/>
    <x v="3"/>
    <x v="0"/>
    <x v="0"/>
    <n v="31"/>
    <x v="4"/>
    <x v="3"/>
    <x v="3"/>
  </r>
  <r>
    <n v="1343"/>
    <x v="9"/>
    <x v="0"/>
    <x v="12"/>
    <x v="3"/>
    <x v="35"/>
    <x v="28"/>
    <s v="XL"/>
    <s v="Yellow"/>
    <s v="Summer"/>
    <n v="3.4"/>
    <x v="1"/>
    <x v="4"/>
    <x v="0"/>
    <x v="0"/>
    <n v="11"/>
    <x v="4"/>
    <x v="5"/>
    <x v="5"/>
  </r>
  <r>
    <n v="1344"/>
    <x v="33"/>
    <x v="0"/>
    <x v="4"/>
    <x v="1"/>
    <x v="22"/>
    <x v="20"/>
    <s v="M"/>
    <s v="Indigo"/>
    <s v="Spring"/>
    <n v="3.4"/>
    <x v="1"/>
    <x v="3"/>
    <x v="0"/>
    <x v="0"/>
    <n v="34"/>
    <x v="4"/>
    <x v="5"/>
    <x v="5"/>
  </r>
  <r>
    <n v="1345"/>
    <x v="19"/>
    <x v="0"/>
    <x v="17"/>
    <x v="0"/>
    <x v="18"/>
    <x v="14"/>
    <s v="S"/>
    <s v="Violet"/>
    <s v="Fall"/>
    <n v="4.9000000000000004"/>
    <x v="1"/>
    <x v="2"/>
    <x v="0"/>
    <x v="0"/>
    <n v="14"/>
    <x v="1"/>
    <x v="2"/>
    <x v="2"/>
  </r>
  <r>
    <n v="1346"/>
    <x v="37"/>
    <x v="0"/>
    <x v="10"/>
    <x v="0"/>
    <x v="34"/>
    <x v="43"/>
    <s v="M"/>
    <s v="White"/>
    <s v="Fall"/>
    <n v="3.6"/>
    <x v="1"/>
    <x v="3"/>
    <x v="0"/>
    <x v="0"/>
    <n v="42"/>
    <x v="0"/>
    <x v="1"/>
    <x v="1"/>
  </r>
  <r>
    <n v="1347"/>
    <x v="42"/>
    <x v="0"/>
    <x v="15"/>
    <x v="0"/>
    <x v="26"/>
    <x v="16"/>
    <s v="L"/>
    <s v="White"/>
    <s v="Winter"/>
    <n v="3"/>
    <x v="1"/>
    <x v="1"/>
    <x v="0"/>
    <x v="0"/>
    <n v="15"/>
    <x v="0"/>
    <x v="4"/>
    <x v="4"/>
  </r>
  <r>
    <n v="1348"/>
    <x v="42"/>
    <x v="0"/>
    <x v="1"/>
    <x v="0"/>
    <x v="51"/>
    <x v="34"/>
    <s v="M"/>
    <s v="Cyan"/>
    <s v="Summer"/>
    <n v="3.9"/>
    <x v="1"/>
    <x v="4"/>
    <x v="0"/>
    <x v="0"/>
    <n v="47"/>
    <x v="4"/>
    <x v="5"/>
    <x v="5"/>
  </r>
  <r>
    <n v="1349"/>
    <x v="1"/>
    <x v="0"/>
    <x v="22"/>
    <x v="3"/>
    <x v="36"/>
    <x v="43"/>
    <s v="XL"/>
    <s v="Purple"/>
    <s v="Spring"/>
    <n v="3.2"/>
    <x v="1"/>
    <x v="3"/>
    <x v="0"/>
    <x v="0"/>
    <n v="23"/>
    <x v="2"/>
    <x v="0"/>
    <x v="0"/>
  </r>
  <r>
    <n v="1350"/>
    <x v="3"/>
    <x v="0"/>
    <x v="20"/>
    <x v="0"/>
    <x v="14"/>
    <x v="36"/>
    <s v="XL"/>
    <s v="Black"/>
    <s v="Spring"/>
    <n v="3.2"/>
    <x v="1"/>
    <x v="2"/>
    <x v="0"/>
    <x v="0"/>
    <n v="23"/>
    <x v="1"/>
    <x v="4"/>
    <x v="4"/>
  </r>
  <r>
    <n v="1351"/>
    <x v="18"/>
    <x v="0"/>
    <x v="12"/>
    <x v="3"/>
    <x v="79"/>
    <x v="12"/>
    <s v="M"/>
    <s v="Orange"/>
    <s v="Fall"/>
    <n v="4.3"/>
    <x v="1"/>
    <x v="2"/>
    <x v="0"/>
    <x v="0"/>
    <n v="1"/>
    <x v="1"/>
    <x v="6"/>
    <x v="3"/>
  </r>
  <r>
    <n v="1352"/>
    <x v="11"/>
    <x v="0"/>
    <x v="7"/>
    <x v="2"/>
    <x v="9"/>
    <x v="34"/>
    <s v="L"/>
    <s v="Maroon"/>
    <s v="Summer"/>
    <n v="2.8"/>
    <x v="1"/>
    <x v="4"/>
    <x v="0"/>
    <x v="0"/>
    <n v="28"/>
    <x v="4"/>
    <x v="3"/>
    <x v="3"/>
  </r>
  <r>
    <n v="1353"/>
    <x v="13"/>
    <x v="0"/>
    <x v="19"/>
    <x v="3"/>
    <x v="58"/>
    <x v="27"/>
    <s v="XL"/>
    <s v="Orange"/>
    <s v="Spring"/>
    <n v="4.5"/>
    <x v="1"/>
    <x v="2"/>
    <x v="0"/>
    <x v="0"/>
    <n v="37"/>
    <x v="2"/>
    <x v="4"/>
    <x v="4"/>
  </r>
  <r>
    <n v="1354"/>
    <x v="31"/>
    <x v="0"/>
    <x v="13"/>
    <x v="0"/>
    <x v="42"/>
    <x v="4"/>
    <s v="M"/>
    <s v="Teal"/>
    <s v="Winter"/>
    <n v="4.0999999999999996"/>
    <x v="1"/>
    <x v="2"/>
    <x v="0"/>
    <x v="0"/>
    <n v="4"/>
    <x v="1"/>
    <x v="6"/>
    <x v="3"/>
  </r>
  <r>
    <n v="1355"/>
    <x v="14"/>
    <x v="0"/>
    <x v="21"/>
    <x v="3"/>
    <x v="69"/>
    <x v="33"/>
    <s v="M"/>
    <s v="Gray"/>
    <s v="Spring"/>
    <n v="3.6"/>
    <x v="1"/>
    <x v="4"/>
    <x v="0"/>
    <x v="0"/>
    <n v="21"/>
    <x v="4"/>
    <x v="3"/>
    <x v="3"/>
  </r>
  <r>
    <n v="1356"/>
    <x v="35"/>
    <x v="0"/>
    <x v="6"/>
    <x v="0"/>
    <x v="26"/>
    <x v="20"/>
    <s v="M"/>
    <s v="Blue"/>
    <s v="Summer"/>
    <n v="3"/>
    <x v="1"/>
    <x v="4"/>
    <x v="0"/>
    <x v="0"/>
    <n v="50"/>
    <x v="3"/>
    <x v="4"/>
    <x v="4"/>
  </r>
  <r>
    <n v="1357"/>
    <x v="34"/>
    <x v="0"/>
    <x v="14"/>
    <x v="2"/>
    <x v="70"/>
    <x v="27"/>
    <s v="M"/>
    <s v="Cyan"/>
    <s v="Spring"/>
    <n v="4"/>
    <x v="1"/>
    <x v="1"/>
    <x v="0"/>
    <x v="0"/>
    <n v="34"/>
    <x v="4"/>
    <x v="2"/>
    <x v="2"/>
  </r>
  <r>
    <n v="1358"/>
    <x v="41"/>
    <x v="0"/>
    <x v="21"/>
    <x v="3"/>
    <x v="76"/>
    <x v="21"/>
    <s v="S"/>
    <s v="Red"/>
    <s v="Summer"/>
    <n v="3.5"/>
    <x v="1"/>
    <x v="2"/>
    <x v="0"/>
    <x v="0"/>
    <n v="20"/>
    <x v="1"/>
    <x v="3"/>
    <x v="3"/>
  </r>
  <r>
    <n v="1359"/>
    <x v="1"/>
    <x v="0"/>
    <x v="18"/>
    <x v="3"/>
    <x v="20"/>
    <x v="43"/>
    <s v="XL"/>
    <s v="Pink"/>
    <s v="Spring"/>
    <n v="2.5"/>
    <x v="1"/>
    <x v="5"/>
    <x v="0"/>
    <x v="0"/>
    <n v="25"/>
    <x v="0"/>
    <x v="6"/>
    <x v="3"/>
  </r>
  <r>
    <n v="1360"/>
    <x v="7"/>
    <x v="0"/>
    <x v="15"/>
    <x v="0"/>
    <x v="10"/>
    <x v="17"/>
    <s v="S"/>
    <s v="Cyan"/>
    <s v="Winter"/>
    <n v="4.3"/>
    <x v="1"/>
    <x v="5"/>
    <x v="0"/>
    <x v="0"/>
    <n v="26"/>
    <x v="4"/>
    <x v="0"/>
    <x v="0"/>
  </r>
  <r>
    <n v="1361"/>
    <x v="19"/>
    <x v="0"/>
    <x v="11"/>
    <x v="0"/>
    <x v="35"/>
    <x v="15"/>
    <s v="L"/>
    <s v="Black"/>
    <s v="Fall"/>
    <n v="2.8"/>
    <x v="1"/>
    <x v="0"/>
    <x v="0"/>
    <x v="0"/>
    <n v="4"/>
    <x v="4"/>
    <x v="2"/>
    <x v="2"/>
  </r>
  <r>
    <n v="1362"/>
    <x v="34"/>
    <x v="0"/>
    <x v="10"/>
    <x v="0"/>
    <x v="50"/>
    <x v="15"/>
    <s v="M"/>
    <s v="Beige"/>
    <s v="Fall"/>
    <n v="3.7"/>
    <x v="1"/>
    <x v="2"/>
    <x v="0"/>
    <x v="0"/>
    <n v="39"/>
    <x v="5"/>
    <x v="5"/>
    <x v="5"/>
  </r>
  <r>
    <n v="1363"/>
    <x v="38"/>
    <x v="0"/>
    <x v="7"/>
    <x v="2"/>
    <x v="43"/>
    <x v="24"/>
    <s v="M"/>
    <s v="Gray"/>
    <s v="Fall"/>
    <n v="4.3"/>
    <x v="1"/>
    <x v="0"/>
    <x v="0"/>
    <x v="0"/>
    <n v="29"/>
    <x v="1"/>
    <x v="1"/>
    <x v="1"/>
  </r>
  <r>
    <n v="1364"/>
    <x v="24"/>
    <x v="0"/>
    <x v="0"/>
    <x v="0"/>
    <x v="3"/>
    <x v="48"/>
    <s v="L"/>
    <s v="Red"/>
    <s v="Summer"/>
    <n v="4"/>
    <x v="1"/>
    <x v="0"/>
    <x v="0"/>
    <x v="0"/>
    <n v="47"/>
    <x v="3"/>
    <x v="3"/>
    <x v="3"/>
  </r>
  <r>
    <n v="1365"/>
    <x v="33"/>
    <x v="0"/>
    <x v="19"/>
    <x v="3"/>
    <x v="60"/>
    <x v="12"/>
    <s v="L"/>
    <s v="Yellow"/>
    <s v="Fall"/>
    <n v="4.7"/>
    <x v="1"/>
    <x v="0"/>
    <x v="0"/>
    <x v="0"/>
    <n v="5"/>
    <x v="1"/>
    <x v="6"/>
    <x v="3"/>
  </r>
  <r>
    <n v="1366"/>
    <x v="48"/>
    <x v="0"/>
    <x v="8"/>
    <x v="3"/>
    <x v="28"/>
    <x v="27"/>
    <s v="M"/>
    <s v="Magenta"/>
    <s v="Winter"/>
    <n v="4.5"/>
    <x v="1"/>
    <x v="5"/>
    <x v="0"/>
    <x v="0"/>
    <n v="18"/>
    <x v="4"/>
    <x v="0"/>
    <x v="0"/>
  </r>
  <r>
    <n v="1367"/>
    <x v="4"/>
    <x v="0"/>
    <x v="22"/>
    <x v="3"/>
    <x v="49"/>
    <x v="44"/>
    <s v="M"/>
    <s v="Magenta"/>
    <s v="Fall"/>
    <n v="3.1"/>
    <x v="1"/>
    <x v="1"/>
    <x v="0"/>
    <x v="0"/>
    <n v="10"/>
    <x v="2"/>
    <x v="0"/>
    <x v="0"/>
  </r>
  <r>
    <n v="1368"/>
    <x v="52"/>
    <x v="0"/>
    <x v="22"/>
    <x v="3"/>
    <x v="80"/>
    <x v="44"/>
    <s v="S"/>
    <s v="Black"/>
    <s v="Fall"/>
    <n v="3.8"/>
    <x v="1"/>
    <x v="0"/>
    <x v="0"/>
    <x v="0"/>
    <n v="25"/>
    <x v="1"/>
    <x v="3"/>
    <x v="3"/>
  </r>
  <r>
    <n v="1369"/>
    <x v="3"/>
    <x v="0"/>
    <x v="5"/>
    <x v="0"/>
    <x v="14"/>
    <x v="48"/>
    <s v="L"/>
    <s v="Orange"/>
    <s v="Summer"/>
    <n v="4.9000000000000004"/>
    <x v="1"/>
    <x v="0"/>
    <x v="0"/>
    <x v="0"/>
    <n v="2"/>
    <x v="1"/>
    <x v="1"/>
    <x v="1"/>
  </r>
  <r>
    <n v="1370"/>
    <x v="45"/>
    <x v="0"/>
    <x v="9"/>
    <x v="1"/>
    <x v="60"/>
    <x v="44"/>
    <s v="M"/>
    <s v="Green"/>
    <s v="Winter"/>
    <n v="3.2"/>
    <x v="1"/>
    <x v="3"/>
    <x v="0"/>
    <x v="0"/>
    <n v="48"/>
    <x v="0"/>
    <x v="0"/>
    <x v="0"/>
  </r>
  <r>
    <n v="1371"/>
    <x v="7"/>
    <x v="0"/>
    <x v="18"/>
    <x v="3"/>
    <x v="25"/>
    <x v="6"/>
    <s v="L"/>
    <s v="Peach"/>
    <s v="Summer"/>
    <n v="2.9"/>
    <x v="1"/>
    <x v="4"/>
    <x v="0"/>
    <x v="0"/>
    <n v="41"/>
    <x v="4"/>
    <x v="6"/>
    <x v="3"/>
  </r>
  <r>
    <n v="1372"/>
    <x v="37"/>
    <x v="0"/>
    <x v="13"/>
    <x v="0"/>
    <x v="1"/>
    <x v="16"/>
    <s v="M"/>
    <s v="Charcoal"/>
    <s v="Spring"/>
    <n v="2.8"/>
    <x v="1"/>
    <x v="5"/>
    <x v="0"/>
    <x v="0"/>
    <n v="42"/>
    <x v="2"/>
    <x v="5"/>
    <x v="5"/>
  </r>
  <r>
    <n v="1373"/>
    <x v="14"/>
    <x v="0"/>
    <x v="0"/>
    <x v="0"/>
    <x v="70"/>
    <x v="49"/>
    <s v="M"/>
    <s v="Gray"/>
    <s v="Fall"/>
    <n v="4"/>
    <x v="1"/>
    <x v="4"/>
    <x v="0"/>
    <x v="0"/>
    <n v="44"/>
    <x v="3"/>
    <x v="4"/>
    <x v="4"/>
  </r>
  <r>
    <n v="1374"/>
    <x v="20"/>
    <x v="0"/>
    <x v="24"/>
    <x v="3"/>
    <x v="49"/>
    <x v="41"/>
    <s v="L"/>
    <s v="Turquoise"/>
    <s v="Winter"/>
    <n v="2.6"/>
    <x v="1"/>
    <x v="5"/>
    <x v="0"/>
    <x v="0"/>
    <n v="6"/>
    <x v="1"/>
    <x v="3"/>
    <x v="3"/>
  </r>
  <r>
    <n v="1375"/>
    <x v="40"/>
    <x v="0"/>
    <x v="8"/>
    <x v="3"/>
    <x v="8"/>
    <x v="14"/>
    <s v="M"/>
    <s v="Red"/>
    <s v="Fall"/>
    <n v="2.7"/>
    <x v="1"/>
    <x v="1"/>
    <x v="0"/>
    <x v="0"/>
    <n v="5"/>
    <x v="4"/>
    <x v="3"/>
    <x v="3"/>
  </r>
  <r>
    <n v="1376"/>
    <x v="32"/>
    <x v="0"/>
    <x v="4"/>
    <x v="1"/>
    <x v="9"/>
    <x v="1"/>
    <s v="L"/>
    <s v="Brown"/>
    <s v="Spring"/>
    <n v="4.0999999999999996"/>
    <x v="1"/>
    <x v="4"/>
    <x v="0"/>
    <x v="0"/>
    <n v="8"/>
    <x v="2"/>
    <x v="2"/>
    <x v="2"/>
  </r>
  <r>
    <n v="1377"/>
    <x v="9"/>
    <x v="0"/>
    <x v="3"/>
    <x v="1"/>
    <x v="61"/>
    <x v="32"/>
    <s v="L"/>
    <s v="Pink"/>
    <s v="Spring"/>
    <n v="5"/>
    <x v="1"/>
    <x v="1"/>
    <x v="0"/>
    <x v="0"/>
    <n v="24"/>
    <x v="3"/>
    <x v="2"/>
    <x v="2"/>
  </r>
  <r>
    <n v="1378"/>
    <x v="23"/>
    <x v="0"/>
    <x v="12"/>
    <x v="3"/>
    <x v="36"/>
    <x v="33"/>
    <s v="L"/>
    <s v="Olive"/>
    <s v="Spring"/>
    <n v="3"/>
    <x v="1"/>
    <x v="2"/>
    <x v="0"/>
    <x v="0"/>
    <n v="42"/>
    <x v="0"/>
    <x v="5"/>
    <x v="5"/>
  </r>
  <r>
    <n v="1379"/>
    <x v="43"/>
    <x v="0"/>
    <x v="14"/>
    <x v="2"/>
    <x v="4"/>
    <x v="0"/>
    <s v="XL"/>
    <s v="Lavender"/>
    <s v="Fall"/>
    <n v="3.6"/>
    <x v="1"/>
    <x v="1"/>
    <x v="0"/>
    <x v="0"/>
    <n v="24"/>
    <x v="0"/>
    <x v="1"/>
    <x v="1"/>
  </r>
  <r>
    <n v="1380"/>
    <x v="3"/>
    <x v="0"/>
    <x v="17"/>
    <x v="0"/>
    <x v="1"/>
    <x v="46"/>
    <s v="L"/>
    <s v="Purple"/>
    <s v="Fall"/>
    <n v="2.8"/>
    <x v="1"/>
    <x v="4"/>
    <x v="0"/>
    <x v="0"/>
    <n v="38"/>
    <x v="0"/>
    <x v="4"/>
    <x v="4"/>
  </r>
  <r>
    <n v="1381"/>
    <x v="47"/>
    <x v="0"/>
    <x v="4"/>
    <x v="1"/>
    <x v="59"/>
    <x v="2"/>
    <s v="S"/>
    <s v="Beige"/>
    <s v="Winter"/>
    <n v="4.5999999999999996"/>
    <x v="1"/>
    <x v="3"/>
    <x v="0"/>
    <x v="0"/>
    <n v="41"/>
    <x v="1"/>
    <x v="0"/>
    <x v="0"/>
  </r>
  <r>
    <n v="1382"/>
    <x v="11"/>
    <x v="0"/>
    <x v="9"/>
    <x v="1"/>
    <x v="62"/>
    <x v="26"/>
    <s v="L"/>
    <s v="Green"/>
    <s v="Winter"/>
    <n v="2.9"/>
    <x v="1"/>
    <x v="3"/>
    <x v="0"/>
    <x v="0"/>
    <n v="48"/>
    <x v="0"/>
    <x v="3"/>
    <x v="3"/>
  </r>
  <r>
    <n v="1383"/>
    <x v="33"/>
    <x v="0"/>
    <x v="14"/>
    <x v="2"/>
    <x v="37"/>
    <x v="49"/>
    <s v="L"/>
    <s v="Brown"/>
    <s v="Winter"/>
    <n v="4.8"/>
    <x v="1"/>
    <x v="0"/>
    <x v="0"/>
    <x v="0"/>
    <n v="16"/>
    <x v="4"/>
    <x v="3"/>
    <x v="3"/>
  </r>
  <r>
    <n v="1384"/>
    <x v="24"/>
    <x v="0"/>
    <x v="18"/>
    <x v="3"/>
    <x v="47"/>
    <x v="48"/>
    <s v="M"/>
    <s v="Beige"/>
    <s v="Spring"/>
    <n v="3.3"/>
    <x v="1"/>
    <x v="0"/>
    <x v="0"/>
    <x v="0"/>
    <n v="4"/>
    <x v="0"/>
    <x v="5"/>
    <x v="5"/>
  </r>
  <r>
    <n v="1385"/>
    <x v="5"/>
    <x v="0"/>
    <x v="4"/>
    <x v="1"/>
    <x v="48"/>
    <x v="29"/>
    <s v="M"/>
    <s v="Beige"/>
    <s v="Fall"/>
    <n v="4.5999999999999996"/>
    <x v="1"/>
    <x v="3"/>
    <x v="0"/>
    <x v="0"/>
    <n v="8"/>
    <x v="4"/>
    <x v="1"/>
    <x v="1"/>
  </r>
  <r>
    <n v="1386"/>
    <x v="38"/>
    <x v="0"/>
    <x v="16"/>
    <x v="3"/>
    <x v="1"/>
    <x v="16"/>
    <s v="M"/>
    <s v="Indigo"/>
    <s v="Fall"/>
    <n v="2.6"/>
    <x v="1"/>
    <x v="5"/>
    <x v="0"/>
    <x v="0"/>
    <n v="1"/>
    <x v="4"/>
    <x v="4"/>
    <x v="4"/>
  </r>
  <r>
    <n v="1387"/>
    <x v="33"/>
    <x v="0"/>
    <x v="14"/>
    <x v="2"/>
    <x v="22"/>
    <x v="4"/>
    <s v="M"/>
    <s v="Silver"/>
    <s v="Fall"/>
    <n v="4"/>
    <x v="1"/>
    <x v="2"/>
    <x v="0"/>
    <x v="0"/>
    <n v="4"/>
    <x v="5"/>
    <x v="3"/>
    <x v="3"/>
  </r>
  <r>
    <n v="1388"/>
    <x v="3"/>
    <x v="0"/>
    <x v="0"/>
    <x v="0"/>
    <x v="6"/>
    <x v="33"/>
    <s v="M"/>
    <s v="Gold"/>
    <s v="Winter"/>
    <n v="3.8"/>
    <x v="1"/>
    <x v="3"/>
    <x v="0"/>
    <x v="0"/>
    <n v="20"/>
    <x v="2"/>
    <x v="5"/>
    <x v="5"/>
  </r>
  <r>
    <n v="1389"/>
    <x v="46"/>
    <x v="0"/>
    <x v="10"/>
    <x v="0"/>
    <x v="66"/>
    <x v="10"/>
    <s v="M"/>
    <s v="Lavender"/>
    <s v="Spring"/>
    <n v="3.9"/>
    <x v="1"/>
    <x v="0"/>
    <x v="0"/>
    <x v="0"/>
    <n v="40"/>
    <x v="1"/>
    <x v="3"/>
    <x v="3"/>
  </r>
  <r>
    <n v="1390"/>
    <x v="35"/>
    <x v="0"/>
    <x v="18"/>
    <x v="3"/>
    <x v="11"/>
    <x v="26"/>
    <s v="L"/>
    <s v="Orange"/>
    <s v="Fall"/>
    <n v="2.6"/>
    <x v="1"/>
    <x v="5"/>
    <x v="0"/>
    <x v="0"/>
    <n v="8"/>
    <x v="5"/>
    <x v="0"/>
    <x v="0"/>
  </r>
  <r>
    <n v="1391"/>
    <x v="15"/>
    <x v="0"/>
    <x v="19"/>
    <x v="3"/>
    <x v="15"/>
    <x v="10"/>
    <s v="M"/>
    <s v="Maroon"/>
    <s v="Summer"/>
    <n v="4.3"/>
    <x v="1"/>
    <x v="3"/>
    <x v="0"/>
    <x v="0"/>
    <n v="42"/>
    <x v="5"/>
    <x v="1"/>
    <x v="1"/>
  </r>
  <r>
    <n v="1392"/>
    <x v="10"/>
    <x v="0"/>
    <x v="0"/>
    <x v="0"/>
    <x v="45"/>
    <x v="16"/>
    <s v="S"/>
    <s v="White"/>
    <s v="Winter"/>
    <n v="3.6"/>
    <x v="1"/>
    <x v="0"/>
    <x v="0"/>
    <x v="0"/>
    <n v="38"/>
    <x v="2"/>
    <x v="2"/>
    <x v="2"/>
  </r>
  <r>
    <n v="1393"/>
    <x v="18"/>
    <x v="0"/>
    <x v="24"/>
    <x v="3"/>
    <x v="43"/>
    <x v="10"/>
    <s v="M"/>
    <s v="Yellow"/>
    <s v="Spring"/>
    <n v="4.2"/>
    <x v="1"/>
    <x v="0"/>
    <x v="0"/>
    <x v="0"/>
    <n v="34"/>
    <x v="0"/>
    <x v="6"/>
    <x v="3"/>
  </r>
  <r>
    <n v="1394"/>
    <x v="5"/>
    <x v="0"/>
    <x v="24"/>
    <x v="3"/>
    <x v="47"/>
    <x v="37"/>
    <s v="L"/>
    <s v="Yellow"/>
    <s v="Spring"/>
    <n v="3.9"/>
    <x v="1"/>
    <x v="0"/>
    <x v="0"/>
    <x v="0"/>
    <n v="14"/>
    <x v="3"/>
    <x v="0"/>
    <x v="0"/>
  </r>
  <r>
    <n v="1395"/>
    <x v="8"/>
    <x v="0"/>
    <x v="7"/>
    <x v="2"/>
    <x v="35"/>
    <x v="44"/>
    <s v="L"/>
    <s v="Magenta"/>
    <s v="Fall"/>
    <n v="4.7"/>
    <x v="1"/>
    <x v="2"/>
    <x v="0"/>
    <x v="0"/>
    <n v="39"/>
    <x v="1"/>
    <x v="1"/>
    <x v="1"/>
  </r>
  <r>
    <n v="1396"/>
    <x v="36"/>
    <x v="0"/>
    <x v="18"/>
    <x v="3"/>
    <x v="50"/>
    <x v="8"/>
    <s v="L"/>
    <s v="Turquoise"/>
    <s v="Spring"/>
    <n v="2.8"/>
    <x v="1"/>
    <x v="2"/>
    <x v="0"/>
    <x v="0"/>
    <n v="40"/>
    <x v="3"/>
    <x v="4"/>
    <x v="4"/>
  </r>
  <r>
    <n v="1397"/>
    <x v="43"/>
    <x v="0"/>
    <x v="13"/>
    <x v="0"/>
    <x v="38"/>
    <x v="48"/>
    <s v="XL"/>
    <s v="Lavender"/>
    <s v="Winter"/>
    <n v="3"/>
    <x v="1"/>
    <x v="2"/>
    <x v="0"/>
    <x v="0"/>
    <n v="49"/>
    <x v="5"/>
    <x v="5"/>
    <x v="5"/>
  </r>
  <r>
    <n v="1398"/>
    <x v="0"/>
    <x v="0"/>
    <x v="12"/>
    <x v="3"/>
    <x v="25"/>
    <x v="2"/>
    <s v="S"/>
    <s v="Magenta"/>
    <s v="Summer"/>
    <n v="4.7"/>
    <x v="1"/>
    <x v="5"/>
    <x v="0"/>
    <x v="0"/>
    <n v="33"/>
    <x v="3"/>
    <x v="2"/>
    <x v="2"/>
  </r>
  <r>
    <n v="1399"/>
    <x v="11"/>
    <x v="0"/>
    <x v="10"/>
    <x v="0"/>
    <x v="29"/>
    <x v="21"/>
    <s v="M"/>
    <s v="Cyan"/>
    <s v="Summer"/>
    <n v="2.5"/>
    <x v="1"/>
    <x v="1"/>
    <x v="0"/>
    <x v="0"/>
    <n v="25"/>
    <x v="2"/>
    <x v="1"/>
    <x v="1"/>
  </r>
  <r>
    <n v="1400"/>
    <x v="1"/>
    <x v="0"/>
    <x v="19"/>
    <x v="3"/>
    <x v="13"/>
    <x v="43"/>
    <s v="M"/>
    <s v="Olive"/>
    <s v="Winter"/>
    <n v="3.1"/>
    <x v="1"/>
    <x v="5"/>
    <x v="0"/>
    <x v="0"/>
    <n v="48"/>
    <x v="0"/>
    <x v="2"/>
    <x v="2"/>
  </r>
  <r>
    <n v="1401"/>
    <x v="24"/>
    <x v="0"/>
    <x v="21"/>
    <x v="3"/>
    <x v="66"/>
    <x v="22"/>
    <s v="M"/>
    <s v="Red"/>
    <s v="Fall"/>
    <n v="3.6"/>
    <x v="1"/>
    <x v="2"/>
    <x v="0"/>
    <x v="0"/>
    <n v="22"/>
    <x v="2"/>
    <x v="6"/>
    <x v="3"/>
  </r>
  <r>
    <n v="1402"/>
    <x v="51"/>
    <x v="0"/>
    <x v="3"/>
    <x v="1"/>
    <x v="40"/>
    <x v="27"/>
    <s v="M"/>
    <s v="Blue"/>
    <s v="Fall"/>
    <n v="3.5"/>
    <x v="1"/>
    <x v="4"/>
    <x v="0"/>
    <x v="0"/>
    <n v="1"/>
    <x v="3"/>
    <x v="1"/>
    <x v="1"/>
  </r>
  <r>
    <n v="1403"/>
    <x v="46"/>
    <x v="0"/>
    <x v="12"/>
    <x v="3"/>
    <x v="34"/>
    <x v="25"/>
    <s v="L"/>
    <s v="White"/>
    <s v="Summer"/>
    <n v="3.1"/>
    <x v="1"/>
    <x v="0"/>
    <x v="0"/>
    <x v="0"/>
    <n v="47"/>
    <x v="3"/>
    <x v="5"/>
    <x v="5"/>
  </r>
  <r>
    <n v="1404"/>
    <x v="8"/>
    <x v="0"/>
    <x v="21"/>
    <x v="3"/>
    <x v="5"/>
    <x v="42"/>
    <s v="M"/>
    <s v="Peach"/>
    <s v="Spring"/>
    <n v="3.6"/>
    <x v="1"/>
    <x v="5"/>
    <x v="0"/>
    <x v="0"/>
    <n v="20"/>
    <x v="2"/>
    <x v="4"/>
    <x v="4"/>
  </r>
  <r>
    <n v="1405"/>
    <x v="24"/>
    <x v="0"/>
    <x v="16"/>
    <x v="3"/>
    <x v="39"/>
    <x v="35"/>
    <s v="M"/>
    <s v="Charcoal"/>
    <s v="Winter"/>
    <n v="3.5"/>
    <x v="1"/>
    <x v="2"/>
    <x v="0"/>
    <x v="0"/>
    <n v="10"/>
    <x v="5"/>
    <x v="1"/>
    <x v="1"/>
  </r>
  <r>
    <n v="1406"/>
    <x v="23"/>
    <x v="0"/>
    <x v="20"/>
    <x v="0"/>
    <x v="33"/>
    <x v="13"/>
    <s v="M"/>
    <s v="Peach"/>
    <s v="Winter"/>
    <n v="2.7"/>
    <x v="1"/>
    <x v="5"/>
    <x v="0"/>
    <x v="0"/>
    <n v="39"/>
    <x v="2"/>
    <x v="5"/>
    <x v="5"/>
  </r>
  <r>
    <n v="1407"/>
    <x v="45"/>
    <x v="0"/>
    <x v="5"/>
    <x v="0"/>
    <x v="43"/>
    <x v="47"/>
    <s v="L"/>
    <s v="Turquoise"/>
    <s v="Spring"/>
    <n v="3.6"/>
    <x v="1"/>
    <x v="0"/>
    <x v="0"/>
    <x v="0"/>
    <n v="15"/>
    <x v="5"/>
    <x v="5"/>
    <x v="5"/>
  </r>
  <r>
    <n v="1408"/>
    <x v="19"/>
    <x v="0"/>
    <x v="8"/>
    <x v="3"/>
    <x v="70"/>
    <x v="22"/>
    <s v="XL"/>
    <s v="Charcoal"/>
    <s v="Spring"/>
    <n v="4.5"/>
    <x v="1"/>
    <x v="0"/>
    <x v="0"/>
    <x v="0"/>
    <n v="11"/>
    <x v="2"/>
    <x v="2"/>
    <x v="2"/>
  </r>
  <r>
    <n v="1409"/>
    <x v="44"/>
    <x v="0"/>
    <x v="0"/>
    <x v="0"/>
    <x v="47"/>
    <x v="1"/>
    <s v="M"/>
    <s v="Yellow"/>
    <s v="Winter"/>
    <n v="4.0999999999999996"/>
    <x v="1"/>
    <x v="1"/>
    <x v="0"/>
    <x v="0"/>
    <n v="38"/>
    <x v="0"/>
    <x v="1"/>
    <x v="1"/>
  </r>
  <r>
    <n v="1410"/>
    <x v="50"/>
    <x v="0"/>
    <x v="21"/>
    <x v="3"/>
    <x v="74"/>
    <x v="37"/>
    <s v="M"/>
    <s v="Blue"/>
    <s v="Spring"/>
    <n v="4.2"/>
    <x v="1"/>
    <x v="3"/>
    <x v="0"/>
    <x v="0"/>
    <n v="41"/>
    <x v="1"/>
    <x v="0"/>
    <x v="0"/>
  </r>
  <r>
    <n v="1411"/>
    <x v="12"/>
    <x v="0"/>
    <x v="19"/>
    <x v="3"/>
    <x v="73"/>
    <x v="30"/>
    <s v="M"/>
    <s v="Purple"/>
    <s v="Summer"/>
    <n v="4"/>
    <x v="1"/>
    <x v="5"/>
    <x v="0"/>
    <x v="0"/>
    <n v="18"/>
    <x v="5"/>
    <x v="2"/>
    <x v="2"/>
  </r>
  <r>
    <n v="1412"/>
    <x v="39"/>
    <x v="0"/>
    <x v="11"/>
    <x v="0"/>
    <x v="41"/>
    <x v="7"/>
    <s v="L"/>
    <s v="Green"/>
    <s v="Summer"/>
    <n v="2.8"/>
    <x v="1"/>
    <x v="5"/>
    <x v="0"/>
    <x v="0"/>
    <n v="13"/>
    <x v="0"/>
    <x v="3"/>
    <x v="3"/>
  </r>
  <r>
    <n v="1413"/>
    <x v="15"/>
    <x v="0"/>
    <x v="6"/>
    <x v="0"/>
    <x v="33"/>
    <x v="49"/>
    <s v="M"/>
    <s v="Charcoal"/>
    <s v="Summer"/>
    <n v="2.6"/>
    <x v="1"/>
    <x v="4"/>
    <x v="0"/>
    <x v="0"/>
    <n v="43"/>
    <x v="0"/>
    <x v="2"/>
    <x v="2"/>
  </r>
  <r>
    <n v="1414"/>
    <x v="47"/>
    <x v="0"/>
    <x v="0"/>
    <x v="0"/>
    <x v="24"/>
    <x v="13"/>
    <s v="S"/>
    <s v="Indigo"/>
    <s v="Fall"/>
    <n v="2.7"/>
    <x v="1"/>
    <x v="5"/>
    <x v="0"/>
    <x v="0"/>
    <n v="12"/>
    <x v="4"/>
    <x v="3"/>
    <x v="3"/>
  </r>
  <r>
    <n v="1415"/>
    <x v="26"/>
    <x v="0"/>
    <x v="20"/>
    <x v="0"/>
    <x v="12"/>
    <x v="46"/>
    <s v="M"/>
    <s v="Black"/>
    <s v="Summer"/>
    <n v="4.5"/>
    <x v="1"/>
    <x v="5"/>
    <x v="0"/>
    <x v="0"/>
    <n v="3"/>
    <x v="2"/>
    <x v="4"/>
    <x v="4"/>
  </r>
  <r>
    <n v="1416"/>
    <x v="22"/>
    <x v="0"/>
    <x v="22"/>
    <x v="3"/>
    <x v="3"/>
    <x v="26"/>
    <s v="M"/>
    <s v="Blue"/>
    <s v="Winter"/>
    <n v="3.7"/>
    <x v="1"/>
    <x v="1"/>
    <x v="0"/>
    <x v="0"/>
    <n v="12"/>
    <x v="2"/>
    <x v="6"/>
    <x v="3"/>
  </r>
  <r>
    <n v="1417"/>
    <x v="39"/>
    <x v="0"/>
    <x v="23"/>
    <x v="1"/>
    <x v="22"/>
    <x v="37"/>
    <s v="L"/>
    <s v="Silver"/>
    <s v="Summer"/>
    <n v="3.4"/>
    <x v="1"/>
    <x v="1"/>
    <x v="0"/>
    <x v="0"/>
    <n v="46"/>
    <x v="1"/>
    <x v="3"/>
    <x v="3"/>
  </r>
  <r>
    <n v="1418"/>
    <x v="46"/>
    <x v="0"/>
    <x v="6"/>
    <x v="0"/>
    <x v="21"/>
    <x v="6"/>
    <s v="S"/>
    <s v="Brown"/>
    <s v="Spring"/>
    <n v="4.5999999999999996"/>
    <x v="1"/>
    <x v="3"/>
    <x v="0"/>
    <x v="0"/>
    <n v="21"/>
    <x v="5"/>
    <x v="0"/>
    <x v="0"/>
  </r>
  <r>
    <n v="1419"/>
    <x v="20"/>
    <x v="0"/>
    <x v="5"/>
    <x v="0"/>
    <x v="60"/>
    <x v="15"/>
    <s v="M"/>
    <s v="Violet"/>
    <s v="Summer"/>
    <n v="4.0999999999999996"/>
    <x v="1"/>
    <x v="4"/>
    <x v="0"/>
    <x v="0"/>
    <n v="23"/>
    <x v="0"/>
    <x v="6"/>
    <x v="3"/>
  </r>
  <r>
    <n v="1420"/>
    <x v="49"/>
    <x v="0"/>
    <x v="8"/>
    <x v="3"/>
    <x v="60"/>
    <x v="6"/>
    <s v="M"/>
    <s v="Orange"/>
    <s v="Summer"/>
    <n v="2.6"/>
    <x v="1"/>
    <x v="1"/>
    <x v="0"/>
    <x v="0"/>
    <n v="4"/>
    <x v="5"/>
    <x v="3"/>
    <x v="3"/>
  </r>
  <r>
    <n v="1421"/>
    <x v="40"/>
    <x v="0"/>
    <x v="2"/>
    <x v="0"/>
    <x v="0"/>
    <x v="18"/>
    <s v="XL"/>
    <s v="Gray"/>
    <s v="Summer"/>
    <n v="4.5999999999999996"/>
    <x v="1"/>
    <x v="5"/>
    <x v="0"/>
    <x v="0"/>
    <n v="45"/>
    <x v="3"/>
    <x v="6"/>
    <x v="3"/>
  </r>
  <r>
    <n v="1422"/>
    <x v="33"/>
    <x v="0"/>
    <x v="10"/>
    <x v="0"/>
    <x v="33"/>
    <x v="38"/>
    <s v="S"/>
    <s v="Gold"/>
    <s v="Spring"/>
    <n v="3"/>
    <x v="1"/>
    <x v="3"/>
    <x v="0"/>
    <x v="0"/>
    <n v="24"/>
    <x v="4"/>
    <x v="0"/>
    <x v="0"/>
  </r>
  <r>
    <n v="1423"/>
    <x v="42"/>
    <x v="0"/>
    <x v="10"/>
    <x v="0"/>
    <x v="65"/>
    <x v="21"/>
    <s v="L"/>
    <s v="Charcoal"/>
    <s v="Fall"/>
    <n v="3.4"/>
    <x v="1"/>
    <x v="1"/>
    <x v="0"/>
    <x v="0"/>
    <n v="3"/>
    <x v="3"/>
    <x v="4"/>
    <x v="4"/>
  </r>
  <r>
    <n v="1424"/>
    <x v="47"/>
    <x v="0"/>
    <x v="3"/>
    <x v="1"/>
    <x v="30"/>
    <x v="49"/>
    <s v="S"/>
    <s v="Black"/>
    <s v="Fall"/>
    <n v="3.5"/>
    <x v="1"/>
    <x v="1"/>
    <x v="0"/>
    <x v="0"/>
    <n v="12"/>
    <x v="0"/>
    <x v="6"/>
    <x v="3"/>
  </r>
  <r>
    <n v="1425"/>
    <x v="17"/>
    <x v="0"/>
    <x v="14"/>
    <x v="2"/>
    <x v="66"/>
    <x v="39"/>
    <s v="S"/>
    <s v="Indigo"/>
    <s v="Fall"/>
    <n v="3.5"/>
    <x v="1"/>
    <x v="3"/>
    <x v="0"/>
    <x v="0"/>
    <n v="34"/>
    <x v="4"/>
    <x v="6"/>
    <x v="3"/>
  </r>
  <r>
    <n v="1426"/>
    <x v="35"/>
    <x v="0"/>
    <x v="7"/>
    <x v="2"/>
    <x v="49"/>
    <x v="5"/>
    <s v="S"/>
    <s v="White"/>
    <s v="Winter"/>
    <n v="3.7"/>
    <x v="1"/>
    <x v="2"/>
    <x v="0"/>
    <x v="0"/>
    <n v="39"/>
    <x v="2"/>
    <x v="2"/>
    <x v="2"/>
  </r>
  <r>
    <n v="1427"/>
    <x v="52"/>
    <x v="0"/>
    <x v="13"/>
    <x v="0"/>
    <x v="15"/>
    <x v="49"/>
    <s v="M"/>
    <s v="Yellow"/>
    <s v="Summer"/>
    <n v="4.8"/>
    <x v="1"/>
    <x v="1"/>
    <x v="0"/>
    <x v="0"/>
    <n v="35"/>
    <x v="3"/>
    <x v="6"/>
    <x v="3"/>
  </r>
  <r>
    <n v="1428"/>
    <x v="18"/>
    <x v="0"/>
    <x v="21"/>
    <x v="3"/>
    <x v="3"/>
    <x v="45"/>
    <s v="S"/>
    <s v="Orange"/>
    <s v="Summer"/>
    <n v="4.9000000000000004"/>
    <x v="1"/>
    <x v="5"/>
    <x v="0"/>
    <x v="0"/>
    <n v="8"/>
    <x v="2"/>
    <x v="2"/>
    <x v="2"/>
  </r>
  <r>
    <n v="1429"/>
    <x v="30"/>
    <x v="0"/>
    <x v="0"/>
    <x v="0"/>
    <x v="8"/>
    <x v="25"/>
    <s v="S"/>
    <s v="Green"/>
    <s v="Summer"/>
    <n v="4.9000000000000004"/>
    <x v="1"/>
    <x v="0"/>
    <x v="0"/>
    <x v="0"/>
    <n v="42"/>
    <x v="3"/>
    <x v="3"/>
    <x v="3"/>
  </r>
  <r>
    <n v="1430"/>
    <x v="41"/>
    <x v="0"/>
    <x v="11"/>
    <x v="0"/>
    <x v="15"/>
    <x v="33"/>
    <s v="L"/>
    <s v="Gold"/>
    <s v="Fall"/>
    <n v="4.7"/>
    <x v="1"/>
    <x v="3"/>
    <x v="0"/>
    <x v="0"/>
    <n v="6"/>
    <x v="2"/>
    <x v="6"/>
    <x v="3"/>
  </r>
  <r>
    <n v="1431"/>
    <x v="39"/>
    <x v="0"/>
    <x v="3"/>
    <x v="1"/>
    <x v="38"/>
    <x v="49"/>
    <s v="S"/>
    <s v="Orange"/>
    <s v="Summer"/>
    <n v="4.9000000000000004"/>
    <x v="1"/>
    <x v="1"/>
    <x v="0"/>
    <x v="0"/>
    <n v="3"/>
    <x v="2"/>
    <x v="0"/>
    <x v="0"/>
  </r>
  <r>
    <n v="1432"/>
    <x v="31"/>
    <x v="0"/>
    <x v="13"/>
    <x v="0"/>
    <x v="19"/>
    <x v="45"/>
    <s v="M"/>
    <s v="Cyan"/>
    <s v="Fall"/>
    <n v="2.9"/>
    <x v="1"/>
    <x v="0"/>
    <x v="0"/>
    <x v="0"/>
    <n v="29"/>
    <x v="0"/>
    <x v="3"/>
    <x v="3"/>
  </r>
  <r>
    <n v="1433"/>
    <x v="50"/>
    <x v="0"/>
    <x v="19"/>
    <x v="3"/>
    <x v="27"/>
    <x v="20"/>
    <s v="L"/>
    <s v="Black"/>
    <s v="Winter"/>
    <n v="4.4000000000000004"/>
    <x v="1"/>
    <x v="0"/>
    <x v="0"/>
    <x v="0"/>
    <n v="32"/>
    <x v="5"/>
    <x v="3"/>
    <x v="3"/>
  </r>
  <r>
    <n v="1434"/>
    <x v="27"/>
    <x v="0"/>
    <x v="15"/>
    <x v="0"/>
    <x v="30"/>
    <x v="46"/>
    <s v="L"/>
    <s v="Yellow"/>
    <s v="Winter"/>
    <n v="3.2"/>
    <x v="1"/>
    <x v="2"/>
    <x v="0"/>
    <x v="0"/>
    <n v="45"/>
    <x v="5"/>
    <x v="1"/>
    <x v="1"/>
  </r>
  <r>
    <n v="1435"/>
    <x v="35"/>
    <x v="0"/>
    <x v="1"/>
    <x v="0"/>
    <x v="1"/>
    <x v="14"/>
    <s v="L"/>
    <s v="Maroon"/>
    <s v="Summer"/>
    <n v="4.5999999999999996"/>
    <x v="1"/>
    <x v="1"/>
    <x v="0"/>
    <x v="0"/>
    <n v="21"/>
    <x v="5"/>
    <x v="4"/>
    <x v="4"/>
  </r>
  <r>
    <n v="1436"/>
    <x v="4"/>
    <x v="0"/>
    <x v="18"/>
    <x v="3"/>
    <x v="51"/>
    <x v="4"/>
    <s v="XL"/>
    <s v="Black"/>
    <s v="Fall"/>
    <n v="4"/>
    <x v="1"/>
    <x v="3"/>
    <x v="0"/>
    <x v="0"/>
    <n v="41"/>
    <x v="1"/>
    <x v="1"/>
    <x v="1"/>
  </r>
  <r>
    <n v="1437"/>
    <x v="25"/>
    <x v="0"/>
    <x v="4"/>
    <x v="1"/>
    <x v="42"/>
    <x v="46"/>
    <s v="M"/>
    <s v="Gray"/>
    <s v="Winter"/>
    <n v="3.7"/>
    <x v="1"/>
    <x v="1"/>
    <x v="0"/>
    <x v="0"/>
    <n v="23"/>
    <x v="3"/>
    <x v="0"/>
    <x v="0"/>
  </r>
  <r>
    <n v="1438"/>
    <x v="28"/>
    <x v="0"/>
    <x v="23"/>
    <x v="1"/>
    <x v="8"/>
    <x v="6"/>
    <s v="XL"/>
    <s v="Orange"/>
    <s v="Winter"/>
    <n v="4.2"/>
    <x v="1"/>
    <x v="1"/>
    <x v="0"/>
    <x v="0"/>
    <n v="14"/>
    <x v="1"/>
    <x v="2"/>
    <x v="2"/>
  </r>
  <r>
    <n v="1439"/>
    <x v="44"/>
    <x v="0"/>
    <x v="7"/>
    <x v="2"/>
    <x v="15"/>
    <x v="47"/>
    <s v="M"/>
    <s v="Cyan"/>
    <s v="Spring"/>
    <n v="2.9"/>
    <x v="1"/>
    <x v="3"/>
    <x v="0"/>
    <x v="0"/>
    <n v="24"/>
    <x v="5"/>
    <x v="5"/>
    <x v="5"/>
  </r>
  <r>
    <n v="1440"/>
    <x v="15"/>
    <x v="0"/>
    <x v="23"/>
    <x v="1"/>
    <x v="16"/>
    <x v="35"/>
    <s v="M"/>
    <s v="Magenta"/>
    <s v="Summer"/>
    <n v="4.8"/>
    <x v="1"/>
    <x v="2"/>
    <x v="0"/>
    <x v="0"/>
    <n v="25"/>
    <x v="1"/>
    <x v="0"/>
    <x v="0"/>
  </r>
  <r>
    <n v="1441"/>
    <x v="7"/>
    <x v="0"/>
    <x v="3"/>
    <x v="1"/>
    <x v="31"/>
    <x v="28"/>
    <s v="M"/>
    <s v="Pink"/>
    <s v="Spring"/>
    <n v="4.4000000000000004"/>
    <x v="1"/>
    <x v="3"/>
    <x v="0"/>
    <x v="0"/>
    <n v="13"/>
    <x v="0"/>
    <x v="5"/>
    <x v="5"/>
  </r>
  <r>
    <n v="1442"/>
    <x v="50"/>
    <x v="0"/>
    <x v="13"/>
    <x v="0"/>
    <x v="21"/>
    <x v="43"/>
    <s v="S"/>
    <s v="Turquoise"/>
    <s v="Summer"/>
    <n v="3.4"/>
    <x v="1"/>
    <x v="1"/>
    <x v="0"/>
    <x v="0"/>
    <n v="3"/>
    <x v="0"/>
    <x v="6"/>
    <x v="3"/>
  </r>
  <r>
    <n v="1443"/>
    <x v="10"/>
    <x v="0"/>
    <x v="15"/>
    <x v="0"/>
    <x v="56"/>
    <x v="37"/>
    <s v="S"/>
    <s v="Violet"/>
    <s v="Spring"/>
    <n v="2.8"/>
    <x v="1"/>
    <x v="4"/>
    <x v="0"/>
    <x v="0"/>
    <n v="42"/>
    <x v="2"/>
    <x v="2"/>
    <x v="2"/>
  </r>
  <r>
    <n v="1444"/>
    <x v="44"/>
    <x v="0"/>
    <x v="3"/>
    <x v="1"/>
    <x v="53"/>
    <x v="37"/>
    <s v="L"/>
    <s v="Teal"/>
    <s v="Fall"/>
    <n v="4.2"/>
    <x v="1"/>
    <x v="2"/>
    <x v="0"/>
    <x v="0"/>
    <n v="2"/>
    <x v="1"/>
    <x v="5"/>
    <x v="5"/>
  </r>
  <r>
    <n v="1445"/>
    <x v="45"/>
    <x v="0"/>
    <x v="1"/>
    <x v="0"/>
    <x v="14"/>
    <x v="34"/>
    <s v="L"/>
    <s v="Pink"/>
    <s v="Fall"/>
    <n v="3.8"/>
    <x v="1"/>
    <x v="0"/>
    <x v="0"/>
    <x v="0"/>
    <n v="26"/>
    <x v="1"/>
    <x v="3"/>
    <x v="3"/>
  </r>
  <r>
    <n v="1446"/>
    <x v="14"/>
    <x v="0"/>
    <x v="22"/>
    <x v="3"/>
    <x v="12"/>
    <x v="10"/>
    <s v="M"/>
    <s v="Gold"/>
    <s v="Fall"/>
    <n v="3.1"/>
    <x v="1"/>
    <x v="4"/>
    <x v="0"/>
    <x v="0"/>
    <n v="24"/>
    <x v="2"/>
    <x v="2"/>
    <x v="2"/>
  </r>
  <r>
    <n v="1447"/>
    <x v="6"/>
    <x v="0"/>
    <x v="2"/>
    <x v="0"/>
    <x v="59"/>
    <x v="5"/>
    <s v="XL"/>
    <s v="Red"/>
    <s v="Summer"/>
    <n v="3.2"/>
    <x v="1"/>
    <x v="0"/>
    <x v="0"/>
    <x v="0"/>
    <n v="6"/>
    <x v="2"/>
    <x v="3"/>
    <x v="3"/>
  </r>
  <r>
    <n v="1448"/>
    <x v="51"/>
    <x v="0"/>
    <x v="15"/>
    <x v="0"/>
    <x v="75"/>
    <x v="35"/>
    <s v="S"/>
    <s v="Beige"/>
    <s v="Summer"/>
    <n v="3"/>
    <x v="1"/>
    <x v="2"/>
    <x v="0"/>
    <x v="0"/>
    <n v="25"/>
    <x v="3"/>
    <x v="5"/>
    <x v="5"/>
  </r>
  <r>
    <n v="1449"/>
    <x v="14"/>
    <x v="0"/>
    <x v="23"/>
    <x v="1"/>
    <x v="51"/>
    <x v="8"/>
    <s v="M"/>
    <s v="Black"/>
    <s v="Summer"/>
    <n v="3.6"/>
    <x v="1"/>
    <x v="1"/>
    <x v="0"/>
    <x v="0"/>
    <n v="11"/>
    <x v="2"/>
    <x v="6"/>
    <x v="3"/>
  </r>
  <r>
    <n v="1450"/>
    <x v="20"/>
    <x v="0"/>
    <x v="20"/>
    <x v="0"/>
    <x v="52"/>
    <x v="14"/>
    <s v="L"/>
    <s v="Lavender"/>
    <s v="Winter"/>
    <n v="2.5"/>
    <x v="1"/>
    <x v="5"/>
    <x v="0"/>
    <x v="0"/>
    <n v="20"/>
    <x v="1"/>
    <x v="6"/>
    <x v="3"/>
  </r>
  <r>
    <n v="1451"/>
    <x v="15"/>
    <x v="0"/>
    <x v="10"/>
    <x v="0"/>
    <x v="77"/>
    <x v="26"/>
    <s v="S"/>
    <s v="Teal"/>
    <s v="Winter"/>
    <n v="3.4"/>
    <x v="1"/>
    <x v="1"/>
    <x v="0"/>
    <x v="0"/>
    <n v="25"/>
    <x v="1"/>
    <x v="3"/>
    <x v="3"/>
  </r>
  <r>
    <n v="1452"/>
    <x v="22"/>
    <x v="0"/>
    <x v="14"/>
    <x v="2"/>
    <x v="7"/>
    <x v="40"/>
    <s v="M"/>
    <s v="Maroon"/>
    <s v="Fall"/>
    <n v="2.5"/>
    <x v="1"/>
    <x v="2"/>
    <x v="0"/>
    <x v="0"/>
    <n v="35"/>
    <x v="3"/>
    <x v="3"/>
    <x v="3"/>
  </r>
  <r>
    <n v="1453"/>
    <x v="52"/>
    <x v="0"/>
    <x v="14"/>
    <x v="2"/>
    <x v="21"/>
    <x v="24"/>
    <s v="L"/>
    <s v="Blue"/>
    <s v="Spring"/>
    <n v="4.7"/>
    <x v="1"/>
    <x v="4"/>
    <x v="0"/>
    <x v="0"/>
    <n v="11"/>
    <x v="4"/>
    <x v="3"/>
    <x v="3"/>
  </r>
  <r>
    <n v="1454"/>
    <x v="24"/>
    <x v="0"/>
    <x v="23"/>
    <x v="1"/>
    <x v="73"/>
    <x v="41"/>
    <s v="S"/>
    <s v="Teal"/>
    <s v="Winter"/>
    <n v="3.2"/>
    <x v="1"/>
    <x v="4"/>
    <x v="0"/>
    <x v="0"/>
    <n v="41"/>
    <x v="4"/>
    <x v="0"/>
    <x v="0"/>
  </r>
  <r>
    <n v="1455"/>
    <x v="17"/>
    <x v="0"/>
    <x v="4"/>
    <x v="1"/>
    <x v="74"/>
    <x v="42"/>
    <s v="L"/>
    <s v="Maroon"/>
    <s v="Winter"/>
    <n v="2.9"/>
    <x v="1"/>
    <x v="1"/>
    <x v="0"/>
    <x v="0"/>
    <n v="17"/>
    <x v="2"/>
    <x v="2"/>
    <x v="2"/>
  </r>
  <r>
    <n v="1456"/>
    <x v="52"/>
    <x v="0"/>
    <x v="13"/>
    <x v="0"/>
    <x v="24"/>
    <x v="15"/>
    <s v="L"/>
    <s v="Silver"/>
    <s v="Fall"/>
    <n v="4.9000000000000004"/>
    <x v="1"/>
    <x v="0"/>
    <x v="0"/>
    <x v="0"/>
    <n v="1"/>
    <x v="3"/>
    <x v="6"/>
    <x v="3"/>
  </r>
  <r>
    <n v="1457"/>
    <x v="35"/>
    <x v="0"/>
    <x v="7"/>
    <x v="2"/>
    <x v="33"/>
    <x v="6"/>
    <s v="S"/>
    <s v="Olive"/>
    <s v="Spring"/>
    <n v="2.7"/>
    <x v="1"/>
    <x v="5"/>
    <x v="0"/>
    <x v="0"/>
    <n v="30"/>
    <x v="3"/>
    <x v="6"/>
    <x v="3"/>
  </r>
  <r>
    <n v="1458"/>
    <x v="44"/>
    <x v="0"/>
    <x v="5"/>
    <x v="0"/>
    <x v="75"/>
    <x v="38"/>
    <s v="S"/>
    <s v="Gray"/>
    <s v="Spring"/>
    <n v="4.7"/>
    <x v="1"/>
    <x v="0"/>
    <x v="0"/>
    <x v="0"/>
    <n v="47"/>
    <x v="0"/>
    <x v="0"/>
    <x v="0"/>
  </r>
  <r>
    <n v="1459"/>
    <x v="25"/>
    <x v="0"/>
    <x v="1"/>
    <x v="0"/>
    <x v="39"/>
    <x v="9"/>
    <s v="M"/>
    <s v="Peach"/>
    <s v="Spring"/>
    <n v="2.9"/>
    <x v="1"/>
    <x v="4"/>
    <x v="0"/>
    <x v="0"/>
    <n v="34"/>
    <x v="0"/>
    <x v="1"/>
    <x v="1"/>
  </r>
  <r>
    <n v="1460"/>
    <x v="30"/>
    <x v="0"/>
    <x v="9"/>
    <x v="1"/>
    <x v="59"/>
    <x v="1"/>
    <s v="L"/>
    <s v="Yellow"/>
    <s v="Winter"/>
    <n v="4.8"/>
    <x v="1"/>
    <x v="0"/>
    <x v="0"/>
    <x v="0"/>
    <n v="18"/>
    <x v="0"/>
    <x v="0"/>
    <x v="0"/>
  </r>
  <r>
    <n v="1461"/>
    <x v="27"/>
    <x v="0"/>
    <x v="23"/>
    <x v="1"/>
    <x v="6"/>
    <x v="38"/>
    <s v="L"/>
    <s v="Violet"/>
    <s v="Fall"/>
    <n v="4.5999999999999996"/>
    <x v="1"/>
    <x v="3"/>
    <x v="0"/>
    <x v="0"/>
    <n v="33"/>
    <x v="0"/>
    <x v="4"/>
    <x v="4"/>
  </r>
  <r>
    <n v="1462"/>
    <x v="22"/>
    <x v="0"/>
    <x v="12"/>
    <x v="3"/>
    <x v="51"/>
    <x v="4"/>
    <s v="S"/>
    <s v="Red"/>
    <s v="Summer"/>
    <n v="5"/>
    <x v="1"/>
    <x v="4"/>
    <x v="0"/>
    <x v="0"/>
    <n v="42"/>
    <x v="0"/>
    <x v="3"/>
    <x v="3"/>
  </r>
  <r>
    <n v="1463"/>
    <x v="21"/>
    <x v="0"/>
    <x v="4"/>
    <x v="1"/>
    <x v="3"/>
    <x v="40"/>
    <s v="S"/>
    <s v="Charcoal"/>
    <s v="Summer"/>
    <n v="4.8"/>
    <x v="1"/>
    <x v="4"/>
    <x v="0"/>
    <x v="0"/>
    <n v="2"/>
    <x v="0"/>
    <x v="3"/>
    <x v="3"/>
  </r>
  <r>
    <n v="1464"/>
    <x v="22"/>
    <x v="0"/>
    <x v="16"/>
    <x v="3"/>
    <x v="4"/>
    <x v="19"/>
    <s v="M"/>
    <s v="Beige"/>
    <s v="Summer"/>
    <n v="4.9000000000000004"/>
    <x v="1"/>
    <x v="5"/>
    <x v="0"/>
    <x v="0"/>
    <n v="1"/>
    <x v="4"/>
    <x v="5"/>
    <x v="5"/>
  </r>
  <r>
    <n v="1465"/>
    <x v="23"/>
    <x v="0"/>
    <x v="22"/>
    <x v="3"/>
    <x v="56"/>
    <x v="6"/>
    <s v="M"/>
    <s v="Peach"/>
    <s v="Winter"/>
    <n v="4.5999999999999996"/>
    <x v="1"/>
    <x v="4"/>
    <x v="0"/>
    <x v="0"/>
    <n v="23"/>
    <x v="4"/>
    <x v="3"/>
    <x v="3"/>
  </r>
  <r>
    <n v="1466"/>
    <x v="5"/>
    <x v="0"/>
    <x v="24"/>
    <x v="3"/>
    <x v="11"/>
    <x v="43"/>
    <s v="XL"/>
    <s v="Violet"/>
    <s v="Winter"/>
    <n v="3.9"/>
    <x v="1"/>
    <x v="5"/>
    <x v="0"/>
    <x v="0"/>
    <n v="42"/>
    <x v="1"/>
    <x v="4"/>
    <x v="4"/>
  </r>
  <r>
    <n v="1467"/>
    <x v="44"/>
    <x v="0"/>
    <x v="6"/>
    <x v="0"/>
    <x v="79"/>
    <x v="15"/>
    <s v="M"/>
    <s v="Green"/>
    <s v="Summer"/>
    <n v="4.5"/>
    <x v="1"/>
    <x v="5"/>
    <x v="0"/>
    <x v="0"/>
    <n v="3"/>
    <x v="3"/>
    <x v="2"/>
    <x v="2"/>
  </r>
  <r>
    <n v="1468"/>
    <x v="11"/>
    <x v="0"/>
    <x v="16"/>
    <x v="3"/>
    <x v="65"/>
    <x v="31"/>
    <s v="XL"/>
    <s v="Olive"/>
    <s v="Winter"/>
    <n v="4.7"/>
    <x v="1"/>
    <x v="5"/>
    <x v="0"/>
    <x v="0"/>
    <n v="16"/>
    <x v="5"/>
    <x v="0"/>
    <x v="0"/>
  </r>
  <r>
    <n v="1469"/>
    <x v="32"/>
    <x v="0"/>
    <x v="24"/>
    <x v="3"/>
    <x v="32"/>
    <x v="10"/>
    <s v="S"/>
    <s v="Silver"/>
    <s v="Fall"/>
    <n v="3.9"/>
    <x v="1"/>
    <x v="0"/>
    <x v="0"/>
    <x v="0"/>
    <n v="46"/>
    <x v="1"/>
    <x v="0"/>
    <x v="0"/>
  </r>
  <r>
    <n v="1470"/>
    <x v="48"/>
    <x v="0"/>
    <x v="16"/>
    <x v="3"/>
    <x v="57"/>
    <x v="16"/>
    <s v="M"/>
    <s v="Purple"/>
    <s v="Winter"/>
    <n v="4.4000000000000004"/>
    <x v="1"/>
    <x v="3"/>
    <x v="0"/>
    <x v="0"/>
    <n v="31"/>
    <x v="3"/>
    <x v="6"/>
    <x v="3"/>
  </r>
  <r>
    <n v="1471"/>
    <x v="49"/>
    <x v="0"/>
    <x v="3"/>
    <x v="1"/>
    <x v="65"/>
    <x v="18"/>
    <s v="M"/>
    <s v="Silver"/>
    <s v="Spring"/>
    <n v="3.9"/>
    <x v="1"/>
    <x v="2"/>
    <x v="0"/>
    <x v="0"/>
    <n v="15"/>
    <x v="1"/>
    <x v="6"/>
    <x v="3"/>
  </r>
  <r>
    <n v="1472"/>
    <x v="18"/>
    <x v="0"/>
    <x v="16"/>
    <x v="3"/>
    <x v="79"/>
    <x v="29"/>
    <s v="S"/>
    <s v="Gray"/>
    <s v="Spring"/>
    <n v="2.8"/>
    <x v="1"/>
    <x v="4"/>
    <x v="0"/>
    <x v="0"/>
    <n v="48"/>
    <x v="0"/>
    <x v="6"/>
    <x v="3"/>
  </r>
  <r>
    <n v="1473"/>
    <x v="31"/>
    <x v="0"/>
    <x v="19"/>
    <x v="3"/>
    <x v="41"/>
    <x v="27"/>
    <s v="L"/>
    <s v="Turquoise"/>
    <s v="Spring"/>
    <n v="3.5"/>
    <x v="1"/>
    <x v="5"/>
    <x v="0"/>
    <x v="0"/>
    <n v="11"/>
    <x v="1"/>
    <x v="1"/>
    <x v="1"/>
  </r>
  <r>
    <n v="1474"/>
    <x v="28"/>
    <x v="0"/>
    <x v="6"/>
    <x v="0"/>
    <x v="80"/>
    <x v="48"/>
    <s v="M"/>
    <s v="Violet"/>
    <s v="Fall"/>
    <n v="4.3"/>
    <x v="1"/>
    <x v="0"/>
    <x v="0"/>
    <x v="0"/>
    <n v="20"/>
    <x v="2"/>
    <x v="6"/>
    <x v="3"/>
  </r>
  <r>
    <n v="1475"/>
    <x v="18"/>
    <x v="0"/>
    <x v="1"/>
    <x v="0"/>
    <x v="11"/>
    <x v="32"/>
    <s v="S"/>
    <s v="Pink"/>
    <s v="Fall"/>
    <n v="3.9"/>
    <x v="1"/>
    <x v="2"/>
    <x v="0"/>
    <x v="0"/>
    <n v="6"/>
    <x v="2"/>
    <x v="5"/>
    <x v="5"/>
  </r>
  <r>
    <n v="1476"/>
    <x v="42"/>
    <x v="0"/>
    <x v="0"/>
    <x v="0"/>
    <x v="70"/>
    <x v="3"/>
    <s v="M"/>
    <s v="Teal"/>
    <s v="Spring"/>
    <n v="4"/>
    <x v="1"/>
    <x v="0"/>
    <x v="0"/>
    <x v="0"/>
    <n v="24"/>
    <x v="1"/>
    <x v="5"/>
    <x v="5"/>
  </r>
  <r>
    <n v="1477"/>
    <x v="31"/>
    <x v="0"/>
    <x v="19"/>
    <x v="3"/>
    <x v="22"/>
    <x v="5"/>
    <s v="M"/>
    <s v="Magenta"/>
    <s v="Fall"/>
    <n v="4.0999999999999996"/>
    <x v="1"/>
    <x v="2"/>
    <x v="0"/>
    <x v="0"/>
    <n v="18"/>
    <x v="2"/>
    <x v="5"/>
    <x v="5"/>
  </r>
  <r>
    <n v="1478"/>
    <x v="41"/>
    <x v="0"/>
    <x v="22"/>
    <x v="3"/>
    <x v="50"/>
    <x v="4"/>
    <s v="XL"/>
    <s v="Silver"/>
    <s v="Summer"/>
    <n v="4.3"/>
    <x v="1"/>
    <x v="3"/>
    <x v="0"/>
    <x v="0"/>
    <n v="1"/>
    <x v="3"/>
    <x v="6"/>
    <x v="3"/>
  </r>
  <r>
    <n v="1479"/>
    <x v="48"/>
    <x v="0"/>
    <x v="24"/>
    <x v="3"/>
    <x v="66"/>
    <x v="47"/>
    <s v="M"/>
    <s v="Blue"/>
    <s v="Summer"/>
    <n v="4.2"/>
    <x v="1"/>
    <x v="1"/>
    <x v="0"/>
    <x v="0"/>
    <n v="13"/>
    <x v="0"/>
    <x v="4"/>
    <x v="4"/>
  </r>
  <r>
    <n v="1480"/>
    <x v="39"/>
    <x v="0"/>
    <x v="7"/>
    <x v="2"/>
    <x v="33"/>
    <x v="47"/>
    <s v="L"/>
    <s v="Black"/>
    <s v="Spring"/>
    <n v="4"/>
    <x v="1"/>
    <x v="3"/>
    <x v="0"/>
    <x v="0"/>
    <n v="2"/>
    <x v="4"/>
    <x v="1"/>
    <x v="1"/>
  </r>
  <r>
    <n v="1481"/>
    <x v="31"/>
    <x v="0"/>
    <x v="16"/>
    <x v="3"/>
    <x v="67"/>
    <x v="13"/>
    <s v="M"/>
    <s v="Gold"/>
    <s v="Fall"/>
    <n v="3.6"/>
    <x v="1"/>
    <x v="0"/>
    <x v="0"/>
    <x v="0"/>
    <n v="26"/>
    <x v="1"/>
    <x v="3"/>
    <x v="3"/>
  </r>
  <r>
    <n v="1482"/>
    <x v="14"/>
    <x v="0"/>
    <x v="11"/>
    <x v="0"/>
    <x v="27"/>
    <x v="33"/>
    <s v="S"/>
    <s v="Gray"/>
    <s v="Spring"/>
    <n v="3.3"/>
    <x v="1"/>
    <x v="3"/>
    <x v="0"/>
    <x v="0"/>
    <n v="31"/>
    <x v="3"/>
    <x v="3"/>
    <x v="3"/>
  </r>
  <r>
    <n v="1483"/>
    <x v="48"/>
    <x v="0"/>
    <x v="24"/>
    <x v="3"/>
    <x v="25"/>
    <x v="48"/>
    <s v="S"/>
    <s v="Magenta"/>
    <s v="Spring"/>
    <n v="4.0999999999999996"/>
    <x v="1"/>
    <x v="4"/>
    <x v="0"/>
    <x v="0"/>
    <n v="43"/>
    <x v="4"/>
    <x v="1"/>
    <x v="1"/>
  </r>
  <r>
    <n v="1484"/>
    <x v="31"/>
    <x v="0"/>
    <x v="16"/>
    <x v="3"/>
    <x v="70"/>
    <x v="2"/>
    <s v="S"/>
    <s v="Yellow"/>
    <s v="Summer"/>
    <n v="4.7"/>
    <x v="1"/>
    <x v="2"/>
    <x v="0"/>
    <x v="0"/>
    <n v="12"/>
    <x v="5"/>
    <x v="4"/>
    <x v="4"/>
  </r>
  <r>
    <n v="1485"/>
    <x v="34"/>
    <x v="0"/>
    <x v="6"/>
    <x v="0"/>
    <x v="43"/>
    <x v="43"/>
    <s v="M"/>
    <s v="Teal"/>
    <s v="Summer"/>
    <n v="4.4000000000000004"/>
    <x v="1"/>
    <x v="5"/>
    <x v="0"/>
    <x v="0"/>
    <n v="22"/>
    <x v="0"/>
    <x v="6"/>
    <x v="3"/>
  </r>
  <r>
    <n v="1486"/>
    <x v="40"/>
    <x v="0"/>
    <x v="24"/>
    <x v="3"/>
    <x v="22"/>
    <x v="43"/>
    <s v="L"/>
    <s v="Red"/>
    <s v="Spring"/>
    <n v="3.4"/>
    <x v="1"/>
    <x v="3"/>
    <x v="0"/>
    <x v="0"/>
    <n v="3"/>
    <x v="1"/>
    <x v="0"/>
    <x v="0"/>
  </r>
  <r>
    <n v="1487"/>
    <x v="15"/>
    <x v="0"/>
    <x v="4"/>
    <x v="1"/>
    <x v="2"/>
    <x v="37"/>
    <s v="S"/>
    <s v="Yellow"/>
    <s v="Spring"/>
    <n v="5"/>
    <x v="1"/>
    <x v="1"/>
    <x v="0"/>
    <x v="0"/>
    <n v="23"/>
    <x v="0"/>
    <x v="6"/>
    <x v="3"/>
  </r>
  <r>
    <n v="1488"/>
    <x v="37"/>
    <x v="0"/>
    <x v="11"/>
    <x v="0"/>
    <x v="77"/>
    <x v="28"/>
    <s v="L"/>
    <s v="Black"/>
    <s v="Summer"/>
    <n v="4.5999999999999996"/>
    <x v="1"/>
    <x v="5"/>
    <x v="0"/>
    <x v="0"/>
    <n v="26"/>
    <x v="3"/>
    <x v="2"/>
    <x v="2"/>
  </r>
  <r>
    <n v="1489"/>
    <x v="51"/>
    <x v="0"/>
    <x v="19"/>
    <x v="3"/>
    <x v="77"/>
    <x v="11"/>
    <s v="L"/>
    <s v="Pink"/>
    <s v="Winter"/>
    <n v="4"/>
    <x v="1"/>
    <x v="3"/>
    <x v="0"/>
    <x v="0"/>
    <n v="37"/>
    <x v="2"/>
    <x v="1"/>
    <x v="1"/>
  </r>
  <r>
    <n v="1490"/>
    <x v="41"/>
    <x v="0"/>
    <x v="16"/>
    <x v="3"/>
    <x v="46"/>
    <x v="9"/>
    <s v="XL"/>
    <s v="Magenta"/>
    <s v="Summer"/>
    <n v="4.0999999999999996"/>
    <x v="1"/>
    <x v="2"/>
    <x v="0"/>
    <x v="0"/>
    <n v="42"/>
    <x v="0"/>
    <x v="3"/>
    <x v="3"/>
  </r>
  <r>
    <n v="1491"/>
    <x v="17"/>
    <x v="0"/>
    <x v="4"/>
    <x v="1"/>
    <x v="78"/>
    <x v="7"/>
    <s v="L"/>
    <s v="Olive"/>
    <s v="Spring"/>
    <n v="4.9000000000000004"/>
    <x v="1"/>
    <x v="0"/>
    <x v="0"/>
    <x v="0"/>
    <n v="15"/>
    <x v="0"/>
    <x v="4"/>
    <x v="4"/>
  </r>
  <r>
    <n v="1492"/>
    <x v="7"/>
    <x v="0"/>
    <x v="5"/>
    <x v="0"/>
    <x v="36"/>
    <x v="10"/>
    <s v="S"/>
    <s v="Black"/>
    <s v="Summer"/>
    <n v="2.7"/>
    <x v="1"/>
    <x v="1"/>
    <x v="0"/>
    <x v="0"/>
    <n v="10"/>
    <x v="4"/>
    <x v="3"/>
    <x v="3"/>
  </r>
  <r>
    <n v="1493"/>
    <x v="46"/>
    <x v="0"/>
    <x v="14"/>
    <x v="2"/>
    <x v="15"/>
    <x v="17"/>
    <s v="M"/>
    <s v="Maroon"/>
    <s v="Summer"/>
    <n v="4.5"/>
    <x v="1"/>
    <x v="1"/>
    <x v="0"/>
    <x v="0"/>
    <n v="3"/>
    <x v="0"/>
    <x v="3"/>
    <x v="3"/>
  </r>
  <r>
    <n v="1494"/>
    <x v="27"/>
    <x v="0"/>
    <x v="22"/>
    <x v="3"/>
    <x v="77"/>
    <x v="25"/>
    <s v="S"/>
    <s v="Gold"/>
    <s v="Fall"/>
    <n v="2.7"/>
    <x v="1"/>
    <x v="3"/>
    <x v="0"/>
    <x v="0"/>
    <n v="44"/>
    <x v="2"/>
    <x v="3"/>
    <x v="3"/>
  </r>
  <r>
    <n v="1495"/>
    <x v="49"/>
    <x v="0"/>
    <x v="17"/>
    <x v="0"/>
    <x v="31"/>
    <x v="6"/>
    <s v="M"/>
    <s v="Gray"/>
    <s v="Spring"/>
    <n v="3"/>
    <x v="1"/>
    <x v="2"/>
    <x v="0"/>
    <x v="0"/>
    <n v="23"/>
    <x v="4"/>
    <x v="0"/>
    <x v="0"/>
  </r>
  <r>
    <n v="1496"/>
    <x v="4"/>
    <x v="0"/>
    <x v="16"/>
    <x v="3"/>
    <x v="66"/>
    <x v="3"/>
    <s v="M"/>
    <s v="Brown"/>
    <s v="Winter"/>
    <n v="4.5"/>
    <x v="1"/>
    <x v="2"/>
    <x v="0"/>
    <x v="0"/>
    <n v="6"/>
    <x v="3"/>
    <x v="1"/>
    <x v="1"/>
  </r>
  <r>
    <n v="1497"/>
    <x v="6"/>
    <x v="0"/>
    <x v="17"/>
    <x v="0"/>
    <x v="57"/>
    <x v="37"/>
    <s v="M"/>
    <s v="Purple"/>
    <s v="Winter"/>
    <n v="5"/>
    <x v="1"/>
    <x v="3"/>
    <x v="0"/>
    <x v="0"/>
    <n v="9"/>
    <x v="0"/>
    <x v="4"/>
    <x v="4"/>
  </r>
  <r>
    <n v="1498"/>
    <x v="28"/>
    <x v="0"/>
    <x v="14"/>
    <x v="2"/>
    <x v="27"/>
    <x v="49"/>
    <s v="S"/>
    <s v="Magenta"/>
    <s v="Spring"/>
    <n v="3.8"/>
    <x v="1"/>
    <x v="4"/>
    <x v="0"/>
    <x v="0"/>
    <n v="16"/>
    <x v="5"/>
    <x v="6"/>
    <x v="3"/>
  </r>
  <r>
    <n v="1499"/>
    <x v="35"/>
    <x v="0"/>
    <x v="1"/>
    <x v="0"/>
    <x v="50"/>
    <x v="26"/>
    <s v="M"/>
    <s v="Teal"/>
    <s v="Summer"/>
    <n v="3.1"/>
    <x v="1"/>
    <x v="3"/>
    <x v="0"/>
    <x v="0"/>
    <n v="46"/>
    <x v="0"/>
    <x v="0"/>
    <x v="0"/>
  </r>
  <r>
    <n v="1500"/>
    <x v="1"/>
    <x v="0"/>
    <x v="23"/>
    <x v="1"/>
    <x v="6"/>
    <x v="42"/>
    <s v="S"/>
    <s v="Olive"/>
    <s v="Fall"/>
    <n v="3.4"/>
    <x v="1"/>
    <x v="1"/>
    <x v="0"/>
    <x v="0"/>
    <n v="24"/>
    <x v="2"/>
    <x v="6"/>
    <x v="3"/>
  </r>
  <r>
    <n v="1501"/>
    <x v="6"/>
    <x v="0"/>
    <x v="2"/>
    <x v="0"/>
    <x v="28"/>
    <x v="15"/>
    <s v="L"/>
    <s v="Maroon"/>
    <s v="Summer"/>
    <n v="4.8"/>
    <x v="1"/>
    <x v="2"/>
    <x v="0"/>
    <x v="0"/>
    <n v="22"/>
    <x v="5"/>
    <x v="5"/>
    <x v="5"/>
  </r>
  <r>
    <n v="1502"/>
    <x v="43"/>
    <x v="0"/>
    <x v="2"/>
    <x v="0"/>
    <x v="37"/>
    <x v="29"/>
    <s v="XL"/>
    <s v="Silver"/>
    <s v="Spring"/>
    <n v="2.7"/>
    <x v="1"/>
    <x v="3"/>
    <x v="0"/>
    <x v="0"/>
    <n v="13"/>
    <x v="5"/>
    <x v="6"/>
    <x v="3"/>
  </r>
  <r>
    <n v="1503"/>
    <x v="43"/>
    <x v="0"/>
    <x v="13"/>
    <x v="0"/>
    <x v="76"/>
    <x v="2"/>
    <s v="M"/>
    <s v="Black"/>
    <s v="Summer"/>
    <n v="3.2"/>
    <x v="1"/>
    <x v="5"/>
    <x v="0"/>
    <x v="0"/>
    <n v="20"/>
    <x v="1"/>
    <x v="0"/>
    <x v="0"/>
  </r>
  <r>
    <n v="1504"/>
    <x v="2"/>
    <x v="0"/>
    <x v="14"/>
    <x v="2"/>
    <x v="38"/>
    <x v="49"/>
    <s v="M"/>
    <s v="Maroon"/>
    <s v="Fall"/>
    <n v="3.9"/>
    <x v="1"/>
    <x v="4"/>
    <x v="0"/>
    <x v="0"/>
    <n v="46"/>
    <x v="1"/>
    <x v="3"/>
    <x v="3"/>
  </r>
  <r>
    <n v="1505"/>
    <x v="52"/>
    <x v="0"/>
    <x v="14"/>
    <x v="2"/>
    <x v="68"/>
    <x v="29"/>
    <s v="M"/>
    <s v="Teal"/>
    <s v="Winter"/>
    <n v="4.2"/>
    <x v="1"/>
    <x v="2"/>
    <x v="0"/>
    <x v="0"/>
    <n v="10"/>
    <x v="4"/>
    <x v="5"/>
    <x v="5"/>
  </r>
  <r>
    <n v="1506"/>
    <x v="5"/>
    <x v="0"/>
    <x v="22"/>
    <x v="3"/>
    <x v="5"/>
    <x v="25"/>
    <s v="M"/>
    <s v="Teal"/>
    <s v="Summer"/>
    <n v="3"/>
    <x v="1"/>
    <x v="0"/>
    <x v="0"/>
    <x v="0"/>
    <n v="39"/>
    <x v="1"/>
    <x v="5"/>
    <x v="5"/>
  </r>
  <r>
    <n v="1507"/>
    <x v="25"/>
    <x v="0"/>
    <x v="5"/>
    <x v="0"/>
    <x v="38"/>
    <x v="36"/>
    <s v="L"/>
    <s v="Beige"/>
    <s v="Fall"/>
    <n v="3"/>
    <x v="1"/>
    <x v="4"/>
    <x v="0"/>
    <x v="0"/>
    <n v="44"/>
    <x v="3"/>
    <x v="3"/>
    <x v="3"/>
  </r>
  <r>
    <n v="1508"/>
    <x v="17"/>
    <x v="0"/>
    <x v="10"/>
    <x v="0"/>
    <x v="62"/>
    <x v="38"/>
    <s v="S"/>
    <s v="Maroon"/>
    <s v="Winter"/>
    <n v="3.7"/>
    <x v="1"/>
    <x v="4"/>
    <x v="0"/>
    <x v="0"/>
    <n v="7"/>
    <x v="0"/>
    <x v="2"/>
    <x v="2"/>
  </r>
  <r>
    <n v="1509"/>
    <x v="25"/>
    <x v="0"/>
    <x v="0"/>
    <x v="0"/>
    <x v="63"/>
    <x v="24"/>
    <s v="L"/>
    <s v="Beige"/>
    <s v="Spring"/>
    <n v="4.4000000000000004"/>
    <x v="1"/>
    <x v="5"/>
    <x v="0"/>
    <x v="0"/>
    <n v="3"/>
    <x v="1"/>
    <x v="6"/>
    <x v="3"/>
  </r>
  <r>
    <n v="1510"/>
    <x v="30"/>
    <x v="0"/>
    <x v="10"/>
    <x v="0"/>
    <x v="36"/>
    <x v="13"/>
    <s v="XL"/>
    <s v="White"/>
    <s v="Summer"/>
    <n v="4.5999999999999996"/>
    <x v="1"/>
    <x v="1"/>
    <x v="0"/>
    <x v="0"/>
    <n v="44"/>
    <x v="5"/>
    <x v="2"/>
    <x v="2"/>
  </r>
  <r>
    <n v="1511"/>
    <x v="0"/>
    <x v="0"/>
    <x v="0"/>
    <x v="0"/>
    <x v="38"/>
    <x v="33"/>
    <s v="XL"/>
    <s v="Gray"/>
    <s v="Fall"/>
    <n v="3"/>
    <x v="1"/>
    <x v="1"/>
    <x v="0"/>
    <x v="0"/>
    <n v="31"/>
    <x v="0"/>
    <x v="2"/>
    <x v="2"/>
  </r>
  <r>
    <n v="1512"/>
    <x v="50"/>
    <x v="0"/>
    <x v="10"/>
    <x v="0"/>
    <x v="26"/>
    <x v="42"/>
    <s v="M"/>
    <s v="Violet"/>
    <s v="Winter"/>
    <n v="3.6"/>
    <x v="1"/>
    <x v="0"/>
    <x v="0"/>
    <x v="0"/>
    <n v="48"/>
    <x v="2"/>
    <x v="1"/>
    <x v="1"/>
  </r>
  <r>
    <n v="1513"/>
    <x v="52"/>
    <x v="0"/>
    <x v="4"/>
    <x v="1"/>
    <x v="66"/>
    <x v="48"/>
    <s v="L"/>
    <s v="Silver"/>
    <s v="Winter"/>
    <n v="3.9"/>
    <x v="1"/>
    <x v="3"/>
    <x v="0"/>
    <x v="0"/>
    <n v="18"/>
    <x v="3"/>
    <x v="4"/>
    <x v="4"/>
  </r>
  <r>
    <n v="1514"/>
    <x v="40"/>
    <x v="0"/>
    <x v="20"/>
    <x v="0"/>
    <x v="59"/>
    <x v="21"/>
    <s v="M"/>
    <s v="Red"/>
    <s v="Spring"/>
    <n v="4.0999999999999996"/>
    <x v="1"/>
    <x v="1"/>
    <x v="0"/>
    <x v="0"/>
    <n v="27"/>
    <x v="1"/>
    <x v="5"/>
    <x v="5"/>
  </r>
  <r>
    <n v="1515"/>
    <x v="8"/>
    <x v="0"/>
    <x v="9"/>
    <x v="1"/>
    <x v="3"/>
    <x v="40"/>
    <s v="L"/>
    <s v="Brown"/>
    <s v="Winter"/>
    <n v="3.9"/>
    <x v="1"/>
    <x v="4"/>
    <x v="0"/>
    <x v="0"/>
    <n v="1"/>
    <x v="0"/>
    <x v="1"/>
    <x v="1"/>
  </r>
  <r>
    <n v="1516"/>
    <x v="31"/>
    <x v="0"/>
    <x v="2"/>
    <x v="0"/>
    <x v="73"/>
    <x v="27"/>
    <s v="S"/>
    <s v="Turquoise"/>
    <s v="Fall"/>
    <n v="3.9"/>
    <x v="1"/>
    <x v="4"/>
    <x v="0"/>
    <x v="0"/>
    <n v="34"/>
    <x v="1"/>
    <x v="1"/>
    <x v="1"/>
  </r>
  <r>
    <n v="1517"/>
    <x v="30"/>
    <x v="0"/>
    <x v="2"/>
    <x v="0"/>
    <x v="10"/>
    <x v="22"/>
    <s v="L"/>
    <s v="Indigo"/>
    <s v="Winter"/>
    <n v="4.5"/>
    <x v="1"/>
    <x v="0"/>
    <x v="0"/>
    <x v="0"/>
    <n v="5"/>
    <x v="4"/>
    <x v="4"/>
    <x v="4"/>
  </r>
  <r>
    <n v="1518"/>
    <x v="9"/>
    <x v="0"/>
    <x v="24"/>
    <x v="3"/>
    <x v="52"/>
    <x v="13"/>
    <s v="M"/>
    <s v="Violet"/>
    <s v="Spring"/>
    <n v="3.4"/>
    <x v="1"/>
    <x v="3"/>
    <x v="0"/>
    <x v="0"/>
    <n v="12"/>
    <x v="1"/>
    <x v="3"/>
    <x v="3"/>
  </r>
  <r>
    <n v="1519"/>
    <x v="33"/>
    <x v="0"/>
    <x v="22"/>
    <x v="3"/>
    <x v="2"/>
    <x v="14"/>
    <s v="M"/>
    <s v="Yellow"/>
    <s v="Winter"/>
    <n v="4.0999999999999996"/>
    <x v="1"/>
    <x v="2"/>
    <x v="0"/>
    <x v="0"/>
    <n v="14"/>
    <x v="0"/>
    <x v="0"/>
    <x v="0"/>
  </r>
  <r>
    <n v="1520"/>
    <x v="2"/>
    <x v="0"/>
    <x v="12"/>
    <x v="3"/>
    <x v="2"/>
    <x v="21"/>
    <s v="L"/>
    <s v="Cyan"/>
    <s v="Fall"/>
    <n v="4.9000000000000004"/>
    <x v="1"/>
    <x v="2"/>
    <x v="0"/>
    <x v="0"/>
    <n v="40"/>
    <x v="3"/>
    <x v="1"/>
    <x v="1"/>
  </r>
  <r>
    <n v="1521"/>
    <x v="3"/>
    <x v="0"/>
    <x v="19"/>
    <x v="3"/>
    <x v="76"/>
    <x v="44"/>
    <s v="M"/>
    <s v="Brown"/>
    <s v="Summer"/>
    <n v="4.4000000000000004"/>
    <x v="1"/>
    <x v="4"/>
    <x v="0"/>
    <x v="0"/>
    <n v="39"/>
    <x v="1"/>
    <x v="3"/>
    <x v="3"/>
  </r>
  <r>
    <n v="1522"/>
    <x v="26"/>
    <x v="0"/>
    <x v="21"/>
    <x v="3"/>
    <x v="40"/>
    <x v="47"/>
    <s v="M"/>
    <s v="White"/>
    <s v="Summer"/>
    <n v="2.7"/>
    <x v="1"/>
    <x v="4"/>
    <x v="0"/>
    <x v="0"/>
    <n v="50"/>
    <x v="4"/>
    <x v="1"/>
    <x v="1"/>
  </r>
  <r>
    <n v="1523"/>
    <x v="21"/>
    <x v="0"/>
    <x v="6"/>
    <x v="0"/>
    <x v="11"/>
    <x v="30"/>
    <s v="L"/>
    <s v="Yellow"/>
    <s v="Spring"/>
    <n v="4.8"/>
    <x v="1"/>
    <x v="1"/>
    <x v="0"/>
    <x v="0"/>
    <n v="5"/>
    <x v="5"/>
    <x v="5"/>
    <x v="5"/>
  </r>
  <r>
    <n v="1524"/>
    <x v="22"/>
    <x v="0"/>
    <x v="20"/>
    <x v="0"/>
    <x v="19"/>
    <x v="42"/>
    <s v="M"/>
    <s v="White"/>
    <s v="Summer"/>
    <n v="3.3"/>
    <x v="1"/>
    <x v="4"/>
    <x v="0"/>
    <x v="0"/>
    <n v="35"/>
    <x v="5"/>
    <x v="2"/>
    <x v="2"/>
  </r>
  <r>
    <n v="1525"/>
    <x v="40"/>
    <x v="0"/>
    <x v="20"/>
    <x v="0"/>
    <x v="31"/>
    <x v="2"/>
    <s v="L"/>
    <s v="Pink"/>
    <s v="Summer"/>
    <n v="4.4000000000000004"/>
    <x v="1"/>
    <x v="1"/>
    <x v="0"/>
    <x v="0"/>
    <n v="6"/>
    <x v="1"/>
    <x v="4"/>
    <x v="4"/>
  </r>
  <r>
    <n v="1526"/>
    <x v="26"/>
    <x v="0"/>
    <x v="22"/>
    <x v="3"/>
    <x v="9"/>
    <x v="4"/>
    <s v="M"/>
    <s v="Indigo"/>
    <s v="Winter"/>
    <n v="4.5999999999999996"/>
    <x v="1"/>
    <x v="4"/>
    <x v="0"/>
    <x v="0"/>
    <n v="22"/>
    <x v="1"/>
    <x v="0"/>
    <x v="0"/>
  </r>
  <r>
    <n v="1527"/>
    <x v="38"/>
    <x v="0"/>
    <x v="14"/>
    <x v="2"/>
    <x v="20"/>
    <x v="19"/>
    <s v="L"/>
    <s v="White"/>
    <s v="Summer"/>
    <n v="3.1"/>
    <x v="1"/>
    <x v="2"/>
    <x v="0"/>
    <x v="0"/>
    <n v="27"/>
    <x v="3"/>
    <x v="5"/>
    <x v="5"/>
  </r>
  <r>
    <n v="1528"/>
    <x v="8"/>
    <x v="0"/>
    <x v="19"/>
    <x v="3"/>
    <x v="60"/>
    <x v="48"/>
    <s v="L"/>
    <s v="Red"/>
    <s v="Fall"/>
    <n v="4.5"/>
    <x v="1"/>
    <x v="4"/>
    <x v="0"/>
    <x v="0"/>
    <n v="33"/>
    <x v="5"/>
    <x v="0"/>
    <x v="0"/>
  </r>
  <r>
    <n v="1529"/>
    <x v="28"/>
    <x v="0"/>
    <x v="17"/>
    <x v="0"/>
    <x v="60"/>
    <x v="4"/>
    <s v="S"/>
    <s v="Red"/>
    <s v="Spring"/>
    <n v="4"/>
    <x v="1"/>
    <x v="5"/>
    <x v="0"/>
    <x v="0"/>
    <n v="47"/>
    <x v="0"/>
    <x v="4"/>
    <x v="4"/>
  </r>
  <r>
    <n v="1530"/>
    <x v="30"/>
    <x v="0"/>
    <x v="21"/>
    <x v="3"/>
    <x v="80"/>
    <x v="42"/>
    <s v="M"/>
    <s v="Lavender"/>
    <s v="Winter"/>
    <n v="3.1"/>
    <x v="1"/>
    <x v="1"/>
    <x v="0"/>
    <x v="0"/>
    <n v="48"/>
    <x v="2"/>
    <x v="4"/>
    <x v="4"/>
  </r>
  <r>
    <n v="1531"/>
    <x v="35"/>
    <x v="0"/>
    <x v="7"/>
    <x v="2"/>
    <x v="34"/>
    <x v="35"/>
    <s v="M"/>
    <s v="Teal"/>
    <s v="Spring"/>
    <n v="3.9"/>
    <x v="1"/>
    <x v="2"/>
    <x v="0"/>
    <x v="0"/>
    <n v="22"/>
    <x v="4"/>
    <x v="3"/>
    <x v="3"/>
  </r>
  <r>
    <n v="1532"/>
    <x v="6"/>
    <x v="0"/>
    <x v="21"/>
    <x v="3"/>
    <x v="42"/>
    <x v="16"/>
    <s v="S"/>
    <s v="Violet"/>
    <s v="Spring"/>
    <n v="4.5"/>
    <x v="1"/>
    <x v="2"/>
    <x v="0"/>
    <x v="0"/>
    <n v="8"/>
    <x v="3"/>
    <x v="4"/>
    <x v="4"/>
  </r>
  <r>
    <n v="1533"/>
    <x v="33"/>
    <x v="0"/>
    <x v="14"/>
    <x v="2"/>
    <x v="43"/>
    <x v="48"/>
    <s v="S"/>
    <s v="Silver"/>
    <s v="Winter"/>
    <n v="4.4000000000000004"/>
    <x v="1"/>
    <x v="2"/>
    <x v="0"/>
    <x v="0"/>
    <n v="5"/>
    <x v="3"/>
    <x v="6"/>
    <x v="3"/>
  </r>
  <r>
    <n v="1534"/>
    <x v="2"/>
    <x v="0"/>
    <x v="9"/>
    <x v="1"/>
    <x v="40"/>
    <x v="13"/>
    <s v="M"/>
    <s v="Gold"/>
    <s v="Summer"/>
    <n v="3.6"/>
    <x v="1"/>
    <x v="4"/>
    <x v="0"/>
    <x v="0"/>
    <n v="16"/>
    <x v="4"/>
    <x v="3"/>
    <x v="3"/>
  </r>
  <r>
    <n v="1535"/>
    <x v="0"/>
    <x v="0"/>
    <x v="0"/>
    <x v="0"/>
    <x v="76"/>
    <x v="5"/>
    <s v="M"/>
    <s v="Green"/>
    <s v="Summer"/>
    <n v="3.4"/>
    <x v="1"/>
    <x v="1"/>
    <x v="0"/>
    <x v="0"/>
    <n v="26"/>
    <x v="0"/>
    <x v="0"/>
    <x v="0"/>
  </r>
  <r>
    <n v="1536"/>
    <x v="24"/>
    <x v="0"/>
    <x v="3"/>
    <x v="1"/>
    <x v="67"/>
    <x v="8"/>
    <s v="S"/>
    <s v="Turquoise"/>
    <s v="Fall"/>
    <n v="4"/>
    <x v="1"/>
    <x v="4"/>
    <x v="0"/>
    <x v="0"/>
    <n v="8"/>
    <x v="0"/>
    <x v="5"/>
    <x v="5"/>
  </r>
  <r>
    <n v="1537"/>
    <x v="20"/>
    <x v="0"/>
    <x v="12"/>
    <x v="3"/>
    <x v="71"/>
    <x v="49"/>
    <s v="M"/>
    <s v="Indigo"/>
    <s v="Summer"/>
    <n v="2.6"/>
    <x v="1"/>
    <x v="5"/>
    <x v="0"/>
    <x v="0"/>
    <n v="17"/>
    <x v="1"/>
    <x v="3"/>
    <x v="3"/>
  </r>
  <r>
    <n v="1538"/>
    <x v="33"/>
    <x v="0"/>
    <x v="9"/>
    <x v="1"/>
    <x v="58"/>
    <x v="29"/>
    <s v="L"/>
    <s v="Black"/>
    <s v="Spring"/>
    <n v="3.2"/>
    <x v="1"/>
    <x v="2"/>
    <x v="0"/>
    <x v="0"/>
    <n v="50"/>
    <x v="0"/>
    <x v="2"/>
    <x v="2"/>
  </r>
  <r>
    <n v="1539"/>
    <x v="19"/>
    <x v="0"/>
    <x v="10"/>
    <x v="0"/>
    <x v="61"/>
    <x v="26"/>
    <s v="L"/>
    <s v="Charcoal"/>
    <s v="Fall"/>
    <n v="3.2"/>
    <x v="1"/>
    <x v="3"/>
    <x v="0"/>
    <x v="0"/>
    <n v="22"/>
    <x v="0"/>
    <x v="4"/>
    <x v="4"/>
  </r>
  <r>
    <n v="1540"/>
    <x v="45"/>
    <x v="0"/>
    <x v="22"/>
    <x v="3"/>
    <x v="37"/>
    <x v="11"/>
    <s v="M"/>
    <s v="Turquoise"/>
    <s v="Spring"/>
    <n v="5"/>
    <x v="1"/>
    <x v="4"/>
    <x v="0"/>
    <x v="0"/>
    <n v="19"/>
    <x v="1"/>
    <x v="6"/>
    <x v="3"/>
  </r>
  <r>
    <n v="1541"/>
    <x v="48"/>
    <x v="0"/>
    <x v="6"/>
    <x v="0"/>
    <x v="51"/>
    <x v="24"/>
    <s v="M"/>
    <s v="Red"/>
    <s v="Winter"/>
    <n v="2.9"/>
    <x v="1"/>
    <x v="2"/>
    <x v="0"/>
    <x v="0"/>
    <n v="14"/>
    <x v="4"/>
    <x v="5"/>
    <x v="5"/>
  </r>
  <r>
    <n v="1542"/>
    <x v="41"/>
    <x v="0"/>
    <x v="8"/>
    <x v="3"/>
    <x v="64"/>
    <x v="26"/>
    <s v="S"/>
    <s v="Indigo"/>
    <s v="Winter"/>
    <n v="2.9"/>
    <x v="1"/>
    <x v="5"/>
    <x v="0"/>
    <x v="0"/>
    <n v="35"/>
    <x v="1"/>
    <x v="4"/>
    <x v="4"/>
  </r>
  <r>
    <n v="1543"/>
    <x v="35"/>
    <x v="0"/>
    <x v="0"/>
    <x v="0"/>
    <x v="77"/>
    <x v="11"/>
    <s v="M"/>
    <s v="Maroon"/>
    <s v="Winter"/>
    <n v="3.5"/>
    <x v="1"/>
    <x v="2"/>
    <x v="0"/>
    <x v="0"/>
    <n v="43"/>
    <x v="3"/>
    <x v="1"/>
    <x v="1"/>
  </r>
  <r>
    <n v="1544"/>
    <x v="19"/>
    <x v="0"/>
    <x v="2"/>
    <x v="0"/>
    <x v="58"/>
    <x v="48"/>
    <s v="M"/>
    <s v="Indigo"/>
    <s v="Fall"/>
    <n v="4"/>
    <x v="1"/>
    <x v="3"/>
    <x v="0"/>
    <x v="0"/>
    <n v="24"/>
    <x v="0"/>
    <x v="2"/>
    <x v="2"/>
  </r>
  <r>
    <n v="1545"/>
    <x v="11"/>
    <x v="0"/>
    <x v="16"/>
    <x v="3"/>
    <x v="41"/>
    <x v="10"/>
    <s v="M"/>
    <s v="Maroon"/>
    <s v="Spring"/>
    <n v="3.9"/>
    <x v="1"/>
    <x v="3"/>
    <x v="0"/>
    <x v="0"/>
    <n v="17"/>
    <x v="5"/>
    <x v="4"/>
    <x v="4"/>
  </r>
  <r>
    <n v="1546"/>
    <x v="39"/>
    <x v="0"/>
    <x v="22"/>
    <x v="3"/>
    <x v="35"/>
    <x v="12"/>
    <s v="M"/>
    <s v="Black"/>
    <s v="Winter"/>
    <n v="4.9000000000000004"/>
    <x v="1"/>
    <x v="5"/>
    <x v="0"/>
    <x v="0"/>
    <n v="49"/>
    <x v="4"/>
    <x v="2"/>
    <x v="2"/>
  </r>
  <r>
    <n v="1547"/>
    <x v="52"/>
    <x v="0"/>
    <x v="4"/>
    <x v="1"/>
    <x v="12"/>
    <x v="4"/>
    <s v="XL"/>
    <s v="Purple"/>
    <s v="Summer"/>
    <n v="3.8"/>
    <x v="1"/>
    <x v="0"/>
    <x v="0"/>
    <x v="0"/>
    <n v="17"/>
    <x v="4"/>
    <x v="2"/>
    <x v="2"/>
  </r>
  <r>
    <n v="1548"/>
    <x v="5"/>
    <x v="0"/>
    <x v="19"/>
    <x v="3"/>
    <x v="43"/>
    <x v="36"/>
    <s v="L"/>
    <s v="Teal"/>
    <s v="Summer"/>
    <n v="3.5"/>
    <x v="1"/>
    <x v="3"/>
    <x v="0"/>
    <x v="0"/>
    <n v="40"/>
    <x v="1"/>
    <x v="3"/>
    <x v="3"/>
  </r>
  <r>
    <n v="1549"/>
    <x v="28"/>
    <x v="0"/>
    <x v="10"/>
    <x v="0"/>
    <x v="50"/>
    <x v="33"/>
    <s v="M"/>
    <s v="Silver"/>
    <s v="Summer"/>
    <n v="3.7"/>
    <x v="1"/>
    <x v="5"/>
    <x v="0"/>
    <x v="0"/>
    <n v="43"/>
    <x v="4"/>
    <x v="1"/>
    <x v="1"/>
  </r>
  <r>
    <n v="1550"/>
    <x v="1"/>
    <x v="0"/>
    <x v="4"/>
    <x v="1"/>
    <x v="37"/>
    <x v="23"/>
    <s v="M"/>
    <s v="Black"/>
    <s v="Spring"/>
    <n v="2.9"/>
    <x v="1"/>
    <x v="4"/>
    <x v="0"/>
    <x v="0"/>
    <n v="19"/>
    <x v="5"/>
    <x v="6"/>
    <x v="3"/>
  </r>
  <r>
    <n v="1551"/>
    <x v="17"/>
    <x v="0"/>
    <x v="12"/>
    <x v="3"/>
    <x v="46"/>
    <x v="10"/>
    <s v="S"/>
    <s v="Black"/>
    <s v="Summer"/>
    <n v="2.8"/>
    <x v="1"/>
    <x v="1"/>
    <x v="0"/>
    <x v="0"/>
    <n v="40"/>
    <x v="4"/>
    <x v="3"/>
    <x v="3"/>
  </r>
  <r>
    <n v="1552"/>
    <x v="14"/>
    <x v="0"/>
    <x v="8"/>
    <x v="3"/>
    <x v="45"/>
    <x v="46"/>
    <s v="M"/>
    <s v="Olive"/>
    <s v="Summer"/>
    <n v="3.7"/>
    <x v="1"/>
    <x v="4"/>
    <x v="0"/>
    <x v="0"/>
    <n v="13"/>
    <x v="2"/>
    <x v="5"/>
    <x v="5"/>
  </r>
  <r>
    <n v="1553"/>
    <x v="22"/>
    <x v="0"/>
    <x v="0"/>
    <x v="0"/>
    <x v="4"/>
    <x v="35"/>
    <s v="L"/>
    <s v="Purple"/>
    <s v="Spring"/>
    <n v="3"/>
    <x v="1"/>
    <x v="0"/>
    <x v="0"/>
    <x v="0"/>
    <n v="20"/>
    <x v="2"/>
    <x v="5"/>
    <x v="5"/>
  </r>
  <r>
    <n v="1554"/>
    <x v="7"/>
    <x v="0"/>
    <x v="0"/>
    <x v="0"/>
    <x v="29"/>
    <x v="12"/>
    <s v="M"/>
    <s v="Indigo"/>
    <s v="Spring"/>
    <n v="4.8"/>
    <x v="1"/>
    <x v="1"/>
    <x v="0"/>
    <x v="0"/>
    <n v="21"/>
    <x v="5"/>
    <x v="3"/>
    <x v="3"/>
  </r>
  <r>
    <n v="1555"/>
    <x v="14"/>
    <x v="0"/>
    <x v="6"/>
    <x v="0"/>
    <x v="16"/>
    <x v="40"/>
    <s v="S"/>
    <s v="Lavender"/>
    <s v="Winter"/>
    <n v="2.7"/>
    <x v="1"/>
    <x v="3"/>
    <x v="0"/>
    <x v="0"/>
    <n v="18"/>
    <x v="1"/>
    <x v="4"/>
    <x v="4"/>
  </r>
  <r>
    <n v="1556"/>
    <x v="49"/>
    <x v="0"/>
    <x v="6"/>
    <x v="0"/>
    <x v="53"/>
    <x v="31"/>
    <s v="S"/>
    <s v="Cyan"/>
    <s v="Winter"/>
    <n v="4.5"/>
    <x v="1"/>
    <x v="1"/>
    <x v="0"/>
    <x v="0"/>
    <n v="44"/>
    <x v="1"/>
    <x v="3"/>
    <x v="3"/>
  </r>
  <r>
    <n v="1557"/>
    <x v="49"/>
    <x v="0"/>
    <x v="15"/>
    <x v="0"/>
    <x v="75"/>
    <x v="15"/>
    <s v="M"/>
    <s v="Gold"/>
    <s v="Fall"/>
    <n v="2.7"/>
    <x v="1"/>
    <x v="3"/>
    <x v="0"/>
    <x v="0"/>
    <n v="26"/>
    <x v="2"/>
    <x v="3"/>
    <x v="3"/>
  </r>
  <r>
    <n v="1558"/>
    <x v="7"/>
    <x v="0"/>
    <x v="21"/>
    <x v="3"/>
    <x v="7"/>
    <x v="45"/>
    <s v="L"/>
    <s v="Magenta"/>
    <s v="Fall"/>
    <n v="3.5"/>
    <x v="1"/>
    <x v="2"/>
    <x v="0"/>
    <x v="0"/>
    <n v="34"/>
    <x v="3"/>
    <x v="3"/>
    <x v="3"/>
  </r>
  <r>
    <n v="1559"/>
    <x v="25"/>
    <x v="0"/>
    <x v="12"/>
    <x v="3"/>
    <x v="60"/>
    <x v="35"/>
    <s v="XL"/>
    <s v="Teal"/>
    <s v="Fall"/>
    <n v="3.5"/>
    <x v="1"/>
    <x v="0"/>
    <x v="0"/>
    <x v="0"/>
    <n v="24"/>
    <x v="2"/>
    <x v="6"/>
    <x v="3"/>
  </r>
  <r>
    <n v="1560"/>
    <x v="49"/>
    <x v="0"/>
    <x v="18"/>
    <x v="3"/>
    <x v="23"/>
    <x v="4"/>
    <s v="L"/>
    <s v="Beige"/>
    <s v="Fall"/>
    <n v="4.5"/>
    <x v="1"/>
    <x v="5"/>
    <x v="0"/>
    <x v="0"/>
    <n v="23"/>
    <x v="3"/>
    <x v="0"/>
    <x v="0"/>
  </r>
  <r>
    <n v="1561"/>
    <x v="9"/>
    <x v="0"/>
    <x v="19"/>
    <x v="3"/>
    <x v="63"/>
    <x v="4"/>
    <s v="M"/>
    <s v="Teal"/>
    <s v="Winter"/>
    <n v="3.8"/>
    <x v="1"/>
    <x v="1"/>
    <x v="0"/>
    <x v="0"/>
    <n v="3"/>
    <x v="5"/>
    <x v="1"/>
    <x v="1"/>
  </r>
  <r>
    <n v="1562"/>
    <x v="2"/>
    <x v="0"/>
    <x v="18"/>
    <x v="3"/>
    <x v="15"/>
    <x v="16"/>
    <s v="M"/>
    <s v="Indigo"/>
    <s v="Summer"/>
    <n v="3.8"/>
    <x v="1"/>
    <x v="3"/>
    <x v="0"/>
    <x v="0"/>
    <n v="2"/>
    <x v="4"/>
    <x v="3"/>
    <x v="3"/>
  </r>
  <r>
    <n v="1563"/>
    <x v="43"/>
    <x v="0"/>
    <x v="18"/>
    <x v="3"/>
    <x v="60"/>
    <x v="15"/>
    <s v="M"/>
    <s v="Purple"/>
    <s v="Winter"/>
    <n v="3.2"/>
    <x v="1"/>
    <x v="2"/>
    <x v="0"/>
    <x v="0"/>
    <n v="23"/>
    <x v="0"/>
    <x v="4"/>
    <x v="4"/>
  </r>
  <r>
    <n v="1564"/>
    <x v="33"/>
    <x v="0"/>
    <x v="13"/>
    <x v="0"/>
    <x v="77"/>
    <x v="23"/>
    <s v="M"/>
    <s v="Teal"/>
    <s v="Fall"/>
    <n v="4.3"/>
    <x v="1"/>
    <x v="2"/>
    <x v="0"/>
    <x v="0"/>
    <n v="8"/>
    <x v="1"/>
    <x v="1"/>
    <x v="1"/>
  </r>
  <r>
    <n v="1565"/>
    <x v="40"/>
    <x v="0"/>
    <x v="21"/>
    <x v="3"/>
    <x v="27"/>
    <x v="18"/>
    <s v="XL"/>
    <s v="Turquoise"/>
    <s v="Summer"/>
    <n v="4.5"/>
    <x v="1"/>
    <x v="2"/>
    <x v="0"/>
    <x v="0"/>
    <n v="30"/>
    <x v="5"/>
    <x v="6"/>
    <x v="3"/>
  </r>
  <r>
    <n v="1566"/>
    <x v="44"/>
    <x v="0"/>
    <x v="12"/>
    <x v="3"/>
    <x v="73"/>
    <x v="37"/>
    <s v="L"/>
    <s v="Peach"/>
    <s v="Fall"/>
    <n v="4.2"/>
    <x v="1"/>
    <x v="1"/>
    <x v="0"/>
    <x v="0"/>
    <n v="48"/>
    <x v="3"/>
    <x v="2"/>
    <x v="2"/>
  </r>
  <r>
    <n v="1567"/>
    <x v="39"/>
    <x v="0"/>
    <x v="4"/>
    <x v="1"/>
    <x v="54"/>
    <x v="5"/>
    <s v="S"/>
    <s v="Green"/>
    <s v="Winter"/>
    <n v="3"/>
    <x v="1"/>
    <x v="1"/>
    <x v="0"/>
    <x v="0"/>
    <n v="21"/>
    <x v="1"/>
    <x v="4"/>
    <x v="4"/>
  </r>
  <r>
    <n v="1568"/>
    <x v="11"/>
    <x v="0"/>
    <x v="21"/>
    <x v="3"/>
    <x v="27"/>
    <x v="46"/>
    <s v="M"/>
    <s v="Turquoise"/>
    <s v="Spring"/>
    <n v="4.0999999999999996"/>
    <x v="1"/>
    <x v="3"/>
    <x v="0"/>
    <x v="0"/>
    <n v="9"/>
    <x v="1"/>
    <x v="5"/>
    <x v="5"/>
  </r>
  <r>
    <n v="1569"/>
    <x v="47"/>
    <x v="0"/>
    <x v="4"/>
    <x v="1"/>
    <x v="31"/>
    <x v="47"/>
    <s v="L"/>
    <s v="Yellow"/>
    <s v="Spring"/>
    <n v="4.5999999999999996"/>
    <x v="1"/>
    <x v="5"/>
    <x v="0"/>
    <x v="0"/>
    <n v="8"/>
    <x v="5"/>
    <x v="5"/>
    <x v="5"/>
  </r>
  <r>
    <n v="1570"/>
    <x v="30"/>
    <x v="0"/>
    <x v="11"/>
    <x v="0"/>
    <x v="80"/>
    <x v="11"/>
    <s v="M"/>
    <s v="Orange"/>
    <s v="Summer"/>
    <n v="2.9"/>
    <x v="1"/>
    <x v="3"/>
    <x v="0"/>
    <x v="0"/>
    <n v="29"/>
    <x v="5"/>
    <x v="1"/>
    <x v="1"/>
  </r>
  <r>
    <n v="1571"/>
    <x v="11"/>
    <x v="0"/>
    <x v="13"/>
    <x v="0"/>
    <x v="52"/>
    <x v="9"/>
    <s v="L"/>
    <s v="Brown"/>
    <s v="Winter"/>
    <n v="4.8"/>
    <x v="1"/>
    <x v="2"/>
    <x v="0"/>
    <x v="0"/>
    <n v="3"/>
    <x v="4"/>
    <x v="6"/>
    <x v="3"/>
  </r>
  <r>
    <n v="1572"/>
    <x v="48"/>
    <x v="0"/>
    <x v="16"/>
    <x v="3"/>
    <x v="19"/>
    <x v="24"/>
    <s v="L"/>
    <s v="Silver"/>
    <s v="Winter"/>
    <n v="4.5"/>
    <x v="1"/>
    <x v="2"/>
    <x v="0"/>
    <x v="0"/>
    <n v="11"/>
    <x v="4"/>
    <x v="0"/>
    <x v="0"/>
  </r>
  <r>
    <n v="1573"/>
    <x v="43"/>
    <x v="0"/>
    <x v="11"/>
    <x v="0"/>
    <x v="56"/>
    <x v="47"/>
    <s v="L"/>
    <s v="White"/>
    <s v="Summer"/>
    <n v="3.4"/>
    <x v="1"/>
    <x v="4"/>
    <x v="0"/>
    <x v="0"/>
    <n v="16"/>
    <x v="5"/>
    <x v="5"/>
    <x v="5"/>
  </r>
  <r>
    <n v="1574"/>
    <x v="24"/>
    <x v="0"/>
    <x v="17"/>
    <x v="0"/>
    <x v="9"/>
    <x v="25"/>
    <s v="L"/>
    <s v="Indigo"/>
    <s v="Summer"/>
    <n v="4.3"/>
    <x v="1"/>
    <x v="4"/>
    <x v="0"/>
    <x v="0"/>
    <n v="25"/>
    <x v="5"/>
    <x v="1"/>
    <x v="1"/>
  </r>
  <r>
    <n v="1575"/>
    <x v="20"/>
    <x v="0"/>
    <x v="11"/>
    <x v="0"/>
    <x v="21"/>
    <x v="46"/>
    <s v="S"/>
    <s v="Magenta"/>
    <s v="Spring"/>
    <n v="4.2"/>
    <x v="1"/>
    <x v="1"/>
    <x v="0"/>
    <x v="0"/>
    <n v="32"/>
    <x v="3"/>
    <x v="4"/>
    <x v="4"/>
  </r>
  <r>
    <n v="1576"/>
    <x v="16"/>
    <x v="0"/>
    <x v="5"/>
    <x v="0"/>
    <x v="39"/>
    <x v="18"/>
    <s v="M"/>
    <s v="Turquoise"/>
    <s v="Spring"/>
    <n v="3.6"/>
    <x v="1"/>
    <x v="2"/>
    <x v="0"/>
    <x v="0"/>
    <n v="28"/>
    <x v="1"/>
    <x v="0"/>
    <x v="0"/>
  </r>
  <r>
    <n v="1577"/>
    <x v="19"/>
    <x v="0"/>
    <x v="10"/>
    <x v="0"/>
    <x v="60"/>
    <x v="49"/>
    <s v="M"/>
    <s v="White"/>
    <s v="Spring"/>
    <n v="3.7"/>
    <x v="1"/>
    <x v="4"/>
    <x v="0"/>
    <x v="0"/>
    <n v="36"/>
    <x v="3"/>
    <x v="5"/>
    <x v="5"/>
  </r>
  <r>
    <n v="1578"/>
    <x v="33"/>
    <x v="0"/>
    <x v="23"/>
    <x v="1"/>
    <x v="7"/>
    <x v="12"/>
    <s v="S"/>
    <s v="Olive"/>
    <s v="Spring"/>
    <n v="4"/>
    <x v="1"/>
    <x v="3"/>
    <x v="0"/>
    <x v="0"/>
    <n v="7"/>
    <x v="0"/>
    <x v="0"/>
    <x v="0"/>
  </r>
  <r>
    <n v="1579"/>
    <x v="46"/>
    <x v="0"/>
    <x v="13"/>
    <x v="0"/>
    <x v="8"/>
    <x v="18"/>
    <s v="S"/>
    <s v="Maroon"/>
    <s v="Winter"/>
    <n v="4.9000000000000004"/>
    <x v="1"/>
    <x v="4"/>
    <x v="0"/>
    <x v="0"/>
    <n v="2"/>
    <x v="3"/>
    <x v="3"/>
    <x v="3"/>
  </r>
  <r>
    <n v="1580"/>
    <x v="25"/>
    <x v="0"/>
    <x v="14"/>
    <x v="2"/>
    <x v="68"/>
    <x v="19"/>
    <s v="M"/>
    <s v="Violet"/>
    <s v="Summer"/>
    <n v="3.1"/>
    <x v="1"/>
    <x v="1"/>
    <x v="0"/>
    <x v="0"/>
    <n v="6"/>
    <x v="4"/>
    <x v="5"/>
    <x v="5"/>
  </r>
  <r>
    <n v="1581"/>
    <x v="13"/>
    <x v="0"/>
    <x v="4"/>
    <x v="1"/>
    <x v="79"/>
    <x v="25"/>
    <s v="L"/>
    <s v="Cyan"/>
    <s v="Summer"/>
    <n v="3.7"/>
    <x v="1"/>
    <x v="3"/>
    <x v="0"/>
    <x v="0"/>
    <n v="30"/>
    <x v="1"/>
    <x v="2"/>
    <x v="2"/>
  </r>
  <r>
    <n v="1582"/>
    <x v="28"/>
    <x v="0"/>
    <x v="16"/>
    <x v="3"/>
    <x v="64"/>
    <x v="31"/>
    <s v="L"/>
    <s v="Teal"/>
    <s v="Fall"/>
    <n v="4.2"/>
    <x v="1"/>
    <x v="1"/>
    <x v="0"/>
    <x v="0"/>
    <n v="46"/>
    <x v="1"/>
    <x v="3"/>
    <x v="3"/>
  </r>
  <r>
    <n v="1583"/>
    <x v="48"/>
    <x v="0"/>
    <x v="22"/>
    <x v="3"/>
    <x v="52"/>
    <x v="11"/>
    <s v="L"/>
    <s v="Red"/>
    <s v="Spring"/>
    <n v="2.5"/>
    <x v="1"/>
    <x v="2"/>
    <x v="0"/>
    <x v="0"/>
    <n v="39"/>
    <x v="1"/>
    <x v="5"/>
    <x v="5"/>
  </r>
  <r>
    <n v="1584"/>
    <x v="43"/>
    <x v="0"/>
    <x v="18"/>
    <x v="3"/>
    <x v="56"/>
    <x v="33"/>
    <s v="XL"/>
    <s v="Yellow"/>
    <s v="Summer"/>
    <n v="4.3"/>
    <x v="1"/>
    <x v="2"/>
    <x v="0"/>
    <x v="0"/>
    <n v="8"/>
    <x v="0"/>
    <x v="2"/>
    <x v="2"/>
  </r>
  <r>
    <n v="1585"/>
    <x v="38"/>
    <x v="0"/>
    <x v="0"/>
    <x v="0"/>
    <x v="51"/>
    <x v="11"/>
    <s v="S"/>
    <s v="Silver"/>
    <s v="Spring"/>
    <n v="3.1"/>
    <x v="1"/>
    <x v="5"/>
    <x v="0"/>
    <x v="0"/>
    <n v="46"/>
    <x v="2"/>
    <x v="3"/>
    <x v="3"/>
  </r>
  <r>
    <n v="1586"/>
    <x v="43"/>
    <x v="0"/>
    <x v="1"/>
    <x v="0"/>
    <x v="21"/>
    <x v="15"/>
    <s v="M"/>
    <s v="Charcoal"/>
    <s v="Fall"/>
    <n v="3"/>
    <x v="1"/>
    <x v="2"/>
    <x v="0"/>
    <x v="0"/>
    <n v="40"/>
    <x v="5"/>
    <x v="0"/>
    <x v="0"/>
  </r>
  <r>
    <n v="1587"/>
    <x v="15"/>
    <x v="0"/>
    <x v="23"/>
    <x v="1"/>
    <x v="64"/>
    <x v="19"/>
    <s v="M"/>
    <s v="Purple"/>
    <s v="Fall"/>
    <n v="4"/>
    <x v="1"/>
    <x v="0"/>
    <x v="0"/>
    <x v="0"/>
    <n v="21"/>
    <x v="4"/>
    <x v="1"/>
    <x v="1"/>
  </r>
  <r>
    <n v="1588"/>
    <x v="38"/>
    <x v="0"/>
    <x v="20"/>
    <x v="0"/>
    <x v="54"/>
    <x v="15"/>
    <s v="M"/>
    <s v="Beige"/>
    <s v="Summer"/>
    <n v="3.5"/>
    <x v="1"/>
    <x v="1"/>
    <x v="0"/>
    <x v="0"/>
    <n v="33"/>
    <x v="2"/>
    <x v="0"/>
    <x v="0"/>
  </r>
  <r>
    <n v="1589"/>
    <x v="39"/>
    <x v="0"/>
    <x v="22"/>
    <x v="3"/>
    <x v="41"/>
    <x v="34"/>
    <s v="L"/>
    <s v="Cyan"/>
    <s v="Winter"/>
    <n v="3.2"/>
    <x v="1"/>
    <x v="2"/>
    <x v="0"/>
    <x v="0"/>
    <n v="3"/>
    <x v="0"/>
    <x v="5"/>
    <x v="5"/>
  </r>
  <r>
    <n v="1590"/>
    <x v="32"/>
    <x v="0"/>
    <x v="4"/>
    <x v="1"/>
    <x v="11"/>
    <x v="31"/>
    <s v="M"/>
    <s v="Silver"/>
    <s v="Summer"/>
    <n v="2.7"/>
    <x v="1"/>
    <x v="5"/>
    <x v="0"/>
    <x v="0"/>
    <n v="48"/>
    <x v="1"/>
    <x v="1"/>
    <x v="1"/>
  </r>
  <r>
    <n v="1591"/>
    <x v="22"/>
    <x v="0"/>
    <x v="2"/>
    <x v="0"/>
    <x v="68"/>
    <x v="48"/>
    <s v="S"/>
    <s v="Pink"/>
    <s v="Winter"/>
    <n v="3"/>
    <x v="1"/>
    <x v="1"/>
    <x v="0"/>
    <x v="0"/>
    <n v="8"/>
    <x v="3"/>
    <x v="2"/>
    <x v="2"/>
  </r>
  <r>
    <n v="1592"/>
    <x v="20"/>
    <x v="0"/>
    <x v="11"/>
    <x v="0"/>
    <x v="33"/>
    <x v="45"/>
    <s v="L"/>
    <s v="Gold"/>
    <s v="Winter"/>
    <n v="2.9"/>
    <x v="1"/>
    <x v="2"/>
    <x v="0"/>
    <x v="0"/>
    <n v="24"/>
    <x v="3"/>
    <x v="2"/>
    <x v="2"/>
  </r>
  <r>
    <n v="1593"/>
    <x v="19"/>
    <x v="0"/>
    <x v="9"/>
    <x v="1"/>
    <x v="42"/>
    <x v="44"/>
    <s v="M"/>
    <s v="Cyan"/>
    <s v="Summer"/>
    <n v="3.3"/>
    <x v="1"/>
    <x v="1"/>
    <x v="0"/>
    <x v="0"/>
    <n v="10"/>
    <x v="4"/>
    <x v="6"/>
    <x v="3"/>
  </r>
  <r>
    <n v="1594"/>
    <x v="12"/>
    <x v="0"/>
    <x v="10"/>
    <x v="0"/>
    <x v="51"/>
    <x v="33"/>
    <s v="M"/>
    <s v="Black"/>
    <s v="Spring"/>
    <n v="4.9000000000000004"/>
    <x v="1"/>
    <x v="4"/>
    <x v="0"/>
    <x v="0"/>
    <n v="25"/>
    <x v="4"/>
    <x v="5"/>
    <x v="5"/>
  </r>
  <r>
    <n v="1595"/>
    <x v="37"/>
    <x v="0"/>
    <x v="8"/>
    <x v="3"/>
    <x v="52"/>
    <x v="24"/>
    <s v="XL"/>
    <s v="Charcoal"/>
    <s v="Summer"/>
    <n v="3.7"/>
    <x v="1"/>
    <x v="5"/>
    <x v="0"/>
    <x v="0"/>
    <n v="3"/>
    <x v="1"/>
    <x v="0"/>
    <x v="0"/>
  </r>
  <r>
    <n v="1596"/>
    <x v="50"/>
    <x v="0"/>
    <x v="21"/>
    <x v="3"/>
    <x v="59"/>
    <x v="48"/>
    <s v="S"/>
    <s v="Magenta"/>
    <s v="Spring"/>
    <n v="3.5"/>
    <x v="1"/>
    <x v="3"/>
    <x v="0"/>
    <x v="0"/>
    <n v="45"/>
    <x v="5"/>
    <x v="0"/>
    <x v="0"/>
  </r>
  <r>
    <n v="1597"/>
    <x v="32"/>
    <x v="0"/>
    <x v="16"/>
    <x v="3"/>
    <x v="38"/>
    <x v="16"/>
    <s v="S"/>
    <s v="Pink"/>
    <s v="Fall"/>
    <n v="4.7"/>
    <x v="1"/>
    <x v="5"/>
    <x v="0"/>
    <x v="0"/>
    <n v="15"/>
    <x v="5"/>
    <x v="5"/>
    <x v="5"/>
  </r>
  <r>
    <n v="1598"/>
    <x v="49"/>
    <x v="0"/>
    <x v="19"/>
    <x v="3"/>
    <x v="34"/>
    <x v="16"/>
    <s v="XL"/>
    <s v="Maroon"/>
    <s v="Winter"/>
    <n v="2.6"/>
    <x v="1"/>
    <x v="5"/>
    <x v="0"/>
    <x v="0"/>
    <n v="34"/>
    <x v="4"/>
    <x v="3"/>
    <x v="3"/>
  </r>
  <r>
    <n v="1599"/>
    <x v="36"/>
    <x v="0"/>
    <x v="16"/>
    <x v="3"/>
    <x v="6"/>
    <x v="18"/>
    <s v="M"/>
    <s v="Teal"/>
    <s v="Fall"/>
    <n v="4.0999999999999996"/>
    <x v="1"/>
    <x v="0"/>
    <x v="0"/>
    <x v="0"/>
    <n v="21"/>
    <x v="0"/>
    <x v="4"/>
    <x v="4"/>
  </r>
  <r>
    <n v="1600"/>
    <x v="39"/>
    <x v="0"/>
    <x v="5"/>
    <x v="0"/>
    <x v="36"/>
    <x v="12"/>
    <s v="M"/>
    <s v="Orange"/>
    <s v="Winter"/>
    <n v="2.8"/>
    <x v="1"/>
    <x v="4"/>
    <x v="0"/>
    <x v="0"/>
    <n v="22"/>
    <x v="5"/>
    <x v="4"/>
    <x v="4"/>
  </r>
  <r>
    <n v="1601"/>
    <x v="30"/>
    <x v="0"/>
    <x v="23"/>
    <x v="1"/>
    <x v="46"/>
    <x v="6"/>
    <s v="S"/>
    <s v="Yellow"/>
    <s v="Spring"/>
    <n v="4.7"/>
    <x v="1"/>
    <x v="2"/>
    <x v="0"/>
    <x v="0"/>
    <n v="24"/>
    <x v="3"/>
    <x v="1"/>
    <x v="1"/>
  </r>
  <r>
    <n v="1602"/>
    <x v="13"/>
    <x v="0"/>
    <x v="5"/>
    <x v="0"/>
    <x v="40"/>
    <x v="27"/>
    <s v="XL"/>
    <s v="Red"/>
    <s v="Spring"/>
    <n v="2.9"/>
    <x v="1"/>
    <x v="5"/>
    <x v="0"/>
    <x v="0"/>
    <n v="33"/>
    <x v="2"/>
    <x v="5"/>
    <x v="5"/>
  </r>
  <r>
    <n v="1603"/>
    <x v="22"/>
    <x v="0"/>
    <x v="12"/>
    <x v="3"/>
    <x v="16"/>
    <x v="8"/>
    <s v="S"/>
    <s v="Charcoal"/>
    <s v="Winter"/>
    <n v="2.8"/>
    <x v="1"/>
    <x v="1"/>
    <x v="0"/>
    <x v="0"/>
    <n v="13"/>
    <x v="0"/>
    <x v="0"/>
    <x v="0"/>
  </r>
  <r>
    <n v="1604"/>
    <x v="51"/>
    <x v="0"/>
    <x v="6"/>
    <x v="0"/>
    <x v="57"/>
    <x v="44"/>
    <s v="L"/>
    <s v="Black"/>
    <s v="Summer"/>
    <n v="4.3"/>
    <x v="1"/>
    <x v="2"/>
    <x v="0"/>
    <x v="0"/>
    <n v="17"/>
    <x v="5"/>
    <x v="4"/>
    <x v="4"/>
  </r>
  <r>
    <n v="1605"/>
    <x v="20"/>
    <x v="0"/>
    <x v="1"/>
    <x v="0"/>
    <x v="56"/>
    <x v="1"/>
    <s v="M"/>
    <s v="White"/>
    <s v="Summer"/>
    <n v="4.8"/>
    <x v="1"/>
    <x v="4"/>
    <x v="0"/>
    <x v="0"/>
    <n v="25"/>
    <x v="2"/>
    <x v="6"/>
    <x v="3"/>
  </r>
  <r>
    <n v="1606"/>
    <x v="27"/>
    <x v="0"/>
    <x v="22"/>
    <x v="3"/>
    <x v="43"/>
    <x v="39"/>
    <s v="M"/>
    <s v="Lavender"/>
    <s v="Winter"/>
    <n v="3.4"/>
    <x v="1"/>
    <x v="2"/>
    <x v="0"/>
    <x v="0"/>
    <n v="15"/>
    <x v="2"/>
    <x v="4"/>
    <x v="4"/>
  </r>
  <r>
    <n v="1607"/>
    <x v="0"/>
    <x v="0"/>
    <x v="17"/>
    <x v="0"/>
    <x v="34"/>
    <x v="23"/>
    <s v="S"/>
    <s v="White"/>
    <s v="Spring"/>
    <n v="4.3"/>
    <x v="1"/>
    <x v="3"/>
    <x v="0"/>
    <x v="0"/>
    <n v="4"/>
    <x v="3"/>
    <x v="0"/>
    <x v="0"/>
  </r>
  <r>
    <n v="1608"/>
    <x v="34"/>
    <x v="0"/>
    <x v="6"/>
    <x v="0"/>
    <x v="11"/>
    <x v="34"/>
    <s v="S"/>
    <s v="Gray"/>
    <s v="Fall"/>
    <n v="2.7"/>
    <x v="1"/>
    <x v="1"/>
    <x v="0"/>
    <x v="0"/>
    <n v="43"/>
    <x v="5"/>
    <x v="3"/>
    <x v="3"/>
  </r>
  <r>
    <n v="1609"/>
    <x v="8"/>
    <x v="0"/>
    <x v="3"/>
    <x v="1"/>
    <x v="47"/>
    <x v="43"/>
    <s v="XL"/>
    <s v="Cyan"/>
    <s v="Fall"/>
    <n v="4.5999999999999996"/>
    <x v="1"/>
    <x v="2"/>
    <x v="0"/>
    <x v="0"/>
    <n v="12"/>
    <x v="4"/>
    <x v="4"/>
    <x v="4"/>
  </r>
  <r>
    <n v="1610"/>
    <x v="23"/>
    <x v="0"/>
    <x v="5"/>
    <x v="0"/>
    <x v="73"/>
    <x v="22"/>
    <s v="S"/>
    <s v="Brown"/>
    <s v="Fall"/>
    <n v="4.0999999999999996"/>
    <x v="1"/>
    <x v="3"/>
    <x v="0"/>
    <x v="0"/>
    <n v="3"/>
    <x v="0"/>
    <x v="5"/>
    <x v="5"/>
  </r>
  <r>
    <n v="1611"/>
    <x v="30"/>
    <x v="0"/>
    <x v="20"/>
    <x v="0"/>
    <x v="9"/>
    <x v="30"/>
    <s v="L"/>
    <s v="Purple"/>
    <s v="Spring"/>
    <n v="3.4"/>
    <x v="1"/>
    <x v="4"/>
    <x v="0"/>
    <x v="0"/>
    <n v="1"/>
    <x v="3"/>
    <x v="2"/>
    <x v="2"/>
  </r>
  <r>
    <n v="1612"/>
    <x v="38"/>
    <x v="0"/>
    <x v="13"/>
    <x v="0"/>
    <x v="46"/>
    <x v="10"/>
    <s v="L"/>
    <s v="Yellow"/>
    <s v="Winter"/>
    <n v="4.5"/>
    <x v="1"/>
    <x v="2"/>
    <x v="0"/>
    <x v="0"/>
    <n v="6"/>
    <x v="5"/>
    <x v="5"/>
    <x v="5"/>
  </r>
  <r>
    <n v="1613"/>
    <x v="20"/>
    <x v="0"/>
    <x v="11"/>
    <x v="0"/>
    <x v="10"/>
    <x v="48"/>
    <s v="M"/>
    <s v="Indigo"/>
    <s v="Summer"/>
    <n v="4.4000000000000004"/>
    <x v="1"/>
    <x v="3"/>
    <x v="0"/>
    <x v="0"/>
    <n v="26"/>
    <x v="0"/>
    <x v="5"/>
    <x v="5"/>
  </r>
  <r>
    <n v="1614"/>
    <x v="8"/>
    <x v="0"/>
    <x v="16"/>
    <x v="3"/>
    <x v="9"/>
    <x v="26"/>
    <s v="S"/>
    <s v="Black"/>
    <s v="Summer"/>
    <n v="4"/>
    <x v="1"/>
    <x v="2"/>
    <x v="0"/>
    <x v="0"/>
    <n v="6"/>
    <x v="2"/>
    <x v="0"/>
    <x v="0"/>
  </r>
  <r>
    <n v="1615"/>
    <x v="11"/>
    <x v="0"/>
    <x v="17"/>
    <x v="0"/>
    <x v="52"/>
    <x v="23"/>
    <s v="S"/>
    <s v="Gray"/>
    <s v="Summer"/>
    <n v="3.4"/>
    <x v="1"/>
    <x v="1"/>
    <x v="0"/>
    <x v="0"/>
    <n v="22"/>
    <x v="1"/>
    <x v="4"/>
    <x v="4"/>
  </r>
  <r>
    <n v="1616"/>
    <x v="14"/>
    <x v="0"/>
    <x v="16"/>
    <x v="3"/>
    <x v="17"/>
    <x v="14"/>
    <s v="M"/>
    <s v="Indigo"/>
    <s v="Fall"/>
    <n v="3.2"/>
    <x v="1"/>
    <x v="3"/>
    <x v="0"/>
    <x v="0"/>
    <n v="45"/>
    <x v="1"/>
    <x v="4"/>
    <x v="4"/>
  </r>
  <r>
    <n v="1617"/>
    <x v="8"/>
    <x v="0"/>
    <x v="19"/>
    <x v="3"/>
    <x v="52"/>
    <x v="24"/>
    <s v="M"/>
    <s v="Green"/>
    <s v="Spring"/>
    <n v="3.4"/>
    <x v="1"/>
    <x v="3"/>
    <x v="0"/>
    <x v="0"/>
    <n v="50"/>
    <x v="1"/>
    <x v="3"/>
    <x v="3"/>
  </r>
  <r>
    <n v="1618"/>
    <x v="49"/>
    <x v="0"/>
    <x v="0"/>
    <x v="0"/>
    <x v="1"/>
    <x v="48"/>
    <s v="M"/>
    <s v="Peach"/>
    <s v="Winter"/>
    <n v="4.3"/>
    <x v="1"/>
    <x v="3"/>
    <x v="0"/>
    <x v="0"/>
    <n v="50"/>
    <x v="2"/>
    <x v="0"/>
    <x v="0"/>
  </r>
  <r>
    <n v="1619"/>
    <x v="6"/>
    <x v="0"/>
    <x v="3"/>
    <x v="1"/>
    <x v="11"/>
    <x v="49"/>
    <s v="L"/>
    <s v="Purple"/>
    <s v="Summer"/>
    <n v="5"/>
    <x v="1"/>
    <x v="3"/>
    <x v="0"/>
    <x v="0"/>
    <n v="39"/>
    <x v="5"/>
    <x v="3"/>
    <x v="3"/>
  </r>
  <r>
    <n v="1620"/>
    <x v="9"/>
    <x v="0"/>
    <x v="8"/>
    <x v="3"/>
    <x v="72"/>
    <x v="11"/>
    <s v="L"/>
    <s v="Beige"/>
    <s v="Winter"/>
    <n v="3.5"/>
    <x v="1"/>
    <x v="5"/>
    <x v="0"/>
    <x v="0"/>
    <n v="50"/>
    <x v="0"/>
    <x v="4"/>
    <x v="4"/>
  </r>
  <r>
    <n v="1621"/>
    <x v="15"/>
    <x v="0"/>
    <x v="19"/>
    <x v="3"/>
    <x v="53"/>
    <x v="41"/>
    <s v="M"/>
    <s v="Charcoal"/>
    <s v="Winter"/>
    <n v="3.1"/>
    <x v="1"/>
    <x v="4"/>
    <x v="0"/>
    <x v="0"/>
    <n v="27"/>
    <x v="3"/>
    <x v="6"/>
    <x v="3"/>
  </r>
  <r>
    <n v="1622"/>
    <x v="33"/>
    <x v="0"/>
    <x v="18"/>
    <x v="3"/>
    <x v="43"/>
    <x v="31"/>
    <s v="L"/>
    <s v="Gray"/>
    <s v="Summer"/>
    <n v="3.9"/>
    <x v="1"/>
    <x v="4"/>
    <x v="0"/>
    <x v="0"/>
    <n v="38"/>
    <x v="5"/>
    <x v="0"/>
    <x v="0"/>
  </r>
  <r>
    <n v="1623"/>
    <x v="18"/>
    <x v="0"/>
    <x v="6"/>
    <x v="0"/>
    <x v="35"/>
    <x v="9"/>
    <s v="S"/>
    <s v="Brown"/>
    <s v="Winter"/>
    <n v="4"/>
    <x v="1"/>
    <x v="5"/>
    <x v="0"/>
    <x v="0"/>
    <n v="37"/>
    <x v="4"/>
    <x v="6"/>
    <x v="3"/>
  </r>
  <r>
    <n v="1624"/>
    <x v="14"/>
    <x v="0"/>
    <x v="21"/>
    <x v="3"/>
    <x v="47"/>
    <x v="27"/>
    <s v="M"/>
    <s v="Cyan"/>
    <s v="Summer"/>
    <n v="3.5"/>
    <x v="1"/>
    <x v="2"/>
    <x v="0"/>
    <x v="0"/>
    <n v="50"/>
    <x v="5"/>
    <x v="2"/>
    <x v="2"/>
  </r>
  <r>
    <n v="1625"/>
    <x v="21"/>
    <x v="0"/>
    <x v="1"/>
    <x v="0"/>
    <x v="50"/>
    <x v="20"/>
    <s v="M"/>
    <s v="White"/>
    <s v="Winter"/>
    <n v="3.6"/>
    <x v="1"/>
    <x v="1"/>
    <x v="0"/>
    <x v="0"/>
    <n v="40"/>
    <x v="3"/>
    <x v="6"/>
    <x v="3"/>
  </r>
  <r>
    <n v="1626"/>
    <x v="50"/>
    <x v="0"/>
    <x v="11"/>
    <x v="0"/>
    <x v="29"/>
    <x v="46"/>
    <s v="L"/>
    <s v="Beige"/>
    <s v="Winter"/>
    <n v="3"/>
    <x v="1"/>
    <x v="2"/>
    <x v="0"/>
    <x v="0"/>
    <n v="3"/>
    <x v="3"/>
    <x v="4"/>
    <x v="4"/>
  </r>
  <r>
    <n v="1627"/>
    <x v="45"/>
    <x v="0"/>
    <x v="4"/>
    <x v="1"/>
    <x v="59"/>
    <x v="22"/>
    <s v="L"/>
    <s v="Orange"/>
    <s v="Summer"/>
    <n v="2.6"/>
    <x v="1"/>
    <x v="2"/>
    <x v="0"/>
    <x v="0"/>
    <n v="45"/>
    <x v="2"/>
    <x v="4"/>
    <x v="4"/>
  </r>
  <r>
    <n v="1628"/>
    <x v="28"/>
    <x v="0"/>
    <x v="12"/>
    <x v="3"/>
    <x v="34"/>
    <x v="1"/>
    <s v="M"/>
    <s v="Olive"/>
    <s v="Winter"/>
    <n v="2.9"/>
    <x v="1"/>
    <x v="2"/>
    <x v="0"/>
    <x v="0"/>
    <n v="8"/>
    <x v="2"/>
    <x v="2"/>
    <x v="2"/>
  </r>
  <r>
    <n v="1629"/>
    <x v="4"/>
    <x v="0"/>
    <x v="10"/>
    <x v="0"/>
    <x v="1"/>
    <x v="2"/>
    <s v="S"/>
    <s v="Teal"/>
    <s v="Winter"/>
    <n v="3.1"/>
    <x v="1"/>
    <x v="2"/>
    <x v="0"/>
    <x v="0"/>
    <n v="7"/>
    <x v="1"/>
    <x v="5"/>
    <x v="5"/>
  </r>
  <r>
    <n v="1630"/>
    <x v="25"/>
    <x v="0"/>
    <x v="0"/>
    <x v="0"/>
    <x v="19"/>
    <x v="25"/>
    <s v="S"/>
    <s v="Silver"/>
    <s v="Spring"/>
    <n v="3.3"/>
    <x v="1"/>
    <x v="2"/>
    <x v="0"/>
    <x v="0"/>
    <n v="13"/>
    <x v="0"/>
    <x v="3"/>
    <x v="3"/>
  </r>
  <r>
    <n v="1631"/>
    <x v="6"/>
    <x v="0"/>
    <x v="9"/>
    <x v="1"/>
    <x v="16"/>
    <x v="32"/>
    <s v="M"/>
    <s v="Gold"/>
    <s v="Summer"/>
    <n v="2.9"/>
    <x v="1"/>
    <x v="5"/>
    <x v="0"/>
    <x v="0"/>
    <n v="29"/>
    <x v="0"/>
    <x v="6"/>
    <x v="3"/>
  </r>
  <r>
    <n v="1632"/>
    <x v="13"/>
    <x v="0"/>
    <x v="1"/>
    <x v="0"/>
    <x v="14"/>
    <x v="27"/>
    <s v="L"/>
    <s v="Violet"/>
    <s v="Summer"/>
    <n v="3.9"/>
    <x v="1"/>
    <x v="4"/>
    <x v="0"/>
    <x v="0"/>
    <n v="7"/>
    <x v="4"/>
    <x v="0"/>
    <x v="0"/>
  </r>
  <r>
    <n v="1633"/>
    <x v="25"/>
    <x v="0"/>
    <x v="24"/>
    <x v="3"/>
    <x v="39"/>
    <x v="4"/>
    <s v="S"/>
    <s v="White"/>
    <s v="Summer"/>
    <n v="4.7"/>
    <x v="1"/>
    <x v="4"/>
    <x v="0"/>
    <x v="0"/>
    <n v="50"/>
    <x v="5"/>
    <x v="6"/>
    <x v="3"/>
  </r>
  <r>
    <n v="1634"/>
    <x v="22"/>
    <x v="0"/>
    <x v="20"/>
    <x v="0"/>
    <x v="68"/>
    <x v="25"/>
    <s v="M"/>
    <s v="Peach"/>
    <s v="Spring"/>
    <n v="4.4000000000000004"/>
    <x v="1"/>
    <x v="4"/>
    <x v="0"/>
    <x v="0"/>
    <n v="33"/>
    <x v="5"/>
    <x v="4"/>
    <x v="4"/>
  </r>
  <r>
    <n v="1635"/>
    <x v="48"/>
    <x v="0"/>
    <x v="7"/>
    <x v="2"/>
    <x v="66"/>
    <x v="36"/>
    <s v="S"/>
    <s v="Orange"/>
    <s v="Summer"/>
    <n v="3.6"/>
    <x v="1"/>
    <x v="5"/>
    <x v="0"/>
    <x v="0"/>
    <n v="30"/>
    <x v="1"/>
    <x v="6"/>
    <x v="3"/>
  </r>
  <r>
    <n v="1636"/>
    <x v="33"/>
    <x v="0"/>
    <x v="12"/>
    <x v="3"/>
    <x v="41"/>
    <x v="17"/>
    <s v="L"/>
    <s v="Violet"/>
    <s v="Summer"/>
    <n v="3.2"/>
    <x v="1"/>
    <x v="3"/>
    <x v="0"/>
    <x v="0"/>
    <n v="40"/>
    <x v="1"/>
    <x v="2"/>
    <x v="2"/>
  </r>
  <r>
    <n v="1637"/>
    <x v="44"/>
    <x v="0"/>
    <x v="23"/>
    <x v="1"/>
    <x v="20"/>
    <x v="25"/>
    <s v="L"/>
    <s v="Green"/>
    <s v="Fall"/>
    <n v="4"/>
    <x v="1"/>
    <x v="1"/>
    <x v="0"/>
    <x v="0"/>
    <n v="49"/>
    <x v="1"/>
    <x v="0"/>
    <x v="0"/>
  </r>
  <r>
    <n v="1638"/>
    <x v="25"/>
    <x v="0"/>
    <x v="10"/>
    <x v="0"/>
    <x v="34"/>
    <x v="2"/>
    <s v="M"/>
    <s v="Peach"/>
    <s v="Spring"/>
    <n v="3.5"/>
    <x v="1"/>
    <x v="2"/>
    <x v="0"/>
    <x v="0"/>
    <n v="32"/>
    <x v="0"/>
    <x v="0"/>
    <x v="0"/>
  </r>
  <r>
    <n v="1639"/>
    <x v="33"/>
    <x v="0"/>
    <x v="14"/>
    <x v="2"/>
    <x v="12"/>
    <x v="30"/>
    <s v="M"/>
    <s v="Black"/>
    <s v="Spring"/>
    <n v="4.5999999999999996"/>
    <x v="1"/>
    <x v="1"/>
    <x v="0"/>
    <x v="0"/>
    <n v="18"/>
    <x v="0"/>
    <x v="1"/>
    <x v="1"/>
  </r>
  <r>
    <n v="1640"/>
    <x v="38"/>
    <x v="0"/>
    <x v="24"/>
    <x v="3"/>
    <x v="61"/>
    <x v="9"/>
    <s v="L"/>
    <s v="Blue"/>
    <s v="Summer"/>
    <n v="3.3"/>
    <x v="1"/>
    <x v="1"/>
    <x v="0"/>
    <x v="0"/>
    <n v="50"/>
    <x v="3"/>
    <x v="2"/>
    <x v="2"/>
  </r>
  <r>
    <n v="1641"/>
    <x v="13"/>
    <x v="0"/>
    <x v="18"/>
    <x v="3"/>
    <x v="12"/>
    <x v="30"/>
    <s v="S"/>
    <s v="Magenta"/>
    <s v="Spring"/>
    <n v="4"/>
    <x v="1"/>
    <x v="4"/>
    <x v="0"/>
    <x v="0"/>
    <n v="13"/>
    <x v="3"/>
    <x v="1"/>
    <x v="1"/>
  </r>
  <r>
    <n v="1642"/>
    <x v="2"/>
    <x v="0"/>
    <x v="15"/>
    <x v="0"/>
    <x v="50"/>
    <x v="24"/>
    <s v="L"/>
    <s v="Violet"/>
    <s v="Summer"/>
    <n v="3.4"/>
    <x v="1"/>
    <x v="1"/>
    <x v="0"/>
    <x v="0"/>
    <n v="1"/>
    <x v="4"/>
    <x v="6"/>
    <x v="3"/>
  </r>
  <r>
    <n v="1643"/>
    <x v="20"/>
    <x v="0"/>
    <x v="7"/>
    <x v="2"/>
    <x v="44"/>
    <x v="16"/>
    <s v="M"/>
    <s v="Beige"/>
    <s v="Spring"/>
    <n v="4.2"/>
    <x v="1"/>
    <x v="5"/>
    <x v="0"/>
    <x v="0"/>
    <n v="16"/>
    <x v="3"/>
    <x v="0"/>
    <x v="0"/>
  </r>
  <r>
    <n v="1644"/>
    <x v="21"/>
    <x v="0"/>
    <x v="18"/>
    <x v="3"/>
    <x v="64"/>
    <x v="31"/>
    <s v="L"/>
    <s v="Pink"/>
    <s v="Summer"/>
    <n v="3.9"/>
    <x v="1"/>
    <x v="4"/>
    <x v="0"/>
    <x v="0"/>
    <n v="6"/>
    <x v="3"/>
    <x v="5"/>
    <x v="5"/>
  </r>
  <r>
    <n v="1645"/>
    <x v="33"/>
    <x v="0"/>
    <x v="7"/>
    <x v="2"/>
    <x v="3"/>
    <x v="17"/>
    <s v="S"/>
    <s v="Beige"/>
    <s v="Summer"/>
    <n v="3.9"/>
    <x v="1"/>
    <x v="2"/>
    <x v="0"/>
    <x v="0"/>
    <n v="21"/>
    <x v="5"/>
    <x v="5"/>
    <x v="5"/>
  </r>
  <r>
    <n v="1646"/>
    <x v="10"/>
    <x v="0"/>
    <x v="18"/>
    <x v="3"/>
    <x v="14"/>
    <x v="31"/>
    <s v="L"/>
    <s v="Green"/>
    <s v="Summer"/>
    <n v="2.8"/>
    <x v="1"/>
    <x v="3"/>
    <x v="0"/>
    <x v="0"/>
    <n v="36"/>
    <x v="0"/>
    <x v="6"/>
    <x v="3"/>
  </r>
  <r>
    <n v="1647"/>
    <x v="44"/>
    <x v="0"/>
    <x v="8"/>
    <x v="3"/>
    <x v="64"/>
    <x v="43"/>
    <s v="S"/>
    <s v="Silver"/>
    <s v="Summer"/>
    <n v="3.7"/>
    <x v="1"/>
    <x v="3"/>
    <x v="0"/>
    <x v="0"/>
    <n v="20"/>
    <x v="4"/>
    <x v="6"/>
    <x v="3"/>
  </r>
  <r>
    <n v="1648"/>
    <x v="50"/>
    <x v="0"/>
    <x v="23"/>
    <x v="1"/>
    <x v="72"/>
    <x v="11"/>
    <s v="M"/>
    <s v="Purple"/>
    <s v="Summer"/>
    <n v="4.9000000000000004"/>
    <x v="1"/>
    <x v="5"/>
    <x v="0"/>
    <x v="0"/>
    <n v="8"/>
    <x v="5"/>
    <x v="3"/>
    <x v="3"/>
  </r>
  <r>
    <n v="1649"/>
    <x v="24"/>
    <x v="0"/>
    <x v="13"/>
    <x v="0"/>
    <x v="28"/>
    <x v="19"/>
    <s v="M"/>
    <s v="Gray"/>
    <s v="Summer"/>
    <n v="2.6"/>
    <x v="1"/>
    <x v="0"/>
    <x v="0"/>
    <x v="0"/>
    <n v="22"/>
    <x v="2"/>
    <x v="5"/>
    <x v="5"/>
  </r>
  <r>
    <n v="1650"/>
    <x v="44"/>
    <x v="0"/>
    <x v="17"/>
    <x v="0"/>
    <x v="80"/>
    <x v="48"/>
    <s v="M"/>
    <s v="White"/>
    <s v="Summer"/>
    <n v="4.9000000000000004"/>
    <x v="1"/>
    <x v="1"/>
    <x v="0"/>
    <x v="0"/>
    <n v="3"/>
    <x v="2"/>
    <x v="3"/>
    <x v="3"/>
  </r>
  <r>
    <n v="1651"/>
    <x v="52"/>
    <x v="0"/>
    <x v="18"/>
    <x v="3"/>
    <x v="14"/>
    <x v="10"/>
    <s v="M"/>
    <s v="Silver"/>
    <s v="Winter"/>
    <n v="3.4"/>
    <x v="1"/>
    <x v="2"/>
    <x v="0"/>
    <x v="0"/>
    <n v="46"/>
    <x v="2"/>
    <x v="0"/>
    <x v="0"/>
  </r>
  <r>
    <n v="1652"/>
    <x v="35"/>
    <x v="0"/>
    <x v="7"/>
    <x v="2"/>
    <x v="68"/>
    <x v="21"/>
    <s v="M"/>
    <s v="Blue"/>
    <s v="Winter"/>
    <n v="3.9"/>
    <x v="1"/>
    <x v="3"/>
    <x v="0"/>
    <x v="0"/>
    <n v="42"/>
    <x v="5"/>
    <x v="5"/>
    <x v="5"/>
  </r>
  <r>
    <n v="1653"/>
    <x v="13"/>
    <x v="0"/>
    <x v="1"/>
    <x v="0"/>
    <x v="59"/>
    <x v="35"/>
    <s v="M"/>
    <s v="Orange"/>
    <s v="Summer"/>
    <n v="4"/>
    <x v="1"/>
    <x v="2"/>
    <x v="0"/>
    <x v="0"/>
    <n v="1"/>
    <x v="4"/>
    <x v="0"/>
    <x v="0"/>
  </r>
  <r>
    <n v="1654"/>
    <x v="18"/>
    <x v="0"/>
    <x v="22"/>
    <x v="3"/>
    <x v="73"/>
    <x v="24"/>
    <s v="L"/>
    <s v="Silver"/>
    <s v="Winter"/>
    <n v="3"/>
    <x v="1"/>
    <x v="4"/>
    <x v="0"/>
    <x v="0"/>
    <n v="29"/>
    <x v="5"/>
    <x v="4"/>
    <x v="4"/>
  </r>
  <r>
    <n v="1655"/>
    <x v="49"/>
    <x v="0"/>
    <x v="22"/>
    <x v="3"/>
    <x v="21"/>
    <x v="27"/>
    <s v="L"/>
    <s v="Gray"/>
    <s v="Spring"/>
    <n v="2.6"/>
    <x v="1"/>
    <x v="5"/>
    <x v="0"/>
    <x v="0"/>
    <n v="14"/>
    <x v="2"/>
    <x v="3"/>
    <x v="3"/>
  </r>
  <r>
    <n v="1656"/>
    <x v="43"/>
    <x v="0"/>
    <x v="1"/>
    <x v="0"/>
    <x v="13"/>
    <x v="28"/>
    <s v="L"/>
    <s v="Gold"/>
    <s v="Spring"/>
    <n v="3.2"/>
    <x v="1"/>
    <x v="2"/>
    <x v="0"/>
    <x v="0"/>
    <n v="4"/>
    <x v="3"/>
    <x v="5"/>
    <x v="5"/>
  </r>
  <r>
    <n v="1657"/>
    <x v="3"/>
    <x v="0"/>
    <x v="0"/>
    <x v="0"/>
    <x v="69"/>
    <x v="27"/>
    <s v="L"/>
    <s v="Brown"/>
    <s v="Spring"/>
    <n v="2.6"/>
    <x v="1"/>
    <x v="4"/>
    <x v="0"/>
    <x v="0"/>
    <n v="41"/>
    <x v="3"/>
    <x v="6"/>
    <x v="3"/>
  </r>
  <r>
    <n v="1658"/>
    <x v="28"/>
    <x v="0"/>
    <x v="11"/>
    <x v="0"/>
    <x v="14"/>
    <x v="27"/>
    <s v="L"/>
    <s v="Turquoise"/>
    <s v="Spring"/>
    <n v="3.2"/>
    <x v="1"/>
    <x v="5"/>
    <x v="0"/>
    <x v="0"/>
    <n v="4"/>
    <x v="5"/>
    <x v="4"/>
    <x v="4"/>
  </r>
  <r>
    <n v="1659"/>
    <x v="45"/>
    <x v="0"/>
    <x v="16"/>
    <x v="3"/>
    <x v="76"/>
    <x v="29"/>
    <s v="S"/>
    <s v="Pink"/>
    <s v="Spring"/>
    <n v="4.0999999999999996"/>
    <x v="1"/>
    <x v="5"/>
    <x v="0"/>
    <x v="0"/>
    <n v="47"/>
    <x v="1"/>
    <x v="1"/>
    <x v="1"/>
  </r>
  <r>
    <n v="1660"/>
    <x v="10"/>
    <x v="0"/>
    <x v="24"/>
    <x v="3"/>
    <x v="18"/>
    <x v="40"/>
    <s v="M"/>
    <s v="Black"/>
    <s v="Fall"/>
    <n v="3.9"/>
    <x v="1"/>
    <x v="2"/>
    <x v="0"/>
    <x v="0"/>
    <n v="44"/>
    <x v="0"/>
    <x v="2"/>
    <x v="2"/>
  </r>
  <r>
    <n v="1661"/>
    <x v="35"/>
    <x v="0"/>
    <x v="17"/>
    <x v="0"/>
    <x v="29"/>
    <x v="7"/>
    <s v="L"/>
    <s v="Yellow"/>
    <s v="Winter"/>
    <n v="4.0999999999999996"/>
    <x v="1"/>
    <x v="3"/>
    <x v="0"/>
    <x v="0"/>
    <n v="37"/>
    <x v="0"/>
    <x v="5"/>
    <x v="5"/>
  </r>
  <r>
    <n v="1662"/>
    <x v="14"/>
    <x v="0"/>
    <x v="24"/>
    <x v="3"/>
    <x v="62"/>
    <x v="44"/>
    <s v="S"/>
    <s v="Beige"/>
    <s v="Summer"/>
    <n v="2.7"/>
    <x v="1"/>
    <x v="4"/>
    <x v="0"/>
    <x v="0"/>
    <n v="21"/>
    <x v="5"/>
    <x v="3"/>
    <x v="3"/>
  </r>
  <r>
    <n v="1663"/>
    <x v="6"/>
    <x v="0"/>
    <x v="12"/>
    <x v="3"/>
    <x v="41"/>
    <x v="35"/>
    <s v="M"/>
    <s v="Olive"/>
    <s v="Winter"/>
    <n v="4.5999999999999996"/>
    <x v="1"/>
    <x v="1"/>
    <x v="0"/>
    <x v="0"/>
    <n v="46"/>
    <x v="5"/>
    <x v="0"/>
    <x v="0"/>
  </r>
  <r>
    <n v="1664"/>
    <x v="49"/>
    <x v="0"/>
    <x v="5"/>
    <x v="0"/>
    <x v="20"/>
    <x v="1"/>
    <s v="XL"/>
    <s v="Gold"/>
    <s v="Summer"/>
    <n v="3.5"/>
    <x v="1"/>
    <x v="3"/>
    <x v="0"/>
    <x v="0"/>
    <n v="1"/>
    <x v="1"/>
    <x v="4"/>
    <x v="4"/>
  </r>
  <r>
    <n v="1665"/>
    <x v="1"/>
    <x v="0"/>
    <x v="8"/>
    <x v="3"/>
    <x v="0"/>
    <x v="46"/>
    <s v="M"/>
    <s v="Purple"/>
    <s v="Spring"/>
    <n v="5"/>
    <x v="1"/>
    <x v="2"/>
    <x v="0"/>
    <x v="0"/>
    <n v="35"/>
    <x v="3"/>
    <x v="1"/>
    <x v="1"/>
  </r>
  <r>
    <n v="1666"/>
    <x v="37"/>
    <x v="0"/>
    <x v="14"/>
    <x v="2"/>
    <x v="52"/>
    <x v="35"/>
    <s v="L"/>
    <s v="Pink"/>
    <s v="Fall"/>
    <n v="3.4"/>
    <x v="1"/>
    <x v="2"/>
    <x v="0"/>
    <x v="0"/>
    <n v="49"/>
    <x v="0"/>
    <x v="5"/>
    <x v="5"/>
  </r>
  <r>
    <n v="1667"/>
    <x v="47"/>
    <x v="0"/>
    <x v="11"/>
    <x v="0"/>
    <x v="1"/>
    <x v="10"/>
    <s v="M"/>
    <s v="Blue"/>
    <s v="Summer"/>
    <n v="3.1"/>
    <x v="1"/>
    <x v="5"/>
    <x v="0"/>
    <x v="0"/>
    <n v="47"/>
    <x v="3"/>
    <x v="2"/>
    <x v="2"/>
  </r>
  <r>
    <n v="1668"/>
    <x v="47"/>
    <x v="0"/>
    <x v="8"/>
    <x v="3"/>
    <x v="49"/>
    <x v="19"/>
    <s v="L"/>
    <s v="Brown"/>
    <s v="Winter"/>
    <n v="3.4"/>
    <x v="1"/>
    <x v="4"/>
    <x v="0"/>
    <x v="0"/>
    <n v="24"/>
    <x v="4"/>
    <x v="6"/>
    <x v="3"/>
  </r>
  <r>
    <n v="1669"/>
    <x v="17"/>
    <x v="0"/>
    <x v="0"/>
    <x v="0"/>
    <x v="27"/>
    <x v="40"/>
    <s v="L"/>
    <s v="Charcoal"/>
    <s v="Summer"/>
    <n v="4"/>
    <x v="1"/>
    <x v="3"/>
    <x v="0"/>
    <x v="0"/>
    <n v="28"/>
    <x v="5"/>
    <x v="0"/>
    <x v="0"/>
  </r>
  <r>
    <n v="1670"/>
    <x v="32"/>
    <x v="0"/>
    <x v="17"/>
    <x v="0"/>
    <x v="40"/>
    <x v="48"/>
    <s v="L"/>
    <s v="Maroon"/>
    <s v="Winter"/>
    <n v="2.7"/>
    <x v="1"/>
    <x v="5"/>
    <x v="0"/>
    <x v="0"/>
    <n v="22"/>
    <x v="4"/>
    <x v="3"/>
    <x v="3"/>
  </r>
  <r>
    <n v="1671"/>
    <x v="40"/>
    <x v="0"/>
    <x v="13"/>
    <x v="0"/>
    <x v="2"/>
    <x v="40"/>
    <s v="L"/>
    <s v="Cyan"/>
    <s v="Fall"/>
    <n v="3.6"/>
    <x v="1"/>
    <x v="1"/>
    <x v="0"/>
    <x v="0"/>
    <n v="20"/>
    <x v="1"/>
    <x v="1"/>
    <x v="1"/>
  </r>
  <r>
    <n v="1672"/>
    <x v="18"/>
    <x v="0"/>
    <x v="15"/>
    <x v="0"/>
    <x v="20"/>
    <x v="40"/>
    <s v="M"/>
    <s v="Olive"/>
    <s v="Winter"/>
    <n v="4"/>
    <x v="1"/>
    <x v="1"/>
    <x v="0"/>
    <x v="0"/>
    <n v="25"/>
    <x v="4"/>
    <x v="1"/>
    <x v="1"/>
  </r>
  <r>
    <n v="1673"/>
    <x v="20"/>
    <x v="0"/>
    <x v="23"/>
    <x v="1"/>
    <x v="2"/>
    <x v="36"/>
    <s v="L"/>
    <s v="Gold"/>
    <s v="Fall"/>
    <n v="3.8"/>
    <x v="1"/>
    <x v="1"/>
    <x v="0"/>
    <x v="0"/>
    <n v="15"/>
    <x v="0"/>
    <x v="3"/>
    <x v="3"/>
  </r>
  <r>
    <n v="1674"/>
    <x v="3"/>
    <x v="0"/>
    <x v="0"/>
    <x v="0"/>
    <x v="17"/>
    <x v="11"/>
    <s v="M"/>
    <s v="Violet"/>
    <s v="Fall"/>
    <n v="3.4"/>
    <x v="1"/>
    <x v="2"/>
    <x v="0"/>
    <x v="0"/>
    <n v="49"/>
    <x v="0"/>
    <x v="4"/>
    <x v="4"/>
  </r>
  <r>
    <n v="1675"/>
    <x v="25"/>
    <x v="0"/>
    <x v="7"/>
    <x v="2"/>
    <x v="22"/>
    <x v="29"/>
    <s v="M"/>
    <s v="Peach"/>
    <s v="Winter"/>
    <n v="3.2"/>
    <x v="1"/>
    <x v="1"/>
    <x v="0"/>
    <x v="0"/>
    <n v="10"/>
    <x v="5"/>
    <x v="0"/>
    <x v="0"/>
  </r>
  <r>
    <n v="1676"/>
    <x v="25"/>
    <x v="0"/>
    <x v="13"/>
    <x v="0"/>
    <x v="3"/>
    <x v="24"/>
    <s v="M"/>
    <s v="Beige"/>
    <s v="Spring"/>
    <n v="4.7"/>
    <x v="1"/>
    <x v="2"/>
    <x v="0"/>
    <x v="0"/>
    <n v="21"/>
    <x v="2"/>
    <x v="2"/>
    <x v="2"/>
  </r>
  <r>
    <n v="1677"/>
    <x v="7"/>
    <x v="0"/>
    <x v="12"/>
    <x v="3"/>
    <x v="77"/>
    <x v="8"/>
    <s v="M"/>
    <s v="Cyan"/>
    <s v="Winter"/>
    <n v="3.1"/>
    <x v="1"/>
    <x v="2"/>
    <x v="0"/>
    <x v="0"/>
    <n v="34"/>
    <x v="4"/>
    <x v="1"/>
    <x v="1"/>
  </r>
  <r>
    <n v="1678"/>
    <x v="13"/>
    <x v="0"/>
    <x v="2"/>
    <x v="0"/>
    <x v="59"/>
    <x v="4"/>
    <s v="L"/>
    <s v="Silver"/>
    <s v="Summer"/>
    <n v="3.3"/>
    <x v="1"/>
    <x v="2"/>
    <x v="1"/>
    <x v="1"/>
    <n v="41"/>
    <x v="5"/>
    <x v="1"/>
    <x v="1"/>
  </r>
  <r>
    <n v="1679"/>
    <x v="38"/>
    <x v="0"/>
    <x v="13"/>
    <x v="0"/>
    <x v="79"/>
    <x v="31"/>
    <s v="S"/>
    <s v="Magenta"/>
    <s v="Summer"/>
    <n v="4.8"/>
    <x v="1"/>
    <x v="4"/>
    <x v="1"/>
    <x v="1"/>
    <n v="30"/>
    <x v="0"/>
    <x v="0"/>
    <x v="0"/>
  </r>
  <r>
    <n v="1680"/>
    <x v="52"/>
    <x v="0"/>
    <x v="10"/>
    <x v="0"/>
    <x v="78"/>
    <x v="2"/>
    <s v="S"/>
    <s v="Black"/>
    <s v="Fall"/>
    <n v="4.5"/>
    <x v="1"/>
    <x v="2"/>
    <x v="1"/>
    <x v="1"/>
    <n v="24"/>
    <x v="5"/>
    <x v="4"/>
    <x v="4"/>
  </r>
  <r>
    <n v="1681"/>
    <x v="12"/>
    <x v="0"/>
    <x v="9"/>
    <x v="1"/>
    <x v="18"/>
    <x v="7"/>
    <s v="M"/>
    <s v="Olive"/>
    <s v="Summer"/>
    <n v="3.4"/>
    <x v="1"/>
    <x v="5"/>
    <x v="1"/>
    <x v="1"/>
    <n v="6"/>
    <x v="2"/>
    <x v="2"/>
    <x v="2"/>
  </r>
  <r>
    <n v="1682"/>
    <x v="41"/>
    <x v="0"/>
    <x v="4"/>
    <x v="1"/>
    <x v="51"/>
    <x v="41"/>
    <s v="L"/>
    <s v="Green"/>
    <s v="Winter"/>
    <n v="3.7"/>
    <x v="1"/>
    <x v="4"/>
    <x v="1"/>
    <x v="1"/>
    <n v="14"/>
    <x v="2"/>
    <x v="4"/>
    <x v="4"/>
  </r>
  <r>
    <n v="1683"/>
    <x v="13"/>
    <x v="0"/>
    <x v="20"/>
    <x v="0"/>
    <x v="8"/>
    <x v="14"/>
    <s v="M"/>
    <s v="Yellow"/>
    <s v="Fall"/>
    <n v="4.9000000000000004"/>
    <x v="1"/>
    <x v="4"/>
    <x v="1"/>
    <x v="1"/>
    <n v="37"/>
    <x v="2"/>
    <x v="4"/>
    <x v="4"/>
  </r>
  <r>
    <n v="1684"/>
    <x v="51"/>
    <x v="0"/>
    <x v="7"/>
    <x v="2"/>
    <x v="75"/>
    <x v="10"/>
    <s v="S"/>
    <s v="Lavender"/>
    <s v="Spring"/>
    <n v="3.5"/>
    <x v="1"/>
    <x v="2"/>
    <x v="1"/>
    <x v="1"/>
    <n v="37"/>
    <x v="0"/>
    <x v="3"/>
    <x v="3"/>
  </r>
  <r>
    <n v="1685"/>
    <x v="11"/>
    <x v="0"/>
    <x v="5"/>
    <x v="0"/>
    <x v="73"/>
    <x v="35"/>
    <s v="M"/>
    <s v="Indigo"/>
    <s v="Spring"/>
    <n v="4.5999999999999996"/>
    <x v="1"/>
    <x v="3"/>
    <x v="1"/>
    <x v="1"/>
    <n v="28"/>
    <x v="3"/>
    <x v="1"/>
    <x v="1"/>
  </r>
  <r>
    <n v="1686"/>
    <x v="23"/>
    <x v="0"/>
    <x v="0"/>
    <x v="0"/>
    <x v="16"/>
    <x v="46"/>
    <s v="M"/>
    <s v="Pink"/>
    <s v="Winter"/>
    <n v="4.5999999999999996"/>
    <x v="1"/>
    <x v="3"/>
    <x v="1"/>
    <x v="1"/>
    <n v="43"/>
    <x v="3"/>
    <x v="4"/>
    <x v="4"/>
  </r>
  <r>
    <n v="1687"/>
    <x v="40"/>
    <x v="0"/>
    <x v="24"/>
    <x v="3"/>
    <x v="60"/>
    <x v="26"/>
    <s v="L"/>
    <s v="Red"/>
    <s v="Fall"/>
    <n v="4.2"/>
    <x v="1"/>
    <x v="5"/>
    <x v="1"/>
    <x v="1"/>
    <n v="25"/>
    <x v="1"/>
    <x v="2"/>
    <x v="2"/>
  </r>
  <r>
    <n v="1688"/>
    <x v="29"/>
    <x v="0"/>
    <x v="11"/>
    <x v="0"/>
    <x v="44"/>
    <x v="42"/>
    <s v="S"/>
    <s v="Magenta"/>
    <s v="Winter"/>
    <n v="3.7"/>
    <x v="1"/>
    <x v="1"/>
    <x v="1"/>
    <x v="1"/>
    <n v="4"/>
    <x v="3"/>
    <x v="2"/>
    <x v="2"/>
  </r>
  <r>
    <n v="1689"/>
    <x v="48"/>
    <x v="0"/>
    <x v="8"/>
    <x v="3"/>
    <x v="46"/>
    <x v="16"/>
    <s v="S"/>
    <s v="Peach"/>
    <s v="Winter"/>
    <n v="3"/>
    <x v="1"/>
    <x v="2"/>
    <x v="1"/>
    <x v="1"/>
    <n v="13"/>
    <x v="0"/>
    <x v="0"/>
    <x v="0"/>
  </r>
  <r>
    <n v="1690"/>
    <x v="45"/>
    <x v="0"/>
    <x v="5"/>
    <x v="0"/>
    <x v="2"/>
    <x v="17"/>
    <s v="L"/>
    <s v="Turquoise"/>
    <s v="Winter"/>
    <n v="4.5999999999999996"/>
    <x v="1"/>
    <x v="5"/>
    <x v="1"/>
    <x v="1"/>
    <n v="32"/>
    <x v="4"/>
    <x v="5"/>
    <x v="5"/>
  </r>
  <r>
    <n v="1691"/>
    <x v="37"/>
    <x v="0"/>
    <x v="7"/>
    <x v="2"/>
    <x v="38"/>
    <x v="22"/>
    <s v="M"/>
    <s v="Black"/>
    <s v="Summer"/>
    <n v="3.2"/>
    <x v="1"/>
    <x v="1"/>
    <x v="1"/>
    <x v="1"/>
    <n v="1"/>
    <x v="1"/>
    <x v="2"/>
    <x v="2"/>
  </r>
  <r>
    <n v="1692"/>
    <x v="14"/>
    <x v="0"/>
    <x v="9"/>
    <x v="1"/>
    <x v="70"/>
    <x v="39"/>
    <s v="L"/>
    <s v="Blue"/>
    <s v="Summer"/>
    <n v="3.5"/>
    <x v="1"/>
    <x v="2"/>
    <x v="1"/>
    <x v="1"/>
    <n v="4"/>
    <x v="1"/>
    <x v="2"/>
    <x v="2"/>
  </r>
  <r>
    <n v="1693"/>
    <x v="19"/>
    <x v="0"/>
    <x v="8"/>
    <x v="3"/>
    <x v="60"/>
    <x v="40"/>
    <s v="M"/>
    <s v="Beige"/>
    <s v="Winter"/>
    <n v="2.6"/>
    <x v="1"/>
    <x v="3"/>
    <x v="1"/>
    <x v="1"/>
    <n v="33"/>
    <x v="1"/>
    <x v="4"/>
    <x v="4"/>
  </r>
  <r>
    <n v="1694"/>
    <x v="6"/>
    <x v="0"/>
    <x v="14"/>
    <x v="2"/>
    <x v="19"/>
    <x v="30"/>
    <s v="XL"/>
    <s v="Olive"/>
    <s v="Fall"/>
    <n v="4.9000000000000004"/>
    <x v="1"/>
    <x v="3"/>
    <x v="1"/>
    <x v="1"/>
    <n v="45"/>
    <x v="4"/>
    <x v="0"/>
    <x v="0"/>
  </r>
  <r>
    <n v="1695"/>
    <x v="30"/>
    <x v="0"/>
    <x v="5"/>
    <x v="0"/>
    <x v="25"/>
    <x v="16"/>
    <s v="M"/>
    <s v="Turquoise"/>
    <s v="Summer"/>
    <n v="2.7"/>
    <x v="1"/>
    <x v="0"/>
    <x v="1"/>
    <x v="1"/>
    <n v="20"/>
    <x v="5"/>
    <x v="0"/>
    <x v="0"/>
  </r>
  <r>
    <n v="1696"/>
    <x v="22"/>
    <x v="0"/>
    <x v="19"/>
    <x v="3"/>
    <x v="51"/>
    <x v="43"/>
    <s v="S"/>
    <s v="Yellow"/>
    <s v="Fall"/>
    <n v="4.7"/>
    <x v="1"/>
    <x v="4"/>
    <x v="1"/>
    <x v="1"/>
    <n v="1"/>
    <x v="3"/>
    <x v="0"/>
    <x v="0"/>
  </r>
  <r>
    <n v="1697"/>
    <x v="18"/>
    <x v="0"/>
    <x v="12"/>
    <x v="3"/>
    <x v="28"/>
    <x v="8"/>
    <s v="S"/>
    <s v="Turquoise"/>
    <s v="Spring"/>
    <n v="4"/>
    <x v="1"/>
    <x v="1"/>
    <x v="1"/>
    <x v="1"/>
    <n v="7"/>
    <x v="2"/>
    <x v="4"/>
    <x v="4"/>
  </r>
  <r>
    <n v="1698"/>
    <x v="24"/>
    <x v="0"/>
    <x v="5"/>
    <x v="0"/>
    <x v="55"/>
    <x v="36"/>
    <s v="L"/>
    <s v="Lavender"/>
    <s v="Fall"/>
    <n v="3.5"/>
    <x v="1"/>
    <x v="2"/>
    <x v="1"/>
    <x v="1"/>
    <n v="48"/>
    <x v="2"/>
    <x v="6"/>
    <x v="3"/>
  </r>
  <r>
    <n v="1699"/>
    <x v="15"/>
    <x v="0"/>
    <x v="22"/>
    <x v="3"/>
    <x v="52"/>
    <x v="44"/>
    <s v="XL"/>
    <s v="Turquoise"/>
    <s v="Winter"/>
    <n v="4.8"/>
    <x v="1"/>
    <x v="3"/>
    <x v="1"/>
    <x v="1"/>
    <n v="46"/>
    <x v="4"/>
    <x v="3"/>
    <x v="3"/>
  </r>
  <r>
    <n v="1700"/>
    <x v="30"/>
    <x v="0"/>
    <x v="1"/>
    <x v="0"/>
    <x v="25"/>
    <x v="25"/>
    <s v="L"/>
    <s v="Teal"/>
    <s v="Spring"/>
    <n v="4"/>
    <x v="1"/>
    <x v="1"/>
    <x v="1"/>
    <x v="1"/>
    <n v="34"/>
    <x v="5"/>
    <x v="2"/>
    <x v="2"/>
  </r>
  <r>
    <n v="1701"/>
    <x v="46"/>
    <x v="0"/>
    <x v="15"/>
    <x v="0"/>
    <x v="44"/>
    <x v="8"/>
    <s v="L"/>
    <s v="Black"/>
    <s v="Fall"/>
    <n v="4.0999999999999996"/>
    <x v="1"/>
    <x v="0"/>
    <x v="1"/>
    <x v="1"/>
    <n v="36"/>
    <x v="4"/>
    <x v="5"/>
    <x v="5"/>
  </r>
  <r>
    <n v="1702"/>
    <x v="28"/>
    <x v="0"/>
    <x v="8"/>
    <x v="3"/>
    <x v="52"/>
    <x v="16"/>
    <s v="XL"/>
    <s v="Blue"/>
    <s v="Winter"/>
    <n v="3.8"/>
    <x v="1"/>
    <x v="2"/>
    <x v="1"/>
    <x v="1"/>
    <n v="44"/>
    <x v="5"/>
    <x v="6"/>
    <x v="3"/>
  </r>
  <r>
    <n v="1703"/>
    <x v="22"/>
    <x v="0"/>
    <x v="2"/>
    <x v="0"/>
    <x v="42"/>
    <x v="15"/>
    <s v="XL"/>
    <s v="Yellow"/>
    <s v="Summer"/>
    <n v="5"/>
    <x v="1"/>
    <x v="0"/>
    <x v="1"/>
    <x v="1"/>
    <n v="48"/>
    <x v="4"/>
    <x v="1"/>
    <x v="1"/>
  </r>
  <r>
    <n v="1704"/>
    <x v="31"/>
    <x v="0"/>
    <x v="21"/>
    <x v="3"/>
    <x v="20"/>
    <x v="18"/>
    <s v="M"/>
    <s v="Black"/>
    <s v="Spring"/>
    <n v="4"/>
    <x v="1"/>
    <x v="2"/>
    <x v="1"/>
    <x v="1"/>
    <n v="12"/>
    <x v="4"/>
    <x v="2"/>
    <x v="2"/>
  </r>
  <r>
    <n v="1705"/>
    <x v="19"/>
    <x v="0"/>
    <x v="4"/>
    <x v="1"/>
    <x v="5"/>
    <x v="37"/>
    <s v="M"/>
    <s v="Lavender"/>
    <s v="Summer"/>
    <n v="3.9"/>
    <x v="1"/>
    <x v="5"/>
    <x v="1"/>
    <x v="1"/>
    <n v="19"/>
    <x v="1"/>
    <x v="6"/>
    <x v="3"/>
  </r>
  <r>
    <n v="1706"/>
    <x v="31"/>
    <x v="0"/>
    <x v="16"/>
    <x v="3"/>
    <x v="45"/>
    <x v="45"/>
    <s v="L"/>
    <s v="Cyan"/>
    <s v="Summer"/>
    <n v="3.4"/>
    <x v="1"/>
    <x v="4"/>
    <x v="1"/>
    <x v="1"/>
    <n v="49"/>
    <x v="0"/>
    <x v="4"/>
    <x v="4"/>
  </r>
  <r>
    <n v="1707"/>
    <x v="43"/>
    <x v="0"/>
    <x v="12"/>
    <x v="3"/>
    <x v="55"/>
    <x v="25"/>
    <s v="M"/>
    <s v="Brown"/>
    <s v="Spring"/>
    <n v="3"/>
    <x v="1"/>
    <x v="3"/>
    <x v="1"/>
    <x v="1"/>
    <n v="25"/>
    <x v="0"/>
    <x v="0"/>
    <x v="0"/>
  </r>
  <r>
    <n v="1708"/>
    <x v="15"/>
    <x v="0"/>
    <x v="6"/>
    <x v="0"/>
    <x v="13"/>
    <x v="22"/>
    <s v="L"/>
    <s v="Maroon"/>
    <s v="Fall"/>
    <n v="4.9000000000000004"/>
    <x v="1"/>
    <x v="4"/>
    <x v="1"/>
    <x v="1"/>
    <n v="25"/>
    <x v="1"/>
    <x v="4"/>
    <x v="4"/>
  </r>
  <r>
    <n v="1709"/>
    <x v="25"/>
    <x v="0"/>
    <x v="23"/>
    <x v="1"/>
    <x v="47"/>
    <x v="20"/>
    <s v="L"/>
    <s v="Cyan"/>
    <s v="Spring"/>
    <n v="3.2"/>
    <x v="1"/>
    <x v="0"/>
    <x v="1"/>
    <x v="1"/>
    <n v="1"/>
    <x v="2"/>
    <x v="3"/>
    <x v="3"/>
  </r>
  <r>
    <n v="1710"/>
    <x v="4"/>
    <x v="0"/>
    <x v="11"/>
    <x v="0"/>
    <x v="42"/>
    <x v="27"/>
    <s v="M"/>
    <s v="Pink"/>
    <s v="Winter"/>
    <n v="3.8"/>
    <x v="1"/>
    <x v="3"/>
    <x v="1"/>
    <x v="1"/>
    <n v="19"/>
    <x v="4"/>
    <x v="2"/>
    <x v="2"/>
  </r>
  <r>
    <n v="1711"/>
    <x v="1"/>
    <x v="0"/>
    <x v="13"/>
    <x v="0"/>
    <x v="40"/>
    <x v="10"/>
    <s v="XL"/>
    <s v="Orange"/>
    <s v="Fall"/>
    <n v="3.8"/>
    <x v="1"/>
    <x v="5"/>
    <x v="1"/>
    <x v="1"/>
    <n v="7"/>
    <x v="2"/>
    <x v="3"/>
    <x v="3"/>
  </r>
  <r>
    <n v="1712"/>
    <x v="3"/>
    <x v="0"/>
    <x v="17"/>
    <x v="0"/>
    <x v="73"/>
    <x v="17"/>
    <s v="M"/>
    <s v="Lavender"/>
    <s v="Spring"/>
    <n v="4.7"/>
    <x v="1"/>
    <x v="0"/>
    <x v="1"/>
    <x v="1"/>
    <n v="19"/>
    <x v="2"/>
    <x v="5"/>
    <x v="5"/>
  </r>
  <r>
    <n v="1713"/>
    <x v="13"/>
    <x v="0"/>
    <x v="17"/>
    <x v="0"/>
    <x v="55"/>
    <x v="26"/>
    <s v="S"/>
    <s v="Beige"/>
    <s v="Fall"/>
    <n v="3.8"/>
    <x v="1"/>
    <x v="4"/>
    <x v="1"/>
    <x v="1"/>
    <n v="9"/>
    <x v="1"/>
    <x v="0"/>
    <x v="0"/>
  </r>
  <r>
    <n v="1714"/>
    <x v="34"/>
    <x v="0"/>
    <x v="14"/>
    <x v="2"/>
    <x v="20"/>
    <x v="9"/>
    <s v="M"/>
    <s v="Pink"/>
    <s v="Winter"/>
    <n v="4.5999999999999996"/>
    <x v="1"/>
    <x v="1"/>
    <x v="1"/>
    <x v="1"/>
    <n v="37"/>
    <x v="3"/>
    <x v="3"/>
    <x v="3"/>
  </r>
  <r>
    <n v="1715"/>
    <x v="11"/>
    <x v="0"/>
    <x v="2"/>
    <x v="0"/>
    <x v="79"/>
    <x v="45"/>
    <s v="S"/>
    <s v="Charcoal"/>
    <s v="Summer"/>
    <n v="4.4000000000000004"/>
    <x v="1"/>
    <x v="3"/>
    <x v="1"/>
    <x v="1"/>
    <n v="15"/>
    <x v="1"/>
    <x v="5"/>
    <x v="5"/>
  </r>
  <r>
    <n v="1716"/>
    <x v="51"/>
    <x v="0"/>
    <x v="10"/>
    <x v="0"/>
    <x v="28"/>
    <x v="37"/>
    <s v="XL"/>
    <s v="Gray"/>
    <s v="Spring"/>
    <n v="3.4"/>
    <x v="1"/>
    <x v="4"/>
    <x v="1"/>
    <x v="1"/>
    <n v="30"/>
    <x v="3"/>
    <x v="4"/>
    <x v="4"/>
  </r>
  <r>
    <n v="1717"/>
    <x v="28"/>
    <x v="0"/>
    <x v="0"/>
    <x v="0"/>
    <x v="53"/>
    <x v="39"/>
    <s v="M"/>
    <s v="Cyan"/>
    <s v="Winter"/>
    <n v="4.7"/>
    <x v="1"/>
    <x v="3"/>
    <x v="1"/>
    <x v="1"/>
    <n v="30"/>
    <x v="1"/>
    <x v="6"/>
    <x v="3"/>
  </r>
  <r>
    <n v="1718"/>
    <x v="26"/>
    <x v="0"/>
    <x v="15"/>
    <x v="0"/>
    <x v="74"/>
    <x v="11"/>
    <s v="L"/>
    <s v="Orange"/>
    <s v="Summer"/>
    <n v="2.9"/>
    <x v="1"/>
    <x v="0"/>
    <x v="1"/>
    <x v="1"/>
    <n v="16"/>
    <x v="5"/>
    <x v="4"/>
    <x v="4"/>
  </r>
  <r>
    <n v="1719"/>
    <x v="22"/>
    <x v="0"/>
    <x v="17"/>
    <x v="0"/>
    <x v="48"/>
    <x v="33"/>
    <s v="L"/>
    <s v="Pink"/>
    <s v="Winter"/>
    <n v="3.4"/>
    <x v="1"/>
    <x v="4"/>
    <x v="1"/>
    <x v="1"/>
    <n v="14"/>
    <x v="3"/>
    <x v="6"/>
    <x v="3"/>
  </r>
  <r>
    <n v="1720"/>
    <x v="4"/>
    <x v="0"/>
    <x v="1"/>
    <x v="0"/>
    <x v="32"/>
    <x v="33"/>
    <s v="M"/>
    <s v="White"/>
    <s v="Winter"/>
    <n v="3.2"/>
    <x v="1"/>
    <x v="1"/>
    <x v="1"/>
    <x v="1"/>
    <n v="8"/>
    <x v="0"/>
    <x v="3"/>
    <x v="3"/>
  </r>
  <r>
    <n v="1721"/>
    <x v="15"/>
    <x v="0"/>
    <x v="6"/>
    <x v="0"/>
    <x v="63"/>
    <x v="2"/>
    <s v="S"/>
    <s v="Beige"/>
    <s v="Winter"/>
    <n v="2.8"/>
    <x v="1"/>
    <x v="0"/>
    <x v="1"/>
    <x v="1"/>
    <n v="40"/>
    <x v="5"/>
    <x v="4"/>
    <x v="4"/>
  </r>
  <r>
    <n v="1722"/>
    <x v="50"/>
    <x v="0"/>
    <x v="16"/>
    <x v="3"/>
    <x v="39"/>
    <x v="12"/>
    <s v="S"/>
    <s v="Magenta"/>
    <s v="Spring"/>
    <n v="4.3"/>
    <x v="1"/>
    <x v="1"/>
    <x v="1"/>
    <x v="1"/>
    <n v="24"/>
    <x v="2"/>
    <x v="5"/>
    <x v="5"/>
  </r>
  <r>
    <n v="1723"/>
    <x v="5"/>
    <x v="0"/>
    <x v="17"/>
    <x v="0"/>
    <x v="12"/>
    <x v="2"/>
    <s v="L"/>
    <s v="Violet"/>
    <s v="Summer"/>
    <n v="3.3"/>
    <x v="1"/>
    <x v="3"/>
    <x v="1"/>
    <x v="1"/>
    <n v="14"/>
    <x v="1"/>
    <x v="0"/>
    <x v="0"/>
  </r>
  <r>
    <n v="1724"/>
    <x v="27"/>
    <x v="0"/>
    <x v="18"/>
    <x v="3"/>
    <x v="5"/>
    <x v="14"/>
    <s v="XL"/>
    <s v="Gold"/>
    <s v="Spring"/>
    <n v="3.3"/>
    <x v="1"/>
    <x v="3"/>
    <x v="1"/>
    <x v="1"/>
    <n v="39"/>
    <x v="3"/>
    <x v="2"/>
    <x v="2"/>
  </r>
  <r>
    <n v="1725"/>
    <x v="32"/>
    <x v="0"/>
    <x v="9"/>
    <x v="1"/>
    <x v="11"/>
    <x v="12"/>
    <s v="S"/>
    <s v="Teal"/>
    <s v="Winter"/>
    <n v="3.3"/>
    <x v="1"/>
    <x v="1"/>
    <x v="1"/>
    <x v="1"/>
    <n v="21"/>
    <x v="3"/>
    <x v="1"/>
    <x v="1"/>
  </r>
  <r>
    <n v="1726"/>
    <x v="4"/>
    <x v="0"/>
    <x v="12"/>
    <x v="3"/>
    <x v="27"/>
    <x v="2"/>
    <s v="M"/>
    <s v="Indigo"/>
    <s v="Spring"/>
    <n v="3"/>
    <x v="1"/>
    <x v="2"/>
    <x v="1"/>
    <x v="1"/>
    <n v="32"/>
    <x v="0"/>
    <x v="3"/>
    <x v="3"/>
  </r>
  <r>
    <n v="1727"/>
    <x v="9"/>
    <x v="0"/>
    <x v="7"/>
    <x v="2"/>
    <x v="39"/>
    <x v="27"/>
    <s v="S"/>
    <s v="Olive"/>
    <s v="Summer"/>
    <n v="2.8"/>
    <x v="1"/>
    <x v="0"/>
    <x v="1"/>
    <x v="1"/>
    <n v="45"/>
    <x v="5"/>
    <x v="1"/>
    <x v="1"/>
  </r>
  <r>
    <n v="1728"/>
    <x v="34"/>
    <x v="0"/>
    <x v="0"/>
    <x v="0"/>
    <x v="0"/>
    <x v="41"/>
    <s v="S"/>
    <s v="Violet"/>
    <s v="Spring"/>
    <n v="4"/>
    <x v="1"/>
    <x v="0"/>
    <x v="1"/>
    <x v="1"/>
    <n v="19"/>
    <x v="3"/>
    <x v="5"/>
    <x v="5"/>
  </r>
  <r>
    <n v="1729"/>
    <x v="51"/>
    <x v="0"/>
    <x v="2"/>
    <x v="0"/>
    <x v="16"/>
    <x v="5"/>
    <s v="L"/>
    <s v="Black"/>
    <s v="Fall"/>
    <n v="4.3"/>
    <x v="1"/>
    <x v="0"/>
    <x v="1"/>
    <x v="1"/>
    <n v="1"/>
    <x v="5"/>
    <x v="6"/>
    <x v="3"/>
  </r>
  <r>
    <n v="1730"/>
    <x v="36"/>
    <x v="0"/>
    <x v="6"/>
    <x v="0"/>
    <x v="34"/>
    <x v="26"/>
    <s v="M"/>
    <s v="Brown"/>
    <s v="Winter"/>
    <n v="3.8"/>
    <x v="1"/>
    <x v="5"/>
    <x v="1"/>
    <x v="1"/>
    <n v="12"/>
    <x v="0"/>
    <x v="0"/>
    <x v="0"/>
  </r>
  <r>
    <n v="1731"/>
    <x v="51"/>
    <x v="0"/>
    <x v="5"/>
    <x v="0"/>
    <x v="20"/>
    <x v="15"/>
    <s v="S"/>
    <s v="Silver"/>
    <s v="Fall"/>
    <n v="4.2"/>
    <x v="1"/>
    <x v="1"/>
    <x v="1"/>
    <x v="1"/>
    <n v="26"/>
    <x v="2"/>
    <x v="1"/>
    <x v="1"/>
  </r>
  <r>
    <n v="1732"/>
    <x v="3"/>
    <x v="0"/>
    <x v="21"/>
    <x v="3"/>
    <x v="55"/>
    <x v="37"/>
    <s v="M"/>
    <s v="Gray"/>
    <s v="Fall"/>
    <n v="3.1"/>
    <x v="1"/>
    <x v="2"/>
    <x v="1"/>
    <x v="1"/>
    <n v="12"/>
    <x v="1"/>
    <x v="5"/>
    <x v="5"/>
  </r>
  <r>
    <n v="1733"/>
    <x v="4"/>
    <x v="0"/>
    <x v="22"/>
    <x v="3"/>
    <x v="74"/>
    <x v="3"/>
    <s v="S"/>
    <s v="Charcoal"/>
    <s v="Winter"/>
    <n v="2.6"/>
    <x v="1"/>
    <x v="1"/>
    <x v="1"/>
    <x v="1"/>
    <n v="36"/>
    <x v="1"/>
    <x v="6"/>
    <x v="3"/>
  </r>
  <r>
    <n v="1734"/>
    <x v="29"/>
    <x v="0"/>
    <x v="0"/>
    <x v="0"/>
    <x v="6"/>
    <x v="14"/>
    <s v="L"/>
    <s v="Black"/>
    <s v="Summer"/>
    <n v="3.4"/>
    <x v="1"/>
    <x v="0"/>
    <x v="1"/>
    <x v="1"/>
    <n v="22"/>
    <x v="2"/>
    <x v="2"/>
    <x v="2"/>
  </r>
  <r>
    <n v="1735"/>
    <x v="18"/>
    <x v="0"/>
    <x v="2"/>
    <x v="0"/>
    <x v="57"/>
    <x v="9"/>
    <s v="L"/>
    <s v="Brown"/>
    <s v="Spring"/>
    <n v="3.1"/>
    <x v="1"/>
    <x v="2"/>
    <x v="1"/>
    <x v="1"/>
    <n v="16"/>
    <x v="3"/>
    <x v="3"/>
    <x v="3"/>
  </r>
  <r>
    <n v="1736"/>
    <x v="44"/>
    <x v="0"/>
    <x v="10"/>
    <x v="0"/>
    <x v="7"/>
    <x v="21"/>
    <s v="M"/>
    <s v="Purple"/>
    <s v="Winter"/>
    <n v="3.6"/>
    <x v="1"/>
    <x v="0"/>
    <x v="1"/>
    <x v="1"/>
    <n v="31"/>
    <x v="0"/>
    <x v="2"/>
    <x v="2"/>
  </r>
  <r>
    <n v="1737"/>
    <x v="9"/>
    <x v="0"/>
    <x v="6"/>
    <x v="0"/>
    <x v="70"/>
    <x v="30"/>
    <s v="M"/>
    <s v="Purple"/>
    <s v="Summer"/>
    <n v="2.6"/>
    <x v="1"/>
    <x v="4"/>
    <x v="1"/>
    <x v="1"/>
    <n v="43"/>
    <x v="1"/>
    <x v="3"/>
    <x v="3"/>
  </r>
  <r>
    <n v="1738"/>
    <x v="32"/>
    <x v="0"/>
    <x v="16"/>
    <x v="3"/>
    <x v="57"/>
    <x v="31"/>
    <s v="L"/>
    <s v="Gray"/>
    <s v="Summer"/>
    <n v="4.2"/>
    <x v="1"/>
    <x v="5"/>
    <x v="1"/>
    <x v="1"/>
    <n v="50"/>
    <x v="0"/>
    <x v="4"/>
    <x v="4"/>
  </r>
  <r>
    <n v="1739"/>
    <x v="52"/>
    <x v="0"/>
    <x v="8"/>
    <x v="3"/>
    <x v="70"/>
    <x v="30"/>
    <s v="M"/>
    <s v="Green"/>
    <s v="Spring"/>
    <n v="2.9"/>
    <x v="1"/>
    <x v="4"/>
    <x v="1"/>
    <x v="1"/>
    <n v="37"/>
    <x v="2"/>
    <x v="1"/>
    <x v="1"/>
  </r>
  <r>
    <n v="1740"/>
    <x v="3"/>
    <x v="0"/>
    <x v="16"/>
    <x v="3"/>
    <x v="57"/>
    <x v="46"/>
    <s v="L"/>
    <s v="Silver"/>
    <s v="Winter"/>
    <n v="4.2"/>
    <x v="1"/>
    <x v="0"/>
    <x v="1"/>
    <x v="1"/>
    <n v="23"/>
    <x v="1"/>
    <x v="1"/>
    <x v="1"/>
  </r>
  <r>
    <n v="1741"/>
    <x v="28"/>
    <x v="0"/>
    <x v="13"/>
    <x v="0"/>
    <x v="34"/>
    <x v="48"/>
    <s v="L"/>
    <s v="Charcoal"/>
    <s v="Fall"/>
    <n v="3.3"/>
    <x v="1"/>
    <x v="2"/>
    <x v="1"/>
    <x v="1"/>
    <n v="10"/>
    <x v="4"/>
    <x v="6"/>
    <x v="3"/>
  </r>
  <r>
    <n v="1742"/>
    <x v="38"/>
    <x v="0"/>
    <x v="13"/>
    <x v="0"/>
    <x v="12"/>
    <x v="12"/>
    <s v="XL"/>
    <s v="Teal"/>
    <s v="Winter"/>
    <n v="3.6"/>
    <x v="1"/>
    <x v="2"/>
    <x v="1"/>
    <x v="1"/>
    <n v="20"/>
    <x v="4"/>
    <x v="5"/>
    <x v="5"/>
  </r>
  <r>
    <n v="1743"/>
    <x v="47"/>
    <x v="0"/>
    <x v="3"/>
    <x v="1"/>
    <x v="68"/>
    <x v="23"/>
    <s v="XL"/>
    <s v="White"/>
    <s v="Spring"/>
    <n v="4.3"/>
    <x v="1"/>
    <x v="0"/>
    <x v="1"/>
    <x v="1"/>
    <n v="18"/>
    <x v="0"/>
    <x v="6"/>
    <x v="3"/>
  </r>
  <r>
    <n v="1744"/>
    <x v="51"/>
    <x v="0"/>
    <x v="11"/>
    <x v="0"/>
    <x v="11"/>
    <x v="9"/>
    <s v="XL"/>
    <s v="Brown"/>
    <s v="Winter"/>
    <n v="3.3"/>
    <x v="1"/>
    <x v="3"/>
    <x v="1"/>
    <x v="1"/>
    <n v="3"/>
    <x v="4"/>
    <x v="1"/>
    <x v="1"/>
  </r>
  <r>
    <n v="1745"/>
    <x v="9"/>
    <x v="0"/>
    <x v="12"/>
    <x v="3"/>
    <x v="80"/>
    <x v="49"/>
    <s v="L"/>
    <s v="Teal"/>
    <s v="Winter"/>
    <n v="3"/>
    <x v="1"/>
    <x v="3"/>
    <x v="1"/>
    <x v="1"/>
    <n v="23"/>
    <x v="3"/>
    <x v="1"/>
    <x v="1"/>
  </r>
  <r>
    <n v="1746"/>
    <x v="37"/>
    <x v="0"/>
    <x v="11"/>
    <x v="0"/>
    <x v="65"/>
    <x v="8"/>
    <s v="L"/>
    <s v="Red"/>
    <s v="Winter"/>
    <n v="3.6"/>
    <x v="1"/>
    <x v="5"/>
    <x v="1"/>
    <x v="1"/>
    <n v="27"/>
    <x v="1"/>
    <x v="1"/>
    <x v="1"/>
  </r>
  <r>
    <n v="1747"/>
    <x v="13"/>
    <x v="0"/>
    <x v="8"/>
    <x v="3"/>
    <x v="77"/>
    <x v="15"/>
    <s v="L"/>
    <s v="Brown"/>
    <s v="Summer"/>
    <n v="3.1"/>
    <x v="1"/>
    <x v="5"/>
    <x v="1"/>
    <x v="1"/>
    <n v="44"/>
    <x v="4"/>
    <x v="0"/>
    <x v="0"/>
  </r>
  <r>
    <n v="1748"/>
    <x v="12"/>
    <x v="0"/>
    <x v="7"/>
    <x v="2"/>
    <x v="66"/>
    <x v="13"/>
    <s v="M"/>
    <s v="Yellow"/>
    <s v="Winter"/>
    <n v="2.9"/>
    <x v="1"/>
    <x v="0"/>
    <x v="1"/>
    <x v="1"/>
    <n v="41"/>
    <x v="0"/>
    <x v="3"/>
    <x v="3"/>
  </r>
  <r>
    <n v="1749"/>
    <x v="50"/>
    <x v="0"/>
    <x v="11"/>
    <x v="0"/>
    <x v="73"/>
    <x v="6"/>
    <s v="L"/>
    <s v="Teal"/>
    <s v="Winter"/>
    <n v="3.9"/>
    <x v="1"/>
    <x v="4"/>
    <x v="1"/>
    <x v="1"/>
    <n v="41"/>
    <x v="4"/>
    <x v="2"/>
    <x v="2"/>
  </r>
  <r>
    <n v="1750"/>
    <x v="49"/>
    <x v="0"/>
    <x v="15"/>
    <x v="0"/>
    <x v="44"/>
    <x v="5"/>
    <s v="L"/>
    <s v="Pink"/>
    <s v="Fall"/>
    <n v="3.2"/>
    <x v="1"/>
    <x v="4"/>
    <x v="1"/>
    <x v="1"/>
    <n v="36"/>
    <x v="5"/>
    <x v="6"/>
    <x v="3"/>
  </r>
  <r>
    <n v="1751"/>
    <x v="18"/>
    <x v="0"/>
    <x v="12"/>
    <x v="3"/>
    <x v="6"/>
    <x v="9"/>
    <s v="M"/>
    <s v="White"/>
    <s v="Fall"/>
    <n v="3.1"/>
    <x v="1"/>
    <x v="0"/>
    <x v="1"/>
    <x v="1"/>
    <n v="38"/>
    <x v="0"/>
    <x v="6"/>
    <x v="3"/>
  </r>
  <r>
    <n v="1752"/>
    <x v="9"/>
    <x v="0"/>
    <x v="1"/>
    <x v="0"/>
    <x v="49"/>
    <x v="31"/>
    <s v="M"/>
    <s v="Silver"/>
    <s v="Winter"/>
    <n v="3.2"/>
    <x v="1"/>
    <x v="4"/>
    <x v="1"/>
    <x v="1"/>
    <n v="34"/>
    <x v="1"/>
    <x v="2"/>
    <x v="2"/>
  </r>
  <r>
    <n v="1753"/>
    <x v="50"/>
    <x v="0"/>
    <x v="23"/>
    <x v="1"/>
    <x v="45"/>
    <x v="45"/>
    <s v="L"/>
    <s v="Blue"/>
    <s v="Winter"/>
    <n v="3.3"/>
    <x v="1"/>
    <x v="5"/>
    <x v="1"/>
    <x v="1"/>
    <n v="14"/>
    <x v="0"/>
    <x v="3"/>
    <x v="3"/>
  </r>
  <r>
    <n v="1754"/>
    <x v="15"/>
    <x v="0"/>
    <x v="11"/>
    <x v="0"/>
    <x v="65"/>
    <x v="24"/>
    <s v="L"/>
    <s v="Black"/>
    <s v="Fall"/>
    <n v="4.8"/>
    <x v="1"/>
    <x v="2"/>
    <x v="1"/>
    <x v="1"/>
    <n v="23"/>
    <x v="2"/>
    <x v="0"/>
    <x v="0"/>
  </r>
  <r>
    <n v="1755"/>
    <x v="17"/>
    <x v="0"/>
    <x v="10"/>
    <x v="0"/>
    <x v="73"/>
    <x v="2"/>
    <s v="S"/>
    <s v="Beige"/>
    <s v="Fall"/>
    <n v="3.8"/>
    <x v="1"/>
    <x v="4"/>
    <x v="1"/>
    <x v="1"/>
    <n v="18"/>
    <x v="2"/>
    <x v="0"/>
    <x v="0"/>
  </r>
  <r>
    <n v="1756"/>
    <x v="19"/>
    <x v="0"/>
    <x v="22"/>
    <x v="3"/>
    <x v="5"/>
    <x v="12"/>
    <s v="XL"/>
    <s v="Charcoal"/>
    <s v="Spring"/>
    <n v="4.5999999999999996"/>
    <x v="1"/>
    <x v="2"/>
    <x v="1"/>
    <x v="1"/>
    <n v="45"/>
    <x v="1"/>
    <x v="5"/>
    <x v="5"/>
  </r>
  <r>
    <n v="1757"/>
    <x v="34"/>
    <x v="0"/>
    <x v="16"/>
    <x v="3"/>
    <x v="37"/>
    <x v="13"/>
    <s v="S"/>
    <s v="Cyan"/>
    <s v="Fall"/>
    <n v="2.8"/>
    <x v="1"/>
    <x v="1"/>
    <x v="1"/>
    <x v="1"/>
    <n v="14"/>
    <x v="4"/>
    <x v="1"/>
    <x v="1"/>
  </r>
  <r>
    <n v="1758"/>
    <x v="1"/>
    <x v="0"/>
    <x v="10"/>
    <x v="0"/>
    <x v="23"/>
    <x v="49"/>
    <s v="L"/>
    <s v="Yellow"/>
    <s v="Fall"/>
    <n v="3.6"/>
    <x v="1"/>
    <x v="3"/>
    <x v="1"/>
    <x v="1"/>
    <n v="48"/>
    <x v="5"/>
    <x v="2"/>
    <x v="2"/>
  </r>
  <r>
    <n v="1759"/>
    <x v="7"/>
    <x v="0"/>
    <x v="19"/>
    <x v="3"/>
    <x v="22"/>
    <x v="38"/>
    <s v="M"/>
    <s v="Silver"/>
    <s v="Winter"/>
    <n v="4.3"/>
    <x v="1"/>
    <x v="1"/>
    <x v="1"/>
    <x v="1"/>
    <n v="17"/>
    <x v="0"/>
    <x v="4"/>
    <x v="4"/>
  </r>
  <r>
    <n v="1760"/>
    <x v="33"/>
    <x v="0"/>
    <x v="1"/>
    <x v="0"/>
    <x v="47"/>
    <x v="7"/>
    <s v="L"/>
    <s v="Green"/>
    <s v="Spring"/>
    <n v="4"/>
    <x v="1"/>
    <x v="2"/>
    <x v="1"/>
    <x v="1"/>
    <n v="1"/>
    <x v="3"/>
    <x v="1"/>
    <x v="1"/>
  </r>
  <r>
    <n v="1761"/>
    <x v="30"/>
    <x v="0"/>
    <x v="11"/>
    <x v="0"/>
    <x v="77"/>
    <x v="46"/>
    <s v="XL"/>
    <s v="Peach"/>
    <s v="Spring"/>
    <n v="3.5"/>
    <x v="1"/>
    <x v="3"/>
    <x v="1"/>
    <x v="1"/>
    <n v="39"/>
    <x v="3"/>
    <x v="1"/>
    <x v="1"/>
  </r>
  <r>
    <n v="1762"/>
    <x v="3"/>
    <x v="0"/>
    <x v="15"/>
    <x v="0"/>
    <x v="51"/>
    <x v="11"/>
    <s v="S"/>
    <s v="Green"/>
    <s v="Fall"/>
    <n v="4.9000000000000004"/>
    <x v="1"/>
    <x v="4"/>
    <x v="1"/>
    <x v="1"/>
    <n v="24"/>
    <x v="1"/>
    <x v="1"/>
    <x v="1"/>
  </r>
  <r>
    <n v="1763"/>
    <x v="24"/>
    <x v="0"/>
    <x v="3"/>
    <x v="1"/>
    <x v="69"/>
    <x v="37"/>
    <s v="M"/>
    <s v="Brown"/>
    <s v="Summer"/>
    <n v="3.1"/>
    <x v="1"/>
    <x v="0"/>
    <x v="1"/>
    <x v="1"/>
    <n v="41"/>
    <x v="4"/>
    <x v="0"/>
    <x v="0"/>
  </r>
  <r>
    <n v="1764"/>
    <x v="43"/>
    <x v="0"/>
    <x v="16"/>
    <x v="3"/>
    <x v="73"/>
    <x v="34"/>
    <s v="M"/>
    <s v="Lavender"/>
    <s v="Winter"/>
    <n v="3.9"/>
    <x v="1"/>
    <x v="5"/>
    <x v="1"/>
    <x v="1"/>
    <n v="28"/>
    <x v="3"/>
    <x v="2"/>
    <x v="2"/>
  </r>
  <r>
    <n v="1765"/>
    <x v="12"/>
    <x v="0"/>
    <x v="10"/>
    <x v="0"/>
    <x v="22"/>
    <x v="12"/>
    <s v="M"/>
    <s v="Charcoal"/>
    <s v="Summer"/>
    <n v="3"/>
    <x v="1"/>
    <x v="5"/>
    <x v="1"/>
    <x v="1"/>
    <n v="34"/>
    <x v="0"/>
    <x v="3"/>
    <x v="3"/>
  </r>
  <r>
    <n v="1766"/>
    <x v="33"/>
    <x v="0"/>
    <x v="15"/>
    <x v="0"/>
    <x v="19"/>
    <x v="35"/>
    <s v="M"/>
    <s v="Orange"/>
    <s v="Spring"/>
    <n v="4.0999999999999996"/>
    <x v="1"/>
    <x v="4"/>
    <x v="1"/>
    <x v="1"/>
    <n v="41"/>
    <x v="0"/>
    <x v="3"/>
    <x v="3"/>
  </r>
  <r>
    <n v="1767"/>
    <x v="52"/>
    <x v="0"/>
    <x v="1"/>
    <x v="0"/>
    <x v="36"/>
    <x v="29"/>
    <s v="S"/>
    <s v="Cyan"/>
    <s v="Winter"/>
    <n v="4.3"/>
    <x v="1"/>
    <x v="4"/>
    <x v="1"/>
    <x v="1"/>
    <n v="27"/>
    <x v="1"/>
    <x v="4"/>
    <x v="4"/>
  </r>
  <r>
    <n v="1768"/>
    <x v="28"/>
    <x v="0"/>
    <x v="16"/>
    <x v="3"/>
    <x v="58"/>
    <x v="46"/>
    <s v="L"/>
    <s v="Lavender"/>
    <s v="Fall"/>
    <n v="3.8"/>
    <x v="1"/>
    <x v="4"/>
    <x v="1"/>
    <x v="1"/>
    <n v="46"/>
    <x v="5"/>
    <x v="0"/>
    <x v="0"/>
  </r>
  <r>
    <n v="1769"/>
    <x v="15"/>
    <x v="0"/>
    <x v="3"/>
    <x v="1"/>
    <x v="29"/>
    <x v="43"/>
    <s v="M"/>
    <s v="Indigo"/>
    <s v="Summer"/>
    <n v="3.9"/>
    <x v="1"/>
    <x v="4"/>
    <x v="1"/>
    <x v="1"/>
    <n v="2"/>
    <x v="3"/>
    <x v="6"/>
    <x v="3"/>
  </r>
  <r>
    <n v="1770"/>
    <x v="45"/>
    <x v="0"/>
    <x v="20"/>
    <x v="0"/>
    <x v="60"/>
    <x v="29"/>
    <s v="L"/>
    <s v="Brown"/>
    <s v="Winter"/>
    <n v="4.3"/>
    <x v="1"/>
    <x v="1"/>
    <x v="1"/>
    <x v="1"/>
    <n v="45"/>
    <x v="1"/>
    <x v="5"/>
    <x v="5"/>
  </r>
  <r>
    <n v="1771"/>
    <x v="10"/>
    <x v="0"/>
    <x v="21"/>
    <x v="3"/>
    <x v="20"/>
    <x v="49"/>
    <s v="M"/>
    <s v="Pink"/>
    <s v="Fall"/>
    <n v="4.3"/>
    <x v="1"/>
    <x v="0"/>
    <x v="1"/>
    <x v="1"/>
    <n v="34"/>
    <x v="4"/>
    <x v="1"/>
    <x v="1"/>
  </r>
  <r>
    <n v="1772"/>
    <x v="5"/>
    <x v="0"/>
    <x v="5"/>
    <x v="0"/>
    <x v="71"/>
    <x v="27"/>
    <s v="XL"/>
    <s v="Turquoise"/>
    <s v="Fall"/>
    <n v="4.7"/>
    <x v="1"/>
    <x v="5"/>
    <x v="1"/>
    <x v="1"/>
    <n v="9"/>
    <x v="2"/>
    <x v="2"/>
    <x v="2"/>
  </r>
  <r>
    <n v="1773"/>
    <x v="44"/>
    <x v="0"/>
    <x v="9"/>
    <x v="1"/>
    <x v="7"/>
    <x v="11"/>
    <s v="M"/>
    <s v="Gold"/>
    <s v="Summer"/>
    <n v="3.1"/>
    <x v="1"/>
    <x v="4"/>
    <x v="1"/>
    <x v="1"/>
    <n v="1"/>
    <x v="4"/>
    <x v="2"/>
    <x v="2"/>
  </r>
  <r>
    <n v="1774"/>
    <x v="3"/>
    <x v="0"/>
    <x v="7"/>
    <x v="2"/>
    <x v="56"/>
    <x v="8"/>
    <s v="M"/>
    <s v="Blue"/>
    <s v="Summer"/>
    <n v="2.7"/>
    <x v="1"/>
    <x v="1"/>
    <x v="1"/>
    <x v="1"/>
    <n v="17"/>
    <x v="3"/>
    <x v="2"/>
    <x v="2"/>
  </r>
  <r>
    <n v="1775"/>
    <x v="5"/>
    <x v="0"/>
    <x v="1"/>
    <x v="0"/>
    <x v="72"/>
    <x v="14"/>
    <s v="M"/>
    <s v="Lavender"/>
    <s v="Spring"/>
    <n v="3.7"/>
    <x v="1"/>
    <x v="0"/>
    <x v="1"/>
    <x v="1"/>
    <n v="6"/>
    <x v="3"/>
    <x v="1"/>
    <x v="1"/>
  </r>
  <r>
    <n v="1776"/>
    <x v="20"/>
    <x v="0"/>
    <x v="14"/>
    <x v="2"/>
    <x v="53"/>
    <x v="44"/>
    <s v="M"/>
    <s v="Violet"/>
    <s v="Spring"/>
    <n v="3.3"/>
    <x v="1"/>
    <x v="4"/>
    <x v="1"/>
    <x v="1"/>
    <n v="12"/>
    <x v="1"/>
    <x v="4"/>
    <x v="4"/>
  </r>
  <r>
    <n v="1777"/>
    <x v="19"/>
    <x v="0"/>
    <x v="14"/>
    <x v="2"/>
    <x v="1"/>
    <x v="28"/>
    <s v="L"/>
    <s v="Cyan"/>
    <s v="Summer"/>
    <n v="3.4"/>
    <x v="1"/>
    <x v="1"/>
    <x v="1"/>
    <x v="1"/>
    <n v="10"/>
    <x v="0"/>
    <x v="6"/>
    <x v="3"/>
  </r>
  <r>
    <n v="1778"/>
    <x v="20"/>
    <x v="0"/>
    <x v="4"/>
    <x v="1"/>
    <x v="77"/>
    <x v="46"/>
    <s v="L"/>
    <s v="Purple"/>
    <s v="Winter"/>
    <n v="4.7"/>
    <x v="1"/>
    <x v="1"/>
    <x v="1"/>
    <x v="1"/>
    <n v="4"/>
    <x v="1"/>
    <x v="0"/>
    <x v="0"/>
  </r>
  <r>
    <n v="1779"/>
    <x v="34"/>
    <x v="0"/>
    <x v="22"/>
    <x v="3"/>
    <x v="23"/>
    <x v="21"/>
    <s v="M"/>
    <s v="Red"/>
    <s v="Winter"/>
    <n v="4.9000000000000004"/>
    <x v="1"/>
    <x v="5"/>
    <x v="1"/>
    <x v="1"/>
    <n v="8"/>
    <x v="5"/>
    <x v="4"/>
    <x v="4"/>
  </r>
  <r>
    <n v="1780"/>
    <x v="26"/>
    <x v="0"/>
    <x v="18"/>
    <x v="3"/>
    <x v="17"/>
    <x v="41"/>
    <s v="M"/>
    <s v="Charcoal"/>
    <s v="Winter"/>
    <n v="4.3"/>
    <x v="1"/>
    <x v="1"/>
    <x v="1"/>
    <x v="1"/>
    <n v="41"/>
    <x v="0"/>
    <x v="1"/>
    <x v="1"/>
  </r>
  <r>
    <n v="1781"/>
    <x v="29"/>
    <x v="0"/>
    <x v="16"/>
    <x v="3"/>
    <x v="13"/>
    <x v="25"/>
    <s v="S"/>
    <s v="Gray"/>
    <s v="Summer"/>
    <n v="4.2"/>
    <x v="1"/>
    <x v="2"/>
    <x v="1"/>
    <x v="1"/>
    <n v="49"/>
    <x v="2"/>
    <x v="1"/>
    <x v="1"/>
  </r>
  <r>
    <n v="1782"/>
    <x v="18"/>
    <x v="0"/>
    <x v="17"/>
    <x v="0"/>
    <x v="27"/>
    <x v="44"/>
    <s v="M"/>
    <s v="Pink"/>
    <s v="Fall"/>
    <n v="3.7"/>
    <x v="1"/>
    <x v="0"/>
    <x v="1"/>
    <x v="1"/>
    <n v="49"/>
    <x v="4"/>
    <x v="3"/>
    <x v="3"/>
  </r>
  <r>
    <n v="1783"/>
    <x v="16"/>
    <x v="0"/>
    <x v="13"/>
    <x v="0"/>
    <x v="19"/>
    <x v="40"/>
    <s v="M"/>
    <s v="Lavender"/>
    <s v="Fall"/>
    <n v="2.7"/>
    <x v="1"/>
    <x v="2"/>
    <x v="1"/>
    <x v="1"/>
    <n v="40"/>
    <x v="4"/>
    <x v="0"/>
    <x v="0"/>
  </r>
  <r>
    <n v="1784"/>
    <x v="32"/>
    <x v="0"/>
    <x v="8"/>
    <x v="3"/>
    <x v="4"/>
    <x v="31"/>
    <s v="L"/>
    <s v="Lavender"/>
    <s v="Winter"/>
    <n v="3.3"/>
    <x v="1"/>
    <x v="1"/>
    <x v="1"/>
    <x v="1"/>
    <n v="30"/>
    <x v="2"/>
    <x v="5"/>
    <x v="5"/>
  </r>
  <r>
    <n v="1785"/>
    <x v="45"/>
    <x v="0"/>
    <x v="21"/>
    <x v="3"/>
    <x v="9"/>
    <x v="7"/>
    <s v="L"/>
    <s v="Yellow"/>
    <s v="Summer"/>
    <n v="4.8"/>
    <x v="1"/>
    <x v="3"/>
    <x v="1"/>
    <x v="1"/>
    <n v="4"/>
    <x v="5"/>
    <x v="3"/>
    <x v="3"/>
  </r>
  <r>
    <n v="1786"/>
    <x v="36"/>
    <x v="0"/>
    <x v="24"/>
    <x v="3"/>
    <x v="45"/>
    <x v="44"/>
    <s v="S"/>
    <s v="Peach"/>
    <s v="Fall"/>
    <n v="4.0999999999999996"/>
    <x v="1"/>
    <x v="2"/>
    <x v="1"/>
    <x v="1"/>
    <n v="22"/>
    <x v="0"/>
    <x v="5"/>
    <x v="5"/>
  </r>
  <r>
    <n v="1787"/>
    <x v="4"/>
    <x v="0"/>
    <x v="14"/>
    <x v="2"/>
    <x v="7"/>
    <x v="33"/>
    <s v="M"/>
    <s v="Brown"/>
    <s v="Spring"/>
    <n v="4.5999999999999996"/>
    <x v="1"/>
    <x v="4"/>
    <x v="1"/>
    <x v="1"/>
    <n v="22"/>
    <x v="0"/>
    <x v="5"/>
    <x v="5"/>
  </r>
  <r>
    <n v="1788"/>
    <x v="30"/>
    <x v="0"/>
    <x v="1"/>
    <x v="0"/>
    <x v="15"/>
    <x v="6"/>
    <s v="L"/>
    <s v="Gold"/>
    <s v="Fall"/>
    <n v="4.9000000000000004"/>
    <x v="1"/>
    <x v="4"/>
    <x v="1"/>
    <x v="1"/>
    <n v="10"/>
    <x v="4"/>
    <x v="3"/>
    <x v="3"/>
  </r>
  <r>
    <n v="1789"/>
    <x v="17"/>
    <x v="0"/>
    <x v="0"/>
    <x v="0"/>
    <x v="52"/>
    <x v="26"/>
    <s v="L"/>
    <s v="Pink"/>
    <s v="Summer"/>
    <n v="3.1"/>
    <x v="1"/>
    <x v="5"/>
    <x v="1"/>
    <x v="1"/>
    <n v="23"/>
    <x v="1"/>
    <x v="4"/>
    <x v="4"/>
  </r>
  <r>
    <n v="1790"/>
    <x v="16"/>
    <x v="0"/>
    <x v="0"/>
    <x v="0"/>
    <x v="7"/>
    <x v="28"/>
    <s v="L"/>
    <s v="Peach"/>
    <s v="Spring"/>
    <n v="3"/>
    <x v="1"/>
    <x v="4"/>
    <x v="1"/>
    <x v="1"/>
    <n v="43"/>
    <x v="5"/>
    <x v="3"/>
    <x v="3"/>
  </r>
  <r>
    <n v="1791"/>
    <x v="2"/>
    <x v="0"/>
    <x v="24"/>
    <x v="3"/>
    <x v="46"/>
    <x v="17"/>
    <s v="S"/>
    <s v="Violet"/>
    <s v="Summer"/>
    <n v="3.7"/>
    <x v="1"/>
    <x v="5"/>
    <x v="1"/>
    <x v="1"/>
    <n v="31"/>
    <x v="3"/>
    <x v="4"/>
    <x v="4"/>
  </r>
  <r>
    <n v="1792"/>
    <x v="46"/>
    <x v="0"/>
    <x v="2"/>
    <x v="0"/>
    <x v="57"/>
    <x v="6"/>
    <s v="S"/>
    <s v="Purple"/>
    <s v="Winter"/>
    <n v="4"/>
    <x v="1"/>
    <x v="5"/>
    <x v="1"/>
    <x v="1"/>
    <n v="38"/>
    <x v="1"/>
    <x v="2"/>
    <x v="2"/>
  </r>
  <r>
    <n v="1793"/>
    <x v="21"/>
    <x v="0"/>
    <x v="4"/>
    <x v="1"/>
    <x v="40"/>
    <x v="44"/>
    <s v="M"/>
    <s v="Peach"/>
    <s v="Fall"/>
    <n v="3"/>
    <x v="1"/>
    <x v="0"/>
    <x v="1"/>
    <x v="1"/>
    <n v="22"/>
    <x v="5"/>
    <x v="6"/>
    <x v="3"/>
  </r>
  <r>
    <n v="1794"/>
    <x v="13"/>
    <x v="0"/>
    <x v="19"/>
    <x v="3"/>
    <x v="56"/>
    <x v="44"/>
    <s v="S"/>
    <s v="White"/>
    <s v="Fall"/>
    <n v="3.8"/>
    <x v="1"/>
    <x v="5"/>
    <x v="1"/>
    <x v="1"/>
    <n v="45"/>
    <x v="1"/>
    <x v="6"/>
    <x v="3"/>
  </r>
  <r>
    <n v="1795"/>
    <x v="52"/>
    <x v="0"/>
    <x v="21"/>
    <x v="3"/>
    <x v="49"/>
    <x v="31"/>
    <s v="L"/>
    <s v="Indigo"/>
    <s v="Spring"/>
    <n v="3.7"/>
    <x v="1"/>
    <x v="0"/>
    <x v="1"/>
    <x v="1"/>
    <n v="21"/>
    <x v="5"/>
    <x v="0"/>
    <x v="0"/>
  </r>
  <r>
    <n v="1796"/>
    <x v="33"/>
    <x v="0"/>
    <x v="2"/>
    <x v="0"/>
    <x v="5"/>
    <x v="48"/>
    <s v="S"/>
    <s v="Violet"/>
    <s v="Fall"/>
    <n v="4"/>
    <x v="1"/>
    <x v="4"/>
    <x v="1"/>
    <x v="1"/>
    <n v="9"/>
    <x v="5"/>
    <x v="0"/>
    <x v="0"/>
  </r>
  <r>
    <n v="1797"/>
    <x v="46"/>
    <x v="0"/>
    <x v="11"/>
    <x v="0"/>
    <x v="59"/>
    <x v="36"/>
    <s v="S"/>
    <s v="Brown"/>
    <s v="Spring"/>
    <n v="3.1"/>
    <x v="1"/>
    <x v="5"/>
    <x v="1"/>
    <x v="1"/>
    <n v="34"/>
    <x v="0"/>
    <x v="1"/>
    <x v="1"/>
  </r>
  <r>
    <n v="1798"/>
    <x v="46"/>
    <x v="0"/>
    <x v="22"/>
    <x v="3"/>
    <x v="59"/>
    <x v="4"/>
    <s v="L"/>
    <s v="Maroon"/>
    <s v="Spring"/>
    <n v="3.9"/>
    <x v="1"/>
    <x v="4"/>
    <x v="1"/>
    <x v="1"/>
    <n v="26"/>
    <x v="0"/>
    <x v="1"/>
    <x v="1"/>
  </r>
  <r>
    <n v="1799"/>
    <x v="37"/>
    <x v="0"/>
    <x v="10"/>
    <x v="0"/>
    <x v="71"/>
    <x v="25"/>
    <s v="L"/>
    <s v="Magenta"/>
    <s v="Winter"/>
    <n v="3.7"/>
    <x v="1"/>
    <x v="0"/>
    <x v="1"/>
    <x v="1"/>
    <n v="1"/>
    <x v="1"/>
    <x v="1"/>
    <x v="1"/>
  </r>
  <r>
    <n v="1800"/>
    <x v="45"/>
    <x v="0"/>
    <x v="15"/>
    <x v="0"/>
    <x v="16"/>
    <x v="18"/>
    <s v="M"/>
    <s v="Charcoal"/>
    <s v="Fall"/>
    <n v="3.9"/>
    <x v="1"/>
    <x v="0"/>
    <x v="1"/>
    <x v="1"/>
    <n v="47"/>
    <x v="0"/>
    <x v="1"/>
    <x v="1"/>
  </r>
  <r>
    <n v="1801"/>
    <x v="40"/>
    <x v="0"/>
    <x v="7"/>
    <x v="2"/>
    <x v="47"/>
    <x v="16"/>
    <s v="XL"/>
    <s v="Indigo"/>
    <s v="Winter"/>
    <n v="2.7"/>
    <x v="1"/>
    <x v="0"/>
    <x v="1"/>
    <x v="1"/>
    <n v="30"/>
    <x v="2"/>
    <x v="1"/>
    <x v="1"/>
  </r>
  <r>
    <n v="1802"/>
    <x v="23"/>
    <x v="0"/>
    <x v="1"/>
    <x v="0"/>
    <x v="75"/>
    <x v="32"/>
    <s v="M"/>
    <s v="Turquoise"/>
    <s v="Spring"/>
    <n v="3.9"/>
    <x v="1"/>
    <x v="0"/>
    <x v="1"/>
    <x v="1"/>
    <n v="48"/>
    <x v="5"/>
    <x v="0"/>
    <x v="0"/>
  </r>
  <r>
    <n v="1803"/>
    <x v="9"/>
    <x v="0"/>
    <x v="6"/>
    <x v="0"/>
    <x v="48"/>
    <x v="3"/>
    <s v="L"/>
    <s v="Turquoise"/>
    <s v="Winter"/>
    <n v="2.6"/>
    <x v="1"/>
    <x v="5"/>
    <x v="1"/>
    <x v="1"/>
    <n v="31"/>
    <x v="0"/>
    <x v="4"/>
    <x v="4"/>
  </r>
  <r>
    <n v="1804"/>
    <x v="52"/>
    <x v="0"/>
    <x v="4"/>
    <x v="1"/>
    <x v="8"/>
    <x v="13"/>
    <s v="S"/>
    <s v="Gray"/>
    <s v="Summer"/>
    <n v="3.5"/>
    <x v="1"/>
    <x v="1"/>
    <x v="1"/>
    <x v="1"/>
    <n v="33"/>
    <x v="0"/>
    <x v="0"/>
    <x v="0"/>
  </r>
  <r>
    <n v="1805"/>
    <x v="11"/>
    <x v="0"/>
    <x v="1"/>
    <x v="0"/>
    <x v="69"/>
    <x v="7"/>
    <s v="L"/>
    <s v="Peach"/>
    <s v="Winter"/>
    <n v="4.4000000000000004"/>
    <x v="1"/>
    <x v="2"/>
    <x v="1"/>
    <x v="1"/>
    <n v="39"/>
    <x v="2"/>
    <x v="1"/>
    <x v="1"/>
  </r>
  <r>
    <n v="1806"/>
    <x v="38"/>
    <x v="0"/>
    <x v="17"/>
    <x v="0"/>
    <x v="17"/>
    <x v="28"/>
    <s v="L"/>
    <s v="Gold"/>
    <s v="Spring"/>
    <n v="4.9000000000000004"/>
    <x v="1"/>
    <x v="5"/>
    <x v="1"/>
    <x v="1"/>
    <n v="46"/>
    <x v="5"/>
    <x v="1"/>
    <x v="1"/>
  </r>
  <r>
    <n v="1807"/>
    <x v="44"/>
    <x v="0"/>
    <x v="8"/>
    <x v="3"/>
    <x v="25"/>
    <x v="3"/>
    <s v="M"/>
    <s v="Green"/>
    <s v="Fall"/>
    <n v="3.9"/>
    <x v="1"/>
    <x v="3"/>
    <x v="1"/>
    <x v="1"/>
    <n v="24"/>
    <x v="0"/>
    <x v="2"/>
    <x v="2"/>
  </r>
  <r>
    <n v="1808"/>
    <x v="50"/>
    <x v="0"/>
    <x v="4"/>
    <x v="1"/>
    <x v="43"/>
    <x v="34"/>
    <s v="L"/>
    <s v="Gold"/>
    <s v="Summer"/>
    <n v="3.5"/>
    <x v="1"/>
    <x v="3"/>
    <x v="1"/>
    <x v="1"/>
    <n v="37"/>
    <x v="0"/>
    <x v="0"/>
    <x v="0"/>
  </r>
  <r>
    <n v="1809"/>
    <x v="29"/>
    <x v="0"/>
    <x v="14"/>
    <x v="2"/>
    <x v="79"/>
    <x v="30"/>
    <s v="M"/>
    <s v="Lavender"/>
    <s v="Spring"/>
    <n v="4.3"/>
    <x v="1"/>
    <x v="2"/>
    <x v="1"/>
    <x v="1"/>
    <n v="7"/>
    <x v="5"/>
    <x v="5"/>
    <x v="5"/>
  </r>
  <r>
    <n v="1810"/>
    <x v="44"/>
    <x v="0"/>
    <x v="21"/>
    <x v="3"/>
    <x v="54"/>
    <x v="29"/>
    <s v="S"/>
    <s v="Blue"/>
    <s v="Fall"/>
    <n v="3.4"/>
    <x v="1"/>
    <x v="1"/>
    <x v="1"/>
    <x v="1"/>
    <n v="6"/>
    <x v="5"/>
    <x v="0"/>
    <x v="0"/>
  </r>
  <r>
    <n v="1811"/>
    <x v="38"/>
    <x v="0"/>
    <x v="2"/>
    <x v="0"/>
    <x v="39"/>
    <x v="33"/>
    <s v="M"/>
    <s v="Magenta"/>
    <s v="Fall"/>
    <n v="2.7"/>
    <x v="1"/>
    <x v="3"/>
    <x v="1"/>
    <x v="1"/>
    <n v="16"/>
    <x v="1"/>
    <x v="4"/>
    <x v="4"/>
  </r>
  <r>
    <n v="1812"/>
    <x v="32"/>
    <x v="0"/>
    <x v="22"/>
    <x v="3"/>
    <x v="64"/>
    <x v="48"/>
    <s v="L"/>
    <s v="Blue"/>
    <s v="Summer"/>
    <n v="3.6"/>
    <x v="1"/>
    <x v="3"/>
    <x v="1"/>
    <x v="1"/>
    <n v="33"/>
    <x v="4"/>
    <x v="2"/>
    <x v="2"/>
  </r>
  <r>
    <n v="1813"/>
    <x v="2"/>
    <x v="0"/>
    <x v="23"/>
    <x v="1"/>
    <x v="80"/>
    <x v="22"/>
    <s v="S"/>
    <s v="Blue"/>
    <s v="Summer"/>
    <n v="4.9000000000000004"/>
    <x v="1"/>
    <x v="0"/>
    <x v="1"/>
    <x v="1"/>
    <n v="18"/>
    <x v="3"/>
    <x v="4"/>
    <x v="4"/>
  </r>
  <r>
    <n v="1814"/>
    <x v="37"/>
    <x v="0"/>
    <x v="6"/>
    <x v="0"/>
    <x v="17"/>
    <x v="26"/>
    <s v="M"/>
    <s v="Olive"/>
    <s v="Spring"/>
    <n v="3.5"/>
    <x v="1"/>
    <x v="1"/>
    <x v="1"/>
    <x v="1"/>
    <n v="24"/>
    <x v="3"/>
    <x v="1"/>
    <x v="1"/>
  </r>
  <r>
    <n v="1815"/>
    <x v="45"/>
    <x v="0"/>
    <x v="2"/>
    <x v="0"/>
    <x v="56"/>
    <x v="6"/>
    <s v="M"/>
    <s v="White"/>
    <s v="Summer"/>
    <n v="3.8"/>
    <x v="1"/>
    <x v="1"/>
    <x v="1"/>
    <x v="1"/>
    <n v="24"/>
    <x v="1"/>
    <x v="3"/>
    <x v="3"/>
  </r>
  <r>
    <n v="1816"/>
    <x v="47"/>
    <x v="0"/>
    <x v="9"/>
    <x v="1"/>
    <x v="11"/>
    <x v="35"/>
    <s v="L"/>
    <s v="White"/>
    <s v="Winter"/>
    <n v="4.5"/>
    <x v="1"/>
    <x v="4"/>
    <x v="1"/>
    <x v="1"/>
    <n v="48"/>
    <x v="2"/>
    <x v="6"/>
    <x v="3"/>
  </r>
  <r>
    <n v="1817"/>
    <x v="8"/>
    <x v="0"/>
    <x v="19"/>
    <x v="3"/>
    <x v="24"/>
    <x v="41"/>
    <s v="M"/>
    <s v="Purple"/>
    <s v="Summer"/>
    <n v="4"/>
    <x v="1"/>
    <x v="0"/>
    <x v="1"/>
    <x v="1"/>
    <n v="4"/>
    <x v="1"/>
    <x v="1"/>
    <x v="1"/>
  </r>
  <r>
    <n v="1818"/>
    <x v="45"/>
    <x v="0"/>
    <x v="17"/>
    <x v="0"/>
    <x v="65"/>
    <x v="12"/>
    <s v="M"/>
    <s v="White"/>
    <s v="Summer"/>
    <n v="4.7"/>
    <x v="1"/>
    <x v="1"/>
    <x v="1"/>
    <x v="1"/>
    <n v="20"/>
    <x v="1"/>
    <x v="1"/>
    <x v="1"/>
  </r>
  <r>
    <n v="1819"/>
    <x v="44"/>
    <x v="0"/>
    <x v="12"/>
    <x v="3"/>
    <x v="32"/>
    <x v="17"/>
    <s v="M"/>
    <s v="White"/>
    <s v="Fall"/>
    <n v="3.8"/>
    <x v="1"/>
    <x v="0"/>
    <x v="1"/>
    <x v="1"/>
    <n v="47"/>
    <x v="5"/>
    <x v="6"/>
    <x v="3"/>
  </r>
  <r>
    <n v="1820"/>
    <x v="47"/>
    <x v="0"/>
    <x v="20"/>
    <x v="0"/>
    <x v="62"/>
    <x v="22"/>
    <s v="S"/>
    <s v="Peach"/>
    <s v="Spring"/>
    <n v="4.5"/>
    <x v="1"/>
    <x v="2"/>
    <x v="1"/>
    <x v="1"/>
    <n v="50"/>
    <x v="1"/>
    <x v="3"/>
    <x v="3"/>
  </r>
  <r>
    <n v="1821"/>
    <x v="1"/>
    <x v="0"/>
    <x v="5"/>
    <x v="0"/>
    <x v="23"/>
    <x v="47"/>
    <s v="XL"/>
    <s v="Gold"/>
    <s v="Fall"/>
    <n v="5"/>
    <x v="1"/>
    <x v="0"/>
    <x v="1"/>
    <x v="1"/>
    <n v="31"/>
    <x v="3"/>
    <x v="5"/>
    <x v="5"/>
  </r>
  <r>
    <n v="1822"/>
    <x v="9"/>
    <x v="0"/>
    <x v="6"/>
    <x v="0"/>
    <x v="0"/>
    <x v="1"/>
    <s v="M"/>
    <s v="Teal"/>
    <s v="Spring"/>
    <n v="2.8"/>
    <x v="1"/>
    <x v="0"/>
    <x v="1"/>
    <x v="1"/>
    <n v="29"/>
    <x v="3"/>
    <x v="3"/>
    <x v="3"/>
  </r>
  <r>
    <n v="1823"/>
    <x v="17"/>
    <x v="0"/>
    <x v="5"/>
    <x v="0"/>
    <x v="6"/>
    <x v="39"/>
    <s v="S"/>
    <s v="Cyan"/>
    <s v="Summer"/>
    <n v="4.4000000000000004"/>
    <x v="1"/>
    <x v="3"/>
    <x v="1"/>
    <x v="1"/>
    <n v="4"/>
    <x v="1"/>
    <x v="2"/>
    <x v="2"/>
  </r>
  <r>
    <n v="1824"/>
    <x v="46"/>
    <x v="0"/>
    <x v="20"/>
    <x v="0"/>
    <x v="74"/>
    <x v="7"/>
    <s v="L"/>
    <s v="Pink"/>
    <s v="Fall"/>
    <n v="4.7"/>
    <x v="1"/>
    <x v="1"/>
    <x v="1"/>
    <x v="1"/>
    <n v="40"/>
    <x v="4"/>
    <x v="4"/>
    <x v="4"/>
  </r>
  <r>
    <n v="1825"/>
    <x v="44"/>
    <x v="0"/>
    <x v="13"/>
    <x v="0"/>
    <x v="53"/>
    <x v="26"/>
    <s v="XL"/>
    <s v="Magenta"/>
    <s v="Winter"/>
    <n v="3.8"/>
    <x v="1"/>
    <x v="0"/>
    <x v="1"/>
    <x v="1"/>
    <n v="31"/>
    <x v="1"/>
    <x v="5"/>
    <x v="5"/>
  </r>
  <r>
    <n v="1826"/>
    <x v="51"/>
    <x v="0"/>
    <x v="23"/>
    <x v="1"/>
    <x v="60"/>
    <x v="45"/>
    <s v="M"/>
    <s v="Pink"/>
    <s v="Winter"/>
    <n v="4.9000000000000004"/>
    <x v="1"/>
    <x v="2"/>
    <x v="1"/>
    <x v="1"/>
    <n v="41"/>
    <x v="2"/>
    <x v="1"/>
    <x v="1"/>
  </r>
  <r>
    <n v="1827"/>
    <x v="4"/>
    <x v="0"/>
    <x v="17"/>
    <x v="0"/>
    <x v="30"/>
    <x v="27"/>
    <s v="M"/>
    <s v="Turquoise"/>
    <s v="Winter"/>
    <n v="4.2"/>
    <x v="1"/>
    <x v="0"/>
    <x v="1"/>
    <x v="1"/>
    <n v="44"/>
    <x v="5"/>
    <x v="2"/>
    <x v="2"/>
  </r>
  <r>
    <n v="1828"/>
    <x v="30"/>
    <x v="0"/>
    <x v="17"/>
    <x v="0"/>
    <x v="14"/>
    <x v="34"/>
    <s v="S"/>
    <s v="Pink"/>
    <s v="Spring"/>
    <n v="4.9000000000000004"/>
    <x v="1"/>
    <x v="4"/>
    <x v="1"/>
    <x v="1"/>
    <n v="31"/>
    <x v="4"/>
    <x v="1"/>
    <x v="1"/>
  </r>
  <r>
    <n v="1829"/>
    <x v="23"/>
    <x v="0"/>
    <x v="7"/>
    <x v="2"/>
    <x v="68"/>
    <x v="13"/>
    <s v="L"/>
    <s v="Gray"/>
    <s v="Spring"/>
    <n v="3.9"/>
    <x v="1"/>
    <x v="0"/>
    <x v="1"/>
    <x v="1"/>
    <n v="45"/>
    <x v="1"/>
    <x v="6"/>
    <x v="3"/>
  </r>
  <r>
    <n v="1830"/>
    <x v="11"/>
    <x v="0"/>
    <x v="19"/>
    <x v="3"/>
    <x v="48"/>
    <x v="4"/>
    <s v="M"/>
    <s v="White"/>
    <s v="Spring"/>
    <n v="4.9000000000000004"/>
    <x v="1"/>
    <x v="4"/>
    <x v="1"/>
    <x v="1"/>
    <n v="50"/>
    <x v="2"/>
    <x v="3"/>
    <x v="3"/>
  </r>
  <r>
    <n v="1831"/>
    <x v="2"/>
    <x v="0"/>
    <x v="12"/>
    <x v="3"/>
    <x v="68"/>
    <x v="23"/>
    <s v="M"/>
    <s v="Blue"/>
    <s v="Winter"/>
    <n v="4.8"/>
    <x v="1"/>
    <x v="0"/>
    <x v="1"/>
    <x v="1"/>
    <n v="7"/>
    <x v="0"/>
    <x v="2"/>
    <x v="2"/>
  </r>
  <r>
    <n v="1832"/>
    <x v="46"/>
    <x v="0"/>
    <x v="0"/>
    <x v="0"/>
    <x v="79"/>
    <x v="1"/>
    <s v="M"/>
    <s v="Cyan"/>
    <s v="Summer"/>
    <n v="3.3"/>
    <x v="1"/>
    <x v="1"/>
    <x v="1"/>
    <x v="1"/>
    <n v="5"/>
    <x v="4"/>
    <x v="6"/>
    <x v="3"/>
  </r>
  <r>
    <n v="1833"/>
    <x v="28"/>
    <x v="0"/>
    <x v="16"/>
    <x v="3"/>
    <x v="45"/>
    <x v="7"/>
    <s v="M"/>
    <s v="Blue"/>
    <s v="Fall"/>
    <n v="4.5999999999999996"/>
    <x v="1"/>
    <x v="1"/>
    <x v="1"/>
    <x v="1"/>
    <n v="48"/>
    <x v="1"/>
    <x v="5"/>
    <x v="5"/>
  </r>
  <r>
    <n v="1834"/>
    <x v="50"/>
    <x v="0"/>
    <x v="16"/>
    <x v="3"/>
    <x v="0"/>
    <x v="7"/>
    <s v="M"/>
    <s v="Yellow"/>
    <s v="Spring"/>
    <n v="4.5"/>
    <x v="1"/>
    <x v="4"/>
    <x v="1"/>
    <x v="1"/>
    <n v="19"/>
    <x v="3"/>
    <x v="0"/>
    <x v="0"/>
  </r>
  <r>
    <n v="1835"/>
    <x v="34"/>
    <x v="0"/>
    <x v="11"/>
    <x v="0"/>
    <x v="59"/>
    <x v="27"/>
    <s v="M"/>
    <s v="Charcoal"/>
    <s v="Summer"/>
    <n v="4.0999999999999996"/>
    <x v="1"/>
    <x v="4"/>
    <x v="1"/>
    <x v="1"/>
    <n v="39"/>
    <x v="0"/>
    <x v="0"/>
    <x v="0"/>
  </r>
  <r>
    <n v="1836"/>
    <x v="13"/>
    <x v="0"/>
    <x v="18"/>
    <x v="3"/>
    <x v="60"/>
    <x v="0"/>
    <s v="M"/>
    <s v="Lavender"/>
    <s v="Fall"/>
    <n v="3.2"/>
    <x v="1"/>
    <x v="4"/>
    <x v="1"/>
    <x v="1"/>
    <n v="45"/>
    <x v="2"/>
    <x v="3"/>
    <x v="3"/>
  </r>
  <r>
    <n v="1837"/>
    <x v="17"/>
    <x v="0"/>
    <x v="13"/>
    <x v="0"/>
    <x v="78"/>
    <x v="36"/>
    <s v="M"/>
    <s v="Teal"/>
    <s v="Fall"/>
    <n v="4.2"/>
    <x v="1"/>
    <x v="4"/>
    <x v="1"/>
    <x v="1"/>
    <n v="35"/>
    <x v="2"/>
    <x v="5"/>
    <x v="5"/>
  </r>
  <r>
    <n v="1838"/>
    <x v="38"/>
    <x v="0"/>
    <x v="19"/>
    <x v="3"/>
    <x v="64"/>
    <x v="6"/>
    <s v="M"/>
    <s v="Beige"/>
    <s v="Winter"/>
    <n v="4.8"/>
    <x v="1"/>
    <x v="1"/>
    <x v="1"/>
    <x v="1"/>
    <n v="8"/>
    <x v="0"/>
    <x v="5"/>
    <x v="5"/>
  </r>
  <r>
    <n v="1839"/>
    <x v="43"/>
    <x v="0"/>
    <x v="24"/>
    <x v="3"/>
    <x v="41"/>
    <x v="34"/>
    <s v="L"/>
    <s v="Blue"/>
    <s v="Fall"/>
    <n v="4.0999999999999996"/>
    <x v="1"/>
    <x v="2"/>
    <x v="1"/>
    <x v="1"/>
    <n v="11"/>
    <x v="2"/>
    <x v="3"/>
    <x v="3"/>
  </r>
  <r>
    <n v="1840"/>
    <x v="45"/>
    <x v="0"/>
    <x v="5"/>
    <x v="0"/>
    <x v="72"/>
    <x v="16"/>
    <s v="XL"/>
    <s v="Purple"/>
    <s v="Winter"/>
    <n v="3.7"/>
    <x v="1"/>
    <x v="5"/>
    <x v="1"/>
    <x v="1"/>
    <n v="32"/>
    <x v="1"/>
    <x v="2"/>
    <x v="2"/>
  </r>
  <r>
    <n v="1841"/>
    <x v="32"/>
    <x v="0"/>
    <x v="3"/>
    <x v="1"/>
    <x v="57"/>
    <x v="5"/>
    <s v="M"/>
    <s v="Gold"/>
    <s v="Winter"/>
    <n v="2.6"/>
    <x v="1"/>
    <x v="5"/>
    <x v="1"/>
    <x v="1"/>
    <n v="46"/>
    <x v="4"/>
    <x v="6"/>
    <x v="3"/>
  </r>
  <r>
    <n v="1842"/>
    <x v="18"/>
    <x v="0"/>
    <x v="20"/>
    <x v="0"/>
    <x v="75"/>
    <x v="34"/>
    <s v="L"/>
    <s v="Blue"/>
    <s v="Winter"/>
    <n v="3"/>
    <x v="1"/>
    <x v="3"/>
    <x v="1"/>
    <x v="1"/>
    <n v="7"/>
    <x v="3"/>
    <x v="6"/>
    <x v="3"/>
  </r>
  <r>
    <n v="1843"/>
    <x v="12"/>
    <x v="0"/>
    <x v="8"/>
    <x v="3"/>
    <x v="72"/>
    <x v="15"/>
    <s v="M"/>
    <s v="Black"/>
    <s v="Summer"/>
    <n v="4.4000000000000004"/>
    <x v="1"/>
    <x v="0"/>
    <x v="1"/>
    <x v="1"/>
    <n v="1"/>
    <x v="5"/>
    <x v="2"/>
    <x v="2"/>
  </r>
  <r>
    <n v="1844"/>
    <x v="24"/>
    <x v="0"/>
    <x v="14"/>
    <x v="2"/>
    <x v="31"/>
    <x v="0"/>
    <s v="M"/>
    <s v="Charcoal"/>
    <s v="Fall"/>
    <n v="4.7"/>
    <x v="1"/>
    <x v="2"/>
    <x v="1"/>
    <x v="1"/>
    <n v="32"/>
    <x v="2"/>
    <x v="5"/>
    <x v="5"/>
  </r>
  <r>
    <n v="1845"/>
    <x v="52"/>
    <x v="0"/>
    <x v="6"/>
    <x v="0"/>
    <x v="46"/>
    <x v="45"/>
    <s v="M"/>
    <s v="Purple"/>
    <s v="Spring"/>
    <n v="2.7"/>
    <x v="1"/>
    <x v="4"/>
    <x v="1"/>
    <x v="1"/>
    <n v="31"/>
    <x v="2"/>
    <x v="2"/>
    <x v="2"/>
  </r>
  <r>
    <n v="1846"/>
    <x v="47"/>
    <x v="0"/>
    <x v="3"/>
    <x v="1"/>
    <x v="72"/>
    <x v="12"/>
    <s v="M"/>
    <s v="Orange"/>
    <s v="Winter"/>
    <n v="2.8"/>
    <x v="1"/>
    <x v="4"/>
    <x v="1"/>
    <x v="1"/>
    <n v="39"/>
    <x v="4"/>
    <x v="3"/>
    <x v="3"/>
  </r>
  <r>
    <n v="1847"/>
    <x v="33"/>
    <x v="0"/>
    <x v="18"/>
    <x v="3"/>
    <x v="0"/>
    <x v="48"/>
    <s v="M"/>
    <s v="Yellow"/>
    <s v="Summer"/>
    <n v="2.9"/>
    <x v="1"/>
    <x v="3"/>
    <x v="1"/>
    <x v="1"/>
    <n v="9"/>
    <x v="0"/>
    <x v="3"/>
    <x v="3"/>
  </r>
  <r>
    <n v="1848"/>
    <x v="5"/>
    <x v="0"/>
    <x v="3"/>
    <x v="1"/>
    <x v="33"/>
    <x v="28"/>
    <s v="XL"/>
    <s v="Cyan"/>
    <s v="Summer"/>
    <n v="4.4000000000000004"/>
    <x v="1"/>
    <x v="1"/>
    <x v="1"/>
    <x v="1"/>
    <n v="49"/>
    <x v="2"/>
    <x v="1"/>
    <x v="1"/>
  </r>
  <r>
    <n v="1849"/>
    <x v="1"/>
    <x v="0"/>
    <x v="2"/>
    <x v="0"/>
    <x v="2"/>
    <x v="1"/>
    <s v="XL"/>
    <s v="Yellow"/>
    <s v="Winter"/>
    <n v="2.7"/>
    <x v="1"/>
    <x v="0"/>
    <x v="1"/>
    <x v="1"/>
    <n v="34"/>
    <x v="1"/>
    <x v="6"/>
    <x v="3"/>
  </r>
  <r>
    <n v="1850"/>
    <x v="11"/>
    <x v="0"/>
    <x v="11"/>
    <x v="0"/>
    <x v="49"/>
    <x v="35"/>
    <s v="M"/>
    <s v="Maroon"/>
    <s v="Winter"/>
    <n v="4.5"/>
    <x v="1"/>
    <x v="5"/>
    <x v="1"/>
    <x v="1"/>
    <n v="35"/>
    <x v="4"/>
    <x v="5"/>
    <x v="5"/>
  </r>
  <r>
    <n v="1851"/>
    <x v="47"/>
    <x v="0"/>
    <x v="24"/>
    <x v="3"/>
    <x v="31"/>
    <x v="5"/>
    <s v="S"/>
    <s v="Black"/>
    <s v="Winter"/>
    <n v="2.8"/>
    <x v="1"/>
    <x v="5"/>
    <x v="1"/>
    <x v="1"/>
    <n v="50"/>
    <x v="5"/>
    <x v="1"/>
    <x v="1"/>
  </r>
  <r>
    <n v="1852"/>
    <x v="48"/>
    <x v="0"/>
    <x v="11"/>
    <x v="0"/>
    <x v="68"/>
    <x v="12"/>
    <s v="S"/>
    <s v="Lavender"/>
    <s v="Fall"/>
    <n v="3.1"/>
    <x v="1"/>
    <x v="1"/>
    <x v="1"/>
    <x v="1"/>
    <n v="4"/>
    <x v="4"/>
    <x v="0"/>
    <x v="0"/>
  </r>
  <r>
    <n v="1853"/>
    <x v="38"/>
    <x v="0"/>
    <x v="1"/>
    <x v="0"/>
    <x v="68"/>
    <x v="38"/>
    <s v="XL"/>
    <s v="Violet"/>
    <s v="Winter"/>
    <n v="3.8"/>
    <x v="1"/>
    <x v="5"/>
    <x v="1"/>
    <x v="1"/>
    <n v="32"/>
    <x v="1"/>
    <x v="1"/>
    <x v="1"/>
  </r>
  <r>
    <n v="1854"/>
    <x v="26"/>
    <x v="0"/>
    <x v="0"/>
    <x v="0"/>
    <x v="25"/>
    <x v="25"/>
    <s v="XL"/>
    <s v="Olive"/>
    <s v="Spring"/>
    <n v="2.9"/>
    <x v="1"/>
    <x v="0"/>
    <x v="1"/>
    <x v="1"/>
    <n v="11"/>
    <x v="3"/>
    <x v="0"/>
    <x v="0"/>
  </r>
  <r>
    <n v="1855"/>
    <x v="15"/>
    <x v="0"/>
    <x v="1"/>
    <x v="0"/>
    <x v="70"/>
    <x v="0"/>
    <s v="M"/>
    <s v="Teal"/>
    <s v="Spring"/>
    <n v="3.8"/>
    <x v="1"/>
    <x v="0"/>
    <x v="1"/>
    <x v="1"/>
    <n v="49"/>
    <x v="2"/>
    <x v="2"/>
    <x v="2"/>
  </r>
  <r>
    <n v="1856"/>
    <x v="52"/>
    <x v="0"/>
    <x v="5"/>
    <x v="0"/>
    <x v="31"/>
    <x v="3"/>
    <s v="XL"/>
    <s v="Teal"/>
    <s v="Spring"/>
    <n v="4.7"/>
    <x v="1"/>
    <x v="3"/>
    <x v="1"/>
    <x v="1"/>
    <n v="9"/>
    <x v="1"/>
    <x v="2"/>
    <x v="2"/>
  </r>
  <r>
    <n v="1857"/>
    <x v="6"/>
    <x v="0"/>
    <x v="16"/>
    <x v="3"/>
    <x v="37"/>
    <x v="28"/>
    <s v="XL"/>
    <s v="Beige"/>
    <s v="Summer"/>
    <n v="3.2"/>
    <x v="1"/>
    <x v="1"/>
    <x v="1"/>
    <x v="1"/>
    <n v="30"/>
    <x v="3"/>
    <x v="4"/>
    <x v="4"/>
  </r>
  <r>
    <n v="1858"/>
    <x v="47"/>
    <x v="0"/>
    <x v="17"/>
    <x v="0"/>
    <x v="6"/>
    <x v="24"/>
    <s v="L"/>
    <s v="Maroon"/>
    <s v="Summer"/>
    <n v="4"/>
    <x v="1"/>
    <x v="2"/>
    <x v="1"/>
    <x v="1"/>
    <n v="33"/>
    <x v="1"/>
    <x v="5"/>
    <x v="5"/>
  </r>
  <r>
    <n v="1859"/>
    <x v="40"/>
    <x v="0"/>
    <x v="18"/>
    <x v="3"/>
    <x v="28"/>
    <x v="1"/>
    <s v="S"/>
    <s v="Peach"/>
    <s v="Spring"/>
    <n v="4.9000000000000004"/>
    <x v="1"/>
    <x v="4"/>
    <x v="1"/>
    <x v="1"/>
    <n v="8"/>
    <x v="5"/>
    <x v="2"/>
    <x v="2"/>
  </r>
  <r>
    <n v="1860"/>
    <x v="22"/>
    <x v="0"/>
    <x v="22"/>
    <x v="3"/>
    <x v="46"/>
    <x v="32"/>
    <s v="L"/>
    <s v="Beige"/>
    <s v="Summer"/>
    <n v="3.7"/>
    <x v="1"/>
    <x v="5"/>
    <x v="1"/>
    <x v="1"/>
    <n v="29"/>
    <x v="5"/>
    <x v="0"/>
    <x v="0"/>
  </r>
  <r>
    <n v="1861"/>
    <x v="20"/>
    <x v="0"/>
    <x v="17"/>
    <x v="0"/>
    <x v="1"/>
    <x v="23"/>
    <s v="M"/>
    <s v="Silver"/>
    <s v="Summer"/>
    <n v="4.8"/>
    <x v="1"/>
    <x v="2"/>
    <x v="1"/>
    <x v="1"/>
    <n v="4"/>
    <x v="2"/>
    <x v="5"/>
    <x v="5"/>
  </r>
  <r>
    <n v="1862"/>
    <x v="26"/>
    <x v="0"/>
    <x v="4"/>
    <x v="1"/>
    <x v="30"/>
    <x v="45"/>
    <s v="S"/>
    <s v="Peach"/>
    <s v="Fall"/>
    <n v="3.6"/>
    <x v="1"/>
    <x v="3"/>
    <x v="1"/>
    <x v="1"/>
    <n v="19"/>
    <x v="5"/>
    <x v="5"/>
    <x v="5"/>
  </r>
  <r>
    <n v="1863"/>
    <x v="35"/>
    <x v="0"/>
    <x v="24"/>
    <x v="3"/>
    <x v="14"/>
    <x v="13"/>
    <s v="M"/>
    <s v="Turquoise"/>
    <s v="Winter"/>
    <n v="4.5999999999999996"/>
    <x v="1"/>
    <x v="0"/>
    <x v="1"/>
    <x v="1"/>
    <n v="10"/>
    <x v="3"/>
    <x v="0"/>
    <x v="0"/>
  </r>
  <r>
    <n v="1864"/>
    <x v="15"/>
    <x v="0"/>
    <x v="3"/>
    <x v="1"/>
    <x v="34"/>
    <x v="39"/>
    <s v="L"/>
    <s v="Orange"/>
    <s v="Spring"/>
    <n v="4.3"/>
    <x v="1"/>
    <x v="4"/>
    <x v="1"/>
    <x v="1"/>
    <n v="39"/>
    <x v="5"/>
    <x v="5"/>
    <x v="5"/>
  </r>
  <r>
    <n v="1865"/>
    <x v="1"/>
    <x v="0"/>
    <x v="21"/>
    <x v="3"/>
    <x v="11"/>
    <x v="5"/>
    <s v="S"/>
    <s v="Cyan"/>
    <s v="Fall"/>
    <n v="3.2"/>
    <x v="1"/>
    <x v="4"/>
    <x v="1"/>
    <x v="1"/>
    <n v="21"/>
    <x v="0"/>
    <x v="3"/>
    <x v="3"/>
  </r>
  <r>
    <n v="1866"/>
    <x v="19"/>
    <x v="0"/>
    <x v="13"/>
    <x v="0"/>
    <x v="17"/>
    <x v="9"/>
    <s v="S"/>
    <s v="Silver"/>
    <s v="Summer"/>
    <n v="3.8"/>
    <x v="1"/>
    <x v="5"/>
    <x v="1"/>
    <x v="1"/>
    <n v="12"/>
    <x v="4"/>
    <x v="5"/>
    <x v="5"/>
  </r>
  <r>
    <n v="1867"/>
    <x v="18"/>
    <x v="0"/>
    <x v="17"/>
    <x v="0"/>
    <x v="77"/>
    <x v="29"/>
    <s v="XL"/>
    <s v="Gold"/>
    <s v="Winter"/>
    <n v="4.2"/>
    <x v="1"/>
    <x v="3"/>
    <x v="1"/>
    <x v="1"/>
    <n v="9"/>
    <x v="2"/>
    <x v="0"/>
    <x v="0"/>
  </r>
  <r>
    <n v="1868"/>
    <x v="4"/>
    <x v="0"/>
    <x v="11"/>
    <x v="0"/>
    <x v="78"/>
    <x v="12"/>
    <s v="M"/>
    <s v="Brown"/>
    <s v="Fall"/>
    <n v="3.4"/>
    <x v="1"/>
    <x v="4"/>
    <x v="1"/>
    <x v="1"/>
    <n v="20"/>
    <x v="0"/>
    <x v="3"/>
    <x v="3"/>
  </r>
  <r>
    <n v="1869"/>
    <x v="51"/>
    <x v="0"/>
    <x v="24"/>
    <x v="3"/>
    <x v="47"/>
    <x v="27"/>
    <s v="M"/>
    <s v="Silver"/>
    <s v="Spring"/>
    <n v="4.7"/>
    <x v="1"/>
    <x v="2"/>
    <x v="1"/>
    <x v="1"/>
    <n v="44"/>
    <x v="1"/>
    <x v="0"/>
    <x v="0"/>
  </r>
  <r>
    <n v="1870"/>
    <x v="20"/>
    <x v="0"/>
    <x v="0"/>
    <x v="0"/>
    <x v="64"/>
    <x v="8"/>
    <s v="S"/>
    <s v="Beige"/>
    <s v="Spring"/>
    <n v="3.9"/>
    <x v="1"/>
    <x v="4"/>
    <x v="1"/>
    <x v="1"/>
    <n v="16"/>
    <x v="5"/>
    <x v="6"/>
    <x v="3"/>
  </r>
  <r>
    <n v="1871"/>
    <x v="49"/>
    <x v="0"/>
    <x v="0"/>
    <x v="0"/>
    <x v="54"/>
    <x v="5"/>
    <s v="L"/>
    <s v="Violet"/>
    <s v="Spring"/>
    <n v="4.3"/>
    <x v="1"/>
    <x v="5"/>
    <x v="1"/>
    <x v="1"/>
    <n v="27"/>
    <x v="5"/>
    <x v="0"/>
    <x v="0"/>
  </r>
  <r>
    <n v="1872"/>
    <x v="19"/>
    <x v="0"/>
    <x v="2"/>
    <x v="0"/>
    <x v="48"/>
    <x v="26"/>
    <s v="XL"/>
    <s v="Violet"/>
    <s v="Fall"/>
    <n v="2.7"/>
    <x v="1"/>
    <x v="3"/>
    <x v="1"/>
    <x v="1"/>
    <n v="14"/>
    <x v="1"/>
    <x v="6"/>
    <x v="3"/>
  </r>
  <r>
    <n v="1873"/>
    <x v="49"/>
    <x v="0"/>
    <x v="17"/>
    <x v="0"/>
    <x v="1"/>
    <x v="29"/>
    <s v="M"/>
    <s v="Lavender"/>
    <s v="Summer"/>
    <n v="4.5999999999999996"/>
    <x v="1"/>
    <x v="3"/>
    <x v="1"/>
    <x v="1"/>
    <n v="24"/>
    <x v="2"/>
    <x v="5"/>
    <x v="5"/>
  </r>
  <r>
    <n v="1874"/>
    <x v="14"/>
    <x v="0"/>
    <x v="1"/>
    <x v="0"/>
    <x v="77"/>
    <x v="48"/>
    <s v="XL"/>
    <s v="Red"/>
    <s v="Fall"/>
    <n v="2.9"/>
    <x v="1"/>
    <x v="0"/>
    <x v="1"/>
    <x v="1"/>
    <n v="49"/>
    <x v="4"/>
    <x v="1"/>
    <x v="1"/>
  </r>
  <r>
    <n v="1875"/>
    <x v="29"/>
    <x v="0"/>
    <x v="13"/>
    <x v="0"/>
    <x v="27"/>
    <x v="27"/>
    <s v="L"/>
    <s v="Purple"/>
    <s v="Fall"/>
    <n v="3.6"/>
    <x v="1"/>
    <x v="1"/>
    <x v="1"/>
    <x v="1"/>
    <n v="14"/>
    <x v="1"/>
    <x v="1"/>
    <x v="1"/>
  </r>
  <r>
    <n v="1876"/>
    <x v="6"/>
    <x v="0"/>
    <x v="23"/>
    <x v="1"/>
    <x v="79"/>
    <x v="30"/>
    <s v="M"/>
    <s v="Brown"/>
    <s v="Winter"/>
    <n v="3.9"/>
    <x v="1"/>
    <x v="2"/>
    <x v="1"/>
    <x v="1"/>
    <n v="6"/>
    <x v="2"/>
    <x v="3"/>
    <x v="3"/>
  </r>
  <r>
    <n v="1877"/>
    <x v="22"/>
    <x v="0"/>
    <x v="11"/>
    <x v="0"/>
    <x v="14"/>
    <x v="26"/>
    <s v="M"/>
    <s v="Gray"/>
    <s v="Fall"/>
    <n v="2.6"/>
    <x v="1"/>
    <x v="3"/>
    <x v="1"/>
    <x v="1"/>
    <n v="20"/>
    <x v="0"/>
    <x v="3"/>
    <x v="3"/>
  </r>
  <r>
    <n v="1878"/>
    <x v="28"/>
    <x v="0"/>
    <x v="24"/>
    <x v="3"/>
    <x v="17"/>
    <x v="38"/>
    <s v="L"/>
    <s v="Pink"/>
    <s v="Fall"/>
    <n v="3.6"/>
    <x v="1"/>
    <x v="0"/>
    <x v="1"/>
    <x v="1"/>
    <n v="3"/>
    <x v="2"/>
    <x v="2"/>
    <x v="2"/>
  </r>
  <r>
    <n v="1879"/>
    <x v="50"/>
    <x v="0"/>
    <x v="20"/>
    <x v="0"/>
    <x v="45"/>
    <x v="19"/>
    <s v="L"/>
    <s v="Magenta"/>
    <s v="Summer"/>
    <n v="3.4"/>
    <x v="1"/>
    <x v="5"/>
    <x v="1"/>
    <x v="1"/>
    <n v="5"/>
    <x v="2"/>
    <x v="5"/>
    <x v="5"/>
  </r>
  <r>
    <n v="1880"/>
    <x v="19"/>
    <x v="0"/>
    <x v="17"/>
    <x v="0"/>
    <x v="27"/>
    <x v="30"/>
    <s v="L"/>
    <s v="Charcoal"/>
    <s v="Spring"/>
    <n v="3.5"/>
    <x v="1"/>
    <x v="0"/>
    <x v="1"/>
    <x v="1"/>
    <n v="46"/>
    <x v="1"/>
    <x v="4"/>
    <x v="4"/>
  </r>
  <r>
    <n v="1881"/>
    <x v="50"/>
    <x v="0"/>
    <x v="0"/>
    <x v="0"/>
    <x v="27"/>
    <x v="32"/>
    <s v="L"/>
    <s v="Yellow"/>
    <s v="Fall"/>
    <n v="3.1"/>
    <x v="1"/>
    <x v="4"/>
    <x v="1"/>
    <x v="1"/>
    <n v="8"/>
    <x v="5"/>
    <x v="5"/>
    <x v="5"/>
  </r>
  <r>
    <n v="1882"/>
    <x v="44"/>
    <x v="0"/>
    <x v="0"/>
    <x v="0"/>
    <x v="52"/>
    <x v="32"/>
    <s v="M"/>
    <s v="Red"/>
    <s v="Winter"/>
    <n v="4.3"/>
    <x v="1"/>
    <x v="3"/>
    <x v="1"/>
    <x v="1"/>
    <n v="13"/>
    <x v="1"/>
    <x v="4"/>
    <x v="4"/>
  </r>
  <r>
    <n v="1883"/>
    <x v="42"/>
    <x v="0"/>
    <x v="18"/>
    <x v="3"/>
    <x v="36"/>
    <x v="30"/>
    <s v="L"/>
    <s v="Blue"/>
    <s v="Winter"/>
    <n v="5"/>
    <x v="1"/>
    <x v="5"/>
    <x v="1"/>
    <x v="1"/>
    <n v="25"/>
    <x v="4"/>
    <x v="3"/>
    <x v="3"/>
  </r>
  <r>
    <n v="1884"/>
    <x v="15"/>
    <x v="0"/>
    <x v="21"/>
    <x v="3"/>
    <x v="47"/>
    <x v="42"/>
    <s v="M"/>
    <s v="Cyan"/>
    <s v="Spring"/>
    <n v="4.9000000000000004"/>
    <x v="1"/>
    <x v="5"/>
    <x v="1"/>
    <x v="1"/>
    <n v="39"/>
    <x v="5"/>
    <x v="0"/>
    <x v="0"/>
  </r>
  <r>
    <n v="1885"/>
    <x v="7"/>
    <x v="0"/>
    <x v="6"/>
    <x v="0"/>
    <x v="38"/>
    <x v="28"/>
    <s v="S"/>
    <s v="Pink"/>
    <s v="Summer"/>
    <n v="4.3"/>
    <x v="1"/>
    <x v="2"/>
    <x v="1"/>
    <x v="1"/>
    <n v="15"/>
    <x v="4"/>
    <x v="4"/>
    <x v="4"/>
  </r>
  <r>
    <n v="1886"/>
    <x v="8"/>
    <x v="0"/>
    <x v="16"/>
    <x v="3"/>
    <x v="0"/>
    <x v="22"/>
    <s v="S"/>
    <s v="Maroon"/>
    <s v="Winter"/>
    <n v="4.4000000000000004"/>
    <x v="1"/>
    <x v="3"/>
    <x v="1"/>
    <x v="1"/>
    <n v="35"/>
    <x v="1"/>
    <x v="5"/>
    <x v="5"/>
  </r>
  <r>
    <n v="1887"/>
    <x v="20"/>
    <x v="0"/>
    <x v="24"/>
    <x v="3"/>
    <x v="26"/>
    <x v="10"/>
    <s v="L"/>
    <s v="Beige"/>
    <s v="Spring"/>
    <n v="4.4000000000000004"/>
    <x v="1"/>
    <x v="2"/>
    <x v="1"/>
    <x v="1"/>
    <n v="46"/>
    <x v="1"/>
    <x v="4"/>
    <x v="4"/>
  </r>
  <r>
    <n v="1888"/>
    <x v="14"/>
    <x v="0"/>
    <x v="15"/>
    <x v="0"/>
    <x v="77"/>
    <x v="25"/>
    <s v="XL"/>
    <s v="Gold"/>
    <s v="Fall"/>
    <n v="3.5"/>
    <x v="1"/>
    <x v="0"/>
    <x v="1"/>
    <x v="1"/>
    <n v="3"/>
    <x v="3"/>
    <x v="5"/>
    <x v="5"/>
  </r>
  <r>
    <n v="1889"/>
    <x v="46"/>
    <x v="0"/>
    <x v="15"/>
    <x v="0"/>
    <x v="58"/>
    <x v="45"/>
    <s v="XL"/>
    <s v="Turquoise"/>
    <s v="Winter"/>
    <n v="3.4"/>
    <x v="1"/>
    <x v="1"/>
    <x v="1"/>
    <x v="1"/>
    <n v="48"/>
    <x v="2"/>
    <x v="1"/>
    <x v="1"/>
  </r>
  <r>
    <n v="1890"/>
    <x v="35"/>
    <x v="0"/>
    <x v="11"/>
    <x v="0"/>
    <x v="75"/>
    <x v="17"/>
    <s v="L"/>
    <s v="Peach"/>
    <s v="Spring"/>
    <n v="2.5"/>
    <x v="1"/>
    <x v="2"/>
    <x v="1"/>
    <x v="1"/>
    <n v="27"/>
    <x v="4"/>
    <x v="1"/>
    <x v="1"/>
  </r>
  <r>
    <n v="1891"/>
    <x v="24"/>
    <x v="0"/>
    <x v="12"/>
    <x v="3"/>
    <x v="75"/>
    <x v="11"/>
    <s v="M"/>
    <s v="Lavender"/>
    <s v="Spring"/>
    <n v="3.4"/>
    <x v="1"/>
    <x v="5"/>
    <x v="1"/>
    <x v="1"/>
    <n v="5"/>
    <x v="2"/>
    <x v="1"/>
    <x v="1"/>
  </r>
  <r>
    <n v="1892"/>
    <x v="28"/>
    <x v="0"/>
    <x v="16"/>
    <x v="3"/>
    <x v="67"/>
    <x v="13"/>
    <s v="M"/>
    <s v="Gray"/>
    <s v="Summer"/>
    <n v="2.6"/>
    <x v="1"/>
    <x v="2"/>
    <x v="1"/>
    <x v="1"/>
    <n v="48"/>
    <x v="5"/>
    <x v="3"/>
    <x v="3"/>
  </r>
  <r>
    <n v="1893"/>
    <x v="31"/>
    <x v="0"/>
    <x v="14"/>
    <x v="2"/>
    <x v="38"/>
    <x v="18"/>
    <s v="M"/>
    <s v="Blue"/>
    <s v="Fall"/>
    <n v="4.5999999999999996"/>
    <x v="1"/>
    <x v="4"/>
    <x v="1"/>
    <x v="1"/>
    <n v="12"/>
    <x v="0"/>
    <x v="1"/>
    <x v="1"/>
  </r>
  <r>
    <n v="1894"/>
    <x v="48"/>
    <x v="0"/>
    <x v="10"/>
    <x v="0"/>
    <x v="5"/>
    <x v="12"/>
    <s v="L"/>
    <s v="Red"/>
    <s v="Summer"/>
    <n v="3.7"/>
    <x v="1"/>
    <x v="0"/>
    <x v="1"/>
    <x v="1"/>
    <n v="10"/>
    <x v="3"/>
    <x v="0"/>
    <x v="0"/>
  </r>
  <r>
    <n v="1895"/>
    <x v="32"/>
    <x v="0"/>
    <x v="15"/>
    <x v="0"/>
    <x v="3"/>
    <x v="28"/>
    <s v="M"/>
    <s v="Purple"/>
    <s v="Fall"/>
    <n v="2.5"/>
    <x v="1"/>
    <x v="1"/>
    <x v="1"/>
    <x v="1"/>
    <n v="48"/>
    <x v="5"/>
    <x v="4"/>
    <x v="4"/>
  </r>
  <r>
    <n v="1896"/>
    <x v="18"/>
    <x v="0"/>
    <x v="2"/>
    <x v="0"/>
    <x v="70"/>
    <x v="47"/>
    <s v="L"/>
    <s v="Indigo"/>
    <s v="Fall"/>
    <n v="4.5"/>
    <x v="1"/>
    <x v="0"/>
    <x v="1"/>
    <x v="1"/>
    <n v="3"/>
    <x v="5"/>
    <x v="5"/>
    <x v="5"/>
  </r>
  <r>
    <n v="1897"/>
    <x v="9"/>
    <x v="0"/>
    <x v="3"/>
    <x v="1"/>
    <x v="12"/>
    <x v="22"/>
    <s v="M"/>
    <s v="Gold"/>
    <s v="Fall"/>
    <n v="2.9"/>
    <x v="1"/>
    <x v="3"/>
    <x v="1"/>
    <x v="1"/>
    <n v="19"/>
    <x v="0"/>
    <x v="5"/>
    <x v="5"/>
  </r>
  <r>
    <n v="1898"/>
    <x v="10"/>
    <x v="0"/>
    <x v="12"/>
    <x v="3"/>
    <x v="8"/>
    <x v="29"/>
    <s v="L"/>
    <s v="Teal"/>
    <s v="Winter"/>
    <n v="2.9"/>
    <x v="1"/>
    <x v="1"/>
    <x v="1"/>
    <x v="1"/>
    <n v="11"/>
    <x v="5"/>
    <x v="0"/>
    <x v="0"/>
  </r>
  <r>
    <n v="1899"/>
    <x v="35"/>
    <x v="0"/>
    <x v="13"/>
    <x v="0"/>
    <x v="8"/>
    <x v="21"/>
    <s v="L"/>
    <s v="Magenta"/>
    <s v="Fall"/>
    <n v="3.5"/>
    <x v="1"/>
    <x v="2"/>
    <x v="1"/>
    <x v="1"/>
    <n v="25"/>
    <x v="0"/>
    <x v="5"/>
    <x v="5"/>
  </r>
  <r>
    <n v="1900"/>
    <x v="45"/>
    <x v="0"/>
    <x v="6"/>
    <x v="0"/>
    <x v="49"/>
    <x v="14"/>
    <s v="L"/>
    <s v="Maroon"/>
    <s v="Winter"/>
    <n v="4.2"/>
    <x v="1"/>
    <x v="5"/>
    <x v="1"/>
    <x v="1"/>
    <n v="42"/>
    <x v="3"/>
    <x v="1"/>
    <x v="1"/>
  </r>
  <r>
    <n v="1901"/>
    <x v="13"/>
    <x v="0"/>
    <x v="16"/>
    <x v="3"/>
    <x v="6"/>
    <x v="44"/>
    <s v="S"/>
    <s v="Blue"/>
    <s v="Summer"/>
    <n v="3.3"/>
    <x v="1"/>
    <x v="1"/>
    <x v="1"/>
    <x v="1"/>
    <n v="34"/>
    <x v="1"/>
    <x v="3"/>
    <x v="3"/>
  </r>
  <r>
    <n v="1902"/>
    <x v="19"/>
    <x v="0"/>
    <x v="20"/>
    <x v="0"/>
    <x v="31"/>
    <x v="28"/>
    <s v="S"/>
    <s v="Beige"/>
    <s v="Winter"/>
    <n v="3.9"/>
    <x v="1"/>
    <x v="5"/>
    <x v="1"/>
    <x v="1"/>
    <n v="50"/>
    <x v="1"/>
    <x v="3"/>
    <x v="3"/>
  </r>
  <r>
    <n v="1903"/>
    <x v="18"/>
    <x v="0"/>
    <x v="3"/>
    <x v="1"/>
    <x v="20"/>
    <x v="35"/>
    <s v="S"/>
    <s v="Olive"/>
    <s v="Spring"/>
    <n v="5"/>
    <x v="1"/>
    <x v="5"/>
    <x v="1"/>
    <x v="1"/>
    <n v="21"/>
    <x v="0"/>
    <x v="5"/>
    <x v="5"/>
  </r>
  <r>
    <n v="1904"/>
    <x v="35"/>
    <x v="0"/>
    <x v="13"/>
    <x v="0"/>
    <x v="80"/>
    <x v="17"/>
    <s v="M"/>
    <s v="Gold"/>
    <s v="Summer"/>
    <n v="3.3"/>
    <x v="1"/>
    <x v="3"/>
    <x v="1"/>
    <x v="1"/>
    <n v="37"/>
    <x v="4"/>
    <x v="1"/>
    <x v="1"/>
  </r>
  <r>
    <n v="1905"/>
    <x v="40"/>
    <x v="0"/>
    <x v="17"/>
    <x v="0"/>
    <x v="79"/>
    <x v="22"/>
    <s v="S"/>
    <s v="Silver"/>
    <s v="Spring"/>
    <n v="4.2"/>
    <x v="1"/>
    <x v="1"/>
    <x v="1"/>
    <x v="1"/>
    <n v="46"/>
    <x v="1"/>
    <x v="5"/>
    <x v="5"/>
  </r>
  <r>
    <n v="1906"/>
    <x v="36"/>
    <x v="0"/>
    <x v="23"/>
    <x v="1"/>
    <x v="59"/>
    <x v="37"/>
    <s v="M"/>
    <s v="Teal"/>
    <s v="Summer"/>
    <n v="4.9000000000000004"/>
    <x v="1"/>
    <x v="4"/>
    <x v="1"/>
    <x v="1"/>
    <n v="14"/>
    <x v="4"/>
    <x v="0"/>
    <x v="0"/>
  </r>
  <r>
    <n v="1907"/>
    <x v="51"/>
    <x v="0"/>
    <x v="21"/>
    <x v="3"/>
    <x v="38"/>
    <x v="34"/>
    <s v="M"/>
    <s v="Green"/>
    <s v="Spring"/>
    <n v="4.5999999999999996"/>
    <x v="1"/>
    <x v="4"/>
    <x v="1"/>
    <x v="1"/>
    <n v="24"/>
    <x v="3"/>
    <x v="0"/>
    <x v="0"/>
  </r>
  <r>
    <n v="1908"/>
    <x v="28"/>
    <x v="0"/>
    <x v="11"/>
    <x v="0"/>
    <x v="67"/>
    <x v="35"/>
    <s v="L"/>
    <s v="Orange"/>
    <s v="Fall"/>
    <n v="4.8"/>
    <x v="1"/>
    <x v="5"/>
    <x v="1"/>
    <x v="1"/>
    <n v="36"/>
    <x v="2"/>
    <x v="6"/>
    <x v="3"/>
  </r>
  <r>
    <n v="1909"/>
    <x v="20"/>
    <x v="0"/>
    <x v="18"/>
    <x v="3"/>
    <x v="79"/>
    <x v="42"/>
    <s v="XL"/>
    <s v="Charcoal"/>
    <s v="Winter"/>
    <n v="2.7"/>
    <x v="1"/>
    <x v="2"/>
    <x v="1"/>
    <x v="1"/>
    <n v="19"/>
    <x v="5"/>
    <x v="4"/>
    <x v="4"/>
  </r>
  <r>
    <n v="1910"/>
    <x v="2"/>
    <x v="0"/>
    <x v="1"/>
    <x v="0"/>
    <x v="63"/>
    <x v="0"/>
    <s v="S"/>
    <s v="Black"/>
    <s v="Spring"/>
    <n v="4.3"/>
    <x v="1"/>
    <x v="5"/>
    <x v="1"/>
    <x v="1"/>
    <n v="12"/>
    <x v="2"/>
    <x v="5"/>
    <x v="5"/>
  </r>
  <r>
    <n v="1911"/>
    <x v="26"/>
    <x v="0"/>
    <x v="3"/>
    <x v="1"/>
    <x v="15"/>
    <x v="14"/>
    <s v="S"/>
    <s v="Yellow"/>
    <s v="Fall"/>
    <n v="3.8"/>
    <x v="1"/>
    <x v="0"/>
    <x v="1"/>
    <x v="1"/>
    <n v="13"/>
    <x v="5"/>
    <x v="3"/>
    <x v="3"/>
  </r>
  <r>
    <n v="1912"/>
    <x v="13"/>
    <x v="0"/>
    <x v="16"/>
    <x v="3"/>
    <x v="13"/>
    <x v="28"/>
    <s v="M"/>
    <s v="Gray"/>
    <s v="Spring"/>
    <n v="4.9000000000000004"/>
    <x v="1"/>
    <x v="0"/>
    <x v="1"/>
    <x v="1"/>
    <n v="32"/>
    <x v="5"/>
    <x v="4"/>
    <x v="4"/>
  </r>
  <r>
    <n v="1913"/>
    <x v="26"/>
    <x v="0"/>
    <x v="1"/>
    <x v="0"/>
    <x v="22"/>
    <x v="24"/>
    <s v="S"/>
    <s v="Charcoal"/>
    <s v="Winter"/>
    <n v="3.4"/>
    <x v="1"/>
    <x v="4"/>
    <x v="1"/>
    <x v="1"/>
    <n v="5"/>
    <x v="2"/>
    <x v="4"/>
    <x v="4"/>
  </r>
  <r>
    <n v="1914"/>
    <x v="34"/>
    <x v="0"/>
    <x v="11"/>
    <x v="0"/>
    <x v="16"/>
    <x v="0"/>
    <s v="M"/>
    <s v="Peach"/>
    <s v="Winter"/>
    <n v="3.6"/>
    <x v="1"/>
    <x v="0"/>
    <x v="1"/>
    <x v="1"/>
    <n v="29"/>
    <x v="1"/>
    <x v="2"/>
    <x v="2"/>
  </r>
  <r>
    <n v="1915"/>
    <x v="48"/>
    <x v="0"/>
    <x v="6"/>
    <x v="0"/>
    <x v="8"/>
    <x v="29"/>
    <s v="L"/>
    <s v="Green"/>
    <s v="Fall"/>
    <n v="3.4"/>
    <x v="1"/>
    <x v="3"/>
    <x v="1"/>
    <x v="1"/>
    <n v="40"/>
    <x v="2"/>
    <x v="0"/>
    <x v="0"/>
  </r>
  <r>
    <n v="1916"/>
    <x v="47"/>
    <x v="0"/>
    <x v="21"/>
    <x v="3"/>
    <x v="67"/>
    <x v="15"/>
    <s v="M"/>
    <s v="Magenta"/>
    <s v="Fall"/>
    <n v="4.7"/>
    <x v="1"/>
    <x v="4"/>
    <x v="1"/>
    <x v="1"/>
    <n v="44"/>
    <x v="1"/>
    <x v="1"/>
    <x v="1"/>
  </r>
  <r>
    <n v="1917"/>
    <x v="8"/>
    <x v="0"/>
    <x v="15"/>
    <x v="0"/>
    <x v="74"/>
    <x v="39"/>
    <s v="S"/>
    <s v="Beige"/>
    <s v="Winter"/>
    <n v="3"/>
    <x v="1"/>
    <x v="2"/>
    <x v="1"/>
    <x v="1"/>
    <n v="3"/>
    <x v="5"/>
    <x v="4"/>
    <x v="4"/>
  </r>
  <r>
    <n v="1918"/>
    <x v="21"/>
    <x v="0"/>
    <x v="11"/>
    <x v="0"/>
    <x v="79"/>
    <x v="11"/>
    <s v="L"/>
    <s v="Black"/>
    <s v="Winter"/>
    <n v="3.4"/>
    <x v="1"/>
    <x v="1"/>
    <x v="1"/>
    <x v="1"/>
    <n v="35"/>
    <x v="3"/>
    <x v="4"/>
    <x v="4"/>
  </r>
  <r>
    <n v="1919"/>
    <x v="25"/>
    <x v="0"/>
    <x v="11"/>
    <x v="0"/>
    <x v="27"/>
    <x v="37"/>
    <s v="S"/>
    <s v="Purple"/>
    <s v="Summer"/>
    <n v="4.5999999999999996"/>
    <x v="1"/>
    <x v="3"/>
    <x v="1"/>
    <x v="1"/>
    <n v="33"/>
    <x v="5"/>
    <x v="5"/>
    <x v="5"/>
  </r>
  <r>
    <n v="1920"/>
    <x v="50"/>
    <x v="0"/>
    <x v="21"/>
    <x v="3"/>
    <x v="22"/>
    <x v="41"/>
    <s v="M"/>
    <s v="Olive"/>
    <s v="Summer"/>
    <n v="3.1"/>
    <x v="1"/>
    <x v="0"/>
    <x v="1"/>
    <x v="1"/>
    <n v="20"/>
    <x v="3"/>
    <x v="4"/>
    <x v="4"/>
  </r>
  <r>
    <n v="1921"/>
    <x v="47"/>
    <x v="0"/>
    <x v="0"/>
    <x v="0"/>
    <x v="63"/>
    <x v="39"/>
    <s v="M"/>
    <s v="Purple"/>
    <s v="Spring"/>
    <n v="2.8"/>
    <x v="1"/>
    <x v="3"/>
    <x v="1"/>
    <x v="1"/>
    <n v="40"/>
    <x v="1"/>
    <x v="6"/>
    <x v="3"/>
  </r>
  <r>
    <n v="1922"/>
    <x v="36"/>
    <x v="0"/>
    <x v="5"/>
    <x v="0"/>
    <x v="14"/>
    <x v="49"/>
    <s v="M"/>
    <s v="Green"/>
    <s v="Fall"/>
    <n v="3.5"/>
    <x v="1"/>
    <x v="5"/>
    <x v="1"/>
    <x v="1"/>
    <n v="13"/>
    <x v="0"/>
    <x v="2"/>
    <x v="2"/>
  </r>
  <r>
    <n v="1923"/>
    <x v="20"/>
    <x v="0"/>
    <x v="24"/>
    <x v="3"/>
    <x v="80"/>
    <x v="0"/>
    <s v="S"/>
    <s v="Peach"/>
    <s v="Summer"/>
    <n v="4.5999999999999996"/>
    <x v="1"/>
    <x v="3"/>
    <x v="1"/>
    <x v="1"/>
    <n v="9"/>
    <x v="3"/>
    <x v="5"/>
    <x v="5"/>
  </r>
  <r>
    <n v="1924"/>
    <x v="14"/>
    <x v="0"/>
    <x v="3"/>
    <x v="1"/>
    <x v="14"/>
    <x v="43"/>
    <s v="XL"/>
    <s v="Blue"/>
    <s v="Summer"/>
    <n v="4.3"/>
    <x v="1"/>
    <x v="3"/>
    <x v="1"/>
    <x v="1"/>
    <n v="7"/>
    <x v="1"/>
    <x v="2"/>
    <x v="2"/>
  </r>
  <r>
    <n v="1925"/>
    <x v="11"/>
    <x v="0"/>
    <x v="14"/>
    <x v="2"/>
    <x v="80"/>
    <x v="49"/>
    <s v="M"/>
    <s v="Gray"/>
    <s v="Fall"/>
    <n v="4.8"/>
    <x v="1"/>
    <x v="1"/>
    <x v="1"/>
    <x v="1"/>
    <n v="42"/>
    <x v="3"/>
    <x v="3"/>
    <x v="3"/>
  </r>
  <r>
    <n v="1926"/>
    <x v="35"/>
    <x v="0"/>
    <x v="4"/>
    <x v="1"/>
    <x v="50"/>
    <x v="40"/>
    <s v="L"/>
    <s v="Black"/>
    <s v="Winter"/>
    <n v="2.9"/>
    <x v="1"/>
    <x v="0"/>
    <x v="1"/>
    <x v="1"/>
    <n v="44"/>
    <x v="2"/>
    <x v="0"/>
    <x v="0"/>
  </r>
  <r>
    <n v="1927"/>
    <x v="17"/>
    <x v="0"/>
    <x v="21"/>
    <x v="3"/>
    <x v="73"/>
    <x v="35"/>
    <s v="M"/>
    <s v="Silver"/>
    <s v="Spring"/>
    <n v="3"/>
    <x v="1"/>
    <x v="0"/>
    <x v="1"/>
    <x v="1"/>
    <n v="6"/>
    <x v="3"/>
    <x v="2"/>
    <x v="2"/>
  </r>
  <r>
    <n v="1928"/>
    <x v="37"/>
    <x v="0"/>
    <x v="13"/>
    <x v="0"/>
    <x v="45"/>
    <x v="20"/>
    <s v="M"/>
    <s v="Pink"/>
    <s v="Summer"/>
    <n v="2.9"/>
    <x v="1"/>
    <x v="3"/>
    <x v="1"/>
    <x v="1"/>
    <n v="8"/>
    <x v="1"/>
    <x v="6"/>
    <x v="3"/>
  </r>
  <r>
    <n v="1929"/>
    <x v="15"/>
    <x v="0"/>
    <x v="12"/>
    <x v="3"/>
    <x v="56"/>
    <x v="16"/>
    <s v="S"/>
    <s v="Lavender"/>
    <s v="Summer"/>
    <n v="3.7"/>
    <x v="1"/>
    <x v="3"/>
    <x v="1"/>
    <x v="1"/>
    <n v="10"/>
    <x v="3"/>
    <x v="1"/>
    <x v="1"/>
  </r>
  <r>
    <n v="1930"/>
    <x v="35"/>
    <x v="0"/>
    <x v="2"/>
    <x v="0"/>
    <x v="27"/>
    <x v="11"/>
    <s v="L"/>
    <s v="Brown"/>
    <s v="Fall"/>
    <n v="4.7"/>
    <x v="1"/>
    <x v="3"/>
    <x v="1"/>
    <x v="1"/>
    <n v="46"/>
    <x v="0"/>
    <x v="3"/>
    <x v="3"/>
  </r>
  <r>
    <n v="1931"/>
    <x v="17"/>
    <x v="0"/>
    <x v="13"/>
    <x v="0"/>
    <x v="78"/>
    <x v="17"/>
    <s v="L"/>
    <s v="Turquoise"/>
    <s v="Spring"/>
    <n v="3.5"/>
    <x v="1"/>
    <x v="5"/>
    <x v="1"/>
    <x v="1"/>
    <n v="26"/>
    <x v="1"/>
    <x v="1"/>
    <x v="1"/>
  </r>
  <r>
    <n v="1932"/>
    <x v="22"/>
    <x v="0"/>
    <x v="16"/>
    <x v="3"/>
    <x v="69"/>
    <x v="26"/>
    <s v="S"/>
    <s v="Olive"/>
    <s v="Spring"/>
    <n v="2.7"/>
    <x v="1"/>
    <x v="5"/>
    <x v="1"/>
    <x v="1"/>
    <n v="6"/>
    <x v="5"/>
    <x v="6"/>
    <x v="3"/>
  </r>
  <r>
    <n v="1933"/>
    <x v="32"/>
    <x v="0"/>
    <x v="15"/>
    <x v="0"/>
    <x v="14"/>
    <x v="33"/>
    <s v="M"/>
    <s v="White"/>
    <s v="Spring"/>
    <n v="5"/>
    <x v="1"/>
    <x v="1"/>
    <x v="1"/>
    <x v="1"/>
    <n v="47"/>
    <x v="2"/>
    <x v="6"/>
    <x v="3"/>
  </r>
  <r>
    <n v="1934"/>
    <x v="39"/>
    <x v="0"/>
    <x v="3"/>
    <x v="1"/>
    <x v="25"/>
    <x v="6"/>
    <s v="L"/>
    <s v="Violet"/>
    <s v="Summer"/>
    <n v="4.0999999999999996"/>
    <x v="1"/>
    <x v="2"/>
    <x v="1"/>
    <x v="1"/>
    <n v="28"/>
    <x v="0"/>
    <x v="2"/>
    <x v="2"/>
  </r>
  <r>
    <n v="1935"/>
    <x v="50"/>
    <x v="0"/>
    <x v="14"/>
    <x v="2"/>
    <x v="35"/>
    <x v="49"/>
    <s v="L"/>
    <s v="Gold"/>
    <s v="Winter"/>
    <n v="2.7"/>
    <x v="1"/>
    <x v="1"/>
    <x v="1"/>
    <x v="1"/>
    <n v="23"/>
    <x v="4"/>
    <x v="2"/>
    <x v="2"/>
  </r>
  <r>
    <n v="1936"/>
    <x v="1"/>
    <x v="0"/>
    <x v="0"/>
    <x v="0"/>
    <x v="10"/>
    <x v="17"/>
    <s v="XL"/>
    <s v="Violet"/>
    <s v="Spring"/>
    <n v="4.8"/>
    <x v="1"/>
    <x v="1"/>
    <x v="1"/>
    <x v="1"/>
    <n v="45"/>
    <x v="1"/>
    <x v="0"/>
    <x v="0"/>
  </r>
  <r>
    <n v="1937"/>
    <x v="27"/>
    <x v="0"/>
    <x v="16"/>
    <x v="3"/>
    <x v="30"/>
    <x v="46"/>
    <s v="S"/>
    <s v="Teal"/>
    <s v="Summer"/>
    <n v="4.3"/>
    <x v="1"/>
    <x v="4"/>
    <x v="1"/>
    <x v="1"/>
    <n v="44"/>
    <x v="3"/>
    <x v="6"/>
    <x v="3"/>
  </r>
  <r>
    <n v="1938"/>
    <x v="49"/>
    <x v="0"/>
    <x v="20"/>
    <x v="0"/>
    <x v="0"/>
    <x v="12"/>
    <s v="M"/>
    <s v="Olive"/>
    <s v="Summer"/>
    <n v="4.5"/>
    <x v="1"/>
    <x v="4"/>
    <x v="1"/>
    <x v="1"/>
    <n v="11"/>
    <x v="4"/>
    <x v="5"/>
    <x v="5"/>
  </r>
  <r>
    <n v="1939"/>
    <x v="5"/>
    <x v="0"/>
    <x v="2"/>
    <x v="0"/>
    <x v="66"/>
    <x v="0"/>
    <s v="L"/>
    <s v="Blue"/>
    <s v="Spring"/>
    <n v="3.8"/>
    <x v="1"/>
    <x v="3"/>
    <x v="1"/>
    <x v="1"/>
    <n v="39"/>
    <x v="5"/>
    <x v="4"/>
    <x v="4"/>
  </r>
  <r>
    <n v="1940"/>
    <x v="17"/>
    <x v="0"/>
    <x v="24"/>
    <x v="3"/>
    <x v="75"/>
    <x v="31"/>
    <s v="L"/>
    <s v="Magenta"/>
    <s v="Winter"/>
    <n v="3.7"/>
    <x v="1"/>
    <x v="5"/>
    <x v="1"/>
    <x v="1"/>
    <n v="20"/>
    <x v="3"/>
    <x v="6"/>
    <x v="3"/>
  </r>
  <r>
    <n v="1941"/>
    <x v="2"/>
    <x v="0"/>
    <x v="19"/>
    <x v="3"/>
    <x v="58"/>
    <x v="29"/>
    <s v="L"/>
    <s v="Gray"/>
    <s v="Fall"/>
    <n v="3.9"/>
    <x v="1"/>
    <x v="4"/>
    <x v="1"/>
    <x v="1"/>
    <n v="48"/>
    <x v="3"/>
    <x v="0"/>
    <x v="0"/>
  </r>
  <r>
    <n v="1942"/>
    <x v="0"/>
    <x v="0"/>
    <x v="9"/>
    <x v="1"/>
    <x v="54"/>
    <x v="34"/>
    <s v="XL"/>
    <s v="Peach"/>
    <s v="Winter"/>
    <n v="3.3"/>
    <x v="1"/>
    <x v="3"/>
    <x v="1"/>
    <x v="1"/>
    <n v="46"/>
    <x v="2"/>
    <x v="3"/>
    <x v="3"/>
  </r>
  <r>
    <n v="1943"/>
    <x v="6"/>
    <x v="0"/>
    <x v="13"/>
    <x v="0"/>
    <x v="39"/>
    <x v="15"/>
    <s v="M"/>
    <s v="Cyan"/>
    <s v="Fall"/>
    <n v="3.4"/>
    <x v="1"/>
    <x v="0"/>
    <x v="1"/>
    <x v="1"/>
    <n v="22"/>
    <x v="3"/>
    <x v="5"/>
    <x v="5"/>
  </r>
  <r>
    <n v="1944"/>
    <x v="45"/>
    <x v="0"/>
    <x v="20"/>
    <x v="0"/>
    <x v="0"/>
    <x v="48"/>
    <s v="L"/>
    <s v="Violet"/>
    <s v="Summer"/>
    <n v="3.8"/>
    <x v="1"/>
    <x v="2"/>
    <x v="1"/>
    <x v="1"/>
    <n v="45"/>
    <x v="1"/>
    <x v="2"/>
    <x v="2"/>
  </r>
  <r>
    <n v="1945"/>
    <x v="11"/>
    <x v="0"/>
    <x v="15"/>
    <x v="0"/>
    <x v="29"/>
    <x v="10"/>
    <s v="M"/>
    <s v="Gold"/>
    <s v="Winter"/>
    <n v="2.7"/>
    <x v="1"/>
    <x v="1"/>
    <x v="1"/>
    <x v="1"/>
    <n v="49"/>
    <x v="1"/>
    <x v="6"/>
    <x v="3"/>
  </r>
  <r>
    <n v="1946"/>
    <x v="25"/>
    <x v="0"/>
    <x v="15"/>
    <x v="0"/>
    <x v="15"/>
    <x v="42"/>
    <s v="M"/>
    <s v="Gold"/>
    <s v="Winter"/>
    <n v="2.9"/>
    <x v="1"/>
    <x v="4"/>
    <x v="1"/>
    <x v="1"/>
    <n v="9"/>
    <x v="2"/>
    <x v="6"/>
    <x v="3"/>
  </r>
  <r>
    <n v="1947"/>
    <x v="35"/>
    <x v="0"/>
    <x v="13"/>
    <x v="0"/>
    <x v="4"/>
    <x v="7"/>
    <s v="M"/>
    <s v="White"/>
    <s v="Summer"/>
    <n v="4.5"/>
    <x v="1"/>
    <x v="3"/>
    <x v="1"/>
    <x v="1"/>
    <n v="41"/>
    <x v="2"/>
    <x v="3"/>
    <x v="3"/>
  </r>
  <r>
    <n v="1948"/>
    <x v="35"/>
    <x v="0"/>
    <x v="5"/>
    <x v="0"/>
    <x v="50"/>
    <x v="14"/>
    <s v="M"/>
    <s v="Gray"/>
    <s v="Summer"/>
    <n v="2.6"/>
    <x v="1"/>
    <x v="5"/>
    <x v="1"/>
    <x v="1"/>
    <n v="2"/>
    <x v="3"/>
    <x v="5"/>
    <x v="5"/>
  </r>
  <r>
    <n v="1949"/>
    <x v="22"/>
    <x v="0"/>
    <x v="17"/>
    <x v="0"/>
    <x v="18"/>
    <x v="39"/>
    <s v="L"/>
    <s v="Brown"/>
    <s v="Winter"/>
    <n v="3.1"/>
    <x v="1"/>
    <x v="2"/>
    <x v="1"/>
    <x v="1"/>
    <n v="39"/>
    <x v="3"/>
    <x v="4"/>
    <x v="4"/>
  </r>
  <r>
    <n v="1950"/>
    <x v="6"/>
    <x v="0"/>
    <x v="10"/>
    <x v="0"/>
    <x v="68"/>
    <x v="43"/>
    <s v="L"/>
    <s v="Gray"/>
    <s v="Winter"/>
    <n v="4.7"/>
    <x v="1"/>
    <x v="5"/>
    <x v="1"/>
    <x v="1"/>
    <n v="12"/>
    <x v="3"/>
    <x v="3"/>
    <x v="3"/>
  </r>
  <r>
    <n v="1951"/>
    <x v="49"/>
    <x v="0"/>
    <x v="21"/>
    <x v="3"/>
    <x v="72"/>
    <x v="10"/>
    <s v="L"/>
    <s v="Blue"/>
    <s v="Summer"/>
    <n v="4.5999999999999996"/>
    <x v="1"/>
    <x v="1"/>
    <x v="1"/>
    <x v="1"/>
    <n v="26"/>
    <x v="3"/>
    <x v="6"/>
    <x v="3"/>
  </r>
  <r>
    <n v="1952"/>
    <x v="23"/>
    <x v="0"/>
    <x v="24"/>
    <x v="3"/>
    <x v="0"/>
    <x v="39"/>
    <s v="L"/>
    <s v="Gold"/>
    <s v="Summer"/>
    <n v="2.7"/>
    <x v="1"/>
    <x v="2"/>
    <x v="1"/>
    <x v="1"/>
    <n v="32"/>
    <x v="4"/>
    <x v="4"/>
    <x v="4"/>
  </r>
  <r>
    <n v="1953"/>
    <x v="9"/>
    <x v="0"/>
    <x v="9"/>
    <x v="1"/>
    <x v="71"/>
    <x v="33"/>
    <s v="L"/>
    <s v="Yellow"/>
    <s v="Summer"/>
    <n v="4.5999999999999996"/>
    <x v="1"/>
    <x v="4"/>
    <x v="1"/>
    <x v="1"/>
    <n v="50"/>
    <x v="1"/>
    <x v="4"/>
    <x v="4"/>
  </r>
  <r>
    <n v="1954"/>
    <x v="15"/>
    <x v="0"/>
    <x v="11"/>
    <x v="0"/>
    <x v="27"/>
    <x v="24"/>
    <s v="XL"/>
    <s v="Green"/>
    <s v="Spring"/>
    <n v="4.8"/>
    <x v="1"/>
    <x v="3"/>
    <x v="1"/>
    <x v="1"/>
    <n v="3"/>
    <x v="3"/>
    <x v="0"/>
    <x v="0"/>
  </r>
  <r>
    <n v="1955"/>
    <x v="8"/>
    <x v="0"/>
    <x v="24"/>
    <x v="3"/>
    <x v="64"/>
    <x v="24"/>
    <s v="M"/>
    <s v="Pink"/>
    <s v="Winter"/>
    <n v="4.2"/>
    <x v="1"/>
    <x v="1"/>
    <x v="1"/>
    <x v="1"/>
    <n v="3"/>
    <x v="0"/>
    <x v="3"/>
    <x v="3"/>
  </r>
  <r>
    <n v="1956"/>
    <x v="2"/>
    <x v="0"/>
    <x v="15"/>
    <x v="0"/>
    <x v="22"/>
    <x v="1"/>
    <s v="M"/>
    <s v="Pink"/>
    <s v="Winter"/>
    <n v="4.9000000000000004"/>
    <x v="1"/>
    <x v="0"/>
    <x v="1"/>
    <x v="1"/>
    <n v="37"/>
    <x v="1"/>
    <x v="5"/>
    <x v="5"/>
  </r>
  <r>
    <n v="1957"/>
    <x v="27"/>
    <x v="0"/>
    <x v="20"/>
    <x v="0"/>
    <x v="18"/>
    <x v="19"/>
    <s v="M"/>
    <s v="Pink"/>
    <s v="Winter"/>
    <n v="4.9000000000000004"/>
    <x v="1"/>
    <x v="0"/>
    <x v="1"/>
    <x v="1"/>
    <n v="20"/>
    <x v="2"/>
    <x v="0"/>
    <x v="0"/>
  </r>
  <r>
    <n v="1958"/>
    <x v="33"/>
    <x v="0"/>
    <x v="24"/>
    <x v="3"/>
    <x v="36"/>
    <x v="36"/>
    <s v="M"/>
    <s v="Cyan"/>
    <s v="Spring"/>
    <n v="4.5"/>
    <x v="1"/>
    <x v="5"/>
    <x v="1"/>
    <x v="1"/>
    <n v="26"/>
    <x v="1"/>
    <x v="4"/>
    <x v="4"/>
  </r>
  <r>
    <n v="1959"/>
    <x v="31"/>
    <x v="0"/>
    <x v="6"/>
    <x v="0"/>
    <x v="25"/>
    <x v="22"/>
    <s v="M"/>
    <s v="Gray"/>
    <s v="Winter"/>
    <n v="2.7"/>
    <x v="1"/>
    <x v="5"/>
    <x v="1"/>
    <x v="1"/>
    <n v="47"/>
    <x v="1"/>
    <x v="3"/>
    <x v="3"/>
  </r>
  <r>
    <n v="1960"/>
    <x v="5"/>
    <x v="0"/>
    <x v="9"/>
    <x v="1"/>
    <x v="3"/>
    <x v="24"/>
    <s v="M"/>
    <s v="White"/>
    <s v="Fall"/>
    <n v="3.1"/>
    <x v="1"/>
    <x v="5"/>
    <x v="1"/>
    <x v="1"/>
    <n v="7"/>
    <x v="2"/>
    <x v="6"/>
    <x v="3"/>
  </r>
  <r>
    <n v="1961"/>
    <x v="9"/>
    <x v="0"/>
    <x v="2"/>
    <x v="0"/>
    <x v="11"/>
    <x v="2"/>
    <s v="L"/>
    <s v="Red"/>
    <s v="Summer"/>
    <n v="3.3"/>
    <x v="1"/>
    <x v="4"/>
    <x v="1"/>
    <x v="1"/>
    <n v="40"/>
    <x v="2"/>
    <x v="2"/>
    <x v="2"/>
  </r>
  <r>
    <n v="1962"/>
    <x v="36"/>
    <x v="0"/>
    <x v="23"/>
    <x v="1"/>
    <x v="40"/>
    <x v="22"/>
    <s v="L"/>
    <s v="Black"/>
    <s v="Summer"/>
    <n v="2.6"/>
    <x v="1"/>
    <x v="1"/>
    <x v="1"/>
    <x v="1"/>
    <n v="45"/>
    <x v="5"/>
    <x v="3"/>
    <x v="3"/>
  </r>
  <r>
    <n v="1963"/>
    <x v="37"/>
    <x v="0"/>
    <x v="19"/>
    <x v="3"/>
    <x v="29"/>
    <x v="44"/>
    <s v="M"/>
    <s v="Silver"/>
    <s v="Fall"/>
    <n v="4.4000000000000004"/>
    <x v="1"/>
    <x v="3"/>
    <x v="1"/>
    <x v="1"/>
    <n v="20"/>
    <x v="3"/>
    <x v="0"/>
    <x v="0"/>
  </r>
  <r>
    <n v="1964"/>
    <x v="16"/>
    <x v="0"/>
    <x v="6"/>
    <x v="0"/>
    <x v="38"/>
    <x v="49"/>
    <s v="L"/>
    <s v="Pink"/>
    <s v="Spring"/>
    <n v="3.9"/>
    <x v="1"/>
    <x v="3"/>
    <x v="1"/>
    <x v="1"/>
    <n v="11"/>
    <x v="2"/>
    <x v="1"/>
    <x v="1"/>
  </r>
  <r>
    <n v="1965"/>
    <x v="37"/>
    <x v="0"/>
    <x v="13"/>
    <x v="0"/>
    <x v="12"/>
    <x v="8"/>
    <s v="S"/>
    <s v="Cyan"/>
    <s v="Summer"/>
    <n v="4.5999999999999996"/>
    <x v="1"/>
    <x v="0"/>
    <x v="1"/>
    <x v="1"/>
    <n v="50"/>
    <x v="5"/>
    <x v="5"/>
    <x v="5"/>
  </r>
  <r>
    <n v="1966"/>
    <x v="29"/>
    <x v="0"/>
    <x v="1"/>
    <x v="0"/>
    <x v="3"/>
    <x v="27"/>
    <s v="M"/>
    <s v="White"/>
    <s v="Fall"/>
    <n v="4.9000000000000004"/>
    <x v="1"/>
    <x v="0"/>
    <x v="1"/>
    <x v="1"/>
    <n v="25"/>
    <x v="5"/>
    <x v="3"/>
    <x v="3"/>
  </r>
  <r>
    <n v="1967"/>
    <x v="29"/>
    <x v="0"/>
    <x v="14"/>
    <x v="2"/>
    <x v="51"/>
    <x v="27"/>
    <s v="XL"/>
    <s v="Purple"/>
    <s v="Winter"/>
    <n v="3.7"/>
    <x v="1"/>
    <x v="0"/>
    <x v="1"/>
    <x v="1"/>
    <n v="5"/>
    <x v="2"/>
    <x v="0"/>
    <x v="0"/>
  </r>
  <r>
    <n v="1968"/>
    <x v="43"/>
    <x v="0"/>
    <x v="10"/>
    <x v="0"/>
    <x v="13"/>
    <x v="42"/>
    <s v="L"/>
    <s v="Yellow"/>
    <s v="Fall"/>
    <n v="3.7"/>
    <x v="1"/>
    <x v="3"/>
    <x v="1"/>
    <x v="1"/>
    <n v="4"/>
    <x v="0"/>
    <x v="2"/>
    <x v="2"/>
  </r>
  <r>
    <n v="1969"/>
    <x v="29"/>
    <x v="0"/>
    <x v="5"/>
    <x v="0"/>
    <x v="44"/>
    <x v="46"/>
    <s v="S"/>
    <s v="Blue"/>
    <s v="Spring"/>
    <n v="4.2"/>
    <x v="1"/>
    <x v="3"/>
    <x v="1"/>
    <x v="1"/>
    <n v="25"/>
    <x v="2"/>
    <x v="1"/>
    <x v="1"/>
  </r>
  <r>
    <n v="1970"/>
    <x v="14"/>
    <x v="0"/>
    <x v="10"/>
    <x v="0"/>
    <x v="50"/>
    <x v="7"/>
    <s v="S"/>
    <s v="Cyan"/>
    <s v="Winter"/>
    <n v="3.5"/>
    <x v="1"/>
    <x v="2"/>
    <x v="1"/>
    <x v="1"/>
    <n v="11"/>
    <x v="4"/>
    <x v="0"/>
    <x v="0"/>
  </r>
  <r>
    <n v="1971"/>
    <x v="48"/>
    <x v="0"/>
    <x v="22"/>
    <x v="3"/>
    <x v="23"/>
    <x v="33"/>
    <s v="M"/>
    <s v="Indigo"/>
    <s v="Spring"/>
    <n v="2.9"/>
    <x v="1"/>
    <x v="2"/>
    <x v="1"/>
    <x v="1"/>
    <n v="4"/>
    <x v="2"/>
    <x v="4"/>
    <x v="4"/>
  </r>
  <r>
    <n v="1972"/>
    <x v="22"/>
    <x v="0"/>
    <x v="19"/>
    <x v="3"/>
    <x v="45"/>
    <x v="38"/>
    <s v="XL"/>
    <s v="Indigo"/>
    <s v="Spring"/>
    <n v="3.4"/>
    <x v="1"/>
    <x v="2"/>
    <x v="1"/>
    <x v="1"/>
    <n v="1"/>
    <x v="0"/>
    <x v="5"/>
    <x v="5"/>
  </r>
  <r>
    <n v="1973"/>
    <x v="22"/>
    <x v="0"/>
    <x v="21"/>
    <x v="3"/>
    <x v="9"/>
    <x v="7"/>
    <s v="M"/>
    <s v="Silver"/>
    <s v="Summer"/>
    <n v="3.3"/>
    <x v="1"/>
    <x v="0"/>
    <x v="1"/>
    <x v="1"/>
    <n v="48"/>
    <x v="3"/>
    <x v="6"/>
    <x v="3"/>
  </r>
  <r>
    <n v="1974"/>
    <x v="41"/>
    <x v="0"/>
    <x v="11"/>
    <x v="0"/>
    <x v="5"/>
    <x v="33"/>
    <s v="XL"/>
    <s v="Red"/>
    <s v="Fall"/>
    <n v="4.5"/>
    <x v="1"/>
    <x v="3"/>
    <x v="1"/>
    <x v="1"/>
    <n v="9"/>
    <x v="0"/>
    <x v="6"/>
    <x v="3"/>
  </r>
  <r>
    <n v="1975"/>
    <x v="7"/>
    <x v="0"/>
    <x v="24"/>
    <x v="3"/>
    <x v="77"/>
    <x v="30"/>
    <s v="M"/>
    <s v="Peach"/>
    <s v="Winter"/>
    <n v="4.5999999999999996"/>
    <x v="1"/>
    <x v="4"/>
    <x v="1"/>
    <x v="1"/>
    <n v="2"/>
    <x v="3"/>
    <x v="0"/>
    <x v="0"/>
  </r>
  <r>
    <n v="1976"/>
    <x v="10"/>
    <x v="0"/>
    <x v="14"/>
    <x v="2"/>
    <x v="64"/>
    <x v="26"/>
    <s v="L"/>
    <s v="Turquoise"/>
    <s v="Fall"/>
    <n v="2.9"/>
    <x v="1"/>
    <x v="0"/>
    <x v="1"/>
    <x v="1"/>
    <n v="4"/>
    <x v="1"/>
    <x v="3"/>
    <x v="3"/>
  </r>
  <r>
    <n v="1977"/>
    <x v="45"/>
    <x v="0"/>
    <x v="8"/>
    <x v="3"/>
    <x v="12"/>
    <x v="5"/>
    <s v="M"/>
    <s v="Pink"/>
    <s v="Spring"/>
    <n v="3.2"/>
    <x v="1"/>
    <x v="2"/>
    <x v="1"/>
    <x v="1"/>
    <n v="43"/>
    <x v="3"/>
    <x v="0"/>
    <x v="0"/>
  </r>
  <r>
    <n v="1978"/>
    <x v="41"/>
    <x v="0"/>
    <x v="3"/>
    <x v="1"/>
    <x v="4"/>
    <x v="20"/>
    <s v="M"/>
    <s v="Teal"/>
    <s v="Summer"/>
    <n v="2.6"/>
    <x v="1"/>
    <x v="1"/>
    <x v="1"/>
    <x v="1"/>
    <n v="32"/>
    <x v="4"/>
    <x v="2"/>
    <x v="2"/>
  </r>
  <r>
    <n v="1979"/>
    <x v="4"/>
    <x v="0"/>
    <x v="12"/>
    <x v="3"/>
    <x v="72"/>
    <x v="2"/>
    <s v="L"/>
    <s v="Magenta"/>
    <s v="Spring"/>
    <n v="3.8"/>
    <x v="1"/>
    <x v="5"/>
    <x v="1"/>
    <x v="1"/>
    <n v="1"/>
    <x v="1"/>
    <x v="3"/>
    <x v="3"/>
  </r>
  <r>
    <n v="1980"/>
    <x v="34"/>
    <x v="0"/>
    <x v="2"/>
    <x v="0"/>
    <x v="57"/>
    <x v="30"/>
    <s v="L"/>
    <s v="Blue"/>
    <s v="Spring"/>
    <n v="2.8"/>
    <x v="1"/>
    <x v="5"/>
    <x v="1"/>
    <x v="1"/>
    <n v="38"/>
    <x v="5"/>
    <x v="0"/>
    <x v="0"/>
  </r>
  <r>
    <n v="1981"/>
    <x v="47"/>
    <x v="0"/>
    <x v="3"/>
    <x v="1"/>
    <x v="23"/>
    <x v="44"/>
    <s v="M"/>
    <s v="Green"/>
    <s v="Winter"/>
    <n v="4.4000000000000004"/>
    <x v="1"/>
    <x v="5"/>
    <x v="1"/>
    <x v="1"/>
    <n v="25"/>
    <x v="3"/>
    <x v="0"/>
    <x v="0"/>
  </r>
  <r>
    <n v="1982"/>
    <x v="28"/>
    <x v="0"/>
    <x v="9"/>
    <x v="1"/>
    <x v="26"/>
    <x v="49"/>
    <s v="L"/>
    <s v="Violet"/>
    <s v="Summer"/>
    <n v="4.7"/>
    <x v="1"/>
    <x v="0"/>
    <x v="1"/>
    <x v="1"/>
    <n v="42"/>
    <x v="3"/>
    <x v="3"/>
    <x v="3"/>
  </r>
  <r>
    <n v="1983"/>
    <x v="38"/>
    <x v="0"/>
    <x v="12"/>
    <x v="3"/>
    <x v="64"/>
    <x v="23"/>
    <s v="M"/>
    <s v="Turquoise"/>
    <s v="Summer"/>
    <n v="2.7"/>
    <x v="1"/>
    <x v="4"/>
    <x v="1"/>
    <x v="1"/>
    <n v="32"/>
    <x v="3"/>
    <x v="5"/>
    <x v="5"/>
  </r>
  <r>
    <n v="1984"/>
    <x v="35"/>
    <x v="0"/>
    <x v="18"/>
    <x v="3"/>
    <x v="8"/>
    <x v="42"/>
    <s v="M"/>
    <s v="Pink"/>
    <s v="Summer"/>
    <n v="2.6"/>
    <x v="1"/>
    <x v="2"/>
    <x v="1"/>
    <x v="1"/>
    <n v="21"/>
    <x v="5"/>
    <x v="3"/>
    <x v="3"/>
  </r>
  <r>
    <n v="1985"/>
    <x v="8"/>
    <x v="0"/>
    <x v="11"/>
    <x v="0"/>
    <x v="47"/>
    <x v="8"/>
    <s v="M"/>
    <s v="Black"/>
    <s v="Summer"/>
    <n v="3.4"/>
    <x v="1"/>
    <x v="4"/>
    <x v="1"/>
    <x v="1"/>
    <n v="26"/>
    <x v="3"/>
    <x v="0"/>
    <x v="0"/>
  </r>
  <r>
    <n v="1986"/>
    <x v="51"/>
    <x v="0"/>
    <x v="24"/>
    <x v="3"/>
    <x v="8"/>
    <x v="30"/>
    <s v="M"/>
    <s v="Gold"/>
    <s v="Spring"/>
    <n v="3.9"/>
    <x v="1"/>
    <x v="4"/>
    <x v="1"/>
    <x v="1"/>
    <n v="6"/>
    <x v="2"/>
    <x v="0"/>
    <x v="0"/>
  </r>
  <r>
    <n v="1987"/>
    <x v="46"/>
    <x v="0"/>
    <x v="7"/>
    <x v="2"/>
    <x v="16"/>
    <x v="10"/>
    <s v="L"/>
    <s v="Green"/>
    <s v="Summer"/>
    <n v="3.4"/>
    <x v="1"/>
    <x v="4"/>
    <x v="1"/>
    <x v="1"/>
    <n v="14"/>
    <x v="0"/>
    <x v="3"/>
    <x v="3"/>
  </r>
  <r>
    <n v="1988"/>
    <x v="28"/>
    <x v="0"/>
    <x v="22"/>
    <x v="3"/>
    <x v="66"/>
    <x v="34"/>
    <s v="XL"/>
    <s v="White"/>
    <s v="Summer"/>
    <n v="3.4"/>
    <x v="1"/>
    <x v="0"/>
    <x v="1"/>
    <x v="1"/>
    <n v="4"/>
    <x v="1"/>
    <x v="3"/>
    <x v="3"/>
  </r>
  <r>
    <n v="1989"/>
    <x v="5"/>
    <x v="0"/>
    <x v="13"/>
    <x v="0"/>
    <x v="24"/>
    <x v="41"/>
    <s v="M"/>
    <s v="Gold"/>
    <s v="Winter"/>
    <n v="3.9"/>
    <x v="1"/>
    <x v="1"/>
    <x v="1"/>
    <x v="1"/>
    <n v="26"/>
    <x v="4"/>
    <x v="1"/>
    <x v="1"/>
  </r>
  <r>
    <n v="1990"/>
    <x v="25"/>
    <x v="0"/>
    <x v="16"/>
    <x v="3"/>
    <x v="69"/>
    <x v="33"/>
    <s v="S"/>
    <s v="Charcoal"/>
    <s v="Spring"/>
    <n v="4"/>
    <x v="1"/>
    <x v="0"/>
    <x v="1"/>
    <x v="1"/>
    <n v="39"/>
    <x v="3"/>
    <x v="4"/>
    <x v="4"/>
  </r>
  <r>
    <n v="1991"/>
    <x v="45"/>
    <x v="0"/>
    <x v="21"/>
    <x v="3"/>
    <x v="51"/>
    <x v="39"/>
    <s v="L"/>
    <s v="White"/>
    <s v="Spring"/>
    <n v="3.4"/>
    <x v="1"/>
    <x v="4"/>
    <x v="1"/>
    <x v="1"/>
    <n v="15"/>
    <x v="3"/>
    <x v="2"/>
    <x v="2"/>
  </r>
  <r>
    <n v="1992"/>
    <x v="5"/>
    <x v="0"/>
    <x v="4"/>
    <x v="1"/>
    <x v="45"/>
    <x v="9"/>
    <s v="M"/>
    <s v="Brown"/>
    <s v="Summer"/>
    <n v="3.7"/>
    <x v="1"/>
    <x v="2"/>
    <x v="1"/>
    <x v="1"/>
    <n v="1"/>
    <x v="0"/>
    <x v="6"/>
    <x v="3"/>
  </r>
  <r>
    <n v="1993"/>
    <x v="23"/>
    <x v="0"/>
    <x v="15"/>
    <x v="0"/>
    <x v="57"/>
    <x v="32"/>
    <s v="L"/>
    <s v="Gold"/>
    <s v="Winter"/>
    <n v="4.9000000000000004"/>
    <x v="1"/>
    <x v="4"/>
    <x v="1"/>
    <x v="1"/>
    <n v="28"/>
    <x v="0"/>
    <x v="5"/>
    <x v="5"/>
  </r>
  <r>
    <n v="1994"/>
    <x v="45"/>
    <x v="0"/>
    <x v="0"/>
    <x v="0"/>
    <x v="48"/>
    <x v="10"/>
    <s v="S"/>
    <s v="Purple"/>
    <s v="Spring"/>
    <n v="5"/>
    <x v="1"/>
    <x v="0"/>
    <x v="1"/>
    <x v="1"/>
    <n v="17"/>
    <x v="1"/>
    <x v="1"/>
    <x v="1"/>
  </r>
  <r>
    <n v="1995"/>
    <x v="23"/>
    <x v="0"/>
    <x v="12"/>
    <x v="3"/>
    <x v="76"/>
    <x v="22"/>
    <s v="M"/>
    <s v="Brown"/>
    <s v="Fall"/>
    <n v="2.9"/>
    <x v="1"/>
    <x v="2"/>
    <x v="1"/>
    <x v="1"/>
    <n v="24"/>
    <x v="2"/>
    <x v="1"/>
    <x v="1"/>
  </r>
  <r>
    <n v="1996"/>
    <x v="29"/>
    <x v="0"/>
    <x v="23"/>
    <x v="1"/>
    <x v="68"/>
    <x v="9"/>
    <s v="S"/>
    <s v="Teal"/>
    <s v="Spring"/>
    <n v="3"/>
    <x v="1"/>
    <x v="3"/>
    <x v="1"/>
    <x v="1"/>
    <n v="29"/>
    <x v="5"/>
    <x v="3"/>
    <x v="3"/>
  </r>
  <r>
    <n v="1997"/>
    <x v="29"/>
    <x v="0"/>
    <x v="4"/>
    <x v="1"/>
    <x v="65"/>
    <x v="45"/>
    <s v="L"/>
    <s v="Indigo"/>
    <s v="Summer"/>
    <n v="3.3"/>
    <x v="1"/>
    <x v="2"/>
    <x v="1"/>
    <x v="1"/>
    <n v="18"/>
    <x v="1"/>
    <x v="6"/>
    <x v="3"/>
  </r>
  <r>
    <n v="1998"/>
    <x v="32"/>
    <x v="0"/>
    <x v="21"/>
    <x v="3"/>
    <x v="21"/>
    <x v="39"/>
    <s v="M"/>
    <s v="Purple"/>
    <s v="Fall"/>
    <n v="4.7"/>
    <x v="1"/>
    <x v="0"/>
    <x v="1"/>
    <x v="1"/>
    <n v="10"/>
    <x v="5"/>
    <x v="4"/>
    <x v="4"/>
  </r>
  <r>
    <n v="1999"/>
    <x v="30"/>
    <x v="0"/>
    <x v="13"/>
    <x v="0"/>
    <x v="29"/>
    <x v="34"/>
    <s v="M"/>
    <s v="Orange"/>
    <s v="Fall"/>
    <n v="3.4"/>
    <x v="1"/>
    <x v="4"/>
    <x v="1"/>
    <x v="1"/>
    <n v="19"/>
    <x v="1"/>
    <x v="3"/>
    <x v="3"/>
  </r>
  <r>
    <n v="2000"/>
    <x v="31"/>
    <x v="0"/>
    <x v="20"/>
    <x v="0"/>
    <x v="58"/>
    <x v="30"/>
    <s v="L"/>
    <s v="Indigo"/>
    <s v="Winter"/>
    <n v="4.5999999999999996"/>
    <x v="1"/>
    <x v="4"/>
    <x v="1"/>
    <x v="1"/>
    <n v="26"/>
    <x v="5"/>
    <x v="5"/>
    <x v="5"/>
  </r>
  <r>
    <n v="2001"/>
    <x v="8"/>
    <x v="0"/>
    <x v="22"/>
    <x v="3"/>
    <x v="65"/>
    <x v="18"/>
    <s v="M"/>
    <s v="Lavender"/>
    <s v="Winter"/>
    <n v="3.6"/>
    <x v="1"/>
    <x v="4"/>
    <x v="1"/>
    <x v="1"/>
    <n v="25"/>
    <x v="1"/>
    <x v="4"/>
    <x v="4"/>
  </r>
  <r>
    <n v="2002"/>
    <x v="47"/>
    <x v="0"/>
    <x v="12"/>
    <x v="3"/>
    <x v="3"/>
    <x v="5"/>
    <s v="S"/>
    <s v="Purple"/>
    <s v="Winter"/>
    <n v="2.6"/>
    <x v="1"/>
    <x v="1"/>
    <x v="1"/>
    <x v="1"/>
    <n v="2"/>
    <x v="5"/>
    <x v="0"/>
    <x v="0"/>
  </r>
  <r>
    <n v="2003"/>
    <x v="18"/>
    <x v="0"/>
    <x v="5"/>
    <x v="0"/>
    <x v="61"/>
    <x v="14"/>
    <s v="M"/>
    <s v="Red"/>
    <s v="Summer"/>
    <n v="2.7"/>
    <x v="1"/>
    <x v="0"/>
    <x v="1"/>
    <x v="1"/>
    <n v="19"/>
    <x v="3"/>
    <x v="6"/>
    <x v="3"/>
  </r>
  <r>
    <n v="2004"/>
    <x v="33"/>
    <x v="0"/>
    <x v="4"/>
    <x v="1"/>
    <x v="11"/>
    <x v="1"/>
    <s v="S"/>
    <s v="Blue"/>
    <s v="Spring"/>
    <n v="3.1"/>
    <x v="1"/>
    <x v="0"/>
    <x v="1"/>
    <x v="1"/>
    <n v="32"/>
    <x v="1"/>
    <x v="3"/>
    <x v="3"/>
  </r>
  <r>
    <n v="2005"/>
    <x v="42"/>
    <x v="0"/>
    <x v="9"/>
    <x v="1"/>
    <x v="44"/>
    <x v="42"/>
    <s v="L"/>
    <s v="Blue"/>
    <s v="Fall"/>
    <n v="3.2"/>
    <x v="1"/>
    <x v="4"/>
    <x v="1"/>
    <x v="1"/>
    <n v="13"/>
    <x v="1"/>
    <x v="4"/>
    <x v="4"/>
  </r>
  <r>
    <n v="2006"/>
    <x v="20"/>
    <x v="0"/>
    <x v="3"/>
    <x v="1"/>
    <x v="71"/>
    <x v="30"/>
    <s v="M"/>
    <s v="Cyan"/>
    <s v="Winter"/>
    <n v="3.4"/>
    <x v="1"/>
    <x v="5"/>
    <x v="1"/>
    <x v="1"/>
    <n v="30"/>
    <x v="3"/>
    <x v="0"/>
    <x v="0"/>
  </r>
  <r>
    <n v="2007"/>
    <x v="44"/>
    <x v="0"/>
    <x v="18"/>
    <x v="3"/>
    <x v="8"/>
    <x v="35"/>
    <s v="S"/>
    <s v="Pink"/>
    <s v="Fall"/>
    <n v="4.4000000000000004"/>
    <x v="1"/>
    <x v="0"/>
    <x v="1"/>
    <x v="1"/>
    <n v="2"/>
    <x v="2"/>
    <x v="2"/>
    <x v="2"/>
  </r>
  <r>
    <n v="2008"/>
    <x v="8"/>
    <x v="0"/>
    <x v="5"/>
    <x v="0"/>
    <x v="21"/>
    <x v="41"/>
    <s v="M"/>
    <s v="Silver"/>
    <s v="Summer"/>
    <n v="3.2"/>
    <x v="1"/>
    <x v="4"/>
    <x v="1"/>
    <x v="1"/>
    <n v="8"/>
    <x v="3"/>
    <x v="3"/>
    <x v="3"/>
  </r>
  <r>
    <n v="2009"/>
    <x v="9"/>
    <x v="0"/>
    <x v="11"/>
    <x v="0"/>
    <x v="16"/>
    <x v="20"/>
    <s v="M"/>
    <s v="Gray"/>
    <s v="Spring"/>
    <n v="2.5"/>
    <x v="1"/>
    <x v="1"/>
    <x v="1"/>
    <x v="1"/>
    <n v="27"/>
    <x v="3"/>
    <x v="6"/>
    <x v="3"/>
  </r>
  <r>
    <n v="2010"/>
    <x v="43"/>
    <x v="0"/>
    <x v="23"/>
    <x v="1"/>
    <x v="54"/>
    <x v="15"/>
    <s v="M"/>
    <s v="Indigo"/>
    <s v="Summer"/>
    <n v="3.8"/>
    <x v="1"/>
    <x v="2"/>
    <x v="1"/>
    <x v="1"/>
    <n v="26"/>
    <x v="0"/>
    <x v="4"/>
    <x v="4"/>
  </r>
  <r>
    <n v="2011"/>
    <x v="41"/>
    <x v="0"/>
    <x v="1"/>
    <x v="0"/>
    <x v="34"/>
    <x v="21"/>
    <s v="M"/>
    <s v="Maroon"/>
    <s v="Summer"/>
    <n v="4.4000000000000004"/>
    <x v="1"/>
    <x v="4"/>
    <x v="1"/>
    <x v="1"/>
    <n v="3"/>
    <x v="5"/>
    <x v="4"/>
    <x v="4"/>
  </r>
  <r>
    <n v="2012"/>
    <x v="9"/>
    <x v="0"/>
    <x v="3"/>
    <x v="1"/>
    <x v="23"/>
    <x v="8"/>
    <s v="M"/>
    <s v="Beige"/>
    <s v="Spring"/>
    <n v="3.7"/>
    <x v="1"/>
    <x v="0"/>
    <x v="1"/>
    <x v="1"/>
    <n v="4"/>
    <x v="4"/>
    <x v="5"/>
    <x v="5"/>
  </r>
  <r>
    <n v="2013"/>
    <x v="39"/>
    <x v="0"/>
    <x v="2"/>
    <x v="0"/>
    <x v="0"/>
    <x v="22"/>
    <s v="L"/>
    <s v="Green"/>
    <s v="Fall"/>
    <n v="3.2"/>
    <x v="1"/>
    <x v="5"/>
    <x v="1"/>
    <x v="1"/>
    <n v="5"/>
    <x v="1"/>
    <x v="0"/>
    <x v="0"/>
  </r>
  <r>
    <n v="2014"/>
    <x v="31"/>
    <x v="0"/>
    <x v="21"/>
    <x v="3"/>
    <x v="44"/>
    <x v="41"/>
    <s v="M"/>
    <s v="Peach"/>
    <s v="Winter"/>
    <n v="4.9000000000000004"/>
    <x v="1"/>
    <x v="3"/>
    <x v="1"/>
    <x v="1"/>
    <n v="25"/>
    <x v="5"/>
    <x v="3"/>
    <x v="3"/>
  </r>
  <r>
    <n v="2015"/>
    <x v="47"/>
    <x v="0"/>
    <x v="11"/>
    <x v="0"/>
    <x v="46"/>
    <x v="48"/>
    <s v="L"/>
    <s v="Black"/>
    <s v="Summer"/>
    <n v="3.9"/>
    <x v="1"/>
    <x v="3"/>
    <x v="1"/>
    <x v="1"/>
    <n v="47"/>
    <x v="3"/>
    <x v="4"/>
    <x v="4"/>
  </r>
  <r>
    <n v="2016"/>
    <x v="9"/>
    <x v="0"/>
    <x v="22"/>
    <x v="3"/>
    <x v="71"/>
    <x v="41"/>
    <s v="S"/>
    <s v="Pink"/>
    <s v="Summer"/>
    <n v="4.5"/>
    <x v="1"/>
    <x v="2"/>
    <x v="1"/>
    <x v="1"/>
    <n v="8"/>
    <x v="2"/>
    <x v="0"/>
    <x v="0"/>
  </r>
  <r>
    <n v="2017"/>
    <x v="10"/>
    <x v="0"/>
    <x v="9"/>
    <x v="1"/>
    <x v="53"/>
    <x v="1"/>
    <s v="S"/>
    <s v="Violet"/>
    <s v="Winter"/>
    <n v="3.4"/>
    <x v="1"/>
    <x v="3"/>
    <x v="1"/>
    <x v="1"/>
    <n v="20"/>
    <x v="5"/>
    <x v="0"/>
    <x v="0"/>
  </r>
  <r>
    <n v="2018"/>
    <x v="27"/>
    <x v="0"/>
    <x v="20"/>
    <x v="0"/>
    <x v="50"/>
    <x v="2"/>
    <s v="S"/>
    <s v="Green"/>
    <s v="Winter"/>
    <n v="4.0999999999999996"/>
    <x v="1"/>
    <x v="2"/>
    <x v="1"/>
    <x v="1"/>
    <n v="42"/>
    <x v="4"/>
    <x v="6"/>
    <x v="3"/>
  </r>
  <r>
    <n v="2019"/>
    <x v="52"/>
    <x v="0"/>
    <x v="21"/>
    <x v="3"/>
    <x v="8"/>
    <x v="10"/>
    <s v="S"/>
    <s v="Gold"/>
    <s v="Fall"/>
    <n v="4.5"/>
    <x v="1"/>
    <x v="5"/>
    <x v="1"/>
    <x v="1"/>
    <n v="20"/>
    <x v="4"/>
    <x v="1"/>
    <x v="1"/>
  </r>
  <r>
    <n v="2020"/>
    <x v="18"/>
    <x v="0"/>
    <x v="5"/>
    <x v="0"/>
    <x v="10"/>
    <x v="37"/>
    <s v="S"/>
    <s v="Red"/>
    <s v="Winter"/>
    <n v="4.7"/>
    <x v="1"/>
    <x v="5"/>
    <x v="1"/>
    <x v="1"/>
    <n v="23"/>
    <x v="1"/>
    <x v="0"/>
    <x v="0"/>
  </r>
  <r>
    <n v="2021"/>
    <x v="38"/>
    <x v="0"/>
    <x v="1"/>
    <x v="0"/>
    <x v="66"/>
    <x v="38"/>
    <s v="M"/>
    <s v="Beige"/>
    <s v="Winter"/>
    <n v="4.8"/>
    <x v="1"/>
    <x v="2"/>
    <x v="1"/>
    <x v="1"/>
    <n v="26"/>
    <x v="1"/>
    <x v="3"/>
    <x v="3"/>
  </r>
  <r>
    <n v="2022"/>
    <x v="46"/>
    <x v="0"/>
    <x v="8"/>
    <x v="3"/>
    <x v="27"/>
    <x v="1"/>
    <s v="M"/>
    <s v="Green"/>
    <s v="Winter"/>
    <n v="4.4000000000000004"/>
    <x v="1"/>
    <x v="3"/>
    <x v="1"/>
    <x v="1"/>
    <n v="48"/>
    <x v="0"/>
    <x v="3"/>
    <x v="3"/>
  </r>
  <r>
    <n v="2023"/>
    <x v="35"/>
    <x v="0"/>
    <x v="16"/>
    <x v="3"/>
    <x v="15"/>
    <x v="15"/>
    <s v="S"/>
    <s v="Black"/>
    <s v="Winter"/>
    <n v="4"/>
    <x v="1"/>
    <x v="5"/>
    <x v="1"/>
    <x v="1"/>
    <n v="16"/>
    <x v="1"/>
    <x v="4"/>
    <x v="4"/>
  </r>
  <r>
    <n v="2024"/>
    <x v="5"/>
    <x v="0"/>
    <x v="20"/>
    <x v="0"/>
    <x v="10"/>
    <x v="37"/>
    <s v="S"/>
    <s v="Teal"/>
    <s v="Winter"/>
    <n v="4.0999999999999996"/>
    <x v="1"/>
    <x v="5"/>
    <x v="1"/>
    <x v="1"/>
    <n v="28"/>
    <x v="1"/>
    <x v="4"/>
    <x v="4"/>
  </r>
  <r>
    <n v="2025"/>
    <x v="46"/>
    <x v="0"/>
    <x v="20"/>
    <x v="0"/>
    <x v="66"/>
    <x v="10"/>
    <s v="L"/>
    <s v="Silver"/>
    <s v="Fall"/>
    <n v="3.7"/>
    <x v="1"/>
    <x v="0"/>
    <x v="1"/>
    <x v="1"/>
    <n v="39"/>
    <x v="3"/>
    <x v="1"/>
    <x v="1"/>
  </r>
  <r>
    <n v="2026"/>
    <x v="32"/>
    <x v="0"/>
    <x v="5"/>
    <x v="0"/>
    <x v="45"/>
    <x v="12"/>
    <s v="M"/>
    <s v="Turquoise"/>
    <s v="Summer"/>
    <n v="3"/>
    <x v="1"/>
    <x v="0"/>
    <x v="1"/>
    <x v="1"/>
    <n v="43"/>
    <x v="5"/>
    <x v="0"/>
    <x v="0"/>
  </r>
  <r>
    <n v="2027"/>
    <x v="43"/>
    <x v="0"/>
    <x v="18"/>
    <x v="3"/>
    <x v="59"/>
    <x v="1"/>
    <s v="M"/>
    <s v="Orange"/>
    <s v="Winter"/>
    <n v="3.6"/>
    <x v="1"/>
    <x v="0"/>
    <x v="1"/>
    <x v="1"/>
    <n v="45"/>
    <x v="4"/>
    <x v="6"/>
    <x v="3"/>
  </r>
  <r>
    <n v="2028"/>
    <x v="2"/>
    <x v="0"/>
    <x v="9"/>
    <x v="1"/>
    <x v="2"/>
    <x v="43"/>
    <s v="S"/>
    <s v="Gold"/>
    <s v="Fall"/>
    <n v="4.8"/>
    <x v="1"/>
    <x v="3"/>
    <x v="1"/>
    <x v="1"/>
    <n v="50"/>
    <x v="2"/>
    <x v="6"/>
    <x v="3"/>
  </r>
  <r>
    <n v="2029"/>
    <x v="26"/>
    <x v="0"/>
    <x v="9"/>
    <x v="1"/>
    <x v="63"/>
    <x v="31"/>
    <s v="XL"/>
    <s v="Purple"/>
    <s v="Fall"/>
    <n v="3.7"/>
    <x v="1"/>
    <x v="4"/>
    <x v="1"/>
    <x v="1"/>
    <n v="10"/>
    <x v="0"/>
    <x v="4"/>
    <x v="4"/>
  </r>
  <r>
    <n v="2030"/>
    <x v="15"/>
    <x v="0"/>
    <x v="18"/>
    <x v="3"/>
    <x v="66"/>
    <x v="6"/>
    <s v="M"/>
    <s v="Pink"/>
    <s v="Spring"/>
    <n v="4.5999999999999996"/>
    <x v="1"/>
    <x v="2"/>
    <x v="1"/>
    <x v="1"/>
    <n v="40"/>
    <x v="3"/>
    <x v="3"/>
    <x v="3"/>
  </r>
  <r>
    <n v="2031"/>
    <x v="17"/>
    <x v="0"/>
    <x v="12"/>
    <x v="3"/>
    <x v="25"/>
    <x v="35"/>
    <s v="S"/>
    <s v="Green"/>
    <s v="Summer"/>
    <n v="2.8"/>
    <x v="1"/>
    <x v="3"/>
    <x v="1"/>
    <x v="1"/>
    <n v="38"/>
    <x v="2"/>
    <x v="5"/>
    <x v="5"/>
  </r>
  <r>
    <n v="2032"/>
    <x v="3"/>
    <x v="0"/>
    <x v="20"/>
    <x v="0"/>
    <x v="12"/>
    <x v="17"/>
    <s v="L"/>
    <s v="Charcoal"/>
    <s v="Spring"/>
    <n v="4"/>
    <x v="1"/>
    <x v="3"/>
    <x v="1"/>
    <x v="1"/>
    <n v="2"/>
    <x v="2"/>
    <x v="5"/>
    <x v="5"/>
  </r>
  <r>
    <n v="2033"/>
    <x v="5"/>
    <x v="0"/>
    <x v="0"/>
    <x v="0"/>
    <x v="14"/>
    <x v="36"/>
    <s v="M"/>
    <s v="Maroon"/>
    <s v="Winter"/>
    <n v="4.2"/>
    <x v="1"/>
    <x v="2"/>
    <x v="1"/>
    <x v="1"/>
    <n v="13"/>
    <x v="1"/>
    <x v="2"/>
    <x v="2"/>
  </r>
  <r>
    <n v="2034"/>
    <x v="9"/>
    <x v="0"/>
    <x v="2"/>
    <x v="0"/>
    <x v="37"/>
    <x v="26"/>
    <s v="L"/>
    <s v="Olive"/>
    <s v="Summer"/>
    <n v="3.6"/>
    <x v="1"/>
    <x v="0"/>
    <x v="1"/>
    <x v="1"/>
    <n v="33"/>
    <x v="0"/>
    <x v="2"/>
    <x v="2"/>
  </r>
  <r>
    <n v="2035"/>
    <x v="12"/>
    <x v="0"/>
    <x v="6"/>
    <x v="0"/>
    <x v="38"/>
    <x v="15"/>
    <s v="M"/>
    <s v="Peach"/>
    <s v="Spring"/>
    <n v="2.9"/>
    <x v="1"/>
    <x v="5"/>
    <x v="1"/>
    <x v="1"/>
    <n v="27"/>
    <x v="3"/>
    <x v="5"/>
    <x v="5"/>
  </r>
  <r>
    <n v="2036"/>
    <x v="10"/>
    <x v="0"/>
    <x v="17"/>
    <x v="0"/>
    <x v="44"/>
    <x v="19"/>
    <s v="S"/>
    <s v="Yellow"/>
    <s v="Summer"/>
    <n v="4.0999999999999996"/>
    <x v="1"/>
    <x v="0"/>
    <x v="1"/>
    <x v="1"/>
    <n v="43"/>
    <x v="4"/>
    <x v="1"/>
    <x v="1"/>
  </r>
  <r>
    <n v="2037"/>
    <x v="43"/>
    <x v="0"/>
    <x v="0"/>
    <x v="0"/>
    <x v="80"/>
    <x v="46"/>
    <s v="S"/>
    <s v="Lavender"/>
    <s v="Winter"/>
    <n v="3.1"/>
    <x v="1"/>
    <x v="2"/>
    <x v="1"/>
    <x v="1"/>
    <n v="46"/>
    <x v="1"/>
    <x v="1"/>
    <x v="1"/>
  </r>
  <r>
    <n v="2038"/>
    <x v="31"/>
    <x v="0"/>
    <x v="22"/>
    <x v="3"/>
    <x v="55"/>
    <x v="26"/>
    <s v="S"/>
    <s v="Green"/>
    <s v="Summer"/>
    <n v="4.3"/>
    <x v="1"/>
    <x v="0"/>
    <x v="1"/>
    <x v="1"/>
    <n v="7"/>
    <x v="0"/>
    <x v="4"/>
    <x v="4"/>
  </r>
  <r>
    <n v="2039"/>
    <x v="10"/>
    <x v="0"/>
    <x v="0"/>
    <x v="0"/>
    <x v="44"/>
    <x v="10"/>
    <s v="L"/>
    <s v="Orange"/>
    <s v="Spring"/>
    <n v="4.4000000000000004"/>
    <x v="1"/>
    <x v="2"/>
    <x v="1"/>
    <x v="1"/>
    <n v="35"/>
    <x v="2"/>
    <x v="0"/>
    <x v="0"/>
  </r>
  <r>
    <n v="2040"/>
    <x v="25"/>
    <x v="0"/>
    <x v="17"/>
    <x v="0"/>
    <x v="12"/>
    <x v="46"/>
    <s v="M"/>
    <s v="Olive"/>
    <s v="Spring"/>
    <n v="3.1"/>
    <x v="1"/>
    <x v="2"/>
    <x v="1"/>
    <x v="1"/>
    <n v="31"/>
    <x v="5"/>
    <x v="4"/>
    <x v="4"/>
  </r>
  <r>
    <n v="2041"/>
    <x v="28"/>
    <x v="0"/>
    <x v="16"/>
    <x v="3"/>
    <x v="21"/>
    <x v="36"/>
    <s v="XL"/>
    <s v="Gray"/>
    <s v="Spring"/>
    <n v="2.9"/>
    <x v="1"/>
    <x v="1"/>
    <x v="1"/>
    <x v="1"/>
    <n v="42"/>
    <x v="0"/>
    <x v="3"/>
    <x v="3"/>
  </r>
  <r>
    <n v="2042"/>
    <x v="17"/>
    <x v="0"/>
    <x v="14"/>
    <x v="2"/>
    <x v="50"/>
    <x v="14"/>
    <s v="S"/>
    <s v="Lavender"/>
    <s v="Winter"/>
    <n v="3.2"/>
    <x v="1"/>
    <x v="2"/>
    <x v="1"/>
    <x v="1"/>
    <n v="14"/>
    <x v="3"/>
    <x v="4"/>
    <x v="4"/>
  </r>
  <r>
    <n v="2043"/>
    <x v="1"/>
    <x v="0"/>
    <x v="9"/>
    <x v="1"/>
    <x v="78"/>
    <x v="15"/>
    <s v="M"/>
    <s v="Red"/>
    <s v="Spring"/>
    <n v="4"/>
    <x v="1"/>
    <x v="4"/>
    <x v="1"/>
    <x v="1"/>
    <n v="35"/>
    <x v="0"/>
    <x v="5"/>
    <x v="5"/>
  </r>
  <r>
    <n v="2044"/>
    <x v="36"/>
    <x v="0"/>
    <x v="24"/>
    <x v="3"/>
    <x v="27"/>
    <x v="14"/>
    <s v="M"/>
    <s v="Charcoal"/>
    <s v="Summer"/>
    <n v="2.7"/>
    <x v="1"/>
    <x v="3"/>
    <x v="1"/>
    <x v="1"/>
    <n v="49"/>
    <x v="3"/>
    <x v="1"/>
    <x v="1"/>
  </r>
  <r>
    <n v="2045"/>
    <x v="34"/>
    <x v="0"/>
    <x v="2"/>
    <x v="0"/>
    <x v="10"/>
    <x v="9"/>
    <s v="L"/>
    <s v="Orange"/>
    <s v="Spring"/>
    <n v="3"/>
    <x v="1"/>
    <x v="1"/>
    <x v="1"/>
    <x v="1"/>
    <n v="17"/>
    <x v="3"/>
    <x v="0"/>
    <x v="0"/>
  </r>
  <r>
    <n v="2046"/>
    <x v="18"/>
    <x v="0"/>
    <x v="16"/>
    <x v="3"/>
    <x v="5"/>
    <x v="42"/>
    <s v="M"/>
    <s v="Red"/>
    <s v="Fall"/>
    <n v="4.4000000000000004"/>
    <x v="1"/>
    <x v="0"/>
    <x v="1"/>
    <x v="1"/>
    <n v="26"/>
    <x v="3"/>
    <x v="3"/>
    <x v="3"/>
  </r>
  <r>
    <n v="2047"/>
    <x v="31"/>
    <x v="0"/>
    <x v="13"/>
    <x v="0"/>
    <x v="50"/>
    <x v="19"/>
    <s v="M"/>
    <s v="Maroon"/>
    <s v="Winter"/>
    <n v="2.8"/>
    <x v="1"/>
    <x v="1"/>
    <x v="1"/>
    <x v="1"/>
    <n v="30"/>
    <x v="1"/>
    <x v="6"/>
    <x v="3"/>
  </r>
  <r>
    <n v="2048"/>
    <x v="44"/>
    <x v="0"/>
    <x v="16"/>
    <x v="3"/>
    <x v="71"/>
    <x v="39"/>
    <s v="M"/>
    <s v="Silver"/>
    <s v="Summer"/>
    <n v="3.1"/>
    <x v="1"/>
    <x v="5"/>
    <x v="1"/>
    <x v="1"/>
    <n v="32"/>
    <x v="1"/>
    <x v="2"/>
    <x v="2"/>
  </r>
  <r>
    <n v="2049"/>
    <x v="4"/>
    <x v="0"/>
    <x v="4"/>
    <x v="1"/>
    <x v="1"/>
    <x v="49"/>
    <s v="XL"/>
    <s v="Pink"/>
    <s v="Winter"/>
    <n v="3.9"/>
    <x v="1"/>
    <x v="0"/>
    <x v="1"/>
    <x v="1"/>
    <n v="35"/>
    <x v="4"/>
    <x v="3"/>
    <x v="3"/>
  </r>
  <r>
    <n v="2050"/>
    <x v="33"/>
    <x v="0"/>
    <x v="23"/>
    <x v="1"/>
    <x v="41"/>
    <x v="3"/>
    <s v="L"/>
    <s v="Blue"/>
    <s v="Fall"/>
    <n v="2.7"/>
    <x v="1"/>
    <x v="3"/>
    <x v="1"/>
    <x v="1"/>
    <n v="15"/>
    <x v="0"/>
    <x v="2"/>
    <x v="2"/>
  </r>
  <r>
    <n v="2051"/>
    <x v="25"/>
    <x v="0"/>
    <x v="19"/>
    <x v="3"/>
    <x v="48"/>
    <x v="16"/>
    <s v="M"/>
    <s v="Teal"/>
    <s v="Summer"/>
    <n v="3.4"/>
    <x v="1"/>
    <x v="5"/>
    <x v="1"/>
    <x v="1"/>
    <n v="10"/>
    <x v="5"/>
    <x v="2"/>
    <x v="2"/>
  </r>
  <r>
    <n v="2052"/>
    <x v="13"/>
    <x v="0"/>
    <x v="17"/>
    <x v="0"/>
    <x v="23"/>
    <x v="2"/>
    <s v="L"/>
    <s v="Black"/>
    <s v="Spring"/>
    <n v="3.8"/>
    <x v="1"/>
    <x v="1"/>
    <x v="1"/>
    <x v="1"/>
    <n v="14"/>
    <x v="2"/>
    <x v="5"/>
    <x v="5"/>
  </r>
  <r>
    <n v="2053"/>
    <x v="4"/>
    <x v="0"/>
    <x v="21"/>
    <x v="3"/>
    <x v="16"/>
    <x v="13"/>
    <s v="M"/>
    <s v="Gray"/>
    <s v="Winter"/>
    <n v="3.7"/>
    <x v="1"/>
    <x v="4"/>
    <x v="1"/>
    <x v="1"/>
    <n v="30"/>
    <x v="4"/>
    <x v="2"/>
    <x v="2"/>
  </r>
  <r>
    <n v="2054"/>
    <x v="1"/>
    <x v="0"/>
    <x v="12"/>
    <x v="3"/>
    <x v="30"/>
    <x v="5"/>
    <s v="S"/>
    <s v="Purple"/>
    <s v="Spring"/>
    <n v="4.5"/>
    <x v="1"/>
    <x v="4"/>
    <x v="1"/>
    <x v="1"/>
    <n v="16"/>
    <x v="2"/>
    <x v="0"/>
    <x v="0"/>
  </r>
  <r>
    <n v="2055"/>
    <x v="13"/>
    <x v="0"/>
    <x v="1"/>
    <x v="0"/>
    <x v="22"/>
    <x v="32"/>
    <s v="XL"/>
    <s v="Gold"/>
    <s v="Spring"/>
    <n v="2.9"/>
    <x v="1"/>
    <x v="0"/>
    <x v="1"/>
    <x v="1"/>
    <n v="14"/>
    <x v="3"/>
    <x v="2"/>
    <x v="2"/>
  </r>
  <r>
    <n v="2056"/>
    <x v="48"/>
    <x v="0"/>
    <x v="8"/>
    <x v="3"/>
    <x v="27"/>
    <x v="21"/>
    <s v="M"/>
    <s v="Silver"/>
    <s v="Fall"/>
    <n v="3.4"/>
    <x v="1"/>
    <x v="4"/>
    <x v="1"/>
    <x v="1"/>
    <n v="28"/>
    <x v="4"/>
    <x v="1"/>
    <x v="1"/>
  </r>
  <r>
    <n v="2057"/>
    <x v="0"/>
    <x v="0"/>
    <x v="21"/>
    <x v="3"/>
    <x v="43"/>
    <x v="46"/>
    <s v="L"/>
    <s v="Blue"/>
    <s v="Spring"/>
    <n v="4.4000000000000004"/>
    <x v="1"/>
    <x v="4"/>
    <x v="1"/>
    <x v="1"/>
    <n v="29"/>
    <x v="3"/>
    <x v="5"/>
    <x v="5"/>
  </r>
  <r>
    <n v="2058"/>
    <x v="17"/>
    <x v="0"/>
    <x v="20"/>
    <x v="0"/>
    <x v="18"/>
    <x v="45"/>
    <s v="L"/>
    <s v="Yellow"/>
    <s v="Spring"/>
    <n v="4.2"/>
    <x v="1"/>
    <x v="3"/>
    <x v="1"/>
    <x v="1"/>
    <n v="5"/>
    <x v="3"/>
    <x v="6"/>
    <x v="3"/>
  </r>
  <r>
    <n v="2059"/>
    <x v="26"/>
    <x v="0"/>
    <x v="5"/>
    <x v="0"/>
    <x v="57"/>
    <x v="47"/>
    <s v="M"/>
    <s v="Brown"/>
    <s v="Winter"/>
    <n v="3.3"/>
    <x v="1"/>
    <x v="5"/>
    <x v="1"/>
    <x v="1"/>
    <n v="17"/>
    <x v="4"/>
    <x v="3"/>
    <x v="3"/>
  </r>
  <r>
    <n v="2060"/>
    <x v="19"/>
    <x v="0"/>
    <x v="6"/>
    <x v="0"/>
    <x v="74"/>
    <x v="18"/>
    <s v="XL"/>
    <s v="Beige"/>
    <s v="Spring"/>
    <n v="3.7"/>
    <x v="1"/>
    <x v="0"/>
    <x v="1"/>
    <x v="1"/>
    <n v="50"/>
    <x v="3"/>
    <x v="1"/>
    <x v="1"/>
  </r>
  <r>
    <n v="2061"/>
    <x v="3"/>
    <x v="0"/>
    <x v="22"/>
    <x v="3"/>
    <x v="80"/>
    <x v="48"/>
    <s v="M"/>
    <s v="Blue"/>
    <s v="Fall"/>
    <n v="3.2"/>
    <x v="1"/>
    <x v="2"/>
    <x v="1"/>
    <x v="1"/>
    <n v="23"/>
    <x v="4"/>
    <x v="3"/>
    <x v="3"/>
  </r>
  <r>
    <n v="2062"/>
    <x v="45"/>
    <x v="0"/>
    <x v="1"/>
    <x v="0"/>
    <x v="44"/>
    <x v="49"/>
    <s v="S"/>
    <s v="Magenta"/>
    <s v="Summer"/>
    <n v="2.6"/>
    <x v="1"/>
    <x v="5"/>
    <x v="1"/>
    <x v="1"/>
    <n v="22"/>
    <x v="5"/>
    <x v="2"/>
    <x v="2"/>
  </r>
  <r>
    <n v="2063"/>
    <x v="22"/>
    <x v="0"/>
    <x v="7"/>
    <x v="2"/>
    <x v="80"/>
    <x v="36"/>
    <s v="L"/>
    <s v="Silver"/>
    <s v="Fall"/>
    <n v="2.8"/>
    <x v="1"/>
    <x v="3"/>
    <x v="1"/>
    <x v="1"/>
    <n v="15"/>
    <x v="1"/>
    <x v="3"/>
    <x v="3"/>
  </r>
  <r>
    <n v="2064"/>
    <x v="12"/>
    <x v="0"/>
    <x v="6"/>
    <x v="0"/>
    <x v="62"/>
    <x v="27"/>
    <s v="M"/>
    <s v="Cyan"/>
    <s v="Fall"/>
    <n v="2.9"/>
    <x v="1"/>
    <x v="3"/>
    <x v="1"/>
    <x v="1"/>
    <n v="32"/>
    <x v="1"/>
    <x v="5"/>
    <x v="5"/>
  </r>
  <r>
    <n v="2065"/>
    <x v="18"/>
    <x v="0"/>
    <x v="9"/>
    <x v="1"/>
    <x v="54"/>
    <x v="10"/>
    <s v="M"/>
    <s v="Green"/>
    <s v="Summer"/>
    <n v="4"/>
    <x v="1"/>
    <x v="4"/>
    <x v="1"/>
    <x v="1"/>
    <n v="5"/>
    <x v="4"/>
    <x v="5"/>
    <x v="5"/>
  </r>
  <r>
    <n v="2066"/>
    <x v="7"/>
    <x v="0"/>
    <x v="4"/>
    <x v="1"/>
    <x v="49"/>
    <x v="4"/>
    <s v="M"/>
    <s v="Blue"/>
    <s v="Spring"/>
    <n v="2.9"/>
    <x v="1"/>
    <x v="1"/>
    <x v="1"/>
    <x v="1"/>
    <n v="6"/>
    <x v="4"/>
    <x v="4"/>
    <x v="4"/>
  </r>
  <r>
    <n v="2067"/>
    <x v="14"/>
    <x v="0"/>
    <x v="4"/>
    <x v="1"/>
    <x v="56"/>
    <x v="26"/>
    <s v="M"/>
    <s v="Olive"/>
    <s v="Fall"/>
    <n v="4.7"/>
    <x v="1"/>
    <x v="5"/>
    <x v="1"/>
    <x v="1"/>
    <n v="44"/>
    <x v="5"/>
    <x v="0"/>
    <x v="0"/>
  </r>
  <r>
    <n v="2068"/>
    <x v="52"/>
    <x v="0"/>
    <x v="13"/>
    <x v="0"/>
    <x v="34"/>
    <x v="33"/>
    <s v="XL"/>
    <s v="Beige"/>
    <s v="Fall"/>
    <n v="3.1"/>
    <x v="1"/>
    <x v="4"/>
    <x v="1"/>
    <x v="1"/>
    <n v="23"/>
    <x v="1"/>
    <x v="0"/>
    <x v="0"/>
  </r>
  <r>
    <n v="2069"/>
    <x v="27"/>
    <x v="0"/>
    <x v="16"/>
    <x v="3"/>
    <x v="13"/>
    <x v="34"/>
    <s v="XL"/>
    <s v="Black"/>
    <s v="Summer"/>
    <n v="3.9"/>
    <x v="1"/>
    <x v="5"/>
    <x v="1"/>
    <x v="1"/>
    <n v="44"/>
    <x v="0"/>
    <x v="5"/>
    <x v="5"/>
  </r>
  <r>
    <n v="2070"/>
    <x v="24"/>
    <x v="0"/>
    <x v="17"/>
    <x v="0"/>
    <x v="71"/>
    <x v="21"/>
    <s v="M"/>
    <s v="Indigo"/>
    <s v="Fall"/>
    <n v="3.4"/>
    <x v="1"/>
    <x v="1"/>
    <x v="1"/>
    <x v="1"/>
    <n v="3"/>
    <x v="5"/>
    <x v="3"/>
    <x v="3"/>
  </r>
  <r>
    <n v="2071"/>
    <x v="19"/>
    <x v="0"/>
    <x v="16"/>
    <x v="3"/>
    <x v="19"/>
    <x v="43"/>
    <s v="XL"/>
    <s v="Red"/>
    <s v="Spring"/>
    <n v="3.1"/>
    <x v="1"/>
    <x v="0"/>
    <x v="1"/>
    <x v="1"/>
    <n v="14"/>
    <x v="1"/>
    <x v="5"/>
    <x v="5"/>
  </r>
  <r>
    <n v="2072"/>
    <x v="28"/>
    <x v="0"/>
    <x v="14"/>
    <x v="2"/>
    <x v="33"/>
    <x v="36"/>
    <s v="S"/>
    <s v="Yellow"/>
    <s v="Fall"/>
    <n v="4.8"/>
    <x v="1"/>
    <x v="5"/>
    <x v="1"/>
    <x v="1"/>
    <n v="37"/>
    <x v="3"/>
    <x v="3"/>
    <x v="3"/>
  </r>
  <r>
    <n v="2073"/>
    <x v="31"/>
    <x v="0"/>
    <x v="21"/>
    <x v="3"/>
    <x v="76"/>
    <x v="2"/>
    <s v="M"/>
    <s v="Beige"/>
    <s v="Winter"/>
    <n v="3.9"/>
    <x v="1"/>
    <x v="2"/>
    <x v="1"/>
    <x v="1"/>
    <n v="22"/>
    <x v="4"/>
    <x v="1"/>
    <x v="1"/>
  </r>
  <r>
    <n v="2074"/>
    <x v="21"/>
    <x v="0"/>
    <x v="22"/>
    <x v="3"/>
    <x v="21"/>
    <x v="21"/>
    <s v="S"/>
    <s v="Green"/>
    <s v="Winter"/>
    <n v="3.5"/>
    <x v="1"/>
    <x v="2"/>
    <x v="1"/>
    <x v="1"/>
    <n v="2"/>
    <x v="3"/>
    <x v="6"/>
    <x v="3"/>
  </r>
  <r>
    <n v="2075"/>
    <x v="24"/>
    <x v="0"/>
    <x v="18"/>
    <x v="3"/>
    <x v="0"/>
    <x v="20"/>
    <s v="M"/>
    <s v="White"/>
    <s v="Summer"/>
    <n v="3.1"/>
    <x v="1"/>
    <x v="1"/>
    <x v="1"/>
    <x v="1"/>
    <n v="44"/>
    <x v="5"/>
    <x v="0"/>
    <x v="0"/>
  </r>
  <r>
    <n v="2076"/>
    <x v="5"/>
    <x v="0"/>
    <x v="1"/>
    <x v="0"/>
    <x v="39"/>
    <x v="36"/>
    <s v="S"/>
    <s v="Turquoise"/>
    <s v="Fall"/>
    <n v="4.7"/>
    <x v="1"/>
    <x v="0"/>
    <x v="1"/>
    <x v="1"/>
    <n v="49"/>
    <x v="5"/>
    <x v="5"/>
    <x v="5"/>
  </r>
  <r>
    <n v="2077"/>
    <x v="35"/>
    <x v="0"/>
    <x v="24"/>
    <x v="3"/>
    <x v="66"/>
    <x v="20"/>
    <s v="S"/>
    <s v="Indigo"/>
    <s v="Fall"/>
    <n v="4.5999999999999996"/>
    <x v="1"/>
    <x v="1"/>
    <x v="1"/>
    <x v="1"/>
    <n v="22"/>
    <x v="5"/>
    <x v="4"/>
    <x v="4"/>
  </r>
  <r>
    <n v="2078"/>
    <x v="14"/>
    <x v="0"/>
    <x v="18"/>
    <x v="3"/>
    <x v="7"/>
    <x v="43"/>
    <s v="L"/>
    <s v="Orange"/>
    <s v="Fall"/>
    <n v="3.3"/>
    <x v="1"/>
    <x v="1"/>
    <x v="1"/>
    <x v="1"/>
    <n v="26"/>
    <x v="4"/>
    <x v="2"/>
    <x v="2"/>
  </r>
  <r>
    <n v="2079"/>
    <x v="34"/>
    <x v="0"/>
    <x v="10"/>
    <x v="0"/>
    <x v="69"/>
    <x v="11"/>
    <s v="M"/>
    <s v="Blue"/>
    <s v="Spring"/>
    <n v="3.2"/>
    <x v="1"/>
    <x v="2"/>
    <x v="1"/>
    <x v="1"/>
    <n v="40"/>
    <x v="5"/>
    <x v="1"/>
    <x v="1"/>
  </r>
  <r>
    <n v="2080"/>
    <x v="45"/>
    <x v="0"/>
    <x v="2"/>
    <x v="0"/>
    <x v="41"/>
    <x v="6"/>
    <s v="L"/>
    <s v="Violet"/>
    <s v="Summer"/>
    <n v="3.1"/>
    <x v="1"/>
    <x v="2"/>
    <x v="1"/>
    <x v="1"/>
    <n v="16"/>
    <x v="3"/>
    <x v="3"/>
    <x v="3"/>
  </r>
  <r>
    <n v="2081"/>
    <x v="26"/>
    <x v="0"/>
    <x v="12"/>
    <x v="3"/>
    <x v="53"/>
    <x v="45"/>
    <s v="S"/>
    <s v="Gray"/>
    <s v="Fall"/>
    <n v="3.5"/>
    <x v="1"/>
    <x v="1"/>
    <x v="1"/>
    <x v="1"/>
    <n v="17"/>
    <x v="5"/>
    <x v="4"/>
    <x v="4"/>
  </r>
  <r>
    <n v="2082"/>
    <x v="41"/>
    <x v="0"/>
    <x v="7"/>
    <x v="2"/>
    <x v="72"/>
    <x v="15"/>
    <s v="S"/>
    <s v="Cyan"/>
    <s v="Spring"/>
    <n v="4.3"/>
    <x v="1"/>
    <x v="3"/>
    <x v="1"/>
    <x v="1"/>
    <n v="48"/>
    <x v="4"/>
    <x v="4"/>
    <x v="4"/>
  </r>
  <r>
    <n v="2083"/>
    <x v="38"/>
    <x v="0"/>
    <x v="2"/>
    <x v="0"/>
    <x v="58"/>
    <x v="10"/>
    <s v="M"/>
    <s v="Yellow"/>
    <s v="Summer"/>
    <n v="2.9"/>
    <x v="1"/>
    <x v="1"/>
    <x v="1"/>
    <x v="1"/>
    <n v="28"/>
    <x v="0"/>
    <x v="6"/>
    <x v="3"/>
  </r>
  <r>
    <n v="2084"/>
    <x v="38"/>
    <x v="0"/>
    <x v="18"/>
    <x v="3"/>
    <x v="40"/>
    <x v="16"/>
    <s v="L"/>
    <s v="Orange"/>
    <s v="Fall"/>
    <n v="2.7"/>
    <x v="1"/>
    <x v="5"/>
    <x v="1"/>
    <x v="1"/>
    <n v="26"/>
    <x v="2"/>
    <x v="0"/>
    <x v="0"/>
  </r>
  <r>
    <n v="2085"/>
    <x v="45"/>
    <x v="0"/>
    <x v="0"/>
    <x v="0"/>
    <x v="23"/>
    <x v="34"/>
    <s v="S"/>
    <s v="Brown"/>
    <s v="Summer"/>
    <n v="4"/>
    <x v="1"/>
    <x v="3"/>
    <x v="1"/>
    <x v="1"/>
    <n v="43"/>
    <x v="4"/>
    <x v="3"/>
    <x v="3"/>
  </r>
  <r>
    <n v="2086"/>
    <x v="28"/>
    <x v="0"/>
    <x v="2"/>
    <x v="0"/>
    <x v="4"/>
    <x v="14"/>
    <s v="M"/>
    <s v="Teal"/>
    <s v="Fall"/>
    <n v="4.5999999999999996"/>
    <x v="1"/>
    <x v="1"/>
    <x v="1"/>
    <x v="1"/>
    <n v="38"/>
    <x v="5"/>
    <x v="1"/>
    <x v="1"/>
  </r>
  <r>
    <n v="2087"/>
    <x v="13"/>
    <x v="0"/>
    <x v="10"/>
    <x v="0"/>
    <x v="58"/>
    <x v="25"/>
    <s v="L"/>
    <s v="Beige"/>
    <s v="Summer"/>
    <n v="4.7"/>
    <x v="1"/>
    <x v="4"/>
    <x v="1"/>
    <x v="1"/>
    <n v="36"/>
    <x v="1"/>
    <x v="6"/>
    <x v="3"/>
  </r>
  <r>
    <n v="2088"/>
    <x v="22"/>
    <x v="0"/>
    <x v="19"/>
    <x v="3"/>
    <x v="26"/>
    <x v="48"/>
    <s v="M"/>
    <s v="Blue"/>
    <s v="Summer"/>
    <n v="4.7"/>
    <x v="1"/>
    <x v="3"/>
    <x v="1"/>
    <x v="1"/>
    <n v="1"/>
    <x v="2"/>
    <x v="1"/>
    <x v="1"/>
  </r>
  <r>
    <n v="2089"/>
    <x v="31"/>
    <x v="0"/>
    <x v="3"/>
    <x v="1"/>
    <x v="58"/>
    <x v="18"/>
    <s v="L"/>
    <s v="Orange"/>
    <s v="Spring"/>
    <n v="4"/>
    <x v="1"/>
    <x v="3"/>
    <x v="1"/>
    <x v="1"/>
    <n v="49"/>
    <x v="5"/>
    <x v="2"/>
    <x v="2"/>
  </r>
  <r>
    <n v="2090"/>
    <x v="43"/>
    <x v="0"/>
    <x v="14"/>
    <x v="2"/>
    <x v="75"/>
    <x v="33"/>
    <s v="L"/>
    <s v="Gold"/>
    <s v="Spring"/>
    <n v="3.6"/>
    <x v="1"/>
    <x v="1"/>
    <x v="1"/>
    <x v="1"/>
    <n v="41"/>
    <x v="2"/>
    <x v="6"/>
    <x v="3"/>
  </r>
  <r>
    <n v="2091"/>
    <x v="47"/>
    <x v="0"/>
    <x v="20"/>
    <x v="0"/>
    <x v="79"/>
    <x v="2"/>
    <s v="S"/>
    <s v="Teal"/>
    <s v="Winter"/>
    <n v="3.4"/>
    <x v="1"/>
    <x v="1"/>
    <x v="1"/>
    <x v="1"/>
    <n v="21"/>
    <x v="5"/>
    <x v="5"/>
    <x v="5"/>
  </r>
  <r>
    <n v="2092"/>
    <x v="8"/>
    <x v="0"/>
    <x v="2"/>
    <x v="0"/>
    <x v="8"/>
    <x v="47"/>
    <s v="XL"/>
    <s v="Beige"/>
    <s v="Fall"/>
    <n v="3"/>
    <x v="1"/>
    <x v="2"/>
    <x v="1"/>
    <x v="1"/>
    <n v="24"/>
    <x v="4"/>
    <x v="3"/>
    <x v="3"/>
  </r>
  <r>
    <n v="2093"/>
    <x v="32"/>
    <x v="0"/>
    <x v="3"/>
    <x v="1"/>
    <x v="29"/>
    <x v="46"/>
    <s v="M"/>
    <s v="Silver"/>
    <s v="Fall"/>
    <n v="2.6"/>
    <x v="1"/>
    <x v="2"/>
    <x v="1"/>
    <x v="1"/>
    <n v="27"/>
    <x v="4"/>
    <x v="1"/>
    <x v="1"/>
  </r>
  <r>
    <n v="2094"/>
    <x v="3"/>
    <x v="0"/>
    <x v="10"/>
    <x v="0"/>
    <x v="26"/>
    <x v="47"/>
    <s v="M"/>
    <s v="Maroon"/>
    <s v="Spring"/>
    <n v="4.2"/>
    <x v="1"/>
    <x v="5"/>
    <x v="1"/>
    <x v="1"/>
    <n v="4"/>
    <x v="5"/>
    <x v="2"/>
    <x v="2"/>
  </r>
  <r>
    <n v="2095"/>
    <x v="10"/>
    <x v="0"/>
    <x v="20"/>
    <x v="0"/>
    <x v="21"/>
    <x v="36"/>
    <s v="M"/>
    <s v="Indigo"/>
    <s v="Spring"/>
    <n v="3.4"/>
    <x v="1"/>
    <x v="3"/>
    <x v="1"/>
    <x v="1"/>
    <n v="19"/>
    <x v="0"/>
    <x v="2"/>
    <x v="2"/>
  </r>
  <r>
    <n v="2096"/>
    <x v="24"/>
    <x v="0"/>
    <x v="15"/>
    <x v="0"/>
    <x v="80"/>
    <x v="35"/>
    <s v="M"/>
    <s v="Gray"/>
    <s v="Fall"/>
    <n v="4"/>
    <x v="1"/>
    <x v="5"/>
    <x v="1"/>
    <x v="1"/>
    <n v="1"/>
    <x v="4"/>
    <x v="0"/>
    <x v="0"/>
  </r>
  <r>
    <n v="2097"/>
    <x v="3"/>
    <x v="0"/>
    <x v="10"/>
    <x v="0"/>
    <x v="78"/>
    <x v="17"/>
    <s v="L"/>
    <s v="Blue"/>
    <s v="Summer"/>
    <n v="4.7"/>
    <x v="1"/>
    <x v="1"/>
    <x v="1"/>
    <x v="1"/>
    <n v="27"/>
    <x v="5"/>
    <x v="2"/>
    <x v="2"/>
  </r>
  <r>
    <n v="2098"/>
    <x v="23"/>
    <x v="0"/>
    <x v="4"/>
    <x v="1"/>
    <x v="35"/>
    <x v="44"/>
    <s v="S"/>
    <s v="Cyan"/>
    <s v="Winter"/>
    <n v="3.9"/>
    <x v="1"/>
    <x v="2"/>
    <x v="1"/>
    <x v="1"/>
    <n v="5"/>
    <x v="2"/>
    <x v="1"/>
    <x v="1"/>
  </r>
  <r>
    <n v="2099"/>
    <x v="34"/>
    <x v="0"/>
    <x v="17"/>
    <x v="0"/>
    <x v="39"/>
    <x v="7"/>
    <s v="M"/>
    <s v="White"/>
    <s v="Summer"/>
    <n v="3.3"/>
    <x v="1"/>
    <x v="4"/>
    <x v="1"/>
    <x v="1"/>
    <n v="20"/>
    <x v="0"/>
    <x v="3"/>
    <x v="3"/>
  </r>
  <r>
    <n v="2100"/>
    <x v="18"/>
    <x v="0"/>
    <x v="17"/>
    <x v="0"/>
    <x v="72"/>
    <x v="19"/>
    <s v="L"/>
    <s v="Green"/>
    <s v="Summer"/>
    <n v="2.9"/>
    <x v="1"/>
    <x v="0"/>
    <x v="1"/>
    <x v="1"/>
    <n v="50"/>
    <x v="3"/>
    <x v="2"/>
    <x v="2"/>
  </r>
  <r>
    <n v="2101"/>
    <x v="33"/>
    <x v="0"/>
    <x v="1"/>
    <x v="0"/>
    <x v="9"/>
    <x v="49"/>
    <s v="M"/>
    <s v="Silver"/>
    <s v="Spring"/>
    <n v="4.4000000000000004"/>
    <x v="1"/>
    <x v="1"/>
    <x v="1"/>
    <x v="1"/>
    <n v="36"/>
    <x v="1"/>
    <x v="0"/>
    <x v="0"/>
  </r>
  <r>
    <n v="2102"/>
    <x v="34"/>
    <x v="0"/>
    <x v="5"/>
    <x v="0"/>
    <x v="66"/>
    <x v="4"/>
    <s v="M"/>
    <s v="Blue"/>
    <s v="Winter"/>
    <n v="3.6"/>
    <x v="1"/>
    <x v="2"/>
    <x v="1"/>
    <x v="1"/>
    <n v="12"/>
    <x v="4"/>
    <x v="4"/>
    <x v="4"/>
  </r>
  <r>
    <n v="2103"/>
    <x v="51"/>
    <x v="0"/>
    <x v="19"/>
    <x v="3"/>
    <x v="21"/>
    <x v="37"/>
    <s v="M"/>
    <s v="Brown"/>
    <s v="Spring"/>
    <n v="4.5"/>
    <x v="1"/>
    <x v="5"/>
    <x v="1"/>
    <x v="1"/>
    <n v="23"/>
    <x v="1"/>
    <x v="5"/>
    <x v="5"/>
  </r>
  <r>
    <n v="2104"/>
    <x v="11"/>
    <x v="0"/>
    <x v="13"/>
    <x v="0"/>
    <x v="62"/>
    <x v="27"/>
    <s v="S"/>
    <s v="Red"/>
    <s v="Summer"/>
    <n v="3.7"/>
    <x v="1"/>
    <x v="5"/>
    <x v="1"/>
    <x v="1"/>
    <n v="21"/>
    <x v="0"/>
    <x v="1"/>
    <x v="1"/>
  </r>
  <r>
    <n v="2105"/>
    <x v="10"/>
    <x v="0"/>
    <x v="9"/>
    <x v="1"/>
    <x v="19"/>
    <x v="35"/>
    <s v="M"/>
    <s v="Gold"/>
    <s v="Spring"/>
    <n v="2.8"/>
    <x v="1"/>
    <x v="1"/>
    <x v="1"/>
    <x v="1"/>
    <n v="47"/>
    <x v="0"/>
    <x v="1"/>
    <x v="1"/>
  </r>
  <r>
    <n v="2106"/>
    <x v="13"/>
    <x v="0"/>
    <x v="24"/>
    <x v="3"/>
    <x v="59"/>
    <x v="36"/>
    <s v="M"/>
    <s v="Silver"/>
    <s v="Spring"/>
    <n v="4.5"/>
    <x v="1"/>
    <x v="1"/>
    <x v="1"/>
    <x v="1"/>
    <n v="38"/>
    <x v="0"/>
    <x v="4"/>
    <x v="4"/>
  </r>
  <r>
    <n v="2107"/>
    <x v="52"/>
    <x v="0"/>
    <x v="16"/>
    <x v="3"/>
    <x v="7"/>
    <x v="34"/>
    <s v="M"/>
    <s v="Gray"/>
    <s v="Fall"/>
    <n v="4.4000000000000004"/>
    <x v="1"/>
    <x v="3"/>
    <x v="1"/>
    <x v="1"/>
    <n v="40"/>
    <x v="2"/>
    <x v="6"/>
    <x v="3"/>
  </r>
  <r>
    <n v="2108"/>
    <x v="5"/>
    <x v="0"/>
    <x v="13"/>
    <x v="0"/>
    <x v="60"/>
    <x v="12"/>
    <s v="M"/>
    <s v="Black"/>
    <s v="Winter"/>
    <n v="3.3"/>
    <x v="1"/>
    <x v="3"/>
    <x v="1"/>
    <x v="1"/>
    <n v="35"/>
    <x v="3"/>
    <x v="3"/>
    <x v="3"/>
  </r>
  <r>
    <n v="2109"/>
    <x v="22"/>
    <x v="0"/>
    <x v="15"/>
    <x v="0"/>
    <x v="43"/>
    <x v="25"/>
    <s v="XL"/>
    <s v="Beige"/>
    <s v="Winter"/>
    <n v="4.2"/>
    <x v="1"/>
    <x v="0"/>
    <x v="1"/>
    <x v="1"/>
    <n v="4"/>
    <x v="2"/>
    <x v="3"/>
    <x v="3"/>
  </r>
  <r>
    <n v="2110"/>
    <x v="35"/>
    <x v="0"/>
    <x v="16"/>
    <x v="3"/>
    <x v="9"/>
    <x v="18"/>
    <s v="L"/>
    <s v="Peach"/>
    <s v="Fall"/>
    <n v="2.7"/>
    <x v="1"/>
    <x v="1"/>
    <x v="1"/>
    <x v="1"/>
    <n v="28"/>
    <x v="0"/>
    <x v="6"/>
    <x v="3"/>
  </r>
  <r>
    <n v="2111"/>
    <x v="16"/>
    <x v="0"/>
    <x v="20"/>
    <x v="0"/>
    <x v="73"/>
    <x v="6"/>
    <s v="L"/>
    <s v="Cyan"/>
    <s v="Spring"/>
    <n v="3.9"/>
    <x v="1"/>
    <x v="5"/>
    <x v="1"/>
    <x v="1"/>
    <n v="36"/>
    <x v="5"/>
    <x v="6"/>
    <x v="3"/>
  </r>
  <r>
    <n v="2112"/>
    <x v="38"/>
    <x v="0"/>
    <x v="12"/>
    <x v="3"/>
    <x v="6"/>
    <x v="9"/>
    <s v="XL"/>
    <s v="Pink"/>
    <s v="Spring"/>
    <n v="2.6"/>
    <x v="1"/>
    <x v="1"/>
    <x v="1"/>
    <x v="1"/>
    <n v="15"/>
    <x v="4"/>
    <x v="2"/>
    <x v="2"/>
  </r>
  <r>
    <n v="2113"/>
    <x v="49"/>
    <x v="0"/>
    <x v="22"/>
    <x v="3"/>
    <x v="10"/>
    <x v="30"/>
    <s v="M"/>
    <s v="Lavender"/>
    <s v="Fall"/>
    <n v="4.5"/>
    <x v="1"/>
    <x v="4"/>
    <x v="1"/>
    <x v="1"/>
    <n v="7"/>
    <x v="1"/>
    <x v="0"/>
    <x v="0"/>
  </r>
  <r>
    <n v="2114"/>
    <x v="6"/>
    <x v="0"/>
    <x v="10"/>
    <x v="0"/>
    <x v="49"/>
    <x v="41"/>
    <s v="M"/>
    <s v="Brown"/>
    <s v="Spring"/>
    <n v="2.7"/>
    <x v="1"/>
    <x v="5"/>
    <x v="1"/>
    <x v="1"/>
    <n v="29"/>
    <x v="3"/>
    <x v="6"/>
    <x v="3"/>
  </r>
  <r>
    <n v="2115"/>
    <x v="43"/>
    <x v="0"/>
    <x v="5"/>
    <x v="0"/>
    <x v="12"/>
    <x v="34"/>
    <s v="M"/>
    <s v="Magenta"/>
    <s v="Winter"/>
    <n v="2.9"/>
    <x v="1"/>
    <x v="3"/>
    <x v="1"/>
    <x v="1"/>
    <n v="12"/>
    <x v="5"/>
    <x v="2"/>
    <x v="2"/>
  </r>
  <r>
    <n v="2116"/>
    <x v="42"/>
    <x v="0"/>
    <x v="18"/>
    <x v="3"/>
    <x v="6"/>
    <x v="3"/>
    <s v="M"/>
    <s v="Violet"/>
    <s v="Winter"/>
    <n v="3.4"/>
    <x v="1"/>
    <x v="5"/>
    <x v="1"/>
    <x v="1"/>
    <n v="16"/>
    <x v="4"/>
    <x v="4"/>
    <x v="4"/>
  </r>
  <r>
    <n v="2117"/>
    <x v="29"/>
    <x v="0"/>
    <x v="14"/>
    <x v="2"/>
    <x v="66"/>
    <x v="23"/>
    <s v="M"/>
    <s v="Teal"/>
    <s v="Summer"/>
    <n v="2.9"/>
    <x v="1"/>
    <x v="0"/>
    <x v="1"/>
    <x v="1"/>
    <n v="50"/>
    <x v="5"/>
    <x v="4"/>
    <x v="4"/>
  </r>
  <r>
    <n v="2118"/>
    <x v="7"/>
    <x v="0"/>
    <x v="10"/>
    <x v="0"/>
    <x v="39"/>
    <x v="24"/>
    <s v="L"/>
    <s v="Brown"/>
    <s v="Summer"/>
    <n v="3.8"/>
    <x v="1"/>
    <x v="1"/>
    <x v="1"/>
    <x v="1"/>
    <n v="11"/>
    <x v="5"/>
    <x v="2"/>
    <x v="2"/>
  </r>
  <r>
    <n v="2119"/>
    <x v="52"/>
    <x v="0"/>
    <x v="20"/>
    <x v="0"/>
    <x v="77"/>
    <x v="42"/>
    <s v="M"/>
    <s v="Olive"/>
    <s v="Fall"/>
    <n v="4.2"/>
    <x v="1"/>
    <x v="4"/>
    <x v="1"/>
    <x v="1"/>
    <n v="28"/>
    <x v="5"/>
    <x v="3"/>
    <x v="3"/>
  </r>
  <r>
    <n v="2120"/>
    <x v="44"/>
    <x v="0"/>
    <x v="16"/>
    <x v="3"/>
    <x v="75"/>
    <x v="43"/>
    <s v="M"/>
    <s v="Indigo"/>
    <s v="Spring"/>
    <n v="3.5"/>
    <x v="1"/>
    <x v="5"/>
    <x v="1"/>
    <x v="1"/>
    <n v="36"/>
    <x v="0"/>
    <x v="4"/>
    <x v="4"/>
  </r>
  <r>
    <n v="2121"/>
    <x v="10"/>
    <x v="0"/>
    <x v="18"/>
    <x v="3"/>
    <x v="57"/>
    <x v="9"/>
    <s v="S"/>
    <s v="Red"/>
    <s v="Fall"/>
    <n v="3.1"/>
    <x v="1"/>
    <x v="2"/>
    <x v="1"/>
    <x v="1"/>
    <n v="38"/>
    <x v="3"/>
    <x v="3"/>
    <x v="3"/>
  </r>
  <r>
    <n v="2122"/>
    <x v="49"/>
    <x v="0"/>
    <x v="21"/>
    <x v="3"/>
    <x v="10"/>
    <x v="29"/>
    <s v="M"/>
    <s v="Olive"/>
    <s v="Winter"/>
    <n v="3.5"/>
    <x v="1"/>
    <x v="4"/>
    <x v="1"/>
    <x v="1"/>
    <n v="32"/>
    <x v="4"/>
    <x v="5"/>
    <x v="5"/>
  </r>
  <r>
    <n v="2123"/>
    <x v="45"/>
    <x v="0"/>
    <x v="14"/>
    <x v="2"/>
    <x v="14"/>
    <x v="41"/>
    <s v="L"/>
    <s v="Teal"/>
    <s v="Fall"/>
    <n v="4"/>
    <x v="1"/>
    <x v="0"/>
    <x v="1"/>
    <x v="1"/>
    <n v="42"/>
    <x v="5"/>
    <x v="1"/>
    <x v="1"/>
  </r>
  <r>
    <n v="2124"/>
    <x v="22"/>
    <x v="0"/>
    <x v="7"/>
    <x v="2"/>
    <x v="79"/>
    <x v="43"/>
    <s v="L"/>
    <s v="Cyan"/>
    <s v="Spring"/>
    <n v="3.7"/>
    <x v="1"/>
    <x v="0"/>
    <x v="1"/>
    <x v="1"/>
    <n v="22"/>
    <x v="5"/>
    <x v="4"/>
    <x v="4"/>
  </r>
  <r>
    <n v="2125"/>
    <x v="36"/>
    <x v="0"/>
    <x v="11"/>
    <x v="0"/>
    <x v="30"/>
    <x v="3"/>
    <s v="M"/>
    <s v="Teal"/>
    <s v="Fall"/>
    <n v="4.2"/>
    <x v="1"/>
    <x v="2"/>
    <x v="1"/>
    <x v="1"/>
    <n v="22"/>
    <x v="0"/>
    <x v="3"/>
    <x v="3"/>
  </r>
  <r>
    <n v="2126"/>
    <x v="9"/>
    <x v="0"/>
    <x v="7"/>
    <x v="2"/>
    <x v="55"/>
    <x v="13"/>
    <s v="M"/>
    <s v="Beige"/>
    <s v="Fall"/>
    <n v="4.8"/>
    <x v="1"/>
    <x v="5"/>
    <x v="1"/>
    <x v="1"/>
    <n v="31"/>
    <x v="3"/>
    <x v="3"/>
    <x v="3"/>
  </r>
  <r>
    <n v="2127"/>
    <x v="6"/>
    <x v="0"/>
    <x v="9"/>
    <x v="1"/>
    <x v="15"/>
    <x v="15"/>
    <s v="XL"/>
    <s v="Magenta"/>
    <s v="Winter"/>
    <n v="4.0999999999999996"/>
    <x v="1"/>
    <x v="0"/>
    <x v="1"/>
    <x v="1"/>
    <n v="28"/>
    <x v="2"/>
    <x v="5"/>
    <x v="5"/>
  </r>
  <r>
    <n v="2128"/>
    <x v="27"/>
    <x v="0"/>
    <x v="23"/>
    <x v="1"/>
    <x v="29"/>
    <x v="17"/>
    <s v="M"/>
    <s v="Indigo"/>
    <s v="Spring"/>
    <n v="4.5"/>
    <x v="1"/>
    <x v="4"/>
    <x v="1"/>
    <x v="1"/>
    <n v="40"/>
    <x v="5"/>
    <x v="1"/>
    <x v="1"/>
  </r>
  <r>
    <n v="2129"/>
    <x v="46"/>
    <x v="0"/>
    <x v="7"/>
    <x v="2"/>
    <x v="53"/>
    <x v="35"/>
    <s v="L"/>
    <s v="Cyan"/>
    <s v="Fall"/>
    <n v="2.7"/>
    <x v="1"/>
    <x v="4"/>
    <x v="1"/>
    <x v="1"/>
    <n v="21"/>
    <x v="3"/>
    <x v="1"/>
    <x v="1"/>
  </r>
  <r>
    <n v="2130"/>
    <x v="37"/>
    <x v="0"/>
    <x v="11"/>
    <x v="0"/>
    <x v="75"/>
    <x v="46"/>
    <s v="L"/>
    <s v="Orange"/>
    <s v="Fall"/>
    <n v="2.8"/>
    <x v="1"/>
    <x v="5"/>
    <x v="1"/>
    <x v="1"/>
    <n v="12"/>
    <x v="3"/>
    <x v="6"/>
    <x v="3"/>
  </r>
  <r>
    <n v="2131"/>
    <x v="15"/>
    <x v="0"/>
    <x v="21"/>
    <x v="3"/>
    <x v="10"/>
    <x v="28"/>
    <s v="L"/>
    <s v="Violet"/>
    <s v="Summer"/>
    <n v="3.7"/>
    <x v="1"/>
    <x v="1"/>
    <x v="1"/>
    <x v="1"/>
    <n v="33"/>
    <x v="2"/>
    <x v="2"/>
    <x v="2"/>
  </r>
  <r>
    <n v="2132"/>
    <x v="1"/>
    <x v="0"/>
    <x v="6"/>
    <x v="0"/>
    <x v="78"/>
    <x v="6"/>
    <s v="M"/>
    <s v="Red"/>
    <s v="Fall"/>
    <n v="3.6"/>
    <x v="1"/>
    <x v="0"/>
    <x v="1"/>
    <x v="1"/>
    <n v="9"/>
    <x v="4"/>
    <x v="0"/>
    <x v="0"/>
  </r>
  <r>
    <n v="2133"/>
    <x v="15"/>
    <x v="0"/>
    <x v="11"/>
    <x v="0"/>
    <x v="55"/>
    <x v="34"/>
    <s v="M"/>
    <s v="Magenta"/>
    <s v="Fall"/>
    <n v="4.7"/>
    <x v="1"/>
    <x v="4"/>
    <x v="1"/>
    <x v="1"/>
    <n v="15"/>
    <x v="5"/>
    <x v="1"/>
    <x v="1"/>
  </r>
  <r>
    <n v="2134"/>
    <x v="3"/>
    <x v="0"/>
    <x v="19"/>
    <x v="3"/>
    <x v="7"/>
    <x v="1"/>
    <s v="M"/>
    <s v="Olive"/>
    <s v="Summer"/>
    <n v="3.8"/>
    <x v="1"/>
    <x v="3"/>
    <x v="1"/>
    <x v="1"/>
    <n v="13"/>
    <x v="4"/>
    <x v="2"/>
    <x v="2"/>
  </r>
  <r>
    <n v="2135"/>
    <x v="0"/>
    <x v="0"/>
    <x v="3"/>
    <x v="1"/>
    <x v="52"/>
    <x v="41"/>
    <s v="XL"/>
    <s v="Maroon"/>
    <s v="Winter"/>
    <n v="2.9"/>
    <x v="1"/>
    <x v="3"/>
    <x v="1"/>
    <x v="1"/>
    <n v="35"/>
    <x v="2"/>
    <x v="0"/>
    <x v="0"/>
  </r>
  <r>
    <n v="2136"/>
    <x v="50"/>
    <x v="0"/>
    <x v="12"/>
    <x v="3"/>
    <x v="23"/>
    <x v="18"/>
    <s v="S"/>
    <s v="Yellow"/>
    <s v="Winter"/>
    <n v="4.5999999999999996"/>
    <x v="1"/>
    <x v="2"/>
    <x v="1"/>
    <x v="1"/>
    <n v="1"/>
    <x v="5"/>
    <x v="6"/>
    <x v="3"/>
  </r>
  <r>
    <n v="2137"/>
    <x v="36"/>
    <x v="0"/>
    <x v="12"/>
    <x v="3"/>
    <x v="73"/>
    <x v="14"/>
    <s v="M"/>
    <s v="Red"/>
    <s v="Summer"/>
    <n v="2.8"/>
    <x v="1"/>
    <x v="3"/>
    <x v="1"/>
    <x v="1"/>
    <n v="25"/>
    <x v="4"/>
    <x v="0"/>
    <x v="0"/>
  </r>
  <r>
    <n v="2138"/>
    <x v="7"/>
    <x v="0"/>
    <x v="20"/>
    <x v="0"/>
    <x v="12"/>
    <x v="27"/>
    <s v="XL"/>
    <s v="Purple"/>
    <s v="Winter"/>
    <n v="4.5999999999999996"/>
    <x v="1"/>
    <x v="4"/>
    <x v="1"/>
    <x v="1"/>
    <n v="20"/>
    <x v="2"/>
    <x v="6"/>
    <x v="3"/>
  </r>
  <r>
    <n v="2139"/>
    <x v="29"/>
    <x v="0"/>
    <x v="1"/>
    <x v="0"/>
    <x v="69"/>
    <x v="16"/>
    <s v="M"/>
    <s v="Teal"/>
    <s v="Fall"/>
    <n v="2.8"/>
    <x v="1"/>
    <x v="2"/>
    <x v="1"/>
    <x v="1"/>
    <n v="36"/>
    <x v="0"/>
    <x v="3"/>
    <x v="3"/>
  </r>
  <r>
    <n v="2140"/>
    <x v="37"/>
    <x v="0"/>
    <x v="23"/>
    <x v="1"/>
    <x v="51"/>
    <x v="14"/>
    <s v="M"/>
    <s v="Red"/>
    <s v="Winter"/>
    <n v="3"/>
    <x v="1"/>
    <x v="1"/>
    <x v="1"/>
    <x v="1"/>
    <n v="33"/>
    <x v="1"/>
    <x v="1"/>
    <x v="1"/>
  </r>
  <r>
    <n v="2141"/>
    <x v="10"/>
    <x v="0"/>
    <x v="8"/>
    <x v="3"/>
    <x v="3"/>
    <x v="35"/>
    <s v="M"/>
    <s v="Brown"/>
    <s v="Fall"/>
    <n v="3.7"/>
    <x v="1"/>
    <x v="3"/>
    <x v="1"/>
    <x v="1"/>
    <n v="36"/>
    <x v="1"/>
    <x v="0"/>
    <x v="0"/>
  </r>
  <r>
    <n v="2142"/>
    <x v="41"/>
    <x v="0"/>
    <x v="10"/>
    <x v="0"/>
    <x v="57"/>
    <x v="0"/>
    <s v="M"/>
    <s v="Peach"/>
    <s v="Winter"/>
    <n v="4.0999999999999996"/>
    <x v="1"/>
    <x v="4"/>
    <x v="1"/>
    <x v="1"/>
    <n v="32"/>
    <x v="3"/>
    <x v="2"/>
    <x v="2"/>
  </r>
  <r>
    <n v="2143"/>
    <x v="36"/>
    <x v="0"/>
    <x v="19"/>
    <x v="3"/>
    <x v="32"/>
    <x v="25"/>
    <s v="M"/>
    <s v="Maroon"/>
    <s v="Winter"/>
    <n v="4.3"/>
    <x v="1"/>
    <x v="2"/>
    <x v="1"/>
    <x v="1"/>
    <n v="21"/>
    <x v="0"/>
    <x v="3"/>
    <x v="3"/>
  </r>
  <r>
    <n v="2144"/>
    <x v="10"/>
    <x v="0"/>
    <x v="3"/>
    <x v="1"/>
    <x v="76"/>
    <x v="10"/>
    <s v="L"/>
    <s v="Red"/>
    <s v="Fall"/>
    <n v="3.8"/>
    <x v="1"/>
    <x v="2"/>
    <x v="1"/>
    <x v="1"/>
    <n v="48"/>
    <x v="0"/>
    <x v="4"/>
    <x v="4"/>
  </r>
  <r>
    <n v="2145"/>
    <x v="36"/>
    <x v="0"/>
    <x v="9"/>
    <x v="1"/>
    <x v="66"/>
    <x v="33"/>
    <s v="L"/>
    <s v="Orange"/>
    <s v="Winter"/>
    <n v="3.7"/>
    <x v="1"/>
    <x v="1"/>
    <x v="1"/>
    <x v="1"/>
    <n v="25"/>
    <x v="3"/>
    <x v="3"/>
    <x v="3"/>
  </r>
  <r>
    <n v="2146"/>
    <x v="21"/>
    <x v="0"/>
    <x v="11"/>
    <x v="0"/>
    <x v="2"/>
    <x v="39"/>
    <s v="S"/>
    <s v="White"/>
    <s v="Winter"/>
    <n v="4.8"/>
    <x v="1"/>
    <x v="3"/>
    <x v="1"/>
    <x v="1"/>
    <n v="32"/>
    <x v="3"/>
    <x v="2"/>
    <x v="2"/>
  </r>
  <r>
    <n v="2147"/>
    <x v="39"/>
    <x v="0"/>
    <x v="12"/>
    <x v="3"/>
    <x v="66"/>
    <x v="40"/>
    <s v="XL"/>
    <s v="White"/>
    <s v="Summer"/>
    <n v="4.5999999999999996"/>
    <x v="1"/>
    <x v="3"/>
    <x v="1"/>
    <x v="1"/>
    <n v="45"/>
    <x v="3"/>
    <x v="6"/>
    <x v="3"/>
  </r>
  <r>
    <n v="2148"/>
    <x v="36"/>
    <x v="0"/>
    <x v="11"/>
    <x v="0"/>
    <x v="35"/>
    <x v="9"/>
    <s v="S"/>
    <s v="Charcoal"/>
    <s v="Fall"/>
    <n v="4.8"/>
    <x v="1"/>
    <x v="3"/>
    <x v="1"/>
    <x v="1"/>
    <n v="4"/>
    <x v="1"/>
    <x v="0"/>
    <x v="0"/>
  </r>
  <r>
    <n v="2149"/>
    <x v="1"/>
    <x v="0"/>
    <x v="17"/>
    <x v="0"/>
    <x v="29"/>
    <x v="43"/>
    <s v="XL"/>
    <s v="Turquoise"/>
    <s v="Winter"/>
    <n v="4.5999999999999996"/>
    <x v="1"/>
    <x v="4"/>
    <x v="1"/>
    <x v="1"/>
    <n v="19"/>
    <x v="3"/>
    <x v="4"/>
    <x v="4"/>
  </r>
  <r>
    <n v="2150"/>
    <x v="21"/>
    <x v="0"/>
    <x v="3"/>
    <x v="1"/>
    <x v="34"/>
    <x v="11"/>
    <s v="L"/>
    <s v="Orange"/>
    <s v="Winter"/>
    <n v="4"/>
    <x v="1"/>
    <x v="3"/>
    <x v="1"/>
    <x v="1"/>
    <n v="1"/>
    <x v="4"/>
    <x v="1"/>
    <x v="1"/>
  </r>
  <r>
    <n v="2151"/>
    <x v="9"/>
    <x v="0"/>
    <x v="5"/>
    <x v="0"/>
    <x v="49"/>
    <x v="26"/>
    <s v="M"/>
    <s v="Orange"/>
    <s v="Spring"/>
    <n v="2.6"/>
    <x v="1"/>
    <x v="4"/>
    <x v="1"/>
    <x v="1"/>
    <n v="12"/>
    <x v="1"/>
    <x v="1"/>
    <x v="1"/>
  </r>
  <r>
    <n v="2152"/>
    <x v="27"/>
    <x v="0"/>
    <x v="2"/>
    <x v="0"/>
    <x v="47"/>
    <x v="34"/>
    <s v="L"/>
    <s v="Brown"/>
    <s v="Fall"/>
    <n v="2.6"/>
    <x v="1"/>
    <x v="4"/>
    <x v="1"/>
    <x v="1"/>
    <n v="18"/>
    <x v="0"/>
    <x v="5"/>
    <x v="5"/>
  </r>
  <r>
    <n v="2153"/>
    <x v="21"/>
    <x v="0"/>
    <x v="6"/>
    <x v="0"/>
    <x v="16"/>
    <x v="32"/>
    <s v="L"/>
    <s v="Magenta"/>
    <s v="Summer"/>
    <n v="4.5"/>
    <x v="1"/>
    <x v="2"/>
    <x v="1"/>
    <x v="1"/>
    <n v="43"/>
    <x v="4"/>
    <x v="4"/>
    <x v="4"/>
  </r>
  <r>
    <n v="2154"/>
    <x v="25"/>
    <x v="0"/>
    <x v="5"/>
    <x v="0"/>
    <x v="23"/>
    <x v="0"/>
    <s v="M"/>
    <s v="Violet"/>
    <s v="Fall"/>
    <n v="4.2"/>
    <x v="1"/>
    <x v="1"/>
    <x v="1"/>
    <x v="1"/>
    <n v="31"/>
    <x v="3"/>
    <x v="2"/>
    <x v="2"/>
  </r>
  <r>
    <n v="2155"/>
    <x v="5"/>
    <x v="0"/>
    <x v="18"/>
    <x v="3"/>
    <x v="67"/>
    <x v="5"/>
    <s v="M"/>
    <s v="Violet"/>
    <s v="Spring"/>
    <n v="3.4"/>
    <x v="1"/>
    <x v="5"/>
    <x v="1"/>
    <x v="1"/>
    <n v="33"/>
    <x v="1"/>
    <x v="6"/>
    <x v="3"/>
  </r>
  <r>
    <n v="2156"/>
    <x v="45"/>
    <x v="0"/>
    <x v="8"/>
    <x v="3"/>
    <x v="12"/>
    <x v="11"/>
    <s v="L"/>
    <s v="Yellow"/>
    <s v="Fall"/>
    <n v="3.7"/>
    <x v="1"/>
    <x v="5"/>
    <x v="1"/>
    <x v="1"/>
    <n v="46"/>
    <x v="3"/>
    <x v="5"/>
    <x v="5"/>
  </r>
  <r>
    <n v="2157"/>
    <x v="21"/>
    <x v="0"/>
    <x v="11"/>
    <x v="0"/>
    <x v="42"/>
    <x v="9"/>
    <s v="M"/>
    <s v="Maroon"/>
    <s v="Winter"/>
    <n v="3.6"/>
    <x v="1"/>
    <x v="2"/>
    <x v="1"/>
    <x v="1"/>
    <n v="41"/>
    <x v="5"/>
    <x v="4"/>
    <x v="4"/>
  </r>
  <r>
    <n v="2158"/>
    <x v="38"/>
    <x v="0"/>
    <x v="8"/>
    <x v="3"/>
    <x v="10"/>
    <x v="16"/>
    <s v="L"/>
    <s v="Turquoise"/>
    <s v="Winter"/>
    <n v="4"/>
    <x v="1"/>
    <x v="2"/>
    <x v="1"/>
    <x v="1"/>
    <n v="41"/>
    <x v="0"/>
    <x v="0"/>
    <x v="0"/>
  </r>
  <r>
    <n v="2159"/>
    <x v="1"/>
    <x v="0"/>
    <x v="24"/>
    <x v="3"/>
    <x v="63"/>
    <x v="2"/>
    <s v="XL"/>
    <s v="Olive"/>
    <s v="Spring"/>
    <n v="4.5999999999999996"/>
    <x v="1"/>
    <x v="3"/>
    <x v="1"/>
    <x v="1"/>
    <n v="9"/>
    <x v="4"/>
    <x v="0"/>
    <x v="0"/>
  </r>
  <r>
    <n v="2160"/>
    <x v="20"/>
    <x v="0"/>
    <x v="5"/>
    <x v="0"/>
    <x v="47"/>
    <x v="7"/>
    <s v="M"/>
    <s v="Peach"/>
    <s v="Fall"/>
    <n v="3"/>
    <x v="1"/>
    <x v="1"/>
    <x v="1"/>
    <x v="1"/>
    <n v="34"/>
    <x v="1"/>
    <x v="2"/>
    <x v="2"/>
  </r>
  <r>
    <n v="2161"/>
    <x v="4"/>
    <x v="0"/>
    <x v="0"/>
    <x v="0"/>
    <x v="56"/>
    <x v="8"/>
    <s v="L"/>
    <s v="Charcoal"/>
    <s v="Winter"/>
    <n v="3.3"/>
    <x v="1"/>
    <x v="0"/>
    <x v="1"/>
    <x v="1"/>
    <n v="21"/>
    <x v="3"/>
    <x v="2"/>
    <x v="2"/>
  </r>
  <r>
    <n v="2162"/>
    <x v="51"/>
    <x v="0"/>
    <x v="10"/>
    <x v="0"/>
    <x v="28"/>
    <x v="47"/>
    <s v="S"/>
    <s v="Peach"/>
    <s v="Summer"/>
    <n v="3.8"/>
    <x v="1"/>
    <x v="0"/>
    <x v="1"/>
    <x v="1"/>
    <n v="5"/>
    <x v="5"/>
    <x v="0"/>
    <x v="0"/>
  </r>
  <r>
    <n v="2163"/>
    <x v="52"/>
    <x v="0"/>
    <x v="6"/>
    <x v="0"/>
    <x v="16"/>
    <x v="4"/>
    <s v="S"/>
    <s v="Black"/>
    <s v="Summer"/>
    <n v="2.7"/>
    <x v="1"/>
    <x v="1"/>
    <x v="1"/>
    <x v="1"/>
    <n v="32"/>
    <x v="3"/>
    <x v="1"/>
    <x v="1"/>
  </r>
  <r>
    <n v="2164"/>
    <x v="16"/>
    <x v="0"/>
    <x v="9"/>
    <x v="1"/>
    <x v="30"/>
    <x v="14"/>
    <s v="L"/>
    <s v="Gray"/>
    <s v="Spring"/>
    <n v="4.5"/>
    <x v="1"/>
    <x v="0"/>
    <x v="1"/>
    <x v="1"/>
    <n v="44"/>
    <x v="4"/>
    <x v="5"/>
    <x v="5"/>
  </r>
  <r>
    <n v="2165"/>
    <x v="32"/>
    <x v="0"/>
    <x v="3"/>
    <x v="1"/>
    <x v="5"/>
    <x v="44"/>
    <s v="S"/>
    <s v="Olive"/>
    <s v="Winter"/>
    <n v="4.8"/>
    <x v="1"/>
    <x v="2"/>
    <x v="1"/>
    <x v="1"/>
    <n v="46"/>
    <x v="3"/>
    <x v="4"/>
    <x v="4"/>
  </r>
  <r>
    <n v="2166"/>
    <x v="26"/>
    <x v="0"/>
    <x v="13"/>
    <x v="0"/>
    <x v="37"/>
    <x v="37"/>
    <s v="M"/>
    <s v="Turquoise"/>
    <s v="Summer"/>
    <n v="4.2"/>
    <x v="1"/>
    <x v="0"/>
    <x v="1"/>
    <x v="1"/>
    <n v="42"/>
    <x v="2"/>
    <x v="6"/>
    <x v="3"/>
  </r>
  <r>
    <n v="2167"/>
    <x v="18"/>
    <x v="0"/>
    <x v="14"/>
    <x v="2"/>
    <x v="19"/>
    <x v="32"/>
    <s v="S"/>
    <s v="Purple"/>
    <s v="Spring"/>
    <n v="3.5"/>
    <x v="1"/>
    <x v="0"/>
    <x v="1"/>
    <x v="1"/>
    <n v="50"/>
    <x v="2"/>
    <x v="4"/>
    <x v="4"/>
  </r>
  <r>
    <n v="2168"/>
    <x v="11"/>
    <x v="0"/>
    <x v="11"/>
    <x v="0"/>
    <x v="16"/>
    <x v="31"/>
    <s v="L"/>
    <s v="Green"/>
    <s v="Winter"/>
    <n v="4.9000000000000004"/>
    <x v="1"/>
    <x v="3"/>
    <x v="1"/>
    <x v="1"/>
    <n v="33"/>
    <x v="0"/>
    <x v="0"/>
    <x v="0"/>
  </r>
  <r>
    <n v="2169"/>
    <x v="51"/>
    <x v="0"/>
    <x v="8"/>
    <x v="3"/>
    <x v="67"/>
    <x v="39"/>
    <s v="M"/>
    <s v="Beige"/>
    <s v="Spring"/>
    <n v="4.0999999999999996"/>
    <x v="1"/>
    <x v="2"/>
    <x v="1"/>
    <x v="1"/>
    <n v="32"/>
    <x v="1"/>
    <x v="3"/>
    <x v="3"/>
  </r>
  <r>
    <n v="2170"/>
    <x v="18"/>
    <x v="0"/>
    <x v="7"/>
    <x v="2"/>
    <x v="69"/>
    <x v="20"/>
    <s v="M"/>
    <s v="Brown"/>
    <s v="Fall"/>
    <n v="2.9"/>
    <x v="1"/>
    <x v="2"/>
    <x v="1"/>
    <x v="1"/>
    <n v="32"/>
    <x v="4"/>
    <x v="4"/>
    <x v="4"/>
  </r>
  <r>
    <n v="2171"/>
    <x v="37"/>
    <x v="0"/>
    <x v="1"/>
    <x v="0"/>
    <x v="50"/>
    <x v="36"/>
    <s v="M"/>
    <s v="Turquoise"/>
    <s v="Fall"/>
    <n v="4"/>
    <x v="1"/>
    <x v="2"/>
    <x v="1"/>
    <x v="1"/>
    <n v="37"/>
    <x v="0"/>
    <x v="6"/>
    <x v="3"/>
  </r>
  <r>
    <n v="2172"/>
    <x v="31"/>
    <x v="0"/>
    <x v="6"/>
    <x v="0"/>
    <x v="57"/>
    <x v="9"/>
    <s v="M"/>
    <s v="Yellow"/>
    <s v="Summer"/>
    <n v="4.5999999999999996"/>
    <x v="1"/>
    <x v="5"/>
    <x v="1"/>
    <x v="1"/>
    <n v="9"/>
    <x v="1"/>
    <x v="0"/>
    <x v="0"/>
  </r>
  <r>
    <n v="2173"/>
    <x v="48"/>
    <x v="0"/>
    <x v="11"/>
    <x v="0"/>
    <x v="58"/>
    <x v="3"/>
    <s v="S"/>
    <s v="Lavender"/>
    <s v="Fall"/>
    <n v="2.8"/>
    <x v="1"/>
    <x v="5"/>
    <x v="1"/>
    <x v="1"/>
    <n v="6"/>
    <x v="3"/>
    <x v="0"/>
    <x v="0"/>
  </r>
  <r>
    <n v="2174"/>
    <x v="51"/>
    <x v="0"/>
    <x v="24"/>
    <x v="3"/>
    <x v="8"/>
    <x v="12"/>
    <s v="S"/>
    <s v="Cyan"/>
    <s v="Summer"/>
    <n v="5"/>
    <x v="1"/>
    <x v="4"/>
    <x v="1"/>
    <x v="1"/>
    <n v="36"/>
    <x v="0"/>
    <x v="3"/>
    <x v="3"/>
  </r>
  <r>
    <n v="2175"/>
    <x v="32"/>
    <x v="0"/>
    <x v="21"/>
    <x v="3"/>
    <x v="4"/>
    <x v="24"/>
    <s v="S"/>
    <s v="Olive"/>
    <s v="Spring"/>
    <n v="2.9"/>
    <x v="1"/>
    <x v="5"/>
    <x v="1"/>
    <x v="1"/>
    <n v="1"/>
    <x v="1"/>
    <x v="2"/>
    <x v="2"/>
  </r>
  <r>
    <n v="2176"/>
    <x v="33"/>
    <x v="0"/>
    <x v="10"/>
    <x v="0"/>
    <x v="74"/>
    <x v="43"/>
    <s v="M"/>
    <s v="Silver"/>
    <s v="Spring"/>
    <n v="3.3"/>
    <x v="1"/>
    <x v="1"/>
    <x v="1"/>
    <x v="1"/>
    <n v="48"/>
    <x v="2"/>
    <x v="0"/>
    <x v="0"/>
  </r>
  <r>
    <n v="2177"/>
    <x v="41"/>
    <x v="0"/>
    <x v="22"/>
    <x v="3"/>
    <x v="26"/>
    <x v="34"/>
    <s v="S"/>
    <s v="Red"/>
    <s v="Winter"/>
    <n v="3.4"/>
    <x v="1"/>
    <x v="4"/>
    <x v="1"/>
    <x v="1"/>
    <n v="44"/>
    <x v="5"/>
    <x v="3"/>
    <x v="3"/>
  </r>
  <r>
    <n v="2178"/>
    <x v="41"/>
    <x v="0"/>
    <x v="24"/>
    <x v="3"/>
    <x v="73"/>
    <x v="6"/>
    <s v="XL"/>
    <s v="Green"/>
    <s v="Winter"/>
    <n v="3"/>
    <x v="1"/>
    <x v="0"/>
    <x v="1"/>
    <x v="1"/>
    <n v="9"/>
    <x v="3"/>
    <x v="4"/>
    <x v="4"/>
  </r>
  <r>
    <n v="2179"/>
    <x v="3"/>
    <x v="0"/>
    <x v="16"/>
    <x v="3"/>
    <x v="57"/>
    <x v="20"/>
    <s v="M"/>
    <s v="Gold"/>
    <s v="Summer"/>
    <n v="4.7"/>
    <x v="1"/>
    <x v="3"/>
    <x v="1"/>
    <x v="1"/>
    <n v="32"/>
    <x v="0"/>
    <x v="2"/>
    <x v="2"/>
  </r>
  <r>
    <n v="2180"/>
    <x v="34"/>
    <x v="0"/>
    <x v="20"/>
    <x v="0"/>
    <x v="71"/>
    <x v="12"/>
    <s v="L"/>
    <s v="Lavender"/>
    <s v="Fall"/>
    <n v="2.9"/>
    <x v="1"/>
    <x v="2"/>
    <x v="1"/>
    <x v="1"/>
    <n v="14"/>
    <x v="3"/>
    <x v="5"/>
    <x v="5"/>
  </r>
  <r>
    <n v="2181"/>
    <x v="38"/>
    <x v="0"/>
    <x v="7"/>
    <x v="2"/>
    <x v="18"/>
    <x v="39"/>
    <s v="M"/>
    <s v="Yellow"/>
    <s v="Summer"/>
    <n v="4.0999999999999996"/>
    <x v="1"/>
    <x v="5"/>
    <x v="1"/>
    <x v="1"/>
    <n v="43"/>
    <x v="1"/>
    <x v="3"/>
    <x v="3"/>
  </r>
  <r>
    <n v="2182"/>
    <x v="40"/>
    <x v="0"/>
    <x v="8"/>
    <x v="3"/>
    <x v="80"/>
    <x v="11"/>
    <s v="M"/>
    <s v="Black"/>
    <s v="Fall"/>
    <n v="3.2"/>
    <x v="1"/>
    <x v="1"/>
    <x v="1"/>
    <x v="1"/>
    <n v="32"/>
    <x v="4"/>
    <x v="4"/>
    <x v="4"/>
  </r>
  <r>
    <n v="2183"/>
    <x v="32"/>
    <x v="0"/>
    <x v="0"/>
    <x v="0"/>
    <x v="54"/>
    <x v="35"/>
    <s v="M"/>
    <s v="Maroon"/>
    <s v="Winter"/>
    <n v="2.7"/>
    <x v="1"/>
    <x v="5"/>
    <x v="1"/>
    <x v="1"/>
    <n v="26"/>
    <x v="0"/>
    <x v="4"/>
    <x v="4"/>
  </r>
  <r>
    <n v="2184"/>
    <x v="11"/>
    <x v="0"/>
    <x v="6"/>
    <x v="0"/>
    <x v="18"/>
    <x v="23"/>
    <s v="M"/>
    <s v="Maroon"/>
    <s v="Spring"/>
    <n v="4.7"/>
    <x v="1"/>
    <x v="5"/>
    <x v="1"/>
    <x v="1"/>
    <n v="2"/>
    <x v="1"/>
    <x v="5"/>
    <x v="5"/>
  </r>
  <r>
    <n v="2185"/>
    <x v="21"/>
    <x v="0"/>
    <x v="9"/>
    <x v="1"/>
    <x v="7"/>
    <x v="22"/>
    <s v="S"/>
    <s v="Gold"/>
    <s v="Spring"/>
    <n v="3.2"/>
    <x v="1"/>
    <x v="1"/>
    <x v="1"/>
    <x v="1"/>
    <n v="16"/>
    <x v="3"/>
    <x v="6"/>
    <x v="3"/>
  </r>
  <r>
    <n v="2186"/>
    <x v="37"/>
    <x v="0"/>
    <x v="6"/>
    <x v="0"/>
    <x v="50"/>
    <x v="17"/>
    <s v="M"/>
    <s v="Violet"/>
    <s v="Winter"/>
    <n v="2.5"/>
    <x v="1"/>
    <x v="0"/>
    <x v="1"/>
    <x v="1"/>
    <n v="50"/>
    <x v="5"/>
    <x v="6"/>
    <x v="3"/>
  </r>
  <r>
    <n v="2187"/>
    <x v="0"/>
    <x v="0"/>
    <x v="3"/>
    <x v="1"/>
    <x v="66"/>
    <x v="35"/>
    <s v="XL"/>
    <s v="Teal"/>
    <s v="Winter"/>
    <n v="4.3"/>
    <x v="1"/>
    <x v="2"/>
    <x v="1"/>
    <x v="1"/>
    <n v="6"/>
    <x v="3"/>
    <x v="6"/>
    <x v="3"/>
  </r>
  <r>
    <n v="2188"/>
    <x v="43"/>
    <x v="0"/>
    <x v="0"/>
    <x v="0"/>
    <x v="72"/>
    <x v="37"/>
    <s v="M"/>
    <s v="Violet"/>
    <s v="Spring"/>
    <n v="4.4000000000000004"/>
    <x v="1"/>
    <x v="1"/>
    <x v="1"/>
    <x v="1"/>
    <n v="20"/>
    <x v="3"/>
    <x v="2"/>
    <x v="2"/>
  </r>
  <r>
    <n v="2189"/>
    <x v="38"/>
    <x v="0"/>
    <x v="7"/>
    <x v="2"/>
    <x v="36"/>
    <x v="18"/>
    <s v="M"/>
    <s v="Brown"/>
    <s v="Winter"/>
    <n v="4.7"/>
    <x v="1"/>
    <x v="2"/>
    <x v="1"/>
    <x v="1"/>
    <n v="9"/>
    <x v="2"/>
    <x v="1"/>
    <x v="1"/>
  </r>
  <r>
    <n v="2190"/>
    <x v="21"/>
    <x v="0"/>
    <x v="0"/>
    <x v="0"/>
    <x v="23"/>
    <x v="48"/>
    <s v="XL"/>
    <s v="Brown"/>
    <s v="Fall"/>
    <n v="4"/>
    <x v="1"/>
    <x v="0"/>
    <x v="1"/>
    <x v="1"/>
    <n v="47"/>
    <x v="2"/>
    <x v="4"/>
    <x v="4"/>
  </r>
  <r>
    <n v="2191"/>
    <x v="32"/>
    <x v="0"/>
    <x v="22"/>
    <x v="3"/>
    <x v="60"/>
    <x v="29"/>
    <s v="S"/>
    <s v="Maroon"/>
    <s v="Spring"/>
    <n v="4.5999999999999996"/>
    <x v="1"/>
    <x v="0"/>
    <x v="1"/>
    <x v="1"/>
    <n v="33"/>
    <x v="2"/>
    <x v="2"/>
    <x v="2"/>
  </r>
  <r>
    <n v="2192"/>
    <x v="8"/>
    <x v="0"/>
    <x v="0"/>
    <x v="0"/>
    <x v="28"/>
    <x v="38"/>
    <s v="S"/>
    <s v="Maroon"/>
    <s v="Summer"/>
    <n v="3.8"/>
    <x v="1"/>
    <x v="2"/>
    <x v="1"/>
    <x v="1"/>
    <n v="46"/>
    <x v="1"/>
    <x v="4"/>
    <x v="4"/>
  </r>
  <r>
    <n v="2193"/>
    <x v="38"/>
    <x v="0"/>
    <x v="18"/>
    <x v="3"/>
    <x v="59"/>
    <x v="41"/>
    <s v="L"/>
    <s v="Yellow"/>
    <s v="Winter"/>
    <n v="3.2"/>
    <x v="1"/>
    <x v="2"/>
    <x v="1"/>
    <x v="1"/>
    <n v="9"/>
    <x v="2"/>
    <x v="5"/>
    <x v="5"/>
  </r>
  <r>
    <n v="2194"/>
    <x v="7"/>
    <x v="0"/>
    <x v="5"/>
    <x v="0"/>
    <x v="72"/>
    <x v="18"/>
    <s v="L"/>
    <s v="Turquoise"/>
    <s v="Spring"/>
    <n v="5"/>
    <x v="1"/>
    <x v="0"/>
    <x v="1"/>
    <x v="1"/>
    <n v="8"/>
    <x v="3"/>
    <x v="5"/>
    <x v="5"/>
  </r>
  <r>
    <n v="2195"/>
    <x v="12"/>
    <x v="0"/>
    <x v="20"/>
    <x v="0"/>
    <x v="45"/>
    <x v="0"/>
    <s v="M"/>
    <s v="Silver"/>
    <s v="Summer"/>
    <n v="3.5"/>
    <x v="1"/>
    <x v="3"/>
    <x v="1"/>
    <x v="1"/>
    <n v="48"/>
    <x v="4"/>
    <x v="3"/>
    <x v="3"/>
  </r>
  <r>
    <n v="2196"/>
    <x v="44"/>
    <x v="0"/>
    <x v="2"/>
    <x v="0"/>
    <x v="17"/>
    <x v="14"/>
    <s v="M"/>
    <s v="Brown"/>
    <s v="Fall"/>
    <n v="3.7"/>
    <x v="1"/>
    <x v="2"/>
    <x v="1"/>
    <x v="1"/>
    <n v="2"/>
    <x v="1"/>
    <x v="5"/>
    <x v="5"/>
  </r>
  <r>
    <n v="2197"/>
    <x v="15"/>
    <x v="0"/>
    <x v="10"/>
    <x v="0"/>
    <x v="47"/>
    <x v="34"/>
    <s v="M"/>
    <s v="Gray"/>
    <s v="Spring"/>
    <n v="4.8"/>
    <x v="1"/>
    <x v="2"/>
    <x v="1"/>
    <x v="1"/>
    <n v="31"/>
    <x v="3"/>
    <x v="1"/>
    <x v="1"/>
  </r>
  <r>
    <n v="2198"/>
    <x v="23"/>
    <x v="0"/>
    <x v="23"/>
    <x v="1"/>
    <x v="19"/>
    <x v="38"/>
    <s v="M"/>
    <s v="Indigo"/>
    <s v="Summer"/>
    <n v="3.7"/>
    <x v="1"/>
    <x v="4"/>
    <x v="1"/>
    <x v="1"/>
    <n v="40"/>
    <x v="0"/>
    <x v="5"/>
    <x v="5"/>
  </r>
  <r>
    <n v="2199"/>
    <x v="9"/>
    <x v="0"/>
    <x v="18"/>
    <x v="3"/>
    <x v="68"/>
    <x v="14"/>
    <s v="L"/>
    <s v="Turquoise"/>
    <s v="Summer"/>
    <n v="3.5"/>
    <x v="1"/>
    <x v="1"/>
    <x v="1"/>
    <x v="1"/>
    <n v="35"/>
    <x v="0"/>
    <x v="5"/>
    <x v="5"/>
  </r>
  <r>
    <n v="2200"/>
    <x v="31"/>
    <x v="0"/>
    <x v="18"/>
    <x v="3"/>
    <x v="53"/>
    <x v="17"/>
    <s v="M"/>
    <s v="Maroon"/>
    <s v="Summer"/>
    <n v="4.9000000000000004"/>
    <x v="1"/>
    <x v="5"/>
    <x v="1"/>
    <x v="1"/>
    <n v="40"/>
    <x v="5"/>
    <x v="5"/>
    <x v="5"/>
  </r>
  <r>
    <n v="2201"/>
    <x v="52"/>
    <x v="0"/>
    <x v="24"/>
    <x v="3"/>
    <x v="12"/>
    <x v="5"/>
    <s v="L"/>
    <s v="Charcoal"/>
    <s v="Summer"/>
    <n v="4.7"/>
    <x v="1"/>
    <x v="2"/>
    <x v="1"/>
    <x v="1"/>
    <n v="27"/>
    <x v="5"/>
    <x v="6"/>
    <x v="3"/>
  </r>
  <r>
    <n v="2202"/>
    <x v="31"/>
    <x v="0"/>
    <x v="13"/>
    <x v="0"/>
    <x v="21"/>
    <x v="31"/>
    <s v="L"/>
    <s v="Peach"/>
    <s v="Spring"/>
    <n v="4.9000000000000004"/>
    <x v="1"/>
    <x v="4"/>
    <x v="1"/>
    <x v="1"/>
    <n v="10"/>
    <x v="0"/>
    <x v="2"/>
    <x v="2"/>
  </r>
  <r>
    <n v="2203"/>
    <x v="32"/>
    <x v="0"/>
    <x v="10"/>
    <x v="0"/>
    <x v="14"/>
    <x v="15"/>
    <s v="M"/>
    <s v="Red"/>
    <s v="Summer"/>
    <n v="4.3"/>
    <x v="1"/>
    <x v="2"/>
    <x v="1"/>
    <x v="1"/>
    <n v="23"/>
    <x v="2"/>
    <x v="1"/>
    <x v="1"/>
  </r>
  <r>
    <n v="2204"/>
    <x v="10"/>
    <x v="0"/>
    <x v="10"/>
    <x v="0"/>
    <x v="24"/>
    <x v="3"/>
    <s v="M"/>
    <s v="Indigo"/>
    <s v="Winter"/>
    <n v="3.1"/>
    <x v="1"/>
    <x v="1"/>
    <x v="1"/>
    <x v="1"/>
    <n v="32"/>
    <x v="1"/>
    <x v="3"/>
    <x v="3"/>
  </r>
  <r>
    <n v="2205"/>
    <x v="30"/>
    <x v="0"/>
    <x v="2"/>
    <x v="0"/>
    <x v="52"/>
    <x v="4"/>
    <s v="S"/>
    <s v="Lavender"/>
    <s v="Winter"/>
    <n v="3.4"/>
    <x v="1"/>
    <x v="4"/>
    <x v="1"/>
    <x v="1"/>
    <n v="6"/>
    <x v="5"/>
    <x v="5"/>
    <x v="5"/>
  </r>
  <r>
    <n v="2206"/>
    <x v="5"/>
    <x v="0"/>
    <x v="1"/>
    <x v="0"/>
    <x v="10"/>
    <x v="25"/>
    <s v="XL"/>
    <s v="Red"/>
    <s v="Fall"/>
    <n v="2.7"/>
    <x v="1"/>
    <x v="0"/>
    <x v="1"/>
    <x v="1"/>
    <n v="27"/>
    <x v="3"/>
    <x v="1"/>
    <x v="1"/>
  </r>
  <r>
    <n v="2207"/>
    <x v="5"/>
    <x v="0"/>
    <x v="3"/>
    <x v="1"/>
    <x v="12"/>
    <x v="26"/>
    <s v="L"/>
    <s v="Green"/>
    <s v="Spring"/>
    <n v="2.6"/>
    <x v="1"/>
    <x v="5"/>
    <x v="1"/>
    <x v="1"/>
    <n v="25"/>
    <x v="4"/>
    <x v="0"/>
    <x v="0"/>
  </r>
  <r>
    <n v="2208"/>
    <x v="28"/>
    <x v="0"/>
    <x v="8"/>
    <x v="3"/>
    <x v="15"/>
    <x v="35"/>
    <s v="M"/>
    <s v="Gray"/>
    <s v="Fall"/>
    <n v="2.9"/>
    <x v="1"/>
    <x v="2"/>
    <x v="1"/>
    <x v="1"/>
    <n v="11"/>
    <x v="2"/>
    <x v="2"/>
    <x v="2"/>
  </r>
  <r>
    <n v="2209"/>
    <x v="48"/>
    <x v="0"/>
    <x v="18"/>
    <x v="3"/>
    <x v="43"/>
    <x v="24"/>
    <s v="XL"/>
    <s v="Violet"/>
    <s v="Summer"/>
    <n v="2.7"/>
    <x v="1"/>
    <x v="4"/>
    <x v="1"/>
    <x v="1"/>
    <n v="23"/>
    <x v="3"/>
    <x v="5"/>
    <x v="5"/>
  </r>
  <r>
    <n v="2210"/>
    <x v="32"/>
    <x v="0"/>
    <x v="3"/>
    <x v="1"/>
    <x v="5"/>
    <x v="40"/>
    <s v="XL"/>
    <s v="Beige"/>
    <s v="Summer"/>
    <n v="4.5"/>
    <x v="1"/>
    <x v="4"/>
    <x v="1"/>
    <x v="1"/>
    <n v="44"/>
    <x v="4"/>
    <x v="3"/>
    <x v="3"/>
  </r>
  <r>
    <n v="2211"/>
    <x v="11"/>
    <x v="0"/>
    <x v="12"/>
    <x v="3"/>
    <x v="21"/>
    <x v="41"/>
    <s v="M"/>
    <s v="Orange"/>
    <s v="Summer"/>
    <n v="3.1"/>
    <x v="1"/>
    <x v="5"/>
    <x v="1"/>
    <x v="1"/>
    <n v="35"/>
    <x v="3"/>
    <x v="0"/>
    <x v="0"/>
  </r>
  <r>
    <n v="2212"/>
    <x v="2"/>
    <x v="0"/>
    <x v="1"/>
    <x v="0"/>
    <x v="58"/>
    <x v="1"/>
    <s v="L"/>
    <s v="Purple"/>
    <s v="Winter"/>
    <n v="3.2"/>
    <x v="1"/>
    <x v="1"/>
    <x v="1"/>
    <x v="1"/>
    <n v="45"/>
    <x v="5"/>
    <x v="6"/>
    <x v="3"/>
  </r>
  <r>
    <n v="2213"/>
    <x v="35"/>
    <x v="0"/>
    <x v="13"/>
    <x v="0"/>
    <x v="64"/>
    <x v="43"/>
    <s v="M"/>
    <s v="Brown"/>
    <s v="Winter"/>
    <n v="3.3"/>
    <x v="1"/>
    <x v="2"/>
    <x v="1"/>
    <x v="1"/>
    <n v="22"/>
    <x v="4"/>
    <x v="3"/>
    <x v="3"/>
  </r>
  <r>
    <n v="2214"/>
    <x v="22"/>
    <x v="0"/>
    <x v="19"/>
    <x v="3"/>
    <x v="23"/>
    <x v="11"/>
    <s v="M"/>
    <s v="Maroon"/>
    <s v="Fall"/>
    <n v="2.9"/>
    <x v="1"/>
    <x v="0"/>
    <x v="1"/>
    <x v="1"/>
    <n v="18"/>
    <x v="5"/>
    <x v="3"/>
    <x v="3"/>
  </r>
  <r>
    <n v="2215"/>
    <x v="2"/>
    <x v="0"/>
    <x v="22"/>
    <x v="3"/>
    <x v="33"/>
    <x v="37"/>
    <s v="L"/>
    <s v="Gold"/>
    <s v="Fall"/>
    <n v="4.0999999999999996"/>
    <x v="1"/>
    <x v="3"/>
    <x v="1"/>
    <x v="1"/>
    <n v="20"/>
    <x v="5"/>
    <x v="1"/>
    <x v="1"/>
  </r>
  <r>
    <n v="2216"/>
    <x v="15"/>
    <x v="0"/>
    <x v="3"/>
    <x v="1"/>
    <x v="48"/>
    <x v="8"/>
    <s v="M"/>
    <s v="Indigo"/>
    <s v="Winter"/>
    <n v="2.7"/>
    <x v="1"/>
    <x v="0"/>
    <x v="1"/>
    <x v="1"/>
    <n v="28"/>
    <x v="2"/>
    <x v="0"/>
    <x v="0"/>
  </r>
  <r>
    <n v="2217"/>
    <x v="38"/>
    <x v="0"/>
    <x v="13"/>
    <x v="0"/>
    <x v="14"/>
    <x v="34"/>
    <s v="XL"/>
    <s v="Silver"/>
    <s v="Winter"/>
    <n v="4"/>
    <x v="1"/>
    <x v="5"/>
    <x v="1"/>
    <x v="1"/>
    <n v="15"/>
    <x v="0"/>
    <x v="4"/>
    <x v="4"/>
  </r>
  <r>
    <n v="2218"/>
    <x v="25"/>
    <x v="0"/>
    <x v="16"/>
    <x v="3"/>
    <x v="65"/>
    <x v="27"/>
    <s v="XL"/>
    <s v="Red"/>
    <s v="Fall"/>
    <n v="2.6"/>
    <x v="1"/>
    <x v="5"/>
    <x v="1"/>
    <x v="1"/>
    <n v="42"/>
    <x v="4"/>
    <x v="0"/>
    <x v="0"/>
  </r>
  <r>
    <n v="2219"/>
    <x v="29"/>
    <x v="0"/>
    <x v="12"/>
    <x v="3"/>
    <x v="25"/>
    <x v="37"/>
    <s v="M"/>
    <s v="Magenta"/>
    <s v="Winter"/>
    <n v="3.5"/>
    <x v="1"/>
    <x v="5"/>
    <x v="1"/>
    <x v="1"/>
    <n v="20"/>
    <x v="5"/>
    <x v="3"/>
    <x v="3"/>
  </r>
  <r>
    <n v="2220"/>
    <x v="23"/>
    <x v="0"/>
    <x v="0"/>
    <x v="0"/>
    <x v="26"/>
    <x v="46"/>
    <s v="S"/>
    <s v="Purple"/>
    <s v="Fall"/>
    <n v="2.8"/>
    <x v="1"/>
    <x v="5"/>
    <x v="1"/>
    <x v="1"/>
    <n v="16"/>
    <x v="4"/>
    <x v="0"/>
    <x v="0"/>
  </r>
  <r>
    <n v="2221"/>
    <x v="1"/>
    <x v="0"/>
    <x v="22"/>
    <x v="3"/>
    <x v="17"/>
    <x v="5"/>
    <s v="XL"/>
    <s v="Beige"/>
    <s v="Fall"/>
    <n v="4.5"/>
    <x v="1"/>
    <x v="5"/>
    <x v="1"/>
    <x v="1"/>
    <n v="47"/>
    <x v="1"/>
    <x v="2"/>
    <x v="2"/>
  </r>
  <r>
    <n v="2222"/>
    <x v="15"/>
    <x v="0"/>
    <x v="6"/>
    <x v="0"/>
    <x v="19"/>
    <x v="23"/>
    <s v="XL"/>
    <s v="White"/>
    <s v="Fall"/>
    <n v="3"/>
    <x v="1"/>
    <x v="1"/>
    <x v="1"/>
    <x v="1"/>
    <n v="34"/>
    <x v="2"/>
    <x v="2"/>
    <x v="2"/>
  </r>
  <r>
    <n v="2223"/>
    <x v="45"/>
    <x v="0"/>
    <x v="13"/>
    <x v="0"/>
    <x v="76"/>
    <x v="42"/>
    <s v="M"/>
    <s v="Teal"/>
    <s v="Summer"/>
    <n v="4.4000000000000004"/>
    <x v="1"/>
    <x v="5"/>
    <x v="1"/>
    <x v="1"/>
    <n v="30"/>
    <x v="2"/>
    <x v="1"/>
    <x v="1"/>
  </r>
  <r>
    <n v="2224"/>
    <x v="11"/>
    <x v="0"/>
    <x v="3"/>
    <x v="1"/>
    <x v="61"/>
    <x v="23"/>
    <s v="M"/>
    <s v="Gray"/>
    <s v="Fall"/>
    <n v="4.7"/>
    <x v="1"/>
    <x v="2"/>
    <x v="1"/>
    <x v="1"/>
    <n v="5"/>
    <x v="3"/>
    <x v="3"/>
    <x v="3"/>
  </r>
  <r>
    <n v="2225"/>
    <x v="20"/>
    <x v="0"/>
    <x v="24"/>
    <x v="3"/>
    <x v="21"/>
    <x v="43"/>
    <s v="L"/>
    <s v="Charcoal"/>
    <s v="Winter"/>
    <n v="4.3"/>
    <x v="1"/>
    <x v="3"/>
    <x v="1"/>
    <x v="1"/>
    <n v="38"/>
    <x v="1"/>
    <x v="3"/>
    <x v="3"/>
  </r>
  <r>
    <n v="2226"/>
    <x v="21"/>
    <x v="0"/>
    <x v="22"/>
    <x v="3"/>
    <x v="1"/>
    <x v="47"/>
    <s v="S"/>
    <s v="Olive"/>
    <s v="Spring"/>
    <n v="4.8"/>
    <x v="1"/>
    <x v="1"/>
    <x v="1"/>
    <x v="1"/>
    <n v="18"/>
    <x v="2"/>
    <x v="2"/>
    <x v="2"/>
  </r>
  <r>
    <n v="2227"/>
    <x v="40"/>
    <x v="0"/>
    <x v="5"/>
    <x v="0"/>
    <x v="11"/>
    <x v="9"/>
    <s v="L"/>
    <s v="Blue"/>
    <s v="Spring"/>
    <n v="4.8"/>
    <x v="1"/>
    <x v="5"/>
    <x v="1"/>
    <x v="1"/>
    <n v="28"/>
    <x v="1"/>
    <x v="2"/>
    <x v="2"/>
  </r>
  <r>
    <n v="2228"/>
    <x v="37"/>
    <x v="0"/>
    <x v="18"/>
    <x v="3"/>
    <x v="67"/>
    <x v="47"/>
    <s v="S"/>
    <s v="Gray"/>
    <s v="Summer"/>
    <n v="4.4000000000000004"/>
    <x v="1"/>
    <x v="2"/>
    <x v="1"/>
    <x v="1"/>
    <n v="42"/>
    <x v="2"/>
    <x v="0"/>
    <x v="0"/>
  </r>
  <r>
    <n v="2229"/>
    <x v="22"/>
    <x v="0"/>
    <x v="24"/>
    <x v="3"/>
    <x v="74"/>
    <x v="23"/>
    <s v="M"/>
    <s v="Green"/>
    <s v="Fall"/>
    <n v="3.7"/>
    <x v="1"/>
    <x v="1"/>
    <x v="1"/>
    <x v="1"/>
    <n v="5"/>
    <x v="2"/>
    <x v="1"/>
    <x v="1"/>
  </r>
  <r>
    <n v="2230"/>
    <x v="27"/>
    <x v="0"/>
    <x v="13"/>
    <x v="0"/>
    <x v="8"/>
    <x v="46"/>
    <s v="M"/>
    <s v="Silver"/>
    <s v="Fall"/>
    <n v="3.9"/>
    <x v="1"/>
    <x v="0"/>
    <x v="1"/>
    <x v="1"/>
    <n v="50"/>
    <x v="0"/>
    <x v="5"/>
    <x v="5"/>
  </r>
  <r>
    <n v="2231"/>
    <x v="16"/>
    <x v="0"/>
    <x v="4"/>
    <x v="1"/>
    <x v="14"/>
    <x v="24"/>
    <s v="S"/>
    <s v="Teal"/>
    <s v="Spring"/>
    <n v="3.8"/>
    <x v="1"/>
    <x v="0"/>
    <x v="1"/>
    <x v="1"/>
    <n v="33"/>
    <x v="0"/>
    <x v="0"/>
    <x v="0"/>
  </r>
  <r>
    <n v="2232"/>
    <x v="50"/>
    <x v="0"/>
    <x v="14"/>
    <x v="2"/>
    <x v="4"/>
    <x v="40"/>
    <s v="M"/>
    <s v="Beige"/>
    <s v="Fall"/>
    <n v="4.0999999999999996"/>
    <x v="1"/>
    <x v="5"/>
    <x v="1"/>
    <x v="1"/>
    <n v="1"/>
    <x v="2"/>
    <x v="1"/>
    <x v="1"/>
  </r>
  <r>
    <n v="2233"/>
    <x v="13"/>
    <x v="0"/>
    <x v="9"/>
    <x v="1"/>
    <x v="1"/>
    <x v="17"/>
    <s v="L"/>
    <s v="Lavender"/>
    <s v="Spring"/>
    <n v="4"/>
    <x v="1"/>
    <x v="5"/>
    <x v="1"/>
    <x v="1"/>
    <n v="14"/>
    <x v="1"/>
    <x v="0"/>
    <x v="0"/>
  </r>
  <r>
    <n v="2234"/>
    <x v="21"/>
    <x v="0"/>
    <x v="0"/>
    <x v="0"/>
    <x v="9"/>
    <x v="20"/>
    <s v="XL"/>
    <s v="Gray"/>
    <s v="Summer"/>
    <n v="4.5"/>
    <x v="1"/>
    <x v="0"/>
    <x v="1"/>
    <x v="1"/>
    <n v="48"/>
    <x v="2"/>
    <x v="5"/>
    <x v="5"/>
  </r>
  <r>
    <n v="2235"/>
    <x v="25"/>
    <x v="0"/>
    <x v="23"/>
    <x v="1"/>
    <x v="76"/>
    <x v="13"/>
    <s v="S"/>
    <s v="Yellow"/>
    <s v="Winter"/>
    <n v="4"/>
    <x v="1"/>
    <x v="0"/>
    <x v="1"/>
    <x v="1"/>
    <n v="26"/>
    <x v="1"/>
    <x v="1"/>
    <x v="1"/>
  </r>
  <r>
    <n v="2236"/>
    <x v="37"/>
    <x v="0"/>
    <x v="20"/>
    <x v="0"/>
    <x v="71"/>
    <x v="26"/>
    <s v="M"/>
    <s v="Gray"/>
    <s v="Spring"/>
    <n v="4.5"/>
    <x v="1"/>
    <x v="4"/>
    <x v="1"/>
    <x v="1"/>
    <n v="44"/>
    <x v="2"/>
    <x v="2"/>
    <x v="2"/>
  </r>
  <r>
    <n v="2237"/>
    <x v="51"/>
    <x v="0"/>
    <x v="17"/>
    <x v="0"/>
    <x v="19"/>
    <x v="7"/>
    <s v="M"/>
    <s v="Yellow"/>
    <s v="Winter"/>
    <n v="2.7"/>
    <x v="1"/>
    <x v="3"/>
    <x v="1"/>
    <x v="1"/>
    <n v="18"/>
    <x v="5"/>
    <x v="0"/>
    <x v="0"/>
  </r>
  <r>
    <n v="2238"/>
    <x v="4"/>
    <x v="0"/>
    <x v="3"/>
    <x v="1"/>
    <x v="7"/>
    <x v="15"/>
    <s v="S"/>
    <s v="Black"/>
    <s v="Summer"/>
    <n v="3.8"/>
    <x v="1"/>
    <x v="2"/>
    <x v="1"/>
    <x v="1"/>
    <n v="31"/>
    <x v="0"/>
    <x v="6"/>
    <x v="3"/>
  </r>
  <r>
    <n v="2239"/>
    <x v="37"/>
    <x v="0"/>
    <x v="4"/>
    <x v="1"/>
    <x v="63"/>
    <x v="20"/>
    <s v="L"/>
    <s v="Beige"/>
    <s v="Winter"/>
    <n v="3.8"/>
    <x v="1"/>
    <x v="3"/>
    <x v="1"/>
    <x v="1"/>
    <n v="18"/>
    <x v="5"/>
    <x v="1"/>
    <x v="1"/>
  </r>
  <r>
    <n v="2240"/>
    <x v="32"/>
    <x v="0"/>
    <x v="16"/>
    <x v="3"/>
    <x v="48"/>
    <x v="15"/>
    <s v="L"/>
    <s v="Indigo"/>
    <s v="Summer"/>
    <n v="3.8"/>
    <x v="1"/>
    <x v="4"/>
    <x v="1"/>
    <x v="1"/>
    <n v="41"/>
    <x v="2"/>
    <x v="6"/>
    <x v="3"/>
  </r>
  <r>
    <n v="2241"/>
    <x v="9"/>
    <x v="0"/>
    <x v="3"/>
    <x v="1"/>
    <x v="79"/>
    <x v="18"/>
    <s v="L"/>
    <s v="Green"/>
    <s v="Winter"/>
    <n v="4.3"/>
    <x v="1"/>
    <x v="2"/>
    <x v="1"/>
    <x v="1"/>
    <n v="18"/>
    <x v="5"/>
    <x v="6"/>
    <x v="3"/>
  </r>
  <r>
    <n v="2242"/>
    <x v="20"/>
    <x v="0"/>
    <x v="14"/>
    <x v="2"/>
    <x v="64"/>
    <x v="33"/>
    <s v="M"/>
    <s v="Purple"/>
    <s v="Summer"/>
    <n v="3.5"/>
    <x v="1"/>
    <x v="1"/>
    <x v="1"/>
    <x v="1"/>
    <n v="3"/>
    <x v="4"/>
    <x v="4"/>
    <x v="4"/>
  </r>
  <r>
    <n v="2243"/>
    <x v="20"/>
    <x v="0"/>
    <x v="11"/>
    <x v="0"/>
    <x v="76"/>
    <x v="22"/>
    <s v="M"/>
    <s v="Orange"/>
    <s v="Spring"/>
    <n v="3.8"/>
    <x v="1"/>
    <x v="2"/>
    <x v="1"/>
    <x v="1"/>
    <n v="5"/>
    <x v="2"/>
    <x v="4"/>
    <x v="4"/>
  </r>
  <r>
    <n v="2244"/>
    <x v="19"/>
    <x v="0"/>
    <x v="5"/>
    <x v="0"/>
    <x v="34"/>
    <x v="2"/>
    <s v="M"/>
    <s v="Teal"/>
    <s v="Winter"/>
    <n v="3.7"/>
    <x v="1"/>
    <x v="4"/>
    <x v="1"/>
    <x v="1"/>
    <n v="13"/>
    <x v="5"/>
    <x v="2"/>
    <x v="2"/>
  </r>
  <r>
    <n v="2245"/>
    <x v="25"/>
    <x v="0"/>
    <x v="6"/>
    <x v="0"/>
    <x v="18"/>
    <x v="36"/>
    <s v="M"/>
    <s v="Gold"/>
    <s v="Summer"/>
    <n v="4.8"/>
    <x v="1"/>
    <x v="4"/>
    <x v="1"/>
    <x v="1"/>
    <n v="22"/>
    <x v="3"/>
    <x v="2"/>
    <x v="2"/>
  </r>
  <r>
    <n v="2246"/>
    <x v="34"/>
    <x v="0"/>
    <x v="20"/>
    <x v="0"/>
    <x v="3"/>
    <x v="12"/>
    <s v="L"/>
    <s v="Gray"/>
    <s v="Fall"/>
    <n v="4.9000000000000004"/>
    <x v="1"/>
    <x v="1"/>
    <x v="1"/>
    <x v="1"/>
    <n v="45"/>
    <x v="3"/>
    <x v="0"/>
    <x v="0"/>
  </r>
  <r>
    <n v="2247"/>
    <x v="34"/>
    <x v="0"/>
    <x v="14"/>
    <x v="2"/>
    <x v="48"/>
    <x v="11"/>
    <s v="M"/>
    <s v="Cyan"/>
    <s v="Fall"/>
    <n v="4.3"/>
    <x v="1"/>
    <x v="5"/>
    <x v="1"/>
    <x v="1"/>
    <n v="39"/>
    <x v="3"/>
    <x v="6"/>
    <x v="3"/>
  </r>
  <r>
    <n v="2248"/>
    <x v="50"/>
    <x v="0"/>
    <x v="16"/>
    <x v="3"/>
    <x v="18"/>
    <x v="20"/>
    <s v="L"/>
    <s v="Teal"/>
    <s v="Summer"/>
    <n v="4.4000000000000004"/>
    <x v="1"/>
    <x v="2"/>
    <x v="1"/>
    <x v="1"/>
    <n v="18"/>
    <x v="0"/>
    <x v="2"/>
    <x v="2"/>
  </r>
  <r>
    <n v="2249"/>
    <x v="6"/>
    <x v="0"/>
    <x v="17"/>
    <x v="0"/>
    <x v="76"/>
    <x v="3"/>
    <s v="M"/>
    <s v="Violet"/>
    <s v="Winter"/>
    <n v="3.4"/>
    <x v="1"/>
    <x v="1"/>
    <x v="1"/>
    <x v="1"/>
    <n v="19"/>
    <x v="3"/>
    <x v="0"/>
    <x v="0"/>
  </r>
  <r>
    <n v="2250"/>
    <x v="32"/>
    <x v="0"/>
    <x v="24"/>
    <x v="3"/>
    <x v="29"/>
    <x v="5"/>
    <s v="XL"/>
    <s v="Indigo"/>
    <s v="Spring"/>
    <n v="4.3"/>
    <x v="1"/>
    <x v="2"/>
    <x v="1"/>
    <x v="1"/>
    <n v="29"/>
    <x v="5"/>
    <x v="1"/>
    <x v="1"/>
  </r>
  <r>
    <n v="2251"/>
    <x v="38"/>
    <x v="0"/>
    <x v="9"/>
    <x v="1"/>
    <x v="58"/>
    <x v="24"/>
    <s v="L"/>
    <s v="Pink"/>
    <s v="Summer"/>
    <n v="4.5999999999999996"/>
    <x v="1"/>
    <x v="5"/>
    <x v="1"/>
    <x v="1"/>
    <n v="19"/>
    <x v="2"/>
    <x v="1"/>
    <x v="1"/>
  </r>
  <r>
    <n v="2252"/>
    <x v="8"/>
    <x v="0"/>
    <x v="9"/>
    <x v="1"/>
    <x v="23"/>
    <x v="41"/>
    <s v="L"/>
    <s v="Gold"/>
    <s v="Fall"/>
    <n v="3.8"/>
    <x v="1"/>
    <x v="1"/>
    <x v="1"/>
    <x v="1"/>
    <n v="22"/>
    <x v="5"/>
    <x v="5"/>
    <x v="5"/>
  </r>
  <r>
    <n v="2253"/>
    <x v="39"/>
    <x v="0"/>
    <x v="9"/>
    <x v="1"/>
    <x v="48"/>
    <x v="43"/>
    <s v="S"/>
    <s v="Maroon"/>
    <s v="Summer"/>
    <n v="3.9"/>
    <x v="1"/>
    <x v="0"/>
    <x v="1"/>
    <x v="1"/>
    <n v="21"/>
    <x v="4"/>
    <x v="2"/>
    <x v="2"/>
  </r>
  <r>
    <n v="2254"/>
    <x v="46"/>
    <x v="0"/>
    <x v="15"/>
    <x v="0"/>
    <x v="9"/>
    <x v="19"/>
    <s v="M"/>
    <s v="Brown"/>
    <s v="Spring"/>
    <n v="2.6"/>
    <x v="1"/>
    <x v="5"/>
    <x v="1"/>
    <x v="1"/>
    <n v="22"/>
    <x v="3"/>
    <x v="5"/>
    <x v="5"/>
  </r>
  <r>
    <n v="2255"/>
    <x v="41"/>
    <x v="0"/>
    <x v="22"/>
    <x v="3"/>
    <x v="24"/>
    <x v="25"/>
    <s v="M"/>
    <s v="Gold"/>
    <s v="Winter"/>
    <n v="4.2"/>
    <x v="1"/>
    <x v="5"/>
    <x v="1"/>
    <x v="1"/>
    <n v="44"/>
    <x v="3"/>
    <x v="6"/>
    <x v="3"/>
  </r>
  <r>
    <n v="2256"/>
    <x v="39"/>
    <x v="0"/>
    <x v="7"/>
    <x v="2"/>
    <x v="32"/>
    <x v="49"/>
    <s v="L"/>
    <s v="Teal"/>
    <s v="Spring"/>
    <n v="4.5999999999999996"/>
    <x v="1"/>
    <x v="5"/>
    <x v="1"/>
    <x v="1"/>
    <n v="42"/>
    <x v="4"/>
    <x v="3"/>
    <x v="3"/>
  </r>
  <r>
    <n v="2257"/>
    <x v="18"/>
    <x v="0"/>
    <x v="0"/>
    <x v="0"/>
    <x v="20"/>
    <x v="18"/>
    <s v="M"/>
    <s v="Turquoise"/>
    <s v="Fall"/>
    <n v="5"/>
    <x v="1"/>
    <x v="3"/>
    <x v="1"/>
    <x v="1"/>
    <n v="33"/>
    <x v="2"/>
    <x v="3"/>
    <x v="3"/>
  </r>
  <r>
    <n v="2258"/>
    <x v="38"/>
    <x v="0"/>
    <x v="11"/>
    <x v="0"/>
    <x v="50"/>
    <x v="30"/>
    <s v="L"/>
    <s v="Olive"/>
    <s v="Fall"/>
    <n v="4.2"/>
    <x v="1"/>
    <x v="3"/>
    <x v="1"/>
    <x v="1"/>
    <n v="6"/>
    <x v="4"/>
    <x v="2"/>
    <x v="2"/>
  </r>
  <r>
    <n v="2259"/>
    <x v="41"/>
    <x v="0"/>
    <x v="17"/>
    <x v="0"/>
    <x v="79"/>
    <x v="31"/>
    <s v="L"/>
    <s v="Cyan"/>
    <s v="Winter"/>
    <n v="4.3"/>
    <x v="1"/>
    <x v="5"/>
    <x v="1"/>
    <x v="1"/>
    <n v="44"/>
    <x v="2"/>
    <x v="6"/>
    <x v="3"/>
  </r>
  <r>
    <n v="2260"/>
    <x v="52"/>
    <x v="0"/>
    <x v="2"/>
    <x v="0"/>
    <x v="48"/>
    <x v="20"/>
    <s v="XL"/>
    <s v="Beige"/>
    <s v="Spring"/>
    <n v="3.3"/>
    <x v="1"/>
    <x v="1"/>
    <x v="1"/>
    <x v="1"/>
    <n v="24"/>
    <x v="1"/>
    <x v="2"/>
    <x v="2"/>
  </r>
  <r>
    <n v="2261"/>
    <x v="21"/>
    <x v="0"/>
    <x v="18"/>
    <x v="3"/>
    <x v="71"/>
    <x v="9"/>
    <s v="M"/>
    <s v="Blue"/>
    <s v="Fall"/>
    <n v="4.9000000000000004"/>
    <x v="1"/>
    <x v="0"/>
    <x v="1"/>
    <x v="1"/>
    <n v="16"/>
    <x v="3"/>
    <x v="3"/>
    <x v="3"/>
  </r>
  <r>
    <n v="2262"/>
    <x v="44"/>
    <x v="0"/>
    <x v="21"/>
    <x v="3"/>
    <x v="31"/>
    <x v="36"/>
    <s v="L"/>
    <s v="Gold"/>
    <s v="Spring"/>
    <n v="4.4000000000000004"/>
    <x v="1"/>
    <x v="3"/>
    <x v="1"/>
    <x v="1"/>
    <n v="12"/>
    <x v="4"/>
    <x v="0"/>
    <x v="0"/>
  </r>
  <r>
    <n v="2263"/>
    <x v="10"/>
    <x v="0"/>
    <x v="21"/>
    <x v="3"/>
    <x v="20"/>
    <x v="28"/>
    <s v="M"/>
    <s v="Green"/>
    <s v="Winter"/>
    <n v="3.1"/>
    <x v="1"/>
    <x v="4"/>
    <x v="1"/>
    <x v="1"/>
    <n v="50"/>
    <x v="3"/>
    <x v="5"/>
    <x v="5"/>
  </r>
  <r>
    <n v="2264"/>
    <x v="42"/>
    <x v="0"/>
    <x v="18"/>
    <x v="3"/>
    <x v="49"/>
    <x v="27"/>
    <s v="XL"/>
    <s v="Green"/>
    <s v="Winter"/>
    <n v="3.5"/>
    <x v="1"/>
    <x v="5"/>
    <x v="1"/>
    <x v="1"/>
    <n v="42"/>
    <x v="1"/>
    <x v="3"/>
    <x v="3"/>
  </r>
  <r>
    <n v="2265"/>
    <x v="47"/>
    <x v="0"/>
    <x v="19"/>
    <x v="3"/>
    <x v="56"/>
    <x v="25"/>
    <s v="M"/>
    <s v="Turquoise"/>
    <s v="Summer"/>
    <n v="3.9"/>
    <x v="1"/>
    <x v="4"/>
    <x v="1"/>
    <x v="1"/>
    <n v="50"/>
    <x v="3"/>
    <x v="5"/>
    <x v="5"/>
  </r>
  <r>
    <n v="2266"/>
    <x v="24"/>
    <x v="0"/>
    <x v="7"/>
    <x v="2"/>
    <x v="23"/>
    <x v="6"/>
    <s v="XL"/>
    <s v="Yellow"/>
    <s v="Fall"/>
    <n v="3.9"/>
    <x v="1"/>
    <x v="5"/>
    <x v="1"/>
    <x v="1"/>
    <n v="10"/>
    <x v="3"/>
    <x v="3"/>
    <x v="3"/>
  </r>
  <r>
    <n v="2267"/>
    <x v="30"/>
    <x v="0"/>
    <x v="10"/>
    <x v="0"/>
    <x v="77"/>
    <x v="9"/>
    <s v="M"/>
    <s v="Yellow"/>
    <s v="Fall"/>
    <n v="4.3"/>
    <x v="1"/>
    <x v="5"/>
    <x v="1"/>
    <x v="1"/>
    <n v="32"/>
    <x v="5"/>
    <x v="1"/>
    <x v="1"/>
  </r>
  <r>
    <n v="2268"/>
    <x v="45"/>
    <x v="0"/>
    <x v="24"/>
    <x v="3"/>
    <x v="4"/>
    <x v="0"/>
    <s v="S"/>
    <s v="Blue"/>
    <s v="Spring"/>
    <n v="3.8"/>
    <x v="1"/>
    <x v="0"/>
    <x v="1"/>
    <x v="1"/>
    <n v="37"/>
    <x v="0"/>
    <x v="1"/>
    <x v="1"/>
  </r>
  <r>
    <n v="2269"/>
    <x v="17"/>
    <x v="0"/>
    <x v="1"/>
    <x v="0"/>
    <x v="46"/>
    <x v="42"/>
    <s v="L"/>
    <s v="Charcoal"/>
    <s v="Spring"/>
    <n v="2.7"/>
    <x v="1"/>
    <x v="4"/>
    <x v="1"/>
    <x v="1"/>
    <n v="15"/>
    <x v="4"/>
    <x v="5"/>
    <x v="5"/>
  </r>
  <r>
    <n v="2270"/>
    <x v="34"/>
    <x v="0"/>
    <x v="11"/>
    <x v="0"/>
    <x v="15"/>
    <x v="0"/>
    <s v="M"/>
    <s v="Yellow"/>
    <s v="Fall"/>
    <n v="4.4000000000000004"/>
    <x v="1"/>
    <x v="5"/>
    <x v="1"/>
    <x v="1"/>
    <n v="27"/>
    <x v="2"/>
    <x v="2"/>
    <x v="2"/>
  </r>
  <r>
    <n v="2271"/>
    <x v="7"/>
    <x v="0"/>
    <x v="0"/>
    <x v="0"/>
    <x v="11"/>
    <x v="42"/>
    <s v="L"/>
    <s v="Purple"/>
    <s v="Spring"/>
    <n v="3.5"/>
    <x v="1"/>
    <x v="0"/>
    <x v="1"/>
    <x v="1"/>
    <n v="7"/>
    <x v="0"/>
    <x v="1"/>
    <x v="1"/>
  </r>
  <r>
    <n v="2272"/>
    <x v="26"/>
    <x v="0"/>
    <x v="10"/>
    <x v="0"/>
    <x v="54"/>
    <x v="29"/>
    <s v="M"/>
    <s v="Green"/>
    <s v="Summer"/>
    <n v="3.4"/>
    <x v="1"/>
    <x v="1"/>
    <x v="1"/>
    <x v="1"/>
    <n v="49"/>
    <x v="3"/>
    <x v="3"/>
    <x v="3"/>
  </r>
  <r>
    <n v="2273"/>
    <x v="26"/>
    <x v="0"/>
    <x v="14"/>
    <x v="2"/>
    <x v="15"/>
    <x v="1"/>
    <s v="L"/>
    <s v="Charcoal"/>
    <s v="Spring"/>
    <n v="4"/>
    <x v="1"/>
    <x v="3"/>
    <x v="1"/>
    <x v="1"/>
    <n v="44"/>
    <x v="3"/>
    <x v="5"/>
    <x v="5"/>
  </r>
  <r>
    <n v="2274"/>
    <x v="0"/>
    <x v="0"/>
    <x v="7"/>
    <x v="2"/>
    <x v="48"/>
    <x v="35"/>
    <s v="L"/>
    <s v="Silver"/>
    <s v="Winter"/>
    <n v="4.8"/>
    <x v="1"/>
    <x v="0"/>
    <x v="1"/>
    <x v="1"/>
    <n v="13"/>
    <x v="3"/>
    <x v="4"/>
    <x v="4"/>
  </r>
  <r>
    <n v="2275"/>
    <x v="9"/>
    <x v="0"/>
    <x v="10"/>
    <x v="0"/>
    <x v="65"/>
    <x v="14"/>
    <s v="L"/>
    <s v="Turquoise"/>
    <s v="Spring"/>
    <n v="4.5"/>
    <x v="1"/>
    <x v="2"/>
    <x v="1"/>
    <x v="1"/>
    <n v="38"/>
    <x v="3"/>
    <x v="0"/>
    <x v="0"/>
  </r>
  <r>
    <n v="2276"/>
    <x v="26"/>
    <x v="0"/>
    <x v="6"/>
    <x v="0"/>
    <x v="41"/>
    <x v="19"/>
    <s v="M"/>
    <s v="Gray"/>
    <s v="Winter"/>
    <n v="4.4000000000000004"/>
    <x v="1"/>
    <x v="3"/>
    <x v="1"/>
    <x v="1"/>
    <n v="10"/>
    <x v="5"/>
    <x v="1"/>
    <x v="1"/>
  </r>
  <r>
    <n v="2277"/>
    <x v="18"/>
    <x v="0"/>
    <x v="2"/>
    <x v="0"/>
    <x v="71"/>
    <x v="5"/>
    <s v="L"/>
    <s v="Red"/>
    <s v="Summer"/>
    <n v="4.0999999999999996"/>
    <x v="1"/>
    <x v="4"/>
    <x v="1"/>
    <x v="1"/>
    <n v="25"/>
    <x v="5"/>
    <x v="1"/>
    <x v="1"/>
  </r>
  <r>
    <n v="2278"/>
    <x v="15"/>
    <x v="0"/>
    <x v="19"/>
    <x v="3"/>
    <x v="22"/>
    <x v="15"/>
    <s v="M"/>
    <s v="Beige"/>
    <s v="Summer"/>
    <n v="4.5999999999999996"/>
    <x v="1"/>
    <x v="2"/>
    <x v="1"/>
    <x v="1"/>
    <n v="18"/>
    <x v="2"/>
    <x v="3"/>
    <x v="3"/>
  </r>
  <r>
    <n v="2279"/>
    <x v="12"/>
    <x v="0"/>
    <x v="24"/>
    <x v="3"/>
    <x v="21"/>
    <x v="33"/>
    <s v="M"/>
    <s v="Maroon"/>
    <s v="Fall"/>
    <n v="3.8"/>
    <x v="1"/>
    <x v="5"/>
    <x v="1"/>
    <x v="1"/>
    <n v="6"/>
    <x v="1"/>
    <x v="6"/>
    <x v="3"/>
  </r>
  <r>
    <n v="2280"/>
    <x v="10"/>
    <x v="0"/>
    <x v="4"/>
    <x v="1"/>
    <x v="25"/>
    <x v="8"/>
    <s v="L"/>
    <s v="Indigo"/>
    <s v="Spring"/>
    <n v="2.9"/>
    <x v="1"/>
    <x v="1"/>
    <x v="1"/>
    <x v="1"/>
    <n v="35"/>
    <x v="4"/>
    <x v="3"/>
    <x v="3"/>
  </r>
  <r>
    <n v="2281"/>
    <x v="40"/>
    <x v="0"/>
    <x v="9"/>
    <x v="1"/>
    <x v="34"/>
    <x v="0"/>
    <s v="M"/>
    <s v="Red"/>
    <s v="Summer"/>
    <n v="2.8"/>
    <x v="1"/>
    <x v="3"/>
    <x v="1"/>
    <x v="1"/>
    <n v="31"/>
    <x v="2"/>
    <x v="0"/>
    <x v="0"/>
  </r>
  <r>
    <n v="2282"/>
    <x v="48"/>
    <x v="0"/>
    <x v="15"/>
    <x v="0"/>
    <x v="65"/>
    <x v="23"/>
    <s v="XL"/>
    <s v="Maroon"/>
    <s v="Summer"/>
    <n v="3"/>
    <x v="1"/>
    <x v="5"/>
    <x v="1"/>
    <x v="1"/>
    <n v="41"/>
    <x v="4"/>
    <x v="2"/>
    <x v="2"/>
  </r>
  <r>
    <n v="2283"/>
    <x v="20"/>
    <x v="0"/>
    <x v="4"/>
    <x v="1"/>
    <x v="8"/>
    <x v="37"/>
    <s v="S"/>
    <s v="Red"/>
    <s v="Fall"/>
    <n v="4.2"/>
    <x v="1"/>
    <x v="4"/>
    <x v="1"/>
    <x v="1"/>
    <n v="8"/>
    <x v="2"/>
    <x v="2"/>
    <x v="2"/>
  </r>
  <r>
    <n v="2284"/>
    <x v="42"/>
    <x v="0"/>
    <x v="8"/>
    <x v="3"/>
    <x v="29"/>
    <x v="31"/>
    <s v="S"/>
    <s v="Black"/>
    <s v="Winter"/>
    <n v="4.0999999999999996"/>
    <x v="1"/>
    <x v="1"/>
    <x v="1"/>
    <x v="1"/>
    <n v="34"/>
    <x v="2"/>
    <x v="0"/>
    <x v="0"/>
  </r>
  <r>
    <n v="2285"/>
    <x v="45"/>
    <x v="0"/>
    <x v="0"/>
    <x v="0"/>
    <x v="80"/>
    <x v="44"/>
    <s v="XL"/>
    <s v="Black"/>
    <s v="Fall"/>
    <n v="4.0999999999999996"/>
    <x v="1"/>
    <x v="0"/>
    <x v="1"/>
    <x v="1"/>
    <n v="20"/>
    <x v="0"/>
    <x v="2"/>
    <x v="2"/>
  </r>
  <r>
    <n v="2286"/>
    <x v="50"/>
    <x v="0"/>
    <x v="22"/>
    <x v="3"/>
    <x v="33"/>
    <x v="49"/>
    <s v="L"/>
    <s v="Pink"/>
    <s v="Summer"/>
    <n v="4.5999999999999996"/>
    <x v="1"/>
    <x v="4"/>
    <x v="1"/>
    <x v="1"/>
    <n v="38"/>
    <x v="3"/>
    <x v="6"/>
    <x v="3"/>
  </r>
  <r>
    <n v="2287"/>
    <x v="29"/>
    <x v="0"/>
    <x v="20"/>
    <x v="0"/>
    <x v="15"/>
    <x v="45"/>
    <s v="L"/>
    <s v="Blue"/>
    <s v="Spring"/>
    <n v="2.5"/>
    <x v="1"/>
    <x v="5"/>
    <x v="1"/>
    <x v="1"/>
    <n v="35"/>
    <x v="0"/>
    <x v="3"/>
    <x v="3"/>
  </r>
  <r>
    <n v="2288"/>
    <x v="17"/>
    <x v="0"/>
    <x v="0"/>
    <x v="0"/>
    <x v="29"/>
    <x v="43"/>
    <s v="L"/>
    <s v="Green"/>
    <s v="Summer"/>
    <n v="3"/>
    <x v="1"/>
    <x v="5"/>
    <x v="1"/>
    <x v="1"/>
    <n v="6"/>
    <x v="5"/>
    <x v="2"/>
    <x v="2"/>
  </r>
  <r>
    <n v="2289"/>
    <x v="48"/>
    <x v="0"/>
    <x v="16"/>
    <x v="3"/>
    <x v="26"/>
    <x v="18"/>
    <s v="M"/>
    <s v="Orange"/>
    <s v="Fall"/>
    <n v="3.8"/>
    <x v="1"/>
    <x v="2"/>
    <x v="1"/>
    <x v="1"/>
    <n v="50"/>
    <x v="3"/>
    <x v="1"/>
    <x v="1"/>
  </r>
  <r>
    <n v="2290"/>
    <x v="27"/>
    <x v="0"/>
    <x v="6"/>
    <x v="0"/>
    <x v="71"/>
    <x v="22"/>
    <s v="M"/>
    <s v="Orange"/>
    <s v="Fall"/>
    <n v="4.0999999999999996"/>
    <x v="1"/>
    <x v="1"/>
    <x v="1"/>
    <x v="1"/>
    <n v="47"/>
    <x v="0"/>
    <x v="1"/>
    <x v="1"/>
  </r>
  <r>
    <n v="2291"/>
    <x v="43"/>
    <x v="0"/>
    <x v="23"/>
    <x v="1"/>
    <x v="16"/>
    <x v="23"/>
    <s v="L"/>
    <s v="Magenta"/>
    <s v="Winter"/>
    <n v="3.3"/>
    <x v="1"/>
    <x v="3"/>
    <x v="1"/>
    <x v="1"/>
    <n v="23"/>
    <x v="3"/>
    <x v="3"/>
    <x v="3"/>
  </r>
  <r>
    <n v="2292"/>
    <x v="48"/>
    <x v="0"/>
    <x v="7"/>
    <x v="2"/>
    <x v="38"/>
    <x v="31"/>
    <s v="M"/>
    <s v="Indigo"/>
    <s v="Spring"/>
    <n v="5"/>
    <x v="1"/>
    <x v="4"/>
    <x v="1"/>
    <x v="1"/>
    <n v="13"/>
    <x v="2"/>
    <x v="3"/>
    <x v="3"/>
  </r>
  <r>
    <n v="2293"/>
    <x v="49"/>
    <x v="0"/>
    <x v="17"/>
    <x v="0"/>
    <x v="7"/>
    <x v="34"/>
    <s v="S"/>
    <s v="Beige"/>
    <s v="Spring"/>
    <n v="3.8"/>
    <x v="1"/>
    <x v="2"/>
    <x v="1"/>
    <x v="1"/>
    <n v="31"/>
    <x v="5"/>
    <x v="5"/>
    <x v="5"/>
  </r>
  <r>
    <n v="2294"/>
    <x v="43"/>
    <x v="0"/>
    <x v="1"/>
    <x v="0"/>
    <x v="10"/>
    <x v="42"/>
    <s v="L"/>
    <s v="Green"/>
    <s v="Fall"/>
    <n v="3.3"/>
    <x v="1"/>
    <x v="0"/>
    <x v="1"/>
    <x v="1"/>
    <n v="16"/>
    <x v="5"/>
    <x v="6"/>
    <x v="3"/>
  </r>
  <r>
    <n v="2295"/>
    <x v="22"/>
    <x v="0"/>
    <x v="12"/>
    <x v="3"/>
    <x v="51"/>
    <x v="33"/>
    <s v="M"/>
    <s v="Red"/>
    <s v="Winter"/>
    <n v="5"/>
    <x v="1"/>
    <x v="0"/>
    <x v="1"/>
    <x v="1"/>
    <n v="40"/>
    <x v="5"/>
    <x v="2"/>
    <x v="2"/>
  </r>
  <r>
    <n v="2296"/>
    <x v="2"/>
    <x v="0"/>
    <x v="19"/>
    <x v="3"/>
    <x v="20"/>
    <x v="39"/>
    <s v="L"/>
    <s v="Beige"/>
    <s v="Spring"/>
    <n v="2.9"/>
    <x v="1"/>
    <x v="4"/>
    <x v="1"/>
    <x v="1"/>
    <n v="45"/>
    <x v="3"/>
    <x v="3"/>
    <x v="3"/>
  </r>
  <r>
    <n v="2297"/>
    <x v="5"/>
    <x v="0"/>
    <x v="24"/>
    <x v="3"/>
    <x v="19"/>
    <x v="47"/>
    <s v="M"/>
    <s v="Green"/>
    <s v="Fall"/>
    <n v="2.5"/>
    <x v="1"/>
    <x v="2"/>
    <x v="1"/>
    <x v="1"/>
    <n v="50"/>
    <x v="0"/>
    <x v="6"/>
    <x v="3"/>
  </r>
  <r>
    <n v="2298"/>
    <x v="52"/>
    <x v="0"/>
    <x v="20"/>
    <x v="0"/>
    <x v="42"/>
    <x v="18"/>
    <s v="M"/>
    <s v="Orange"/>
    <s v="Summer"/>
    <n v="4.7"/>
    <x v="1"/>
    <x v="3"/>
    <x v="1"/>
    <x v="1"/>
    <n v="1"/>
    <x v="4"/>
    <x v="3"/>
    <x v="3"/>
  </r>
  <r>
    <n v="2299"/>
    <x v="37"/>
    <x v="0"/>
    <x v="8"/>
    <x v="3"/>
    <x v="55"/>
    <x v="6"/>
    <s v="L"/>
    <s v="Cyan"/>
    <s v="Spring"/>
    <n v="2.9"/>
    <x v="1"/>
    <x v="4"/>
    <x v="1"/>
    <x v="1"/>
    <n v="10"/>
    <x v="1"/>
    <x v="6"/>
    <x v="3"/>
  </r>
  <r>
    <n v="2300"/>
    <x v="14"/>
    <x v="0"/>
    <x v="7"/>
    <x v="2"/>
    <x v="75"/>
    <x v="37"/>
    <s v="M"/>
    <s v="Violet"/>
    <s v="Summer"/>
    <n v="3.7"/>
    <x v="1"/>
    <x v="5"/>
    <x v="1"/>
    <x v="1"/>
    <n v="48"/>
    <x v="2"/>
    <x v="6"/>
    <x v="3"/>
  </r>
  <r>
    <n v="2301"/>
    <x v="20"/>
    <x v="0"/>
    <x v="7"/>
    <x v="2"/>
    <x v="19"/>
    <x v="38"/>
    <s v="XL"/>
    <s v="Lavender"/>
    <s v="Summer"/>
    <n v="4.4000000000000004"/>
    <x v="1"/>
    <x v="4"/>
    <x v="1"/>
    <x v="1"/>
    <n v="38"/>
    <x v="2"/>
    <x v="5"/>
    <x v="5"/>
  </r>
  <r>
    <n v="2302"/>
    <x v="43"/>
    <x v="0"/>
    <x v="13"/>
    <x v="0"/>
    <x v="5"/>
    <x v="1"/>
    <s v="L"/>
    <s v="Turquoise"/>
    <s v="Winter"/>
    <n v="2.9"/>
    <x v="1"/>
    <x v="2"/>
    <x v="1"/>
    <x v="1"/>
    <n v="21"/>
    <x v="5"/>
    <x v="2"/>
    <x v="2"/>
  </r>
  <r>
    <n v="2303"/>
    <x v="24"/>
    <x v="0"/>
    <x v="22"/>
    <x v="3"/>
    <x v="32"/>
    <x v="6"/>
    <s v="L"/>
    <s v="Pink"/>
    <s v="Summer"/>
    <n v="3.6"/>
    <x v="1"/>
    <x v="5"/>
    <x v="1"/>
    <x v="1"/>
    <n v="38"/>
    <x v="0"/>
    <x v="5"/>
    <x v="5"/>
  </r>
  <r>
    <n v="2304"/>
    <x v="47"/>
    <x v="0"/>
    <x v="12"/>
    <x v="3"/>
    <x v="79"/>
    <x v="32"/>
    <s v="S"/>
    <s v="Beige"/>
    <s v="Spring"/>
    <n v="4.8"/>
    <x v="1"/>
    <x v="4"/>
    <x v="1"/>
    <x v="1"/>
    <n v="31"/>
    <x v="2"/>
    <x v="0"/>
    <x v="0"/>
  </r>
  <r>
    <n v="2305"/>
    <x v="8"/>
    <x v="0"/>
    <x v="15"/>
    <x v="0"/>
    <x v="2"/>
    <x v="7"/>
    <s v="L"/>
    <s v="Silver"/>
    <s v="Winter"/>
    <n v="4.7"/>
    <x v="1"/>
    <x v="1"/>
    <x v="1"/>
    <x v="1"/>
    <n v="9"/>
    <x v="5"/>
    <x v="0"/>
    <x v="0"/>
  </r>
  <r>
    <n v="2306"/>
    <x v="33"/>
    <x v="0"/>
    <x v="8"/>
    <x v="3"/>
    <x v="80"/>
    <x v="1"/>
    <s v="M"/>
    <s v="Gold"/>
    <s v="Summer"/>
    <n v="2.6"/>
    <x v="1"/>
    <x v="1"/>
    <x v="1"/>
    <x v="1"/>
    <n v="47"/>
    <x v="1"/>
    <x v="1"/>
    <x v="1"/>
  </r>
  <r>
    <n v="2307"/>
    <x v="7"/>
    <x v="0"/>
    <x v="24"/>
    <x v="3"/>
    <x v="72"/>
    <x v="20"/>
    <s v="L"/>
    <s v="Silver"/>
    <s v="Winter"/>
    <n v="3.4"/>
    <x v="1"/>
    <x v="3"/>
    <x v="1"/>
    <x v="1"/>
    <n v="8"/>
    <x v="1"/>
    <x v="4"/>
    <x v="4"/>
  </r>
  <r>
    <n v="2308"/>
    <x v="48"/>
    <x v="0"/>
    <x v="11"/>
    <x v="0"/>
    <x v="48"/>
    <x v="9"/>
    <s v="L"/>
    <s v="Green"/>
    <s v="Fall"/>
    <n v="3.5"/>
    <x v="1"/>
    <x v="2"/>
    <x v="1"/>
    <x v="1"/>
    <n v="30"/>
    <x v="5"/>
    <x v="2"/>
    <x v="2"/>
  </r>
  <r>
    <n v="2309"/>
    <x v="34"/>
    <x v="0"/>
    <x v="12"/>
    <x v="3"/>
    <x v="13"/>
    <x v="25"/>
    <s v="M"/>
    <s v="Teal"/>
    <s v="Winter"/>
    <n v="3.4"/>
    <x v="1"/>
    <x v="4"/>
    <x v="1"/>
    <x v="1"/>
    <n v="22"/>
    <x v="4"/>
    <x v="3"/>
    <x v="3"/>
  </r>
  <r>
    <n v="2310"/>
    <x v="27"/>
    <x v="0"/>
    <x v="10"/>
    <x v="0"/>
    <x v="51"/>
    <x v="39"/>
    <s v="S"/>
    <s v="Gold"/>
    <s v="Fall"/>
    <n v="5"/>
    <x v="1"/>
    <x v="4"/>
    <x v="1"/>
    <x v="1"/>
    <n v="3"/>
    <x v="4"/>
    <x v="3"/>
    <x v="3"/>
  </r>
  <r>
    <n v="2311"/>
    <x v="11"/>
    <x v="0"/>
    <x v="24"/>
    <x v="3"/>
    <x v="10"/>
    <x v="41"/>
    <s v="M"/>
    <s v="Cyan"/>
    <s v="Spring"/>
    <n v="4.5999999999999996"/>
    <x v="1"/>
    <x v="3"/>
    <x v="1"/>
    <x v="1"/>
    <n v="15"/>
    <x v="3"/>
    <x v="5"/>
    <x v="5"/>
  </r>
  <r>
    <n v="2312"/>
    <x v="7"/>
    <x v="0"/>
    <x v="4"/>
    <x v="1"/>
    <x v="39"/>
    <x v="6"/>
    <s v="L"/>
    <s v="Gold"/>
    <s v="Spring"/>
    <n v="4.8"/>
    <x v="1"/>
    <x v="4"/>
    <x v="1"/>
    <x v="1"/>
    <n v="10"/>
    <x v="4"/>
    <x v="6"/>
    <x v="3"/>
  </r>
  <r>
    <n v="2313"/>
    <x v="1"/>
    <x v="0"/>
    <x v="17"/>
    <x v="0"/>
    <x v="38"/>
    <x v="34"/>
    <s v="L"/>
    <s v="Violet"/>
    <s v="Summer"/>
    <n v="3.7"/>
    <x v="1"/>
    <x v="1"/>
    <x v="1"/>
    <x v="1"/>
    <n v="19"/>
    <x v="1"/>
    <x v="6"/>
    <x v="3"/>
  </r>
  <r>
    <n v="2314"/>
    <x v="14"/>
    <x v="0"/>
    <x v="10"/>
    <x v="0"/>
    <x v="9"/>
    <x v="42"/>
    <s v="M"/>
    <s v="Black"/>
    <s v="Summer"/>
    <n v="4.7"/>
    <x v="1"/>
    <x v="2"/>
    <x v="1"/>
    <x v="1"/>
    <n v="36"/>
    <x v="4"/>
    <x v="0"/>
    <x v="0"/>
  </r>
  <r>
    <n v="2315"/>
    <x v="32"/>
    <x v="0"/>
    <x v="8"/>
    <x v="3"/>
    <x v="51"/>
    <x v="41"/>
    <s v="XL"/>
    <s v="Brown"/>
    <s v="Winter"/>
    <n v="4.4000000000000004"/>
    <x v="1"/>
    <x v="0"/>
    <x v="1"/>
    <x v="1"/>
    <n v="12"/>
    <x v="4"/>
    <x v="6"/>
    <x v="3"/>
  </r>
  <r>
    <n v="2316"/>
    <x v="28"/>
    <x v="0"/>
    <x v="20"/>
    <x v="0"/>
    <x v="24"/>
    <x v="34"/>
    <s v="M"/>
    <s v="Indigo"/>
    <s v="Winter"/>
    <n v="3.5"/>
    <x v="1"/>
    <x v="4"/>
    <x v="1"/>
    <x v="1"/>
    <n v="49"/>
    <x v="5"/>
    <x v="3"/>
    <x v="3"/>
  </r>
  <r>
    <n v="2317"/>
    <x v="48"/>
    <x v="0"/>
    <x v="4"/>
    <x v="1"/>
    <x v="32"/>
    <x v="6"/>
    <s v="L"/>
    <s v="Yellow"/>
    <s v="Winter"/>
    <n v="3.8"/>
    <x v="1"/>
    <x v="3"/>
    <x v="1"/>
    <x v="1"/>
    <n v="7"/>
    <x v="5"/>
    <x v="2"/>
    <x v="2"/>
  </r>
  <r>
    <n v="2318"/>
    <x v="36"/>
    <x v="0"/>
    <x v="14"/>
    <x v="2"/>
    <x v="7"/>
    <x v="32"/>
    <s v="M"/>
    <s v="Purple"/>
    <s v="Summer"/>
    <n v="4.7"/>
    <x v="1"/>
    <x v="2"/>
    <x v="1"/>
    <x v="1"/>
    <n v="28"/>
    <x v="4"/>
    <x v="5"/>
    <x v="5"/>
  </r>
  <r>
    <n v="2319"/>
    <x v="28"/>
    <x v="0"/>
    <x v="15"/>
    <x v="0"/>
    <x v="39"/>
    <x v="5"/>
    <s v="L"/>
    <s v="White"/>
    <s v="Spring"/>
    <n v="3.1"/>
    <x v="1"/>
    <x v="5"/>
    <x v="1"/>
    <x v="1"/>
    <n v="30"/>
    <x v="2"/>
    <x v="2"/>
    <x v="2"/>
  </r>
  <r>
    <n v="2320"/>
    <x v="19"/>
    <x v="0"/>
    <x v="3"/>
    <x v="1"/>
    <x v="15"/>
    <x v="1"/>
    <s v="XL"/>
    <s v="Turquoise"/>
    <s v="Winter"/>
    <n v="5"/>
    <x v="1"/>
    <x v="1"/>
    <x v="1"/>
    <x v="1"/>
    <n v="29"/>
    <x v="3"/>
    <x v="5"/>
    <x v="5"/>
  </r>
  <r>
    <n v="2321"/>
    <x v="48"/>
    <x v="0"/>
    <x v="9"/>
    <x v="1"/>
    <x v="37"/>
    <x v="35"/>
    <s v="M"/>
    <s v="Olive"/>
    <s v="Spring"/>
    <n v="3.7"/>
    <x v="1"/>
    <x v="1"/>
    <x v="1"/>
    <x v="1"/>
    <n v="9"/>
    <x v="5"/>
    <x v="6"/>
    <x v="3"/>
  </r>
  <r>
    <n v="2322"/>
    <x v="2"/>
    <x v="0"/>
    <x v="3"/>
    <x v="1"/>
    <x v="9"/>
    <x v="24"/>
    <s v="M"/>
    <s v="Beige"/>
    <s v="Winter"/>
    <n v="3"/>
    <x v="1"/>
    <x v="2"/>
    <x v="1"/>
    <x v="1"/>
    <n v="27"/>
    <x v="5"/>
    <x v="0"/>
    <x v="0"/>
  </r>
  <r>
    <n v="2323"/>
    <x v="31"/>
    <x v="0"/>
    <x v="7"/>
    <x v="2"/>
    <x v="63"/>
    <x v="39"/>
    <s v="S"/>
    <s v="Lavender"/>
    <s v="Spring"/>
    <n v="4.5"/>
    <x v="1"/>
    <x v="5"/>
    <x v="1"/>
    <x v="1"/>
    <n v="21"/>
    <x v="0"/>
    <x v="0"/>
    <x v="0"/>
  </r>
  <r>
    <n v="2324"/>
    <x v="25"/>
    <x v="0"/>
    <x v="24"/>
    <x v="3"/>
    <x v="73"/>
    <x v="33"/>
    <s v="L"/>
    <s v="White"/>
    <s v="Winter"/>
    <n v="4.7"/>
    <x v="1"/>
    <x v="0"/>
    <x v="1"/>
    <x v="1"/>
    <n v="36"/>
    <x v="2"/>
    <x v="5"/>
    <x v="5"/>
  </r>
  <r>
    <n v="2325"/>
    <x v="35"/>
    <x v="0"/>
    <x v="7"/>
    <x v="2"/>
    <x v="39"/>
    <x v="4"/>
    <s v="L"/>
    <s v="Brown"/>
    <s v="Winter"/>
    <n v="3.5"/>
    <x v="1"/>
    <x v="1"/>
    <x v="1"/>
    <x v="1"/>
    <n v="19"/>
    <x v="5"/>
    <x v="2"/>
    <x v="2"/>
  </r>
  <r>
    <n v="2326"/>
    <x v="42"/>
    <x v="0"/>
    <x v="23"/>
    <x v="1"/>
    <x v="37"/>
    <x v="14"/>
    <s v="M"/>
    <s v="Charcoal"/>
    <s v="Summer"/>
    <n v="4.4000000000000004"/>
    <x v="1"/>
    <x v="4"/>
    <x v="1"/>
    <x v="1"/>
    <n v="47"/>
    <x v="1"/>
    <x v="1"/>
    <x v="1"/>
  </r>
  <r>
    <n v="2327"/>
    <x v="17"/>
    <x v="0"/>
    <x v="11"/>
    <x v="0"/>
    <x v="80"/>
    <x v="19"/>
    <s v="L"/>
    <s v="Maroon"/>
    <s v="Winter"/>
    <n v="2.6"/>
    <x v="1"/>
    <x v="3"/>
    <x v="1"/>
    <x v="1"/>
    <n v="38"/>
    <x v="4"/>
    <x v="2"/>
    <x v="2"/>
  </r>
  <r>
    <n v="2328"/>
    <x v="30"/>
    <x v="0"/>
    <x v="11"/>
    <x v="0"/>
    <x v="23"/>
    <x v="15"/>
    <s v="M"/>
    <s v="Red"/>
    <s v="Winter"/>
    <n v="4.2"/>
    <x v="1"/>
    <x v="4"/>
    <x v="1"/>
    <x v="1"/>
    <n v="22"/>
    <x v="0"/>
    <x v="4"/>
    <x v="4"/>
  </r>
  <r>
    <n v="2329"/>
    <x v="4"/>
    <x v="0"/>
    <x v="13"/>
    <x v="0"/>
    <x v="14"/>
    <x v="25"/>
    <s v="M"/>
    <s v="Maroon"/>
    <s v="Fall"/>
    <n v="2.6"/>
    <x v="1"/>
    <x v="0"/>
    <x v="1"/>
    <x v="1"/>
    <n v="29"/>
    <x v="0"/>
    <x v="4"/>
    <x v="4"/>
  </r>
  <r>
    <n v="2330"/>
    <x v="34"/>
    <x v="0"/>
    <x v="19"/>
    <x v="3"/>
    <x v="8"/>
    <x v="43"/>
    <s v="S"/>
    <s v="Teal"/>
    <s v="Spring"/>
    <n v="4.8"/>
    <x v="1"/>
    <x v="1"/>
    <x v="1"/>
    <x v="1"/>
    <n v="42"/>
    <x v="4"/>
    <x v="2"/>
    <x v="2"/>
  </r>
  <r>
    <n v="2331"/>
    <x v="52"/>
    <x v="0"/>
    <x v="21"/>
    <x v="3"/>
    <x v="80"/>
    <x v="28"/>
    <s v="L"/>
    <s v="Orange"/>
    <s v="Summer"/>
    <n v="2.9"/>
    <x v="1"/>
    <x v="5"/>
    <x v="1"/>
    <x v="1"/>
    <n v="47"/>
    <x v="3"/>
    <x v="6"/>
    <x v="3"/>
  </r>
  <r>
    <n v="2332"/>
    <x v="12"/>
    <x v="0"/>
    <x v="18"/>
    <x v="3"/>
    <x v="64"/>
    <x v="26"/>
    <s v="S"/>
    <s v="Olive"/>
    <s v="Spring"/>
    <n v="4.3"/>
    <x v="1"/>
    <x v="4"/>
    <x v="1"/>
    <x v="1"/>
    <n v="10"/>
    <x v="2"/>
    <x v="4"/>
    <x v="4"/>
  </r>
  <r>
    <n v="2333"/>
    <x v="24"/>
    <x v="0"/>
    <x v="18"/>
    <x v="3"/>
    <x v="0"/>
    <x v="36"/>
    <s v="XL"/>
    <s v="Olive"/>
    <s v="Fall"/>
    <n v="2.6"/>
    <x v="1"/>
    <x v="5"/>
    <x v="1"/>
    <x v="1"/>
    <n v="10"/>
    <x v="0"/>
    <x v="5"/>
    <x v="5"/>
  </r>
  <r>
    <n v="2334"/>
    <x v="23"/>
    <x v="0"/>
    <x v="5"/>
    <x v="0"/>
    <x v="64"/>
    <x v="23"/>
    <s v="M"/>
    <s v="Beige"/>
    <s v="Spring"/>
    <n v="3.8"/>
    <x v="1"/>
    <x v="2"/>
    <x v="1"/>
    <x v="1"/>
    <n v="1"/>
    <x v="3"/>
    <x v="6"/>
    <x v="3"/>
  </r>
  <r>
    <n v="2335"/>
    <x v="34"/>
    <x v="0"/>
    <x v="23"/>
    <x v="1"/>
    <x v="24"/>
    <x v="23"/>
    <s v="L"/>
    <s v="Green"/>
    <s v="Summer"/>
    <n v="4.2"/>
    <x v="1"/>
    <x v="3"/>
    <x v="1"/>
    <x v="1"/>
    <n v="7"/>
    <x v="2"/>
    <x v="5"/>
    <x v="5"/>
  </r>
  <r>
    <n v="2336"/>
    <x v="18"/>
    <x v="0"/>
    <x v="7"/>
    <x v="2"/>
    <x v="18"/>
    <x v="37"/>
    <s v="M"/>
    <s v="Black"/>
    <s v="Summer"/>
    <n v="3.9"/>
    <x v="1"/>
    <x v="5"/>
    <x v="1"/>
    <x v="1"/>
    <n v="10"/>
    <x v="0"/>
    <x v="0"/>
    <x v="0"/>
  </r>
  <r>
    <n v="2337"/>
    <x v="1"/>
    <x v="0"/>
    <x v="22"/>
    <x v="3"/>
    <x v="23"/>
    <x v="18"/>
    <s v="M"/>
    <s v="Green"/>
    <s v="Winter"/>
    <n v="3.1"/>
    <x v="1"/>
    <x v="1"/>
    <x v="1"/>
    <x v="1"/>
    <n v="11"/>
    <x v="2"/>
    <x v="1"/>
    <x v="1"/>
  </r>
  <r>
    <n v="2338"/>
    <x v="31"/>
    <x v="0"/>
    <x v="23"/>
    <x v="1"/>
    <x v="31"/>
    <x v="25"/>
    <s v="S"/>
    <s v="Violet"/>
    <s v="Fall"/>
    <n v="3.6"/>
    <x v="1"/>
    <x v="5"/>
    <x v="1"/>
    <x v="1"/>
    <n v="5"/>
    <x v="1"/>
    <x v="2"/>
    <x v="2"/>
  </r>
  <r>
    <n v="2339"/>
    <x v="17"/>
    <x v="0"/>
    <x v="4"/>
    <x v="1"/>
    <x v="10"/>
    <x v="42"/>
    <s v="S"/>
    <s v="Silver"/>
    <s v="Fall"/>
    <n v="4"/>
    <x v="1"/>
    <x v="0"/>
    <x v="1"/>
    <x v="1"/>
    <n v="21"/>
    <x v="3"/>
    <x v="3"/>
    <x v="3"/>
  </r>
  <r>
    <n v="2340"/>
    <x v="15"/>
    <x v="0"/>
    <x v="5"/>
    <x v="0"/>
    <x v="61"/>
    <x v="26"/>
    <s v="L"/>
    <s v="Maroon"/>
    <s v="Spring"/>
    <n v="3.4"/>
    <x v="1"/>
    <x v="2"/>
    <x v="1"/>
    <x v="1"/>
    <n v="24"/>
    <x v="4"/>
    <x v="3"/>
    <x v="3"/>
  </r>
  <r>
    <n v="2341"/>
    <x v="6"/>
    <x v="0"/>
    <x v="0"/>
    <x v="0"/>
    <x v="41"/>
    <x v="12"/>
    <s v="M"/>
    <s v="Cyan"/>
    <s v="Summer"/>
    <n v="2.6"/>
    <x v="1"/>
    <x v="3"/>
    <x v="1"/>
    <x v="1"/>
    <n v="37"/>
    <x v="2"/>
    <x v="0"/>
    <x v="0"/>
  </r>
  <r>
    <n v="2342"/>
    <x v="19"/>
    <x v="0"/>
    <x v="14"/>
    <x v="2"/>
    <x v="9"/>
    <x v="39"/>
    <s v="L"/>
    <s v="Teal"/>
    <s v="Summer"/>
    <n v="4.5"/>
    <x v="1"/>
    <x v="0"/>
    <x v="1"/>
    <x v="1"/>
    <n v="22"/>
    <x v="0"/>
    <x v="6"/>
    <x v="3"/>
  </r>
  <r>
    <n v="2343"/>
    <x v="30"/>
    <x v="0"/>
    <x v="11"/>
    <x v="0"/>
    <x v="58"/>
    <x v="30"/>
    <s v="M"/>
    <s v="Olive"/>
    <s v="Fall"/>
    <n v="4.9000000000000004"/>
    <x v="1"/>
    <x v="3"/>
    <x v="1"/>
    <x v="1"/>
    <n v="16"/>
    <x v="5"/>
    <x v="0"/>
    <x v="0"/>
  </r>
  <r>
    <n v="2344"/>
    <x v="44"/>
    <x v="0"/>
    <x v="20"/>
    <x v="0"/>
    <x v="4"/>
    <x v="33"/>
    <s v="M"/>
    <s v="Red"/>
    <s v="Summer"/>
    <n v="4.4000000000000004"/>
    <x v="1"/>
    <x v="4"/>
    <x v="1"/>
    <x v="1"/>
    <n v="44"/>
    <x v="3"/>
    <x v="5"/>
    <x v="5"/>
  </r>
  <r>
    <n v="2345"/>
    <x v="50"/>
    <x v="0"/>
    <x v="3"/>
    <x v="1"/>
    <x v="56"/>
    <x v="3"/>
    <s v="XL"/>
    <s v="Lavender"/>
    <s v="Fall"/>
    <n v="3.5"/>
    <x v="1"/>
    <x v="0"/>
    <x v="1"/>
    <x v="1"/>
    <n v="14"/>
    <x v="0"/>
    <x v="4"/>
    <x v="4"/>
  </r>
  <r>
    <n v="2346"/>
    <x v="48"/>
    <x v="0"/>
    <x v="17"/>
    <x v="0"/>
    <x v="50"/>
    <x v="14"/>
    <s v="S"/>
    <s v="Orange"/>
    <s v="Winter"/>
    <n v="3.3"/>
    <x v="1"/>
    <x v="0"/>
    <x v="1"/>
    <x v="1"/>
    <n v="23"/>
    <x v="4"/>
    <x v="6"/>
    <x v="3"/>
  </r>
  <r>
    <n v="2347"/>
    <x v="40"/>
    <x v="0"/>
    <x v="14"/>
    <x v="2"/>
    <x v="25"/>
    <x v="35"/>
    <s v="L"/>
    <s v="Brown"/>
    <s v="Winter"/>
    <n v="3.1"/>
    <x v="1"/>
    <x v="3"/>
    <x v="1"/>
    <x v="1"/>
    <n v="46"/>
    <x v="5"/>
    <x v="0"/>
    <x v="0"/>
  </r>
  <r>
    <n v="2348"/>
    <x v="43"/>
    <x v="0"/>
    <x v="22"/>
    <x v="3"/>
    <x v="1"/>
    <x v="18"/>
    <s v="S"/>
    <s v="Gray"/>
    <s v="Fall"/>
    <n v="4.2"/>
    <x v="1"/>
    <x v="0"/>
    <x v="1"/>
    <x v="1"/>
    <n v="46"/>
    <x v="1"/>
    <x v="6"/>
    <x v="3"/>
  </r>
  <r>
    <n v="2349"/>
    <x v="22"/>
    <x v="0"/>
    <x v="9"/>
    <x v="1"/>
    <x v="63"/>
    <x v="1"/>
    <s v="M"/>
    <s v="Orange"/>
    <s v="Spring"/>
    <n v="4.9000000000000004"/>
    <x v="1"/>
    <x v="2"/>
    <x v="1"/>
    <x v="1"/>
    <n v="16"/>
    <x v="3"/>
    <x v="6"/>
    <x v="3"/>
  </r>
  <r>
    <n v="2350"/>
    <x v="13"/>
    <x v="0"/>
    <x v="0"/>
    <x v="0"/>
    <x v="7"/>
    <x v="14"/>
    <s v="M"/>
    <s v="Orange"/>
    <s v="Fall"/>
    <n v="3.9"/>
    <x v="1"/>
    <x v="3"/>
    <x v="1"/>
    <x v="1"/>
    <n v="40"/>
    <x v="2"/>
    <x v="6"/>
    <x v="3"/>
  </r>
  <r>
    <n v="2351"/>
    <x v="9"/>
    <x v="0"/>
    <x v="9"/>
    <x v="1"/>
    <x v="46"/>
    <x v="11"/>
    <s v="M"/>
    <s v="Turquoise"/>
    <s v="Winter"/>
    <n v="4.2"/>
    <x v="1"/>
    <x v="1"/>
    <x v="1"/>
    <x v="1"/>
    <n v="21"/>
    <x v="1"/>
    <x v="2"/>
    <x v="2"/>
  </r>
  <r>
    <n v="2352"/>
    <x v="21"/>
    <x v="0"/>
    <x v="1"/>
    <x v="0"/>
    <x v="74"/>
    <x v="13"/>
    <s v="S"/>
    <s v="Cyan"/>
    <s v="Fall"/>
    <n v="4.9000000000000004"/>
    <x v="1"/>
    <x v="5"/>
    <x v="1"/>
    <x v="1"/>
    <n v="25"/>
    <x v="3"/>
    <x v="4"/>
    <x v="4"/>
  </r>
  <r>
    <n v="2353"/>
    <x v="27"/>
    <x v="0"/>
    <x v="23"/>
    <x v="1"/>
    <x v="43"/>
    <x v="43"/>
    <s v="M"/>
    <s v="Yellow"/>
    <s v="Fall"/>
    <n v="2.8"/>
    <x v="1"/>
    <x v="5"/>
    <x v="1"/>
    <x v="1"/>
    <n v="25"/>
    <x v="4"/>
    <x v="3"/>
    <x v="3"/>
  </r>
  <r>
    <n v="2354"/>
    <x v="19"/>
    <x v="0"/>
    <x v="8"/>
    <x v="3"/>
    <x v="79"/>
    <x v="6"/>
    <s v="M"/>
    <s v="White"/>
    <s v="Fall"/>
    <n v="4.0999999999999996"/>
    <x v="1"/>
    <x v="3"/>
    <x v="1"/>
    <x v="1"/>
    <n v="25"/>
    <x v="5"/>
    <x v="6"/>
    <x v="3"/>
  </r>
  <r>
    <n v="2355"/>
    <x v="19"/>
    <x v="0"/>
    <x v="0"/>
    <x v="0"/>
    <x v="72"/>
    <x v="48"/>
    <s v="M"/>
    <s v="Blue"/>
    <s v="Summer"/>
    <n v="4.8"/>
    <x v="1"/>
    <x v="2"/>
    <x v="1"/>
    <x v="1"/>
    <n v="27"/>
    <x v="0"/>
    <x v="5"/>
    <x v="5"/>
  </r>
  <r>
    <n v="2356"/>
    <x v="40"/>
    <x v="0"/>
    <x v="11"/>
    <x v="0"/>
    <x v="59"/>
    <x v="30"/>
    <s v="S"/>
    <s v="Purple"/>
    <s v="Winter"/>
    <n v="4.0999999999999996"/>
    <x v="1"/>
    <x v="2"/>
    <x v="1"/>
    <x v="1"/>
    <n v="12"/>
    <x v="1"/>
    <x v="5"/>
    <x v="5"/>
  </r>
  <r>
    <n v="2357"/>
    <x v="9"/>
    <x v="0"/>
    <x v="21"/>
    <x v="3"/>
    <x v="47"/>
    <x v="6"/>
    <s v="M"/>
    <s v="Gray"/>
    <s v="Summer"/>
    <n v="3"/>
    <x v="1"/>
    <x v="1"/>
    <x v="1"/>
    <x v="1"/>
    <n v="27"/>
    <x v="5"/>
    <x v="3"/>
    <x v="3"/>
  </r>
  <r>
    <n v="2358"/>
    <x v="10"/>
    <x v="0"/>
    <x v="5"/>
    <x v="0"/>
    <x v="25"/>
    <x v="49"/>
    <s v="L"/>
    <s v="Cyan"/>
    <s v="Fall"/>
    <n v="4.2"/>
    <x v="1"/>
    <x v="4"/>
    <x v="1"/>
    <x v="1"/>
    <n v="40"/>
    <x v="2"/>
    <x v="4"/>
    <x v="4"/>
  </r>
  <r>
    <n v="2359"/>
    <x v="10"/>
    <x v="0"/>
    <x v="1"/>
    <x v="0"/>
    <x v="73"/>
    <x v="21"/>
    <s v="L"/>
    <s v="Pink"/>
    <s v="Spring"/>
    <n v="3.8"/>
    <x v="1"/>
    <x v="3"/>
    <x v="1"/>
    <x v="1"/>
    <n v="38"/>
    <x v="2"/>
    <x v="3"/>
    <x v="3"/>
  </r>
  <r>
    <n v="2360"/>
    <x v="1"/>
    <x v="0"/>
    <x v="18"/>
    <x v="3"/>
    <x v="13"/>
    <x v="38"/>
    <s v="S"/>
    <s v="Gold"/>
    <s v="Spring"/>
    <n v="3.3"/>
    <x v="1"/>
    <x v="4"/>
    <x v="1"/>
    <x v="1"/>
    <n v="44"/>
    <x v="4"/>
    <x v="6"/>
    <x v="3"/>
  </r>
  <r>
    <n v="2361"/>
    <x v="34"/>
    <x v="0"/>
    <x v="8"/>
    <x v="3"/>
    <x v="68"/>
    <x v="14"/>
    <s v="L"/>
    <s v="Silver"/>
    <s v="Fall"/>
    <n v="4.7"/>
    <x v="1"/>
    <x v="4"/>
    <x v="1"/>
    <x v="1"/>
    <n v="27"/>
    <x v="0"/>
    <x v="6"/>
    <x v="3"/>
  </r>
  <r>
    <n v="2362"/>
    <x v="42"/>
    <x v="0"/>
    <x v="18"/>
    <x v="3"/>
    <x v="1"/>
    <x v="15"/>
    <s v="M"/>
    <s v="Gray"/>
    <s v="Spring"/>
    <n v="4.3"/>
    <x v="1"/>
    <x v="4"/>
    <x v="1"/>
    <x v="1"/>
    <n v="30"/>
    <x v="2"/>
    <x v="6"/>
    <x v="3"/>
  </r>
  <r>
    <n v="2363"/>
    <x v="7"/>
    <x v="0"/>
    <x v="2"/>
    <x v="0"/>
    <x v="52"/>
    <x v="41"/>
    <s v="M"/>
    <s v="Brown"/>
    <s v="Fall"/>
    <n v="2.7"/>
    <x v="1"/>
    <x v="3"/>
    <x v="1"/>
    <x v="1"/>
    <n v="24"/>
    <x v="2"/>
    <x v="5"/>
    <x v="5"/>
  </r>
  <r>
    <n v="2364"/>
    <x v="52"/>
    <x v="0"/>
    <x v="20"/>
    <x v="0"/>
    <x v="24"/>
    <x v="38"/>
    <s v="XL"/>
    <s v="Pink"/>
    <s v="Winter"/>
    <n v="4.2"/>
    <x v="1"/>
    <x v="0"/>
    <x v="1"/>
    <x v="1"/>
    <n v="38"/>
    <x v="1"/>
    <x v="4"/>
    <x v="4"/>
  </r>
  <r>
    <n v="2365"/>
    <x v="46"/>
    <x v="0"/>
    <x v="12"/>
    <x v="3"/>
    <x v="30"/>
    <x v="16"/>
    <s v="L"/>
    <s v="Maroon"/>
    <s v="Winter"/>
    <n v="4.2"/>
    <x v="1"/>
    <x v="1"/>
    <x v="1"/>
    <x v="1"/>
    <n v="4"/>
    <x v="3"/>
    <x v="3"/>
    <x v="3"/>
  </r>
  <r>
    <n v="2366"/>
    <x v="16"/>
    <x v="0"/>
    <x v="4"/>
    <x v="1"/>
    <x v="26"/>
    <x v="5"/>
    <s v="S"/>
    <s v="Peach"/>
    <s v="Winter"/>
    <n v="2.5"/>
    <x v="1"/>
    <x v="2"/>
    <x v="1"/>
    <x v="1"/>
    <n v="32"/>
    <x v="0"/>
    <x v="5"/>
    <x v="5"/>
  </r>
  <r>
    <n v="2367"/>
    <x v="11"/>
    <x v="0"/>
    <x v="9"/>
    <x v="1"/>
    <x v="76"/>
    <x v="35"/>
    <s v="L"/>
    <s v="Brown"/>
    <s v="Winter"/>
    <n v="3.6"/>
    <x v="1"/>
    <x v="0"/>
    <x v="1"/>
    <x v="1"/>
    <n v="32"/>
    <x v="2"/>
    <x v="0"/>
    <x v="0"/>
  </r>
  <r>
    <n v="2368"/>
    <x v="17"/>
    <x v="0"/>
    <x v="20"/>
    <x v="0"/>
    <x v="6"/>
    <x v="25"/>
    <s v="L"/>
    <s v="Green"/>
    <s v="Winter"/>
    <n v="3.4"/>
    <x v="1"/>
    <x v="3"/>
    <x v="1"/>
    <x v="1"/>
    <n v="28"/>
    <x v="4"/>
    <x v="4"/>
    <x v="4"/>
  </r>
  <r>
    <n v="2369"/>
    <x v="26"/>
    <x v="0"/>
    <x v="12"/>
    <x v="3"/>
    <x v="15"/>
    <x v="32"/>
    <s v="M"/>
    <s v="Lavender"/>
    <s v="Summer"/>
    <n v="3.3"/>
    <x v="1"/>
    <x v="3"/>
    <x v="1"/>
    <x v="1"/>
    <n v="6"/>
    <x v="5"/>
    <x v="6"/>
    <x v="3"/>
  </r>
  <r>
    <n v="2370"/>
    <x v="41"/>
    <x v="0"/>
    <x v="1"/>
    <x v="0"/>
    <x v="66"/>
    <x v="34"/>
    <s v="M"/>
    <s v="Cyan"/>
    <s v="Winter"/>
    <n v="4.5999999999999996"/>
    <x v="1"/>
    <x v="3"/>
    <x v="1"/>
    <x v="1"/>
    <n v="24"/>
    <x v="3"/>
    <x v="5"/>
    <x v="5"/>
  </r>
  <r>
    <n v="2371"/>
    <x v="47"/>
    <x v="0"/>
    <x v="9"/>
    <x v="1"/>
    <x v="79"/>
    <x v="29"/>
    <s v="M"/>
    <s v="Black"/>
    <s v="Spring"/>
    <n v="3.9"/>
    <x v="1"/>
    <x v="5"/>
    <x v="1"/>
    <x v="1"/>
    <n v="38"/>
    <x v="0"/>
    <x v="1"/>
    <x v="1"/>
  </r>
  <r>
    <n v="2372"/>
    <x v="29"/>
    <x v="0"/>
    <x v="20"/>
    <x v="0"/>
    <x v="21"/>
    <x v="27"/>
    <s v="M"/>
    <s v="Charcoal"/>
    <s v="Winter"/>
    <n v="3.7"/>
    <x v="1"/>
    <x v="2"/>
    <x v="1"/>
    <x v="1"/>
    <n v="28"/>
    <x v="5"/>
    <x v="2"/>
    <x v="2"/>
  </r>
  <r>
    <n v="2373"/>
    <x v="2"/>
    <x v="0"/>
    <x v="23"/>
    <x v="1"/>
    <x v="32"/>
    <x v="15"/>
    <s v="XL"/>
    <s v="Silver"/>
    <s v="Spring"/>
    <n v="3.1"/>
    <x v="1"/>
    <x v="0"/>
    <x v="1"/>
    <x v="1"/>
    <n v="9"/>
    <x v="3"/>
    <x v="0"/>
    <x v="0"/>
  </r>
  <r>
    <n v="2374"/>
    <x v="43"/>
    <x v="0"/>
    <x v="15"/>
    <x v="0"/>
    <x v="5"/>
    <x v="49"/>
    <s v="M"/>
    <s v="Gray"/>
    <s v="Spring"/>
    <n v="4.9000000000000004"/>
    <x v="1"/>
    <x v="0"/>
    <x v="1"/>
    <x v="1"/>
    <n v="21"/>
    <x v="5"/>
    <x v="6"/>
    <x v="3"/>
  </r>
  <r>
    <n v="2375"/>
    <x v="28"/>
    <x v="0"/>
    <x v="24"/>
    <x v="3"/>
    <x v="2"/>
    <x v="47"/>
    <s v="L"/>
    <s v="Peach"/>
    <s v="Winter"/>
    <n v="4.7"/>
    <x v="1"/>
    <x v="3"/>
    <x v="1"/>
    <x v="1"/>
    <n v="31"/>
    <x v="5"/>
    <x v="5"/>
    <x v="5"/>
  </r>
  <r>
    <n v="2376"/>
    <x v="52"/>
    <x v="0"/>
    <x v="21"/>
    <x v="3"/>
    <x v="80"/>
    <x v="41"/>
    <s v="L"/>
    <s v="Peach"/>
    <s v="Fall"/>
    <n v="2.9"/>
    <x v="1"/>
    <x v="2"/>
    <x v="1"/>
    <x v="1"/>
    <n v="18"/>
    <x v="2"/>
    <x v="3"/>
    <x v="3"/>
  </r>
  <r>
    <n v="2377"/>
    <x v="3"/>
    <x v="0"/>
    <x v="24"/>
    <x v="3"/>
    <x v="23"/>
    <x v="30"/>
    <s v="XL"/>
    <s v="Cyan"/>
    <s v="Spring"/>
    <n v="4.0999999999999996"/>
    <x v="1"/>
    <x v="0"/>
    <x v="1"/>
    <x v="1"/>
    <n v="5"/>
    <x v="1"/>
    <x v="1"/>
    <x v="1"/>
  </r>
  <r>
    <n v="2378"/>
    <x v="42"/>
    <x v="0"/>
    <x v="0"/>
    <x v="0"/>
    <x v="23"/>
    <x v="45"/>
    <s v="L"/>
    <s v="Magenta"/>
    <s v="Fall"/>
    <n v="4"/>
    <x v="1"/>
    <x v="2"/>
    <x v="1"/>
    <x v="1"/>
    <n v="22"/>
    <x v="1"/>
    <x v="2"/>
    <x v="2"/>
  </r>
  <r>
    <n v="2379"/>
    <x v="8"/>
    <x v="0"/>
    <x v="18"/>
    <x v="3"/>
    <x v="79"/>
    <x v="13"/>
    <s v="L"/>
    <s v="Teal"/>
    <s v="Summer"/>
    <n v="2.7"/>
    <x v="1"/>
    <x v="5"/>
    <x v="1"/>
    <x v="1"/>
    <n v="37"/>
    <x v="3"/>
    <x v="4"/>
    <x v="4"/>
  </r>
  <r>
    <n v="2380"/>
    <x v="37"/>
    <x v="0"/>
    <x v="19"/>
    <x v="3"/>
    <x v="64"/>
    <x v="45"/>
    <s v="M"/>
    <s v="Peach"/>
    <s v="Spring"/>
    <n v="4"/>
    <x v="1"/>
    <x v="4"/>
    <x v="1"/>
    <x v="1"/>
    <n v="22"/>
    <x v="5"/>
    <x v="5"/>
    <x v="5"/>
  </r>
  <r>
    <n v="2381"/>
    <x v="38"/>
    <x v="0"/>
    <x v="18"/>
    <x v="3"/>
    <x v="76"/>
    <x v="38"/>
    <s v="M"/>
    <s v="Black"/>
    <s v="Fall"/>
    <n v="2.5"/>
    <x v="1"/>
    <x v="2"/>
    <x v="1"/>
    <x v="1"/>
    <n v="36"/>
    <x v="3"/>
    <x v="0"/>
    <x v="0"/>
  </r>
  <r>
    <n v="2382"/>
    <x v="46"/>
    <x v="0"/>
    <x v="3"/>
    <x v="1"/>
    <x v="66"/>
    <x v="48"/>
    <s v="M"/>
    <s v="Teal"/>
    <s v="Summer"/>
    <n v="4.5"/>
    <x v="1"/>
    <x v="1"/>
    <x v="1"/>
    <x v="1"/>
    <n v="23"/>
    <x v="3"/>
    <x v="2"/>
    <x v="2"/>
  </r>
  <r>
    <n v="2383"/>
    <x v="31"/>
    <x v="0"/>
    <x v="1"/>
    <x v="0"/>
    <x v="30"/>
    <x v="18"/>
    <s v="M"/>
    <s v="Turquoise"/>
    <s v="Spring"/>
    <n v="3.9"/>
    <x v="1"/>
    <x v="0"/>
    <x v="1"/>
    <x v="1"/>
    <n v="44"/>
    <x v="5"/>
    <x v="1"/>
    <x v="1"/>
  </r>
  <r>
    <n v="2384"/>
    <x v="10"/>
    <x v="0"/>
    <x v="21"/>
    <x v="3"/>
    <x v="11"/>
    <x v="3"/>
    <s v="L"/>
    <s v="Gold"/>
    <s v="Spring"/>
    <n v="4.9000000000000004"/>
    <x v="1"/>
    <x v="4"/>
    <x v="1"/>
    <x v="1"/>
    <n v="25"/>
    <x v="4"/>
    <x v="2"/>
    <x v="2"/>
  </r>
  <r>
    <n v="2385"/>
    <x v="41"/>
    <x v="0"/>
    <x v="0"/>
    <x v="0"/>
    <x v="59"/>
    <x v="15"/>
    <s v="L"/>
    <s v="Green"/>
    <s v="Winter"/>
    <n v="3.3"/>
    <x v="1"/>
    <x v="4"/>
    <x v="1"/>
    <x v="1"/>
    <n v="40"/>
    <x v="3"/>
    <x v="3"/>
    <x v="3"/>
  </r>
  <r>
    <n v="2386"/>
    <x v="38"/>
    <x v="0"/>
    <x v="18"/>
    <x v="3"/>
    <x v="9"/>
    <x v="19"/>
    <s v="M"/>
    <s v="Brown"/>
    <s v="Fall"/>
    <n v="3.8"/>
    <x v="1"/>
    <x v="0"/>
    <x v="1"/>
    <x v="1"/>
    <n v="12"/>
    <x v="3"/>
    <x v="1"/>
    <x v="1"/>
  </r>
  <r>
    <n v="2387"/>
    <x v="1"/>
    <x v="0"/>
    <x v="20"/>
    <x v="0"/>
    <x v="27"/>
    <x v="26"/>
    <s v="L"/>
    <s v="Blue"/>
    <s v="Summer"/>
    <n v="2.9"/>
    <x v="1"/>
    <x v="3"/>
    <x v="1"/>
    <x v="1"/>
    <n v="14"/>
    <x v="0"/>
    <x v="5"/>
    <x v="5"/>
  </r>
  <r>
    <n v="2388"/>
    <x v="24"/>
    <x v="0"/>
    <x v="19"/>
    <x v="3"/>
    <x v="51"/>
    <x v="30"/>
    <s v="M"/>
    <s v="Gold"/>
    <s v="Summer"/>
    <n v="4"/>
    <x v="1"/>
    <x v="4"/>
    <x v="1"/>
    <x v="1"/>
    <n v="14"/>
    <x v="5"/>
    <x v="5"/>
    <x v="5"/>
  </r>
  <r>
    <n v="2389"/>
    <x v="3"/>
    <x v="0"/>
    <x v="10"/>
    <x v="0"/>
    <x v="10"/>
    <x v="15"/>
    <s v="M"/>
    <s v="Peach"/>
    <s v="Fall"/>
    <n v="4.0999999999999996"/>
    <x v="1"/>
    <x v="5"/>
    <x v="1"/>
    <x v="1"/>
    <n v="10"/>
    <x v="5"/>
    <x v="2"/>
    <x v="2"/>
  </r>
  <r>
    <n v="2390"/>
    <x v="15"/>
    <x v="0"/>
    <x v="7"/>
    <x v="2"/>
    <x v="55"/>
    <x v="23"/>
    <s v="M"/>
    <s v="Violet"/>
    <s v="Spring"/>
    <n v="3.1"/>
    <x v="1"/>
    <x v="5"/>
    <x v="1"/>
    <x v="1"/>
    <n v="17"/>
    <x v="4"/>
    <x v="6"/>
    <x v="3"/>
  </r>
  <r>
    <n v="2391"/>
    <x v="13"/>
    <x v="0"/>
    <x v="5"/>
    <x v="0"/>
    <x v="1"/>
    <x v="28"/>
    <s v="XL"/>
    <s v="Yellow"/>
    <s v="Winter"/>
    <n v="4.5999999999999996"/>
    <x v="1"/>
    <x v="0"/>
    <x v="1"/>
    <x v="1"/>
    <n v="24"/>
    <x v="5"/>
    <x v="0"/>
    <x v="0"/>
  </r>
  <r>
    <n v="2392"/>
    <x v="32"/>
    <x v="0"/>
    <x v="5"/>
    <x v="0"/>
    <x v="67"/>
    <x v="49"/>
    <s v="M"/>
    <s v="Black"/>
    <s v="Winter"/>
    <n v="4.5999999999999996"/>
    <x v="1"/>
    <x v="2"/>
    <x v="1"/>
    <x v="1"/>
    <n v="31"/>
    <x v="4"/>
    <x v="3"/>
    <x v="3"/>
  </r>
  <r>
    <n v="2393"/>
    <x v="37"/>
    <x v="0"/>
    <x v="2"/>
    <x v="0"/>
    <x v="17"/>
    <x v="9"/>
    <s v="L"/>
    <s v="Silver"/>
    <s v="Spring"/>
    <n v="2.6"/>
    <x v="1"/>
    <x v="4"/>
    <x v="1"/>
    <x v="1"/>
    <n v="36"/>
    <x v="1"/>
    <x v="2"/>
    <x v="2"/>
  </r>
  <r>
    <n v="2394"/>
    <x v="44"/>
    <x v="0"/>
    <x v="20"/>
    <x v="0"/>
    <x v="8"/>
    <x v="7"/>
    <s v="M"/>
    <s v="Brown"/>
    <s v="Winter"/>
    <n v="5"/>
    <x v="1"/>
    <x v="4"/>
    <x v="1"/>
    <x v="1"/>
    <n v="38"/>
    <x v="3"/>
    <x v="6"/>
    <x v="3"/>
  </r>
  <r>
    <n v="2395"/>
    <x v="37"/>
    <x v="0"/>
    <x v="3"/>
    <x v="1"/>
    <x v="53"/>
    <x v="39"/>
    <s v="L"/>
    <s v="Peach"/>
    <s v="Fall"/>
    <n v="2.9"/>
    <x v="1"/>
    <x v="4"/>
    <x v="1"/>
    <x v="1"/>
    <n v="23"/>
    <x v="5"/>
    <x v="0"/>
    <x v="0"/>
  </r>
  <r>
    <n v="2396"/>
    <x v="46"/>
    <x v="0"/>
    <x v="0"/>
    <x v="0"/>
    <x v="42"/>
    <x v="39"/>
    <s v="M"/>
    <s v="Cyan"/>
    <s v="Winter"/>
    <n v="3.5"/>
    <x v="1"/>
    <x v="4"/>
    <x v="1"/>
    <x v="1"/>
    <n v="47"/>
    <x v="3"/>
    <x v="4"/>
    <x v="4"/>
  </r>
  <r>
    <n v="2397"/>
    <x v="21"/>
    <x v="0"/>
    <x v="5"/>
    <x v="0"/>
    <x v="71"/>
    <x v="4"/>
    <s v="M"/>
    <s v="Olive"/>
    <s v="Spring"/>
    <n v="3.7"/>
    <x v="1"/>
    <x v="4"/>
    <x v="1"/>
    <x v="1"/>
    <n v="20"/>
    <x v="0"/>
    <x v="1"/>
    <x v="1"/>
  </r>
  <r>
    <n v="2398"/>
    <x v="43"/>
    <x v="0"/>
    <x v="12"/>
    <x v="3"/>
    <x v="46"/>
    <x v="8"/>
    <s v="L"/>
    <s v="Black"/>
    <s v="Fall"/>
    <n v="2.9"/>
    <x v="1"/>
    <x v="5"/>
    <x v="1"/>
    <x v="1"/>
    <n v="41"/>
    <x v="0"/>
    <x v="5"/>
    <x v="5"/>
  </r>
  <r>
    <n v="2399"/>
    <x v="13"/>
    <x v="0"/>
    <x v="14"/>
    <x v="2"/>
    <x v="13"/>
    <x v="20"/>
    <s v="M"/>
    <s v="Orange"/>
    <s v="Winter"/>
    <n v="4.3"/>
    <x v="1"/>
    <x v="1"/>
    <x v="1"/>
    <x v="1"/>
    <n v="44"/>
    <x v="4"/>
    <x v="0"/>
    <x v="0"/>
  </r>
  <r>
    <n v="2400"/>
    <x v="0"/>
    <x v="0"/>
    <x v="10"/>
    <x v="0"/>
    <x v="77"/>
    <x v="13"/>
    <s v="L"/>
    <s v="Beige"/>
    <s v="Spring"/>
    <n v="3.2"/>
    <x v="1"/>
    <x v="5"/>
    <x v="1"/>
    <x v="1"/>
    <n v="31"/>
    <x v="1"/>
    <x v="5"/>
    <x v="5"/>
  </r>
  <r>
    <n v="2401"/>
    <x v="49"/>
    <x v="0"/>
    <x v="12"/>
    <x v="3"/>
    <x v="19"/>
    <x v="4"/>
    <s v="M"/>
    <s v="Peach"/>
    <s v="Winter"/>
    <n v="4.2"/>
    <x v="1"/>
    <x v="2"/>
    <x v="1"/>
    <x v="1"/>
    <n v="11"/>
    <x v="2"/>
    <x v="4"/>
    <x v="4"/>
  </r>
  <r>
    <n v="2402"/>
    <x v="49"/>
    <x v="0"/>
    <x v="23"/>
    <x v="1"/>
    <x v="31"/>
    <x v="4"/>
    <s v="M"/>
    <s v="Pink"/>
    <s v="Winter"/>
    <n v="4.2"/>
    <x v="1"/>
    <x v="3"/>
    <x v="1"/>
    <x v="1"/>
    <n v="25"/>
    <x v="3"/>
    <x v="4"/>
    <x v="4"/>
  </r>
  <r>
    <n v="2403"/>
    <x v="4"/>
    <x v="0"/>
    <x v="18"/>
    <x v="3"/>
    <x v="58"/>
    <x v="40"/>
    <s v="M"/>
    <s v="Brown"/>
    <s v="Winter"/>
    <n v="3.8"/>
    <x v="1"/>
    <x v="1"/>
    <x v="1"/>
    <x v="1"/>
    <n v="31"/>
    <x v="1"/>
    <x v="1"/>
    <x v="1"/>
  </r>
  <r>
    <n v="2404"/>
    <x v="14"/>
    <x v="0"/>
    <x v="6"/>
    <x v="0"/>
    <x v="20"/>
    <x v="9"/>
    <s v="M"/>
    <s v="Magenta"/>
    <s v="Fall"/>
    <n v="4.4000000000000004"/>
    <x v="1"/>
    <x v="3"/>
    <x v="1"/>
    <x v="1"/>
    <n v="40"/>
    <x v="5"/>
    <x v="1"/>
    <x v="1"/>
  </r>
  <r>
    <n v="2405"/>
    <x v="48"/>
    <x v="0"/>
    <x v="6"/>
    <x v="0"/>
    <x v="27"/>
    <x v="8"/>
    <s v="L"/>
    <s v="Cyan"/>
    <s v="Winter"/>
    <n v="3.1"/>
    <x v="1"/>
    <x v="4"/>
    <x v="1"/>
    <x v="1"/>
    <n v="23"/>
    <x v="2"/>
    <x v="4"/>
    <x v="4"/>
  </r>
  <r>
    <n v="2406"/>
    <x v="28"/>
    <x v="0"/>
    <x v="2"/>
    <x v="0"/>
    <x v="8"/>
    <x v="18"/>
    <s v="XL"/>
    <s v="Silver"/>
    <s v="Fall"/>
    <n v="5"/>
    <x v="1"/>
    <x v="3"/>
    <x v="1"/>
    <x v="1"/>
    <n v="5"/>
    <x v="5"/>
    <x v="3"/>
    <x v="3"/>
  </r>
  <r>
    <n v="2407"/>
    <x v="22"/>
    <x v="0"/>
    <x v="18"/>
    <x v="3"/>
    <x v="75"/>
    <x v="18"/>
    <s v="M"/>
    <s v="Indigo"/>
    <s v="Winter"/>
    <n v="4.7"/>
    <x v="1"/>
    <x v="3"/>
    <x v="1"/>
    <x v="1"/>
    <n v="26"/>
    <x v="3"/>
    <x v="1"/>
    <x v="1"/>
  </r>
  <r>
    <n v="2408"/>
    <x v="16"/>
    <x v="0"/>
    <x v="6"/>
    <x v="0"/>
    <x v="15"/>
    <x v="26"/>
    <s v="M"/>
    <s v="Beige"/>
    <s v="Summer"/>
    <n v="3"/>
    <x v="1"/>
    <x v="0"/>
    <x v="1"/>
    <x v="1"/>
    <n v="11"/>
    <x v="2"/>
    <x v="4"/>
    <x v="4"/>
  </r>
  <r>
    <n v="2409"/>
    <x v="51"/>
    <x v="0"/>
    <x v="4"/>
    <x v="1"/>
    <x v="37"/>
    <x v="11"/>
    <s v="XL"/>
    <s v="Black"/>
    <s v="Fall"/>
    <n v="4.2"/>
    <x v="1"/>
    <x v="2"/>
    <x v="1"/>
    <x v="1"/>
    <n v="44"/>
    <x v="5"/>
    <x v="6"/>
    <x v="3"/>
  </r>
  <r>
    <n v="2410"/>
    <x v="8"/>
    <x v="0"/>
    <x v="16"/>
    <x v="3"/>
    <x v="18"/>
    <x v="47"/>
    <s v="L"/>
    <s v="Yellow"/>
    <s v="Spring"/>
    <n v="3"/>
    <x v="1"/>
    <x v="5"/>
    <x v="1"/>
    <x v="1"/>
    <n v="47"/>
    <x v="1"/>
    <x v="6"/>
    <x v="3"/>
  </r>
  <r>
    <n v="2411"/>
    <x v="39"/>
    <x v="0"/>
    <x v="9"/>
    <x v="1"/>
    <x v="35"/>
    <x v="48"/>
    <s v="M"/>
    <s v="Maroon"/>
    <s v="Summer"/>
    <n v="3.7"/>
    <x v="1"/>
    <x v="1"/>
    <x v="1"/>
    <x v="1"/>
    <n v="46"/>
    <x v="3"/>
    <x v="5"/>
    <x v="5"/>
  </r>
  <r>
    <n v="2412"/>
    <x v="34"/>
    <x v="0"/>
    <x v="15"/>
    <x v="0"/>
    <x v="48"/>
    <x v="41"/>
    <s v="M"/>
    <s v="Cyan"/>
    <s v="Summer"/>
    <n v="2.7"/>
    <x v="1"/>
    <x v="1"/>
    <x v="1"/>
    <x v="1"/>
    <n v="35"/>
    <x v="1"/>
    <x v="6"/>
    <x v="3"/>
  </r>
  <r>
    <n v="2413"/>
    <x v="10"/>
    <x v="0"/>
    <x v="14"/>
    <x v="2"/>
    <x v="12"/>
    <x v="4"/>
    <s v="M"/>
    <s v="Pink"/>
    <s v="Winter"/>
    <n v="4.3"/>
    <x v="1"/>
    <x v="4"/>
    <x v="1"/>
    <x v="1"/>
    <n v="8"/>
    <x v="4"/>
    <x v="4"/>
    <x v="4"/>
  </r>
  <r>
    <n v="2414"/>
    <x v="28"/>
    <x v="0"/>
    <x v="6"/>
    <x v="0"/>
    <x v="51"/>
    <x v="38"/>
    <s v="XL"/>
    <s v="Violet"/>
    <s v="Fall"/>
    <n v="2.7"/>
    <x v="1"/>
    <x v="4"/>
    <x v="1"/>
    <x v="1"/>
    <n v="30"/>
    <x v="4"/>
    <x v="1"/>
    <x v="1"/>
  </r>
  <r>
    <n v="2415"/>
    <x v="8"/>
    <x v="0"/>
    <x v="20"/>
    <x v="0"/>
    <x v="46"/>
    <x v="41"/>
    <s v="M"/>
    <s v="Lavender"/>
    <s v="Summer"/>
    <n v="3.7"/>
    <x v="1"/>
    <x v="2"/>
    <x v="1"/>
    <x v="1"/>
    <n v="14"/>
    <x v="2"/>
    <x v="4"/>
    <x v="4"/>
  </r>
  <r>
    <n v="2416"/>
    <x v="3"/>
    <x v="0"/>
    <x v="7"/>
    <x v="2"/>
    <x v="7"/>
    <x v="11"/>
    <s v="XL"/>
    <s v="Lavender"/>
    <s v="Fall"/>
    <n v="4.3"/>
    <x v="1"/>
    <x v="3"/>
    <x v="1"/>
    <x v="1"/>
    <n v="30"/>
    <x v="4"/>
    <x v="1"/>
    <x v="1"/>
  </r>
  <r>
    <n v="2417"/>
    <x v="35"/>
    <x v="0"/>
    <x v="3"/>
    <x v="1"/>
    <x v="42"/>
    <x v="43"/>
    <s v="S"/>
    <s v="Black"/>
    <s v="Summer"/>
    <n v="4"/>
    <x v="1"/>
    <x v="2"/>
    <x v="1"/>
    <x v="1"/>
    <n v="26"/>
    <x v="2"/>
    <x v="6"/>
    <x v="3"/>
  </r>
  <r>
    <n v="2418"/>
    <x v="3"/>
    <x v="0"/>
    <x v="21"/>
    <x v="3"/>
    <x v="41"/>
    <x v="29"/>
    <s v="M"/>
    <s v="Olive"/>
    <s v="Fall"/>
    <n v="3.3"/>
    <x v="1"/>
    <x v="3"/>
    <x v="1"/>
    <x v="1"/>
    <n v="32"/>
    <x v="0"/>
    <x v="0"/>
    <x v="0"/>
  </r>
  <r>
    <n v="2419"/>
    <x v="40"/>
    <x v="0"/>
    <x v="13"/>
    <x v="0"/>
    <x v="28"/>
    <x v="49"/>
    <s v="S"/>
    <s v="Indigo"/>
    <s v="Fall"/>
    <n v="4"/>
    <x v="1"/>
    <x v="2"/>
    <x v="1"/>
    <x v="1"/>
    <n v="47"/>
    <x v="1"/>
    <x v="6"/>
    <x v="3"/>
  </r>
  <r>
    <n v="2420"/>
    <x v="8"/>
    <x v="0"/>
    <x v="1"/>
    <x v="0"/>
    <x v="49"/>
    <x v="17"/>
    <s v="M"/>
    <s v="Blue"/>
    <s v="Fall"/>
    <n v="2.7"/>
    <x v="1"/>
    <x v="2"/>
    <x v="1"/>
    <x v="1"/>
    <n v="11"/>
    <x v="2"/>
    <x v="6"/>
    <x v="3"/>
  </r>
  <r>
    <n v="2421"/>
    <x v="38"/>
    <x v="0"/>
    <x v="14"/>
    <x v="2"/>
    <x v="55"/>
    <x v="17"/>
    <s v="S"/>
    <s v="Green"/>
    <s v="Winter"/>
    <n v="4.2"/>
    <x v="1"/>
    <x v="1"/>
    <x v="1"/>
    <x v="1"/>
    <n v="28"/>
    <x v="3"/>
    <x v="2"/>
    <x v="2"/>
  </r>
  <r>
    <n v="2422"/>
    <x v="43"/>
    <x v="0"/>
    <x v="4"/>
    <x v="1"/>
    <x v="43"/>
    <x v="46"/>
    <s v="L"/>
    <s v="Pink"/>
    <s v="Spring"/>
    <n v="4.5999999999999996"/>
    <x v="1"/>
    <x v="3"/>
    <x v="1"/>
    <x v="1"/>
    <n v="2"/>
    <x v="5"/>
    <x v="6"/>
    <x v="3"/>
  </r>
  <r>
    <n v="2423"/>
    <x v="11"/>
    <x v="0"/>
    <x v="16"/>
    <x v="3"/>
    <x v="71"/>
    <x v="42"/>
    <s v="M"/>
    <s v="Peach"/>
    <s v="Winter"/>
    <n v="4.8"/>
    <x v="1"/>
    <x v="5"/>
    <x v="1"/>
    <x v="1"/>
    <n v="45"/>
    <x v="2"/>
    <x v="1"/>
    <x v="1"/>
  </r>
  <r>
    <n v="2424"/>
    <x v="34"/>
    <x v="0"/>
    <x v="21"/>
    <x v="3"/>
    <x v="13"/>
    <x v="8"/>
    <s v="M"/>
    <s v="Purple"/>
    <s v="Summer"/>
    <n v="2.8"/>
    <x v="1"/>
    <x v="1"/>
    <x v="1"/>
    <x v="1"/>
    <n v="7"/>
    <x v="2"/>
    <x v="6"/>
    <x v="3"/>
  </r>
  <r>
    <n v="2425"/>
    <x v="34"/>
    <x v="0"/>
    <x v="16"/>
    <x v="3"/>
    <x v="75"/>
    <x v="12"/>
    <s v="M"/>
    <s v="Peach"/>
    <s v="Winter"/>
    <n v="4.5"/>
    <x v="1"/>
    <x v="2"/>
    <x v="1"/>
    <x v="1"/>
    <n v="28"/>
    <x v="4"/>
    <x v="4"/>
    <x v="4"/>
  </r>
  <r>
    <n v="2426"/>
    <x v="44"/>
    <x v="0"/>
    <x v="9"/>
    <x v="1"/>
    <x v="4"/>
    <x v="25"/>
    <s v="S"/>
    <s v="Olive"/>
    <s v="Summer"/>
    <n v="3"/>
    <x v="1"/>
    <x v="4"/>
    <x v="1"/>
    <x v="1"/>
    <n v="34"/>
    <x v="4"/>
    <x v="3"/>
    <x v="3"/>
  </r>
  <r>
    <n v="2427"/>
    <x v="27"/>
    <x v="0"/>
    <x v="14"/>
    <x v="2"/>
    <x v="69"/>
    <x v="20"/>
    <s v="M"/>
    <s v="Olive"/>
    <s v="Fall"/>
    <n v="4.5999999999999996"/>
    <x v="1"/>
    <x v="1"/>
    <x v="1"/>
    <x v="1"/>
    <n v="26"/>
    <x v="5"/>
    <x v="6"/>
    <x v="3"/>
  </r>
  <r>
    <n v="2428"/>
    <x v="7"/>
    <x v="0"/>
    <x v="14"/>
    <x v="2"/>
    <x v="46"/>
    <x v="4"/>
    <s v="M"/>
    <s v="Purple"/>
    <s v="Spring"/>
    <n v="3.3"/>
    <x v="1"/>
    <x v="3"/>
    <x v="1"/>
    <x v="1"/>
    <n v="45"/>
    <x v="1"/>
    <x v="3"/>
    <x v="3"/>
  </r>
  <r>
    <n v="2429"/>
    <x v="13"/>
    <x v="0"/>
    <x v="17"/>
    <x v="0"/>
    <x v="15"/>
    <x v="37"/>
    <s v="M"/>
    <s v="Violet"/>
    <s v="Spring"/>
    <n v="4.4000000000000004"/>
    <x v="1"/>
    <x v="2"/>
    <x v="1"/>
    <x v="1"/>
    <n v="34"/>
    <x v="5"/>
    <x v="2"/>
    <x v="2"/>
  </r>
  <r>
    <n v="2430"/>
    <x v="9"/>
    <x v="0"/>
    <x v="4"/>
    <x v="1"/>
    <x v="75"/>
    <x v="41"/>
    <s v="XL"/>
    <s v="Maroon"/>
    <s v="Summer"/>
    <n v="4.4000000000000004"/>
    <x v="1"/>
    <x v="3"/>
    <x v="1"/>
    <x v="1"/>
    <n v="47"/>
    <x v="2"/>
    <x v="0"/>
    <x v="0"/>
  </r>
  <r>
    <n v="2431"/>
    <x v="30"/>
    <x v="0"/>
    <x v="14"/>
    <x v="2"/>
    <x v="33"/>
    <x v="25"/>
    <s v="XL"/>
    <s v="White"/>
    <s v="Summer"/>
    <n v="4.3"/>
    <x v="1"/>
    <x v="0"/>
    <x v="1"/>
    <x v="1"/>
    <n v="42"/>
    <x v="1"/>
    <x v="3"/>
    <x v="3"/>
  </r>
  <r>
    <n v="2432"/>
    <x v="50"/>
    <x v="0"/>
    <x v="15"/>
    <x v="0"/>
    <x v="2"/>
    <x v="15"/>
    <s v="S"/>
    <s v="Olive"/>
    <s v="Fall"/>
    <n v="3.4"/>
    <x v="1"/>
    <x v="0"/>
    <x v="1"/>
    <x v="1"/>
    <n v="27"/>
    <x v="4"/>
    <x v="6"/>
    <x v="3"/>
  </r>
  <r>
    <n v="2433"/>
    <x v="35"/>
    <x v="0"/>
    <x v="14"/>
    <x v="2"/>
    <x v="76"/>
    <x v="11"/>
    <s v="M"/>
    <s v="Peach"/>
    <s v="Winter"/>
    <n v="2.8"/>
    <x v="1"/>
    <x v="5"/>
    <x v="1"/>
    <x v="1"/>
    <n v="43"/>
    <x v="0"/>
    <x v="5"/>
    <x v="5"/>
  </r>
  <r>
    <n v="2434"/>
    <x v="22"/>
    <x v="0"/>
    <x v="17"/>
    <x v="0"/>
    <x v="2"/>
    <x v="4"/>
    <s v="M"/>
    <s v="Blue"/>
    <s v="Spring"/>
    <n v="3.4"/>
    <x v="1"/>
    <x v="3"/>
    <x v="1"/>
    <x v="1"/>
    <n v="16"/>
    <x v="1"/>
    <x v="4"/>
    <x v="4"/>
  </r>
  <r>
    <n v="2435"/>
    <x v="24"/>
    <x v="0"/>
    <x v="24"/>
    <x v="3"/>
    <x v="29"/>
    <x v="40"/>
    <s v="M"/>
    <s v="Brown"/>
    <s v="Spring"/>
    <n v="5"/>
    <x v="1"/>
    <x v="5"/>
    <x v="1"/>
    <x v="1"/>
    <n v="40"/>
    <x v="2"/>
    <x v="5"/>
    <x v="5"/>
  </r>
  <r>
    <n v="2436"/>
    <x v="3"/>
    <x v="0"/>
    <x v="4"/>
    <x v="1"/>
    <x v="65"/>
    <x v="11"/>
    <s v="S"/>
    <s v="Black"/>
    <s v="Fall"/>
    <n v="4.5"/>
    <x v="1"/>
    <x v="1"/>
    <x v="1"/>
    <x v="1"/>
    <n v="29"/>
    <x v="1"/>
    <x v="4"/>
    <x v="4"/>
  </r>
  <r>
    <n v="2437"/>
    <x v="16"/>
    <x v="0"/>
    <x v="17"/>
    <x v="0"/>
    <x v="41"/>
    <x v="39"/>
    <s v="M"/>
    <s v="Yellow"/>
    <s v="Fall"/>
    <n v="2.7"/>
    <x v="1"/>
    <x v="5"/>
    <x v="1"/>
    <x v="1"/>
    <n v="38"/>
    <x v="2"/>
    <x v="3"/>
    <x v="3"/>
  </r>
  <r>
    <n v="2438"/>
    <x v="49"/>
    <x v="0"/>
    <x v="4"/>
    <x v="1"/>
    <x v="40"/>
    <x v="5"/>
    <s v="XL"/>
    <s v="Magenta"/>
    <s v="Winter"/>
    <n v="3.4"/>
    <x v="1"/>
    <x v="5"/>
    <x v="1"/>
    <x v="1"/>
    <n v="34"/>
    <x v="2"/>
    <x v="1"/>
    <x v="1"/>
  </r>
  <r>
    <n v="2439"/>
    <x v="45"/>
    <x v="0"/>
    <x v="2"/>
    <x v="0"/>
    <x v="5"/>
    <x v="12"/>
    <s v="S"/>
    <s v="Cyan"/>
    <s v="Winter"/>
    <n v="3.4"/>
    <x v="1"/>
    <x v="0"/>
    <x v="1"/>
    <x v="1"/>
    <n v="30"/>
    <x v="0"/>
    <x v="1"/>
    <x v="1"/>
  </r>
  <r>
    <n v="2440"/>
    <x v="0"/>
    <x v="0"/>
    <x v="8"/>
    <x v="3"/>
    <x v="77"/>
    <x v="10"/>
    <s v="M"/>
    <s v="Maroon"/>
    <s v="Summer"/>
    <n v="2.8"/>
    <x v="1"/>
    <x v="3"/>
    <x v="1"/>
    <x v="1"/>
    <n v="45"/>
    <x v="4"/>
    <x v="2"/>
    <x v="2"/>
  </r>
  <r>
    <n v="2441"/>
    <x v="18"/>
    <x v="0"/>
    <x v="20"/>
    <x v="0"/>
    <x v="3"/>
    <x v="27"/>
    <s v="M"/>
    <s v="Red"/>
    <s v="Spring"/>
    <n v="4.7"/>
    <x v="1"/>
    <x v="3"/>
    <x v="1"/>
    <x v="1"/>
    <n v="47"/>
    <x v="4"/>
    <x v="2"/>
    <x v="2"/>
  </r>
  <r>
    <n v="2442"/>
    <x v="4"/>
    <x v="0"/>
    <x v="16"/>
    <x v="3"/>
    <x v="14"/>
    <x v="18"/>
    <s v="M"/>
    <s v="Black"/>
    <s v="Fall"/>
    <n v="4.7"/>
    <x v="1"/>
    <x v="1"/>
    <x v="1"/>
    <x v="1"/>
    <n v="5"/>
    <x v="2"/>
    <x v="5"/>
    <x v="5"/>
  </r>
  <r>
    <n v="2443"/>
    <x v="10"/>
    <x v="0"/>
    <x v="0"/>
    <x v="0"/>
    <x v="51"/>
    <x v="5"/>
    <s v="L"/>
    <s v="Violet"/>
    <s v="Winter"/>
    <n v="4.7"/>
    <x v="1"/>
    <x v="1"/>
    <x v="1"/>
    <x v="1"/>
    <n v="50"/>
    <x v="5"/>
    <x v="4"/>
    <x v="4"/>
  </r>
  <r>
    <n v="2444"/>
    <x v="41"/>
    <x v="0"/>
    <x v="21"/>
    <x v="3"/>
    <x v="38"/>
    <x v="45"/>
    <s v="M"/>
    <s v="Green"/>
    <s v="Spring"/>
    <n v="3.4"/>
    <x v="1"/>
    <x v="4"/>
    <x v="1"/>
    <x v="1"/>
    <n v="24"/>
    <x v="4"/>
    <x v="4"/>
    <x v="4"/>
  </r>
  <r>
    <n v="2445"/>
    <x v="36"/>
    <x v="0"/>
    <x v="18"/>
    <x v="3"/>
    <x v="61"/>
    <x v="8"/>
    <s v="S"/>
    <s v="Gold"/>
    <s v="Fall"/>
    <n v="3.7"/>
    <x v="1"/>
    <x v="0"/>
    <x v="1"/>
    <x v="1"/>
    <n v="15"/>
    <x v="5"/>
    <x v="4"/>
    <x v="4"/>
  </r>
  <r>
    <n v="2446"/>
    <x v="6"/>
    <x v="0"/>
    <x v="18"/>
    <x v="3"/>
    <x v="48"/>
    <x v="30"/>
    <s v="M"/>
    <s v="Brown"/>
    <s v="Summer"/>
    <n v="4.0999999999999996"/>
    <x v="1"/>
    <x v="5"/>
    <x v="1"/>
    <x v="1"/>
    <n v="50"/>
    <x v="1"/>
    <x v="1"/>
    <x v="1"/>
  </r>
  <r>
    <n v="2447"/>
    <x v="21"/>
    <x v="0"/>
    <x v="5"/>
    <x v="0"/>
    <x v="61"/>
    <x v="29"/>
    <s v="L"/>
    <s v="Peach"/>
    <s v="Spring"/>
    <n v="2.9"/>
    <x v="1"/>
    <x v="4"/>
    <x v="1"/>
    <x v="1"/>
    <n v="7"/>
    <x v="2"/>
    <x v="5"/>
    <x v="5"/>
  </r>
  <r>
    <n v="2448"/>
    <x v="35"/>
    <x v="0"/>
    <x v="13"/>
    <x v="0"/>
    <x v="53"/>
    <x v="45"/>
    <s v="L"/>
    <s v="Peach"/>
    <s v="Fall"/>
    <n v="3.2"/>
    <x v="1"/>
    <x v="5"/>
    <x v="1"/>
    <x v="1"/>
    <n v="10"/>
    <x v="0"/>
    <x v="0"/>
    <x v="0"/>
  </r>
  <r>
    <n v="2449"/>
    <x v="22"/>
    <x v="0"/>
    <x v="19"/>
    <x v="3"/>
    <x v="21"/>
    <x v="30"/>
    <s v="S"/>
    <s v="Violet"/>
    <s v="Fall"/>
    <n v="3"/>
    <x v="1"/>
    <x v="1"/>
    <x v="1"/>
    <x v="1"/>
    <n v="38"/>
    <x v="3"/>
    <x v="4"/>
    <x v="4"/>
  </r>
  <r>
    <n v="2450"/>
    <x v="8"/>
    <x v="0"/>
    <x v="7"/>
    <x v="2"/>
    <x v="22"/>
    <x v="15"/>
    <s v="S"/>
    <s v="Violet"/>
    <s v="Fall"/>
    <n v="4.0999999999999996"/>
    <x v="1"/>
    <x v="0"/>
    <x v="1"/>
    <x v="1"/>
    <n v="31"/>
    <x v="0"/>
    <x v="0"/>
    <x v="0"/>
  </r>
  <r>
    <n v="2451"/>
    <x v="33"/>
    <x v="0"/>
    <x v="17"/>
    <x v="0"/>
    <x v="31"/>
    <x v="17"/>
    <s v="M"/>
    <s v="Magenta"/>
    <s v="Fall"/>
    <n v="4.5"/>
    <x v="1"/>
    <x v="3"/>
    <x v="1"/>
    <x v="1"/>
    <n v="7"/>
    <x v="0"/>
    <x v="3"/>
    <x v="3"/>
  </r>
  <r>
    <n v="2452"/>
    <x v="38"/>
    <x v="0"/>
    <x v="20"/>
    <x v="0"/>
    <x v="30"/>
    <x v="19"/>
    <s v="M"/>
    <s v="Purple"/>
    <s v="Fall"/>
    <n v="3.4"/>
    <x v="1"/>
    <x v="5"/>
    <x v="1"/>
    <x v="1"/>
    <n v="27"/>
    <x v="0"/>
    <x v="5"/>
    <x v="5"/>
  </r>
  <r>
    <n v="2453"/>
    <x v="33"/>
    <x v="0"/>
    <x v="5"/>
    <x v="0"/>
    <x v="25"/>
    <x v="14"/>
    <s v="L"/>
    <s v="Purple"/>
    <s v="Winter"/>
    <n v="4.0999999999999996"/>
    <x v="1"/>
    <x v="0"/>
    <x v="1"/>
    <x v="1"/>
    <n v="45"/>
    <x v="4"/>
    <x v="6"/>
    <x v="3"/>
  </r>
  <r>
    <n v="2454"/>
    <x v="3"/>
    <x v="0"/>
    <x v="1"/>
    <x v="0"/>
    <x v="51"/>
    <x v="44"/>
    <s v="XL"/>
    <s v="Cyan"/>
    <s v="Spring"/>
    <n v="4.5999999999999996"/>
    <x v="1"/>
    <x v="5"/>
    <x v="1"/>
    <x v="1"/>
    <n v="13"/>
    <x v="1"/>
    <x v="2"/>
    <x v="2"/>
  </r>
  <r>
    <n v="2455"/>
    <x v="45"/>
    <x v="0"/>
    <x v="24"/>
    <x v="3"/>
    <x v="11"/>
    <x v="29"/>
    <s v="M"/>
    <s v="Magenta"/>
    <s v="Winter"/>
    <n v="4.5999999999999996"/>
    <x v="1"/>
    <x v="0"/>
    <x v="1"/>
    <x v="1"/>
    <n v="33"/>
    <x v="0"/>
    <x v="2"/>
    <x v="2"/>
  </r>
  <r>
    <n v="2456"/>
    <x v="30"/>
    <x v="0"/>
    <x v="22"/>
    <x v="3"/>
    <x v="57"/>
    <x v="29"/>
    <s v="L"/>
    <s v="Lavender"/>
    <s v="Spring"/>
    <n v="3.4"/>
    <x v="1"/>
    <x v="0"/>
    <x v="1"/>
    <x v="1"/>
    <n v="25"/>
    <x v="1"/>
    <x v="6"/>
    <x v="3"/>
  </r>
  <r>
    <n v="2457"/>
    <x v="35"/>
    <x v="0"/>
    <x v="2"/>
    <x v="0"/>
    <x v="42"/>
    <x v="43"/>
    <s v="M"/>
    <s v="Green"/>
    <s v="Winter"/>
    <n v="3.3"/>
    <x v="1"/>
    <x v="4"/>
    <x v="1"/>
    <x v="1"/>
    <n v="5"/>
    <x v="3"/>
    <x v="5"/>
    <x v="5"/>
  </r>
  <r>
    <n v="2458"/>
    <x v="10"/>
    <x v="0"/>
    <x v="8"/>
    <x v="3"/>
    <x v="18"/>
    <x v="12"/>
    <s v="M"/>
    <s v="Maroon"/>
    <s v="Fall"/>
    <n v="3.6"/>
    <x v="1"/>
    <x v="4"/>
    <x v="1"/>
    <x v="1"/>
    <n v="23"/>
    <x v="1"/>
    <x v="3"/>
    <x v="3"/>
  </r>
  <r>
    <n v="2459"/>
    <x v="17"/>
    <x v="0"/>
    <x v="17"/>
    <x v="0"/>
    <x v="6"/>
    <x v="21"/>
    <s v="L"/>
    <s v="Turquoise"/>
    <s v="Fall"/>
    <n v="4.5999999999999996"/>
    <x v="1"/>
    <x v="1"/>
    <x v="1"/>
    <x v="1"/>
    <n v="17"/>
    <x v="4"/>
    <x v="1"/>
    <x v="1"/>
  </r>
  <r>
    <n v="2460"/>
    <x v="36"/>
    <x v="0"/>
    <x v="20"/>
    <x v="0"/>
    <x v="14"/>
    <x v="9"/>
    <s v="L"/>
    <s v="Violet"/>
    <s v="Fall"/>
    <n v="4.3"/>
    <x v="1"/>
    <x v="4"/>
    <x v="1"/>
    <x v="1"/>
    <n v="14"/>
    <x v="1"/>
    <x v="1"/>
    <x v="1"/>
  </r>
  <r>
    <n v="2461"/>
    <x v="44"/>
    <x v="0"/>
    <x v="2"/>
    <x v="0"/>
    <x v="14"/>
    <x v="1"/>
    <s v="S"/>
    <s v="Lavender"/>
    <s v="Winter"/>
    <n v="4"/>
    <x v="1"/>
    <x v="5"/>
    <x v="1"/>
    <x v="1"/>
    <n v="28"/>
    <x v="2"/>
    <x v="2"/>
    <x v="2"/>
  </r>
  <r>
    <n v="2462"/>
    <x v="48"/>
    <x v="0"/>
    <x v="18"/>
    <x v="3"/>
    <x v="62"/>
    <x v="38"/>
    <s v="L"/>
    <s v="Red"/>
    <s v="Summer"/>
    <n v="4.8"/>
    <x v="1"/>
    <x v="2"/>
    <x v="1"/>
    <x v="1"/>
    <n v="19"/>
    <x v="2"/>
    <x v="1"/>
    <x v="1"/>
  </r>
  <r>
    <n v="2463"/>
    <x v="33"/>
    <x v="0"/>
    <x v="13"/>
    <x v="0"/>
    <x v="54"/>
    <x v="9"/>
    <s v="XL"/>
    <s v="Orange"/>
    <s v="Spring"/>
    <n v="4.3"/>
    <x v="1"/>
    <x v="3"/>
    <x v="1"/>
    <x v="1"/>
    <n v="31"/>
    <x v="4"/>
    <x v="4"/>
    <x v="4"/>
  </r>
  <r>
    <n v="2464"/>
    <x v="52"/>
    <x v="0"/>
    <x v="0"/>
    <x v="0"/>
    <x v="34"/>
    <x v="16"/>
    <s v="XL"/>
    <s v="Indigo"/>
    <s v="Summer"/>
    <n v="3.3"/>
    <x v="1"/>
    <x v="3"/>
    <x v="1"/>
    <x v="1"/>
    <n v="25"/>
    <x v="1"/>
    <x v="4"/>
    <x v="4"/>
  </r>
  <r>
    <n v="2465"/>
    <x v="36"/>
    <x v="0"/>
    <x v="14"/>
    <x v="2"/>
    <x v="63"/>
    <x v="11"/>
    <s v="L"/>
    <s v="Teal"/>
    <s v="Winter"/>
    <n v="2.8"/>
    <x v="1"/>
    <x v="0"/>
    <x v="1"/>
    <x v="1"/>
    <n v="4"/>
    <x v="1"/>
    <x v="4"/>
    <x v="4"/>
  </r>
  <r>
    <n v="2466"/>
    <x v="20"/>
    <x v="0"/>
    <x v="3"/>
    <x v="1"/>
    <x v="80"/>
    <x v="21"/>
    <s v="M"/>
    <s v="Brown"/>
    <s v="Spring"/>
    <n v="4.4000000000000004"/>
    <x v="1"/>
    <x v="1"/>
    <x v="1"/>
    <x v="1"/>
    <n v="20"/>
    <x v="4"/>
    <x v="1"/>
    <x v="1"/>
  </r>
  <r>
    <n v="2467"/>
    <x v="45"/>
    <x v="0"/>
    <x v="6"/>
    <x v="0"/>
    <x v="63"/>
    <x v="45"/>
    <s v="S"/>
    <s v="Pink"/>
    <s v="Summer"/>
    <n v="3.7"/>
    <x v="1"/>
    <x v="0"/>
    <x v="1"/>
    <x v="1"/>
    <n v="37"/>
    <x v="1"/>
    <x v="2"/>
    <x v="2"/>
  </r>
  <r>
    <n v="2468"/>
    <x v="7"/>
    <x v="0"/>
    <x v="6"/>
    <x v="0"/>
    <x v="11"/>
    <x v="32"/>
    <s v="M"/>
    <s v="Lavender"/>
    <s v="Spring"/>
    <n v="3.6"/>
    <x v="1"/>
    <x v="0"/>
    <x v="1"/>
    <x v="1"/>
    <n v="28"/>
    <x v="2"/>
    <x v="2"/>
    <x v="2"/>
  </r>
  <r>
    <n v="2469"/>
    <x v="13"/>
    <x v="0"/>
    <x v="11"/>
    <x v="0"/>
    <x v="34"/>
    <x v="39"/>
    <s v="L"/>
    <s v="Cyan"/>
    <s v="Winter"/>
    <n v="3.7"/>
    <x v="1"/>
    <x v="4"/>
    <x v="1"/>
    <x v="1"/>
    <n v="6"/>
    <x v="0"/>
    <x v="1"/>
    <x v="1"/>
  </r>
  <r>
    <n v="2470"/>
    <x v="33"/>
    <x v="0"/>
    <x v="3"/>
    <x v="1"/>
    <x v="56"/>
    <x v="33"/>
    <s v="M"/>
    <s v="Yellow"/>
    <s v="Fall"/>
    <n v="5"/>
    <x v="1"/>
    <x v="3"/>
    <x v="1"/>
    <x v="1"/>
    <n v="27"/>
    <x v="3"/>
    <x v="2"/>
    <x v="2"/>
  </r>
  <r>
    <n v="2471"/>
    <x v="0"/>
    <x v="0"/>
    <x v="0"/>
    <x v="0"/>
    <x v="11"/>
    <x v="28"/>
    <s v="XL"/>
    <s v="Pink"/>
    <s v="Fall"/>
    <n v="2.7"/>
    <x v="1"/>
    <x v="2"/>
    <x v="1"/>
    <x v="1"/>
    <n v="29"/>
    <x v="2"/>
    <x v="0"/>
    <x v="0"/>
  </r>
  <r>
    <n v="2472"/>
    <x v="11"/>
    <x v="0"/>
    <x v="3"/>
    <x v="1"/>
    <x v="42"/>
    <x v="19"/>
    <s v="M"/>
    <s v="Gray"/>
    <s v="Spring"/>
    <n v="4.3"/>
    <x v="1"/>
    <x v="5"/>
    <x v="1"/>
    <x v="1"/>
    <n v="1"/>
    <x v="1"/>
    <x v="2"/>
    <x v="2"/>
  </r>
  <r>
    <n v="2473"/>
    <x v="41"/>
    <x v="0"/>
    <x v="5"/>
    <x v="0"/>
    <x v="2"/>
    <x v="40"/>
    <s v="M"/>
    <s v="Peach"/>
    <s v="Summer"/>
    <n v="4.0999999999999996"/>
    <x v="1"/>
    <x v="3"/>
    <x v="1"/>
    <x v="1"/>
    <n v="31"/>
    <x v="2"/>
    <x v="2"/>
    <x v="2"/>
  </r>
  <r>
    <n v="2474"/>
    <x v="9"/>
    <x v="0"/>
    <x v="20"/>
    <x v="0"/>
    <x v="57"/>
    <x v="10"/>
    <s v="M"/>
    <s v="Red"/>
    <s v="Winter"/>
    <n v="2.6"/>
    <x v="1"/>
    <x v="2"/>
    <x v="1"/>
    <x v="1"/>
    <n v="28"/>
    <x v="1"/>
    <x v="3"/>
    <x v="3"/>
  </r>
  <r>
    <n v="2475"/>
    <x v="51"/>
    <x v="0"/>
    <x v="17"/>
    <x v="0"/>
    <x v="31"/>
    <x v="17"/>
    <s v="M"/>
    <s v="Olive"/>
    <s v="Fall"/>
    <n v="3.2"/>
    <x v="1"/>
    <x v="5"/>
    <x v="1"/>
    <x v="1"/>
    <n v="19"/>
    <x v="4"/>
    <x v="3"/>
    <x v="3"/>
  </r>
  <r>
    <n v="2476"/>
    <x v="28"/>
    <x v="0"/>
    <x v="10"/>
    <x v="0"/>
    <x v="35"/>
    <x v="18"/>
    <s v="S"/>
    <s v="Lavender"/>
    <s v="Summer"/>
    <n v="3.5"/>
    <x v="1"/>
    <x v="2"/>
    <x v="1"/>
    <x v="1"/>
    <n v="36"/>
    <x v="0"/>
    <x v="5"/>
    <x v="5"/>
  </r>
  <r>
    <n v="2477"/>
    <x v="52"/>
    <x v="0"/>
    <x v="19"/>
    <x v="3"/>
    <x v="30"/>
    <x v="24"/>
    <s v="M"/>
    <s v="Turquoise"/>
    <s v="Summer"/>
    <n v="3.7"/>
    <x v="1"/>
    <x v="2"/>
    <x v="1"/>
    <x v="1"/>
    <n v="28"/>
    <x v="1"/>
    <x v="5"/>
    <x v="5"/>
  </r>
  <r>
    <n v="2478"/>
    <x v="15"/>
    <x v="0"/>
    <x v="24"/>
    <x v="3"/>
    <x v="49"/>
    <x v="18"/>
    <s v="L"/>
    <s v="Turquoise"/>
    <s v="Spring"/>
    <n v="3.8"/>
    <x v="1"/>
    <x v="4"/>
    <x v="1"/>
    <x v="1"/>
    <n v="29"/>
    <x v="3"/>
    <x v="1"/>
    <x v="1"/>
  </r>
  <r>
    <n v="2479"/>
    <x v="20"/>
    <x v="0"/>
    <x v="20"/>
    <x v="0"/>
    <x v="73"/>
    <x v="34"/>
    <s v="S"/>
    <s v="Maroon"/>
    <s v="Winter"/>
    <n v="4.8"/>
    <x v="1"/>
    <x v="4"/>
    <x v="1"/>
    <x v="1"/>
    <n v="9"/>
    <x v="4"/>
    <x v="6"/>
    <x v="3"/>
  </r>
  <r>
    <n v="2480"/>
    <x v="43"/>
    <x v="0"/>
    <x v="10"/>
    <x v="0"/>
    <x v="57"/>
    <x v="23"/>
    <s v="S"/>
    <s v="Olive"/>
    <s v="Fall"/>
    <n v="4.2"/>
    <x v="1"/>
    <x v="3"/>
    <x v="1"/>
    <x v="1"/>
    <n v="26"/>
    <x v="2"/>
    <x v="6"/>
    <x v="3"/>
  </r>
  <r>
    <n v="2481"/>
    <x v="12"/>
    <x v="0"/>
    <x v="20"/>
    <x v="0"/>
    <x v="26"/>
    <x v="31"/>
    <s v="XL"/>
    <s v="Maroon"/>
    <s v="Summer"/>
    <n v="2.9"/>
    <x v="1"/>
    <x v="2"/>
    <x v="1"/>
    <x v="1"/>
    <n v="7"/>
    <x v="2"/>
    <x v="0"/>
    <x v="0"/>
  </r>
  <r>
    <n v="2482"/>
    <x v="38"/>
    <x v="0"/>
    <x v="22"/>
    <x v="3"/>
    <x v="56"/>
    <x v="32"/>
    <s v="XL"/>
    <s v="Cyan"/>
    <s v="Fall"/>
    <n v="2.9"/>
    <x v="1"/>
    <x v="1"/>
    <x v="1"/>
    <x v="1"/>
    <n v="35"/>
    <x v="5"/>
    <x v="1"/>
    <x v="1"/>
  </r>
  <r>
    <n v="2483"/>
    <x v="28"/>
    <x v="0"/>
    <x v="8"/>
    <x v="3"/>
    <x v="55"/>
    <x v="28"/>
    <s v="S"/>
    <s v="Peach"/>
    <s v="Winter"/>
    <n v="4.8"/>
    <x v="1"/>
    <x v="2"/>
    <x v="1"/>
    <x v="1"/>
    <n v="46"/>
    <x v="2"/>
    <x v="6"/>
    <x v="3"/>
  </r>
  <r>
    <n v="2484"/>
    <x v="45"/>
    <x v="0"/>
    <x v="11"/>
    <x v="0"/>
    <x v="48"/>
    <x v="28"/>
    <s v="S"/>
    <s v="Teal"/>
    <s v="Fall"/>
    <n v="2.9"/>
    <x v="1"/>
    <x v="3"/>
    <x v="1"/>
    <x v="1"/>
    <n v="8"/>
    <x v="5"/>
    <x v="5"/>
    <x v="5"/>
  </r>
  <r>
    <n v="2485"/>
    <x v="52"/>
    <x v="0"/>
    <x v="15"/>
    <x v="0"/>
    <x v="8"/>
    <x v="13"/>
    <s v="M"/>
    <s v="Green"/>
    <s v="Summer"/>
    <n v="4.8"/>
    <x v="1"/>
    <x v="4"/>
    <x v="1"/>
    <x v="1"/>
    <n v="50"/>
    <x v="1"/>
    <x v="6"/>
    <x v="3"/>
  </r>
  <r>
    <n v="2486"/>
    <x v="49"/>
    <x v="0"/>
    <x v="0"/>
    <x v="0"/>
    <x v="37"/>
    <x v="7"/>
    <s v="M"/>
    <s v="Beige"/>
    <s v="Spring"/>
    <n v="4.5999999999999996"/>
    <x v="1"/>
    <x v="4"/>
    <x v="1"/>
    <x v="1"/>
    <n v="37"/>
    <x v="4"/>
    <x v="2"/>
    <x v="2"/>
  </r>
  <r>
    <n v="2487"/>
    <x v="12"/>
    <x v="0"/>
    <x v="2"/>
    <x v="0"/>
    <x v="47"/>
    <x v="21"/>
    <s v="L"/>
    <s v="Magenta"/>
    <s v="Spring"/>
    <n v="4.4000000000000004"/>
    <x v="1"/>
    <x v="5"/>
    <x v="1"/>
    <x v="1"/>
    <n v="6"/>
    <x v="2"/>
    <x v="0"/>
    <x v="0"/>
  </r>
  <r>
    <n v="2488"/>
    <x v="9"/>
    <x v="0"/>
    <x v="23"/>
    <x v="1"/>
    <x v="34"/>
    <x v="6"/>
    <s v="L"/>
    <s v="Violet"/>
    <s v="Spring"/>
    <n v="3"/>
    <x v="1"/>
    <x v="2"/>
    <x v="1"/>
    <x v="1"/>
    <n v="16"/>
    <x v="3"/>
    <x v="4"/>
    <x v="4"/>
  </r>
  <r>
    <n v="2489"/>
    <x v="19"/>
    <x v="0"/>
    <x v="8"/>
    <x v="3"/>
    <x v="71"/>
    <x v="13"/>
    <s v="XL"/>
    <s v="Charcoal"/>
    <s v="Summer"/>
    <n v="4.4000000000000004"/>
    <x v="1"/>
    <x v="0"/>
    <x v="1"/>
    <x v="1"/>
    <n v="30"/>
    <x v="3"/>
    <x v="5"/>
    <x v="5"/>
  </r>
  <r>
    <n v="2490"/>
    <x v="17"/>
    <x v="0"/>
    <x v="7"/>
    <x v="2"/>
    <x v="7"/>
    <x v="45"/>
    <s v="M"/>
    <s v="Green"/>
    <s v="Winter"/>
    <n v="3.9"/>
    <x v="1"/>
    <x v="0"/>
    <x v="1"/>
    <x v="1"/>
    <n v="50"/>
    <x v="0"/>
    <x v="3"/>
    <x v="3"/>
  </r>
  <r>
    <n v="2491"/>
    <x v="16"/>
    <x v="0"/>
    <x v="0"/>
    <x v="0"/>
    <x v="72"/>
    <x v="6"/>
    <s v="M"/>
    <s v="Gray"/>
    <s v="Spring"/>
    <n v="4"/>
    <x v="1"/>
    <x v="1"/>
    <x v="1"/>
    <x v="1"/>
    <n v="5"/>
    <x v="1"/>
    <x v="6"/>
    <x v="3"/>
  </r>
  <r>
    <n v="2492"/>
    <x v="6"/>
    <x v="0"/>
    <x v="8"/>
    <x v="3"/>
    <x v="53"/>
    <x v="17"/>
    <s v="M"/>
    <s v="Magenta"/>
    <s v="Spring"/>
    <n v="2.5"/>
    <x v="1"/>
    <x v="0"/>
    <x v="1"/>
    <x v="1"/>
    <n v="15"/>
    <x v="4"/>
    <x v="5"/>
    <x v="5"/>
  </r>
  <r>
    <n v="2493"/>
    <x v="2"/>
    <x v="0"/>
    <x v="12"/>
    <x v="3"/>
    <x v="48"/>
    <x v="45"/>
    <s v="S"/>
    <s v="Silver"/>
    <s v="Summer"/>
    <n v="4.0999999999999996"/>
    <x v="1"/>
    <x v="2"/>
    <x v="1"/>
    <x v="1"/>
    <n v="34"/>
    <x v="4"/>
    <x v="4"/>
    <x v="4"/>
  </r>
  <r>
    <n v="2494"/>
    <x v="3"/>
    <x v="0"/>
    <x v="20"/>
    <x v="0"/>
    <x v="66"/>
    <x v="1"/>
    <s v="S"/>
    <s v="Beige"/>
    <s v="Fall"/>
    <n v="4.8"/>
    <x v="1"/>
    <x v="4"/>
    <x v="1"/>
    <x v="1"/>
    <n v="6"/>
    <x v="0"/>
    <x v="6"/>
    <x v="3"/>
  </r>
  <r>
    <n v="2495"/>
    <x v="32"/>
    <x v="0"/>
    <x v="9"/>
    <x v="1"/>
    <x v="65"/>
    <x v="19"/>
    <s v="S"/>
    <s v="Peach"/>
    <s v="Winter"/>
    <n v="2.6"/>
    <x v="1"/>
    <x v="5"/>
    <x v="1"/>
    <x v="1"/>
    <n v="26"/>
    <x v="5"/>
    <x v="2"/>
    <x v="2"/>
  </r>
  <r>
    <n v="2496"/>
    <x v="37"/>
    <x v="0"/>
    <x v="21"/>
    <x v="3"/>
    <x v="18"/>
    <x v="43"/>
    <s v="XL"/>
    <s v="Orange"/>
    <s v="Spring"/>
    <n v="3.1"/>
    <x v="1"/>
    <x v="1"/>
    <x v="1"/>
    <x v="1"/>
    <n v="34"/>
    <x v="2"/>
    <x v="6"/>
    <x v="3"/>
  </r>
  <r>
    <n v="2497"/>
    <x v="29"/>
    <x v="0"/>
    <x v="18"/>
    <x v="3"/>
    <x v="24"/>
    <x v="26"/>
    <s v="S"/>
    <s v="Yellow"/>
    <s v="Summer"/>
    <n v="3.2"/>
    <x v="1"/>
    <x v="5"/>
    <x v="1"/>
    <x v="1"/>
    <n v="37"/>
    <x v="2"/>
    <x v="1"/>
    <x v="1"/>
  </r>
  <r>
    <n v="2498"/>
    <x v="25"/>
    <x v="0"/>
    <x v="21"/>
    <x v="3"/>
    <x v="49"/>
    <x v="24"/>
    <s v="M"/>
    <s v="Violet"/>
    <s v="Summer"/>
    <n v="4.2"/>
    <x v="1"/>
    <x v="3"/>
    <x v="1"/>
    <x v="1"/>
    <n v="28"/>
    <x v="4"/>
    <x v="2"/>
    <x v="2"/>
  </r>
  <r>
    <n v="2499"/>
    <x v="20"/>
    <x v="0"/>
    <x v="7"/>
    <x v="2"/>
    <x v="32"/>
    <x v="2"/>
    <s v="S"/>
    <s v="Green"/>
    <s v="Fall"/>
    <n v="2.6"/>
    <x v="1"/>
    <x v="2"/>
    <x v="1"/>
    <x v="1"/>
    <n v="38"/>
    <x v="1"/>
    <x v="0"/>
    <x v="0"/>
  </r>
  <r>
    <n v="2500"/>
    <x v="16"/>
    <x v="0"/>
    <x v="15"/>
    <x v="0"/>
    <x v="2"/>
    <x v="7"/>
    <s v="L"/>
    <s v="Pink"/>
    <s v="Summer"/>
    <n v="3.1"/>
    <x v="1"/>
    <x v="2"/>
    <x v="1"/>
    <x v="1"/>
    <n v="2"/>
    <x v="1"/>
    <x v="3"/>
    <x v="3"/>
  </r>
  <r>
    <n v="2501"/>
    <x v="35"/>
    <x v="0"/>
    <x v="24"/>
    <x v="3"/>
    <x v="63"/>
    <x v="2"/>
    <s v="M"/>
    <s v="Violet"/>
    <s v="Fall"/>
    <n v="2.9"/>
    <x v="1"/>
    <x v="5"/>
    <x v="1"/>
    <x v="1"/>
    <n v="32"/>
    <x v="1"/>
    <x v="4"/>
    <x v="4"/>
  </r>
  <r>
    <n v="2502"/>
    <x v="34"/>
    <x v="0"/>
    <x v="6"/>
    <x v="0"/>
    <x v="23"/>
    <x v="8"/>
    <s v="M"/>
    <s v="Violet"/>
    <s v="Fall"/>
    <n v="4.5999999999999996"/>
    <x v="1"/>
    <x v="1"/>
    <x v="1"/>
    <x v="1"/>
    <n v="30"/>
    <x v="0"/>
    <x v="4"/>
    <x v="4"/>
  </r>
  <r>
    <n v="2503"/>
    <x v="5"/>
    <x v="0"/>
    <x v="11"/>
    <x v="0"/>
    <x v="53"/>
    <x v="37"/>
    <s v="L"/>
    <s v="Pink"/>
    <s v="Spring"/>
    <n v="4.0999999999999996"/>
    <x v="1"/>
    <x v="3"/>
    <x v="1"/>
    <x v="1"/>
    <n v="17"/>
    <x v="3"/>
    <x v="6"/>
    <x v="3"/>
  </r>
  <r>
    <n v="2504"/>
    <x v="28"/>
    <x v="0"/>
    <x v="23"/>
    <x v="1"/>
    <x v="64"/>
    <x v="31"/>
    <s v="M"/>
    <s v="Violet"/>
    <s v="Summer"/>
    <n v="2.5"/>
    <x v="1"/>
    <x v="5"/>
    <x v="1"/>
    <x v="1"/>
    <n v="5"/>
    <x v="5"/>
    <x v="4"/>
    <x v="4"/>
  </r>
  <r>
    <n v="2505"/>
    <x v="19"/>
    <x v="0"/>
    <x v="6"/>
    <x v="0"/>
    <x v="23"/>
    <x v="3"/>
    <s v="M"/>
    <s v="Turquoise"/>
    <s v="Winter"/>
    <n v="4"/>
    <x v="1"/>
    <x v="5"/>
    <x v="1"/>
    <x v="1"/>
    <n v="31"/>
    <x v="1"/>
    <x v="4"/>
    <x v="4"/>
  </r>
  <r>
    <n v="2506"/>
    <x v="7"/>
    <x v="0"/>
    <x v="8"/>
    <x v="3"/>
    <x v="60"/>
    <x v="26"/>
    <s v="M"/>
    <s v="Cyan"/>
    <s v="Summer"/>
    <n v="3.5"/>
    <x v="1"/>
    <x v="0"/>
    <x v="1"/>
    <x v="1"/>
    <n v="43"/>
    <x v="3"/>
    <x v="3"/>
    <x v="3"/>
  </r>
  <r>
    <n v="2507"/>
    <x v="9"/>
    <x v="0"/>
    <x v="10"/>
    <x v="0"/>
    <x v="71"/>
    <x v="14"/>
    <s v="XL"/>
    <s v="Orange"/>
    <s v="Spring"/>
    <n v="4.4000000000000004"/>
    <x v="1"/>
    <x v="1"/>
    <x v="1"/>
    <x v="1"/>
    <n v="19"/>
    <x v="0"/>
    <x v="2"/>
    <x v="2"/>
  </r>
  <r>
    <n v="2508"/>
    <x v="44"/>
    <x v="0"/>
    <x v="9"/>
    <x v="1"/>
    <x v="14"/>
    <x v="7"/>
    <s v="M"/>
    <s v="Cyan"/>
    <s v="Fall"/>
    <n v="2.9"/>
    <x v="1"/>
    <x v="5"/>
    <x v="1"/>
    <x v="1"/>
    <n v="32"/>
    <x v="2"/>
    <x v="6"/>
    <x v="3"/>
  </r>
  <r>
    <n v="2509"/>
    <x v="51"/>
    <x v="0"/>
    <x v="4"/>
    <x v="1"/>
    <x v="3"/>
    <x v="18"/>
    <s v="XL"/>
    <s v="Indigo"/>
    <s v="Spring"/>
    <n v="3.1"/>
    <x v="1"/>
    <x v="4"/>
    <x v="1"/>
    <x v="1"/>
    <n v="5"/>
    <x v="5"/>
    <x v="4"/>
    <x v="4"/>
  </r>
  <r>
    <n v="2510"/>
    <x v="1"/>
    <x v="0"/>
    <x v="20"/>
    <x v="0"/>
    <x v="16"/>
    <x v="47"/>
    <s v="M"/>
    <s v="Black"/>
    <s v="Spring"/>
    <n v="4.4000000000000004"/>
    <x v="1"/>
    <x v="1"/>
    <x v="1"/>
    <x v="1"/>
    <n v="9"/>
    <x v="4"/>
    <x v="3"/>
    <x v="3"/>
  </r>
  <r>
    <n v="2511"/>
    <x v="37"/>
    <x v="0"/>
    <x v="14"/>
    <x v="2"/>
    <x v="69"/>
    <x v="45"/>
    <s v="L"/>
    <s v="Purple"/>
    <s v="Winter"/>
    <n v="4.4000000000000004"/>
    <x v="1"/>
    <x v="3"/>
    <x v="1"/>
    <x v="1"/>
    <n v="48"/>
    <x v="2"/>
    <x v="1"/>
    <x v="1"/>
  </r>
  <r>
    <n v="2512"/>
    <x v="22"/>
    <x v="0"/>
    <x v="21"/>
    <x v="3"/>
    <x v="27"/>
    <x v="37"/>
    <s v="M"/>
    <s v="Cyan"/>
    <s v="Summer"/>
    <n v="2.7"/>
    <x v="1"/>
    <x v="5"/>
    <x v="1"/>
    <x v="1"/>
    <n v="1"/>
    <x v="3"/>
    <x v="3"/>
    <x v="3"/>
  </r>
  <r>
    <n v="2513"/>
    <x v="2"/>
    <x v="0"/>
    <x v="20"/>
    <x v="0"/>
    <x v="80"/>
    <x v="25"/>
    <s v="M"/>
    <s v="Green"/>
    <s v="Summer"/>
    <n v="4.9000000000000004"/>
    <x v="1"/>
    <x v="1"/>
    <x v="1"/>
    <x v="1"/>
    <n v="20"/>
    <x v="2"/>
    <x v="5"/>
    <x v="5"/>
  </r>
  <r>
    <n v="2514"/>
    <x v="28"/>
    <x v="0"/>
    <x v="8"/>
    <x v="3"/>
    <x v="0"/>
    <x v="47"/>
    <s v="L"/>
    <s v="Teal"/>
    <s v="Winter"/>
    <n v="3.5"/>
    <x v="1"/>
    <x v="4"/>
    <x v="1"/>
    <x v="1"/>
    <n v="42"/>
    <x v="1"/>
    <x v="2"/>
    <x v="2"/>
  </r>
  <r>
    <n v="2515"/>
    <x v="32"/>
    <x v="0"/>
    <x v="19"/>
    <x v="3"/>
    <x v="18"/>
    <x v="29"/>
    <s v="L"/>
    <s v="Teal"/>
    <s v="Spring"/>
    <n v="4.8"/>
    <x v="1"/>
    <x v="1"/>
    <x v="1"/>
    <x v="1"/>
    <n v="45"/>
    <x v="3"/>
    <x v="4"/>
    <x v="4"/>
  </r>
  <r>
    <n v="2516"/>
    <x v="43"/>
    <x v="0"/>
    <x v="0"/>
    <x v="0"/>
    <x v="56"/>
    <x v="23"/>
    <s v="M"/>
    <s v="Magenta"/>
    <s v="Summer"/>
    <n v="4.2"/>
    <x v="1"/>
    <x v="4"/>
    <x v="1"/>
    <x v="1"/>
    <n v="41"/>
    <x v="1"/>
    <x v="5"/>
    <x v="5"/>
  </r>
  <r>
    <n v="2517"/>
    <x v="5"/>
    <x v="0"/>
    <x v="6"/>
    <x v="0"/>
    <x v="2"/>
    <x v="40"/>
    <s v="XL"/>
    <s v="Brown"/>
    <s v="Spring"/>
    <n v="4.5999999999999996"/>
    <x v="1"/>
    <x v="3"/>
    <x v="1"/>
    <x v="1"/>
    <n v="36"/>
    <x v="5"/>
    <x v="3"/>
    <x v="3"/>
  </r>
  <r>
    <n v="2518"/>
    <x v="14"/>
    <x v="0"/>
    <x v="5"/>
    <x v="0"/>
    <x v="15"/>
    <x v="5"/>
    <s v="L"/>
    <s v="Orange"/>
    <s v="Spring"/>
    <n v="2.9"/>
    <x v="1"/>
    <x v="3"/>
    <x v="1"/>
    <x v="1"/>
    <n v="10"/>
    <x v="0"/>
    <x v="2"/>
    <x v="2"/>
  </r>
  <r>
    <n v="2519"/>
    <x v="30"/>
    <x v="0"/>
    <x v="23"/>
    <x v="1"/>
    <x v="12"/>
    <x v="1"/>
    <s v="XL"/>
    <s v="Blue"/>
    <s v="Fall"/>
    <n v="4"/>
    <x v="1"/>
    <x v="5"/>
    <x v="1"/>
    <x v="1"/>
    <n v="31"/>
    <x v="0"/>
    <x v="2"/>
    <x v="2"/>
  </r>
  <r>
    <n v="2520"/>
    <x v="37"/>
    <x v="0"/>
    <x v="14"/>
    <x v="2"/>
    <x v="3"/>
    <x v="49"/>
    <s v="L"/>
    <s v="Magenta"/>
    <s v="Spring"/>
    <n v="4.9000000000000004"/>
    <x v="1"/>
    <x v="3"/>
    <x v="1"/>
    <x v="1"/>
    <n v="21"/>
    <x v="2"/>
    <x v="3"/>
    <x v="3"/>
  </r>
  <r>
    <n v="2521"/>
    <x v="14"/>
    <x v="0"/>
    <x v="14"/>
    <x v="2"/>
    <x v="22"/>
    <x v="26"/>
    <s v="L"/>
    <s v="Magenta"/>
    <s v="Summer"/>
    <n v="3.1"/>
    <x v="1"/>
    <x v="2"/>
    <x v="1"/>
    <x v="1"/>
    <n v="16"/>
    <x v="1"/>
    <x v="6"/>
    <x v="3"/>
  </r>
  <r>
    <n v="2522"/>
    <x v="26"/>
    <x v="0"/>
    <x v="8"/>
    <x v="3"/>
    <x v="27"/>
    <x v="46"/>
    <s v="M"/>
    <s v="Magenta"/>
    <s v="Fall"/>
    <n v="4.4000000000000004"/>
    <x v="1"/>
    <x v="3"/>
    <x v="1"/>
    <x v="1"/>
    <n v="18"/>
    <x v="3"/>
    <x v="6"/>
    <x v="3"/>
  </r>
  <r>
    <n v="2523"/>
    <x v="30"/>
    <x v="0"/>
    <x v="22"/>
    <x v="3"/>
    <x v="0"/>
    <x v="2"/>
    <s v="S"/>
    <s v="Olive"/>
    <s v="Winter"/>
    <n v="2.5"/>
    <x v="1"/>
    <x v="4"/>
    <x v="1"/>
    <x v="1"/>
    <n v="20"/>
    <x v="5"/>
    <x v="1"/>
    <x v="1"/>
  </r>
  <r>
    <n v="2524"/>
    <x v="49"/>
    <x v="0"/>
    <x v="8"/>
    <x v="3"/>
    <x v="41"/>
    <x v="32"/>
    <s v="S"/>
    <s v="Cyan"/>
    <s v="Spring"/>
    <n v="3.4"/>
    <x v="1"/>
    <x v="0"/>
    <x v="1"/>
    <x v="1"/>
    <n v="21"/>
    <x v="4"/>
    <x v="2"/>
    <x v="2"/>
  </r>
  <r>
    <n v="2525"/>
    <x v="52"/>
    <x v="0"/>
    <x v="7"/>
    <x v="2"/>
    <x v="40"/>
    <x v="23"/>
    <s v="M"/>
    <s v="Purple"/>
    <s v="Spring"/>
    <n v="3.7"/>
    <x v="1"/>
    <x v="0"/>
    <x v="1"/>
    <x v="1"/>
    <n v="23"/>
    <x v="2"/>
    <x v="3"/>
    <x v="3"/>
  </r>
  <r>
    <n v="2526"/>
    <x v="31"/>
    <x v="0"/>
    <x v="1"/>
    <x v="0"/>
    <x v="11"/>
    <x v="0"/>
    <s v="M"/>
    <s v="Purple"/>
    <s v="Winter"/>
    <n v="4.2"/>
    <x v="1"/>
    <x v="3"/>
    <x v="1"/>
    <x v="1"/>
    <n v="20"/>
    <x v="3"/>
    <x v="1"/>
    <x v="1"/>
  </r>
  <r>
    <n v="2527"/>
    <x v="36"/>
    <x v="0"/>
    <x v="6"/>
    <x v="0"/>
    <x v="39"/>
    <x v="3"/>
    <s v="S"/>
    <s v="Peach"/>
    <s v="Spring"/>
    <n v="3.4"/>
    <x v="1"/>
    <x v="0"/>
    <x v="1"/>
    <x v="1"/>
    <n v="30"/>
    <x v="3"/>
    <x v="4"/>
    <x v="4"/>
  </r>
  <r>
    <n v="2528"/>
    <x v="1"/>
    <x v="0"/>
    <x v="13"/>
    <x v="0"/>
    <x v="14"/>
    <x v="26"/>
    <s v="M"/>
    <s v="Gold"/>
    <s v="Fall"/>
    <n v="3.6"/>
    <x v="1"/>
    <x v="0"/>
    <x v="1"/>
    <x v="1"/>
    <n v="33"/>
    <x v="4"/>
    <x v="6"/>
    <x v="3"/>
  </r>
  <r>
    <n v="2529"/>
    <x v="16"/>
    <x v="0"/>
    <x v="16"/>
    <x v="3"/>
    <x v="53"/>
    <x v="15"/>
    <s v="S"/>
    <s v="Peach"/>
    <s v="Fall"/>
    <n v="4.7"/>
    <x v="1"/>
    <x v="4"/>
    <x v="1"/>
    <x v="1"/>
    <n v="31"/>
    <x v="5"/>
    <x v="5"/>
    <x v="5"/>
  </r>
  <r>
    <n v="2530"/>
    <x v="50"/>
    <x v="0"/>
    <x v="24"/>
    <x v="3"/>
    <x v="17"/>
    <x v="30"/>
    <s v="M"/>
    <s v="Magenta"/>
    <s v="Spring"/>
    <n v="4.7"/>
    <x v="1"/>
    <x v="2"/>
    <x v="1"/>
    <x v="1"/>
    <n v="48"/>
    <x v="4"/>
    <x v="5"/>
    <x v="5"/>
  </r>
  <r>
    <n v="2531"/>
    <x v="15"/>
    <x v="0"/>
    <x v="11"/>
    <x v="0"/>
    <x v="57"/>
    <x v="2"/>
    <s v="S"/>
    <s v="Cyan"/>
    <s v="Spring"/>
    <n v="3.6"/>
    <x v="1"/>
    <x v="1"/>
    <x v="1"/>
    <x v="1"/>
    <n v="28"/>
    <x v="5"/>
    <x v="1"/>
    <x v="1"/>
  </r>
  <r>
    <n v="2532"/>
    <x v="49"/>
    <x v="0"/>
    <x v="3"/>
    <x v="1"/>
    <x v="39"/>
    <x v="21"/>
    <s v="M"/>
    <s v="Violet"/>
    <s v="Summer"/>
    <n v="4.5999999999999996"/>
    <x v="1"/>
    <x v="1"/>
    <x v="1"/>
    <x v="1"/>
    <n v="7"/>
    <x v="1"/>
    <x v="6"/>
    <x v="3"/>
  </r>
  <r>
    <n v="2533"/>
    <x v="0"/>
    <x v="0"/>
    <x v="20"/>
    <x v="0"/>
    <x v="62"/>
    <x v="43"/>
    <s v="S"/>
    <s v="Charcoal"/>
    <s v="Summer"/>
    <n v="2.6"/>
    <x v="1"/>
    <x v="2"/>
    <x v="1"/>
    <x v="1"/>
    <n v="4"/>
    <x v="5"/>
    <x v="1"/>
    <x v="1"/>
  </r>
  <r>
    <n v="2534"/>
    <x v="17"/>
    <x v="0"/>
    <x v="16"/>
    <x v="3"/>
    <x v="43"/>
    <x v="38"/>
    <s v="S"/>
    <s v="Blue"/>
    <s v="Summer"/>
    <n v="3.1"/>
    <x v="1"/>
    <x v="3"/>
    <x v="1"/>
    <x v="1"/>
    <n v="49"/>
    <x v="1"/>
    <x v="4"/>
    <x v="4"/>
  </r>
  <r>
    <n v="2535"/>
    <x v="38"/>
    <x v="0"/>
    <x v="12"/>
    <x v="3"/>
    <x v="69"/>
    <x v="41"/>
    <s v="XL"/>
    <s v="Red"/>
    <s v="Fall"/>
    <n v="3.2"/>
    <x v="1"/>
    <x v="1"/>
    <x v="1"/>
    <x v="1"/>
    <n v="22"/>
    <x v="1"/>
    <x v="1"/>
    <x v="1"/>
  </r>
  <r>
    <n v="2536"/>
    <x v="36"/>
    <x v="0"/>
    <x v="7"/>
    <x v="2"/>
    <x v="68"/>
    <x v="34"/>
    <s v="S"/>
    <s v="Purple"/>
    <s v="Winter"/>
    <n v="3.9"/>
    <x v="1"/>
    <x v="0"/>
    <x v="1"/>
    <x v="1"/>
    <n v="39"/>
    <x v="4"/>
    <x v="0"/>
    <x v="0"/>
  </r>
  <r>
    <n v="2537"/>
    <x v="47"/>
    <x v="0"/>
    <x v="22"/>
    <x v="3"/>
    <x v="32"/>
    <x v="19"/>
    <s v="L"/>
    <s v="Gray"/>
    <s v="Spring"/>
    <n v="4.9000000000000004"/>
    <x v="1"/>
    <x v="0"/>
    <x v="1"/>
    <x v="1"/>
    <n v="45"/>
    <x v="3"/>
    <x v="6"/>
    <x v="3"/>
  </r>
  <r>
    <n v="2538"/>
    <x v="42"/>
    <x v="0"/>
    <x v="7"/>
    <x v="2"/>
    <x v="4"/>
    <x v="1"/>
    <s v="M"/>
    <s v="Purple"/>
    <s v="Summer"/>
    <n v="4.0999999999999996"/>
    <x v="1"/>
    <x v="4"/>
    <x v="1"/>
    <x v="1"/>
    <n v="30"/>
    <x v="3"/>
    <x v="0"/>
    <x v="0"/>
  </r>
  <r>
    <n v="2539"/>
    <x v="20"/>
    <x v="0"/>
    <x v="18"/>
    <x v="3"/>
    <x v="50"/>
    <x v="32"/>
    <s v="M"/>
    <s v="Silver"/>
    <s v="Summer"/>
    <n v="4.2"/>
    <x v="1"/>
    <x v="2"/>
    <x v="1"/>
    <x v="1"/>
    <n v="33"/>
    <x v="2"/>
    <x v="4"/>
    <x v="4"/>
  </r>
  <r>
    <n v="2540"/>
    <x v="23"/>
    <x v="0"/>
    <x v="3"/>
    <x v="1"/>
    <x v="2"/>
    <x v="2"/>
    <s v="M"/>
    <s v="Purple"/>
    <s v="Fall"/>
    <n v="4.0999999999999996"/>
    <x v="1"/>
    <x v="2"/>
    <x v="1"/>
    <x v="1"/>
    <n v="24"/>
    <x v="1"/>
    <x v="4"/>
    <x v="4"/>
  </r>
  <r>
    <n v="2541"/>
    <x v="41"/>
    <x v="0"/>
    <x v="22"/>
    <x v="3"/>
    <x v="69"/>
    <x v="32"/>
    <s v="M"/>
    <s v="Charcoal"/>
    <s v="Summer"/>
    <n v="3.9"/>
    <x v="1"/>
    <x v="1"/>
    <x v="1"/>
    <x v="1"/>
    <n v="11"/>
    <x v="5"/>
    <x v="3"/>
    <x v="3"/>
  </r>
  <r>
    <n v="2542"/>
    <x v="23"/>
    <x v="0"/>
    <x v="18"/>
    <x v="3"/>
    <x v="47"/>
    <x v="47"/>
    <s v="M"/>
    <s v="Silver"/>
    <s v="Spring"/>
    <n v="2.7"/>
    <x v="1"/>
    <x v="2"/>
    <x v="1"/>
    <x v="1"/>
    <n v="13"/>
    <x v="0"/>
    <x v="6"/>
    <x v="3"/>
  </r>
  <r>
    <n v="2543"/>
    <x v="12"/>
    <x v="0"/>
    <x v="16"/>
    <x v="3"/>
    <x v="20"/>
    <x v="10"/>
    <s v="M"/>
    <s v="White"/>
    <s v="Winter"/>
    <n v="3.7"/>
    <x v="1"/>
    <x v="0"/>
    <x v="1"/>
    <x v="1"/>
    <n v="27"/>
    <x v="3"/>
    <x v="2"/>
    <x v="2"/>
  </r>
  <r>
    <n v="2544"/>
    <x v="7"/>
    <x v="0"/>
    <x v="18"/>
    <x v="3"/>
    <x v="22"/>
    <x v="8"/>
    <s v="L"/>
    <s v="Peach"/>
    <s v="Spring"/>
    <n v="2.7"/>
    <x v="1"/>
    <x v="2"/>
    <x v="1"/>
    <x v="1"/>
    <n v="30"/>
    <x v="3"/>
    <x v="4"/>
    <x v="4"/>
  </r>
  <r>
    <n v="2545"/>
    <x v="5"/>
    <x v="0"/>
    <x v="13"/>
    <x v="0"/>
    <x v="44"/>
    <x v="12"/>
    <s v="M"/>
    <s v="Red"/>
    <s v="Spring"/>
    <n v="2.5"/>
    <x v="1"/>
    <x v="2"/>
    <x v="1"/>
    <x v="1"/>
    <n v="39"/>
    <x v="0"/>
    <x v="3"/>
    <x v="3"/>
  </r>
  <r>
    <n v="2546"/>
    <x v="21"/>
    <x v="0"/>
    <x v="9"/>
    <x v="1"/>
    <x v="74"/>
    <x v="21"/>
    <s v="L"/>
    <s v="Olive"/>
    <s v="Spring"/>
    <n v="3.9"/>
    <x v="1"/>
    <x v="1"/>
    <x v="1"/>
    <x v="1"/>
    <n v="10"/>
    <x v="5"/>
    <x v="2"/>
    <x v="2"/>
  </r>
  <r>
    <n v="2547"/>
    <x v="6"/>
    <x v="0"/>
    <x v="23"/>
    <x v="1"/>
    <x v="34"/>
    <x v="21"/>
    <s v="L"/>
    <s v="Gray"/>
    <s v="Summer"/>
    <n v="3"/>
    <x v="1"/>
    <x v="0"/>
    <x v="1"/>
    <x v="1"/>
    <n v="4"/>
    <x v="2"/>
    <x v="3"/>
    <x v="3"/>
  </r>
  <r>
    <n v="2548"/>
    <x v="36"/>
    <x v="0"/>
    <x v="14"/>
    <x v="2"/>
    <x v="8"/>
    <x v="16"/>
    <s v="M"/>
    <s v="Beige"/>
    <s v="Summer"/>
    <n v="3.2"/>
    <x v="1"/>
    <x v="4"/>
    <x v="1"/>
    <x v="1"/>
    <n v="16"/>
    <x v="1"/>
    <x v="1"/>
    <x v="1"/>
  </r>
  <r>
    <n v="2549"/>
    <x v="32"/>
    <x v="0"/>
    <x v="21"/>
    <x v="3"/>
    <x v="80"/>
    <x v="21"/>
    <s v="L"/>
    <s v="Pink"/>
    <s v="Winter"/>
    <n v="3.8"/>
    <x v="1"/>
    <x v="3"/>
    <x v="1"/>
    <x v="1"/>
    <n v="34"/>
    <x v="2"/>
    <x v="5"/>
    <x v="5"/>
  </r>
  <r>
    <n v="2550"/>
    <x v="38"/>
    <x v="0"/>
    <x v="14"/>
    <x v="2"/>
    <x v="30"/>
    <x v="41"/>
    <s v="M"/>
    <s v="Red"/>
    <s v="Fall"/>
    <n v="2.7"/>
    <x v="1"/>
    <x v="3"/>
    <x v="1"/>
    <x v="1"/>
    <n v="11"/>
    <x v="5"/>
    <x v="6"/>
    <x v="3"/>
  </r>
  <r>
    <n v="2551"/>
    <x v="10"/>
    <x v="0"/>
    <x v="23"/>
    <x v="1"/>
    <x v="78"/>
    <x v="13"/>
    <s v="XL"/>
    <s v="Peach"/>
    <s v="Fall"/>
    <n v="3"/>
    <x v="1"/>
    <x v="5"/>
    <x v="1"/>
    <x v="1"/>
    <n v="30"/>
    <x v="5"/>
    <x v="0"/>
    <x v="0"/>
  </r>
  <r>
    <n v="2552"/>
    <x v="26"/>
    <x v="0"/>
    <x v="9"/>
    <x v="1"/>
    <x v="50"/>
    <x v="46"/>
    <s v="M"/>
    <s v="Maroon"/>
    <s v="Winter"/>
    <n v="4.0999999999999996"/>
    <x v="1"/>
    <x v="2"/>
    <x v="1"/>
    <x v="1"/>
    <n v="40"/>
    <x v="5"/>
    <x v="2"/>
    <x v="2"/>
  </r>
  <r>
    <n v="2553"/>
    <x v="12"/>
    <x v="0"/>
    <x v="22"/>
    <x v="3"/>
    <x v="16"/>
    <x v="33"/>
    <s v="XL"/>
    <s v="Purple"/>
    <s v="Spring"/>
    <n v="3.2"/>
    <x v="1"/>
    <x v="4"/>
    <x v="1"/>
    <x v="1"/>
    <n v="13"/>
    <x v="2"/>
    <x v="2"/>
    <x v="2"/>
  </r>
  <r>
    <n v="2554"/>
    <x v="28"/>
    <x v="0"/>
    <x v="16"/>
    <x v="3"/>
    <x v="21"/>
    <x v="34"/>
    <s v="M"/>
    <s v="Maroon"/>
    <s v="Summer"/>
    <n v="4.5"/>
    <x v="1"/>
    <x v="5"/>
    <x v="1"/>
    <x v="1"/>
    <n v="28"/>
    <x v="0"/>
    <x v="6"/>
    <x v="3"/>
  </r>
  <r>
    <n v="2555"/>
    <x v="47"/>
    <x v="0"/>
    <x v="16"/>
    <x v="3"/>
    <x v="10"/>
    <x v="23"/>
    <s v="M"/>
    <s v="Gray"/>
    <s v="Summer"/>
    <n v="4.3"/>
    <x v="1"/>
    <x v="5"/>
    <x v="1"/>
    <x v="1"/>
    <n v="49"/>
    <x v="5"/>
    <x v="4"/>
    <x v="4"/>
  </r>
  <r>
    <n v="2556"/>
    <x v="41"/>
    <x v="0"/>
    <x v="13"/>
    <x v="0"/>
    <x v="67"/>
    <x v="37"/>
    <s v="M"/>
    <s v="Gray"/>
    <s v="Fall"/>
    <n v="3.5"/>
    <x v="1"/>
    <x v="3"/>
    <x v="1"/>
    <x v="1"/>
    <n v="23"/>
    <x v="2"/>
    <x v="1"/>
    <x v="1"/>
  </r>
  <r>
    <n v="2557"/>
    <x v="41"/>
    <x v="0"/>
    <x v="17"/>
    <x v="0"/>
    <x v="19"/>
    <x v="6"/>
    <s v="XL"/>
    <s v="Magenta"/>
    <s v="Fall"/>
    <n v="3.1"/>
    <x v="1"/>
    <x v="3"/>
    <x v="1"/>
    <x v="1"/>
    <n v="4"/>
    <x v="4"/>
    <x v="3"/>
    <x v="3"/>
  </r>
  <r>
    <n v="2558"/>
    <x v="27"/>
    <x v="0"/>
    <x v="6"/>
    <x v="0"/>
    <x v="66"/>
    <x v="19"/>
    <s v="L"/>
    <s v="Cyan"/>
    <s v="Spring"/>
    <n v="3.9"/>
    <x v="1"/>
    <x v="3"/>
    <x v="1"/>
    <x v="1"/>
    <n v="17"/>
    <x v="3"/>
    <x v="0"/>
    <x v="0"/>
  </r>
  <r>
    <n v="2559"/>
    <x v="34"/>
    <x v="0"/>
    <x v="15"/>
    <x v="0"/>
    <x v="50"/>
    <x v="18"/>
    <s v="M"/>
    <s v="Silver"/>
    <s v="Fall"/>
    <n v="2.7"/>
    <x v="1"/>
    <x v="0"/>
    <x v="1"/>
    <x v="1"/>
    <n v="24"/>
    <x v="3"/>
    <x v="0"/>
    <x v="0"/>
  </r>
  <r>
    <n v="2560"/>
    <x v="39"/>
    <x v="0"/>
    <x v="22"/>
    <x v="3"/>
    <x v="79"/>
    <x v="16"/>
    <s v="S"/>
    <s v="Green"/>
    <s v="Winter"/>
    <n v="4"/>
    <x v="1"/>
    <x v="1"/>
    <x v="1"/>
    <x v="1"/>
    <n v="21"/>
    <x v="5"/>
    <x v="6"/>
    <x v="3"/>
  </r>
  <r>
    <n v="2561"/>
    <x v="44"/>
    <x v="0"/>
    <x v="23"/>
    <x v="1"/>
    <x v="17"/>
    <x v="18"/>
    <s v="M"/>
    <s v="Violet"/>
    <s v="Spring"/>
    <n v="2.7"/>
    <x v="1"/>
    <x v="2"/>
    <x v="1"/>
    <x v="1"/>
    <n v="17"/>
    <x v="5"/>
    <x v="4"/>
    <x v="4"/>
  </r>
  <r>
    <n v="2562"/>
    <x v="45"/>
    <x v="0"/>
    <x v="15"/>
    <x v="0"/>
    <x v="5"/>
    <x v="14"/>
    <s v="L"/>
    <s v="Magenta"/>
    <s v="Spring"/>
    <n v="2.7"/>
    <x v="1"/>
    <x v="1"/>
    <x v="1"/>
    <x v="1"/>
    <n v="22"/>
    <x v="5"/>
    <x v="3"/>
    <x v="3"/>
  </r>
  <r>
    <n v="2563"/>
    <x v="9"/>
    <x v="0"/>
    <x v="6"/>
    <x v="0"/>
    <x v="17"/>
    <x v="28"/>
    <s v="XL"/>
    <s v="Yellow"/>
    <s v="Spring"/>
    <n v="4.7"/>
    <x v="1"/>
    <x v="3"/>
    <x v="1"/>
    <x v="1"/>
    <n v="27"/>
    <x v="1"/>
    <x v="0"/>
    <x v="0"/>
  </r>
  <r>
    <n v="2564"/>
    <x v="28"/>
    <x v="0"/>
    <x v="21"/>
    <x v="3"/>
    <x v="13"/>
    <x v="2"/>
    <s v="XL"/>
    <s v="Gray"/>
    <s v="Winter"/>
    <n v="4.5"/>
    <x v="1"/>
    <x v="3"/>
    <x v="1"/>
    <x v="1"/>
    <n v="1"/>
    <x v="0"/>
    <x v="6"/>
    <x v="3"/>
  </r>
  <r>
    <n v="2565"/>
    <x v="32"/>
    <x v="0"/>
    <x v="18"/>
    <x v="3"/>
    <x v="3"/>
    <x v="0"/>
    <s v="L"/>
    <s v="Indigo"/>
    <s v="Winter"/>
    <n v="3"/>
    <x v="1"/>
    <x v="4"/>
    <x v="1"/>
    <x v="1"/>
    <n v="27"/>
    <x v="4"/>
    <x v="1"/>
    <x v="1"/>
  </r>
  <r>
    <n v="2566"/>
    <x v="11"/>
    <x v="0"/>
    <x v="20"/>
    <x v="0"/>
    <x v="35"/>
    <x v="34"/>
    <s v="S"/>
    <s v="Indigo"/>
    <s v="Fall"/>
    <n v="3.6"/>
    <x v="1"/>
    <x v="5"/>
    <x v="1"/>
    <x v="1"/>
    <n v="8"/>
    <x v="0"/>
    <x v="3"/>
    <x v="3"/>
  </r>
  <r>
    <n v="2567"/>
    <x v="25"/>
    <x v="0"/>
    <x v="8"/>
    <x v="3"/>
    <x v="15"/>
    <x v="9"/>
    <s v="S"/>
    <s v="Yellow"/>
    <s v="Fall"/>
    <n v="3.3"/>
    <x v="1"/>
    <x v="3"/>
    <x v="1"/>
    <x v="1"/>
    <n v="43"/>
    <x v="3"/>
    <x v="3"/>
    <x v="3"/>
  </r>
  <r>
    <n v="2568"/>
    <x v="1"/>
    <x v="0"/>
    <x v="12"/>
    <x v="3"/>
    <x v="21"/>
    <x v="49"/>
    <s v="XL"/>
    <s v="Gold"/>
    <s v="Spring"/>
    <n v="4.3"/>
    <x v="1"/>
    <x v="5"/>
    <x v="1"/>
    <x v="1"/>
    <n v="24"/>
    <x v="1"/>
    <x v="0"/>
    <x v="0"/>
  </r>
  <r>
    <n v="2569"/>
    <x v="16"/>
    <x v="0"/>
    <x v="17"/>
    <x v="0"/>
    <x v="57"/>
    <x v="21"/>
    <s v="XL"/>
    <s v="Green"/>
    <s v="Winter"/>
    <n v="4.3"/>
    <x v="1"/>
    <x v="0"/>
    <x v="1"/>
    <x v="1"/>
    <n v="29"/>
    <x v="3"/>
    <x v="0"/>
    <x v="0"/>
  </r>
  <r>
    <n v="2570"/>
    <x v="32"/>
    <x v="0"/>
    <x v="10"/>
    <x v="0"/>
    <x v="60"/>
    <x v="14"/>
    <s v="M"/>
    <s v="Charcoal"/>
    <s v="Spring"/>
    <n v="4.8"/>
    <x v="1"/>
    <x v="1"/>
    <x v="1"/>
    <x v="1"/>
    <n v="10"/>
    <x v="4"/>
    <x v="4"/>
    <x v="4"/>
  </r>
  <r>
    <n v="2571"/>
    <x v="24"/>
    <x v="0"/>
    <x v="4"/>
    <x v="1"/>
    <x v="65"/>
    <x v="35"/>
    <s v="XL"/>
    <s v="Olive"/>
    <s v="Spring"/>
    <n v="4"/>
    <x v="1"/>
    <x v="5"/>
    <x v="1"/>
    <x v="1"/>
    <n v="12"/>
    <x v="3"/>
    <x v="0"/>
    <x v="0"/>
  </r>
  <r>
    <n v="2572"/>
    <x v="4"/>
    <x v="0"/>
    <x v="12"/>
    <x v="3"/>
    <x v="65"/>
    <x v="16"/>
    <s v="L"/>
    <s v="Black"/>
    <s v="Winter"/>
    <n v="3.5"/>
    <x v="1"/>
    <x v="3"/>
    <x v="1"/>
    <x v="1"/>
    <n v="48"/>
    <x v="1"/>
    <x v="0"/>
    <x v="0"/>
  </r>
  <r>
    <n v="2573"/>
    <x v="22"/>
    <x v="0"/>
    <x v="0"/>
    <x v="0"/>
    <x v="69"/>
    <x v="47"/>
    <s v="M"/>
    <s v="Silver"/>
    <s v="Fall"/>
    <n v="3.9"/>
    <x v="1"/>
    <x v="2"/>
    <x v="1"/>
    <x v="1"/>
    <n v="40"/>
    <x v="4"/>
    <x v="3"/>
    <x v="3"/>
  </r>
  <r>
    <n v="2574"/>
    <x v="22"/>
    <x v="0"/>
    <x v="17"/>
    <x v="0"/>
    <x v="3"/>
    <x v="35"/>
    <s v="M"/>
    <s v="Red"/>
    <s v="Summer"/>
    <n v="4.4000000000000004"/>
    <x v="1"/>
    <x v="5"/>
    <x v="1"/>
    <x v="1"/>
    <n v="1"/>
    <x v="4"/>
    <x v="2"/>
    <x v="2"/>
  </r>
  <r>
    <n v="2575"/>
    <x v="7"/>
    <x v="0"/>
    <x v="19"/>
    <x v="3"/>
    <x v="80"/>
    <x v="20"/>
    <s v="M"/>
    <s v="Brown"/>
    <s v="Summer"/>
    <n v="4.5999999999999996"/>
    <x v="1"/>
    <x v="4"/>
    <x v="1"/>
    <x v="1"/>
    <n v="26"/>
    <x v="2"/>
    <x v="0"/>
    <x v="0"/>
  </r>
  <r>
    <n v="2576"/>
    <x v="10"/>
    <x v="0"/>
    <x v="6"/>
    <x v="0"/>
    <x v="48"/>
    <x v="46"/>
    <s v="M"/>
    <s v="Silver"/>
    <s v="Fall"/>
    <n v="4"/>
    <x v="1"/>
    <x v="0"/>
    <x v="1"/>
    <x v="1"/>
    <n v="9"/>
    <x v="3"/>
    <x v="2"/>
    <x v="2"/>
  </r>
  <r>
    <n v="2577"/>
    <x v="30"/>
    <x v="0"/>
    <x v="15"/>
    <x v="0"/>
    <x v="49"/>
    <x v="13"/>
    <s v="M"/>
    <s v="Silver"/>
    <s v="Winter"/>
    <n v="4.2"/>
    <x v="1"/>
    <x v="1"/>
    <x v="1"/>
    <x v="1"/>
    <n v="19"/>
    <x v="5"/>
    <x v="3"/>
    <x v="3"/>
  </r>
  <r>
    <n v="2578"/>
    <x v="16"/>
    <x v="0"/>
    <x v="20"/>
    <x v="0"/>
    <x v="32"/>
    <x v="46"/>
    <s v="L"/>
    <s v="Black"/>
    <s v="Fall"/>
    <n v="4.5"/>
    <x v="1"/>
    <x v="2"/>
    <x v="1"/>
    <x v="1"/>
    <n v="37"/>
    <x v="4"/>
    <x v="5"/>
    <x v="5"/>
  </r>
  <r>
    <n v="2579"/>
    <x v="22"/>
    <x v="0"/>
    <x v="12"/>
    <x v="3"/>
    <x v="16"/>
    <x v="34"/>
    <s v="M"/>
    <s v="Purple"/>
    <s v="Fall"/>
    <n v="3.9"/>
    <x v="1"/>
    <x v="1"/>
    <x v="1"/>
    <x v="1"/>
    <n v="3"/>
    <x v="1"/>
    <x v="3"/>
    <x v="3"/>
  </r>
  <r>
    <n v="2580"/>
    <x v="13"/>
    <x v="0"/>
    <x v="0"/>
    <x v="0"/>
    <x v="5"/>
    <x v="46"/>
    <s v="M"/>
    <s v="Purple"/>
    <s v="Summer"/>
    <n v="3.7"/>
    <x v="1"/>
    <x v="0"/>
    <x v="1"/>
    <x v="1"/>
    <n v="40"/>
    <x v="0"/>
    <x v="1"/>
    <x v="1"/>
  </r>
  <r>
    <n v="2581"/>
    <x v="49"/>
    <x v="0"/>
    <x v="2"/>
    <x v="0"/>
    <x v="45"/>
    <x v="2"/>
    <s v="S"/>
    <s v="Turquoise"/>
    <s v="Summer"/>
    <n v="3.6"/>
    <x v="1"/>
    <x v="5"/>
    <x v="1"/>
    <x v="1"/>
    <n v="13"/>
    <x v="4"/>
    <x v="3"/>
    <x v="3"/>
  </r>
  <r>
    <n v="2582"/>
    <x v="9"/>
    <x v="0"/>
    <x v="10"/>
    <x v="0"/>
    <x v="13"/>
    <x v="5"/>
    <s v="M"/>
    <s v="Gold"/>
    <s v="Winter"/>
    <n v="4.7"/>
    <x v="1"/>
    <x v="0"/>
    <x v="1"/>
    <x v="1"/>
    <n v="48"/>
    <x v="2"/>
    <x v="5"/>
    <x v="5"/>
  </r>
  <r>
    <n v="2583"/>
    <x v="1"/>
    <x v="0"/>
    <x v="10"/>
    <x v="0"/>
    <x v="57"/>
    <x v="45"/>
    <s v="S"/>
    <s v="Indigo"/>
    <s v="Fall"/>
    <n v="3.6"/>
    <x v="1"/>
    <x v="4"/>
    <x v="1"/>
    <x v="1"/>
    <n v="4"/>
    <x v="0"/>
    <x v="6"/>
    <x v="3"/>
  </r>
  <r>
    <n v="2584"/>
    <x v="28"/>
    <x v="0"/>
    <x v="2"/>
    <x v="0"/>
    <x v="73"/>
    <x v="19"/>
    <s v="M"/>
    <s v="Lavender"/>
    <s v="Fall"/>
    <n v="2.5"/>
    <x v="1"/>
    <x v="2"/>
    <x v="1"/>
    <x v="1"/>
    <n v="9"/>
    <x v="1"/>
    <x v="1"/>
    <x v="1"/>
  </r>
  <r>
    <n v="2585"/>
    <x v="8"/>
    <x v="0"/>
    <x v="20"/>
    <x v="0"/>
    <x v="38"/>
    <x v="20"/>
    <s v="L"/>
    <s v="Blue"/>
    <s v="Summer"/>
    <n v="2.9"/>
    <x v="1"/>
    <x v="5"/>
    <x v="1"/>
    <x v="1"/>
    <n v="26"/>
    <x v="4"/>
    <x v="4"/>
    <x v="4"/>
  </r>
  <r>
    <n v="2586"/>
    <x v="9"/>
    <x v="0"/>
    <x v="12"/>
    <x v="3"/>
    <x v="18"/>
    <x v="48"/>
    <s v="L"/>
    <s v="Maroon"/>
    <s v="Fall"/>
    <n v="4.4000000000000004"/>
    <x v="1"/>
    <x v="1"/>
    <x v="1"/>
    <x v="1"/>
    <n v="19"/>
    <x v="5"/>
    <x v="1"/>
    <x v="1"/>
  </r>
  <r>
    <n v="2587"/>
    <x v="30"/>
    <x v="0"/>
    <x v="7"/>
    <x v="2"/>
    <x v="39"/>
    <x v="1"/>
    <s v="L"/>
    <s v="Yellow"/>
    <s v="Winter"/>
    <n v="4.5999999999999996"/>
    <x v="1"/>
    <x v="0"/>
    <x v="1"/>
    <x v="1"/>
    <n v="1"/>
    <x v="2"/>
    <x v="6"/>
    <x v="3"/>
  </r>
  <r>
    <n v="2588"/>
    <x v="0"/>
    <x v="0"/>
    <x v="18"/>
    <x v="3"/>
    <x v="45"/>
    <x v="39"/>
    <s v="M"/>
    <s v="Purple"/>
    <s v="Winter"/>
    <n v="3.7"/>
    <x v="1"/>
    <x v="0"/>
    <x v="1"/>
    <x v="1"/>
    <n v="29"/>
    <x v="3"/>
    <x v="6"/>
    <x v="3"/>
  </r>
  <r>
    <n v="2589"/>
    <x v="42"/>
    <x v="0"/>
    <x v="21"/>
    <x v="3"/>
    <x v="4"/>
    <x v="12"/>
    <s v="M"/>
    <s v="Peach"/>
    <s v="Summer"/>
    <n v="3.2"/>
    <x v="1"/>
    <x v="1"/>
    <x v="1"/>
    <x v="1"/>
    <n v="38"/>
    <x v="0"/>
    <x v="4"/>
    <x v="4"/>
  </r>
  <r>
    <n v="2590"/>
    <x v="16"/>
    <x v="0"/>
    <x v="13"/>
    <x v="0"/>
    <x v="0"/>
    <x v="25"/>
    <s v="M"/>
    <s v="Silver"/>
    <s v="Winter"/>
    <n v="4.9000000000000004"/>
    <x v="1"/>
    <x v="4"/>
    <x v="1"/>
    <x v="1"/>
    <n v="31"/>
    <x v="3"/>
    <x v="2"/>
    <x v="2"/>
  </r>
  <r>
    <n v="2591"/>
    <x v="9"/>
    <x v="0"/>
    <x v="24"/>
    <x v="3"/>
    <x v="76"/>
    <x v="18"/>
    <s v="M"/>
    <s v="Turquoise"/>
    <s v="Summer"/>
    <n v="5"/>
    <x v="1"/>
    <x v="1"/>
    <x v="1"/>
    <x v="1"/>
    <n v="35"/>
    <x v="0"/>
    <x v="2"/>
    <x v="2"/>
  </r>
  <r>
    <n v="2592"/>
    <x v="37"/>
    <x v="0"/>
    <x v="14"/>
    <x v="2"/>
    <x v="70"/>
    <x v="35"/>
    <s v="S"/>
    <s v="Olive"/>
    <s v="Spring"/>
    <n v="3.3"/>
    <x v="1"/>
    <x v="0"/>
    <x v="1"/>
    <x v="1"/>
    <n v="40"/>
    <x v="1"/>
    <x v="3"/>
    <x v="3"/>
  </r>
  <r>
    <n v="2593"/>
    <x v="51"/>
    <x v="0"/>
    <x v="6"/>
    <x v="0"/>
    <x v="66"/>
    <x v="44"/>
    <s v="XL"/>
    <s v="Peach"/>
    <s v="Summer"/>
    <n v="4.4000000000000004"/>
    <x v="1"/>
    <x v="5"/>
    <x v="1"/>
    <x v="1"/>
    <n v="13"/>
    <x v="0"/>
    <x v="3"/>
    <x v="3"/>
  </r>
  <r>
    <n v="2594"/>
    <x v="24"/>
    <x v="0"/>
    <x v="13"/>
    <x v="0"/>
    <x v="14"/>
    <x v="24"/>
    <s v="S"/>
    <s v="Indigo"/>
    <s v="Fall"/>
    <n v="4.7"/>
    <x v="1"/>
    <x v="5"/>
    <x v="1"/>
    <x v="1"/>
    <n v="9"/>
    <x v="4"/>
    <x v="6"/>
    <x v="3"/>
  </r>
  <r>
    <n v="2595"/>
    <x v="35"/>
    <x v="0"/>
    <x v="11"/>
    <x v="0"/>
    <x v="13"/>
    <x v="6"/>
    <s v="L"/>
    <s v="Indigo"/>
    <s v="Fall"/>
    <n v="3.6"/>
    <x v="1"/>
    <x v="1"/>
    <x v="1"/>
    <x v="1"/>
    <n v="25"/>
    <x v="1"/>
    <x v="6"/>
    <x v="3"/>
  </r>
  <r>
    <n v="2596"/>
    <x v="26"/>
    <x v="0"/>
    <x v="0"/>
    <x v="0"/>
    <x v="22"/>
    <x v="44"/>
    <s v="XL"/>
    <s v="Maroon"/>
    <s v="Summer"/>
    <n v="3.2"/>
    <x v="1"/>
    <x v="1"/>
    <x v="1"/>
    <x v="1"/>
    <n v="3"/>
    <x v="4"/>
    <x v="4"/>
    <x v="4"/>
  </r>
  <r>
    <n v="2597"/>
    <x v="6"/>
    <x v="0"/>
    <x v="5"/>
    <x v="0"/>
    <x v="72"/>
    <x v="7"/>
    <s v="L"/>
    <s v="Black"/>
    <s v="Spring"/>
    <n v="3"/>
    <x v="1"/>
    <x v="2"/>
    <x v="1"/>
    <x v="1"/>
    <n v="35"/>
    <x v="2"/>
    <x v="5"/>
    <x v="5"/>
  </r>
  <r>
    <n v="2598"/>
    <x v="52"/>
    <x v="0"/>
    <x v="16"/>
    <x v="3"/>
    <x v="21"/>
    <x v="15"/>
    <s v="XL"/>
    <s v="Teal"/>
    <s v="Summer"/>
    <n v="4.4000000000000004"/>
    <x v="1"/>
    <x v="5"/>
    <x v="1"/>
    <x v="1"/>
    <n v="13"/>
    <x v="0"/>
    <x v="4"/>
    <x v="4"/>
  </r>
  <r>
    <n v="2599"/>
    <x v="14"/>
    <x v="0"/>
    <x v="21"/>
    <x v="3"/>
    <x v="62"/>
    <x v="22"/>
    <s v="XL"/>
    <s v="Olive"/>
    <s v="Fall"/>
    <n v="3.3"/>
    <x v="1"/>
    <x v="0"/>
    <x v="1"/>
    <x v="1"/>
    <n v="31"/>
    <x v="5"/>
    <x v="2"/>
    <x v="2"/>
  </r>
  <r>
    <n v="2600"/>
    <x v="6"/>
    <x v="0"/>
    <x v="16"/>
    <x v="3"/>
    <x v="54"/>
    <x v="34"/>
    <s v="M"/>
    <s v="Gold"/>
    <s v="Winter"/>
    <n v="3.4"/>
    <x v="1"/>
    <x v="0"/>
    <x v="1"/>
    <x v="1"/>
    <n v="48"/>
    <x v="2"/>
    <x v="5"/>
    <x v="5"/>
  </r>
  <r>
    <n v="2601"/>
    <x v="3"/>
    <x v="0"/>
    <x v="22"/>
    <x v="3"/>
    <x v="42"/>
    <x v="14"/>
    <s v="M"/>
    <s v="Gray"/>
    <s v="Fall"/>
    <n v="3.9"/>
    <x v="1"/>
    <x v="0"/>
    <x v="1"/>
    <x v="1"/>
    <n v="6"/>
    <x v="4"/>
    <x v="4"/>
    <x v="4"/>
  </r>
  <r>
    <n v="2602"/>
    <x v="12"/>
    <x v="0"/>
    <x v="10"/>
    <x v="0"/>
    <x v="27"/>
    <x v="16"/>
    <s v="L"/>
    <s v="Orange"/>
    <s v="Winter"/>
    <n v="2.9"/>
    <x v="1"/>
    <x v="5"/>
    <x v="1"/>
    <x v="1"/>
    <n v="43"/>
    <x v="1"/>
    <x v="5"/>
    <x v="5"/>
  </r>
  <r>
    <n v="2603"/>
    <x v="13"/>
    <x v="0"/>
    <x v="7"/>
    <x v="2"/>
    <x v="77"/>
    <x v="36"/>
    <s v="M"/>
    <s v="Black"/>
    <s v="Fall"/>
    <n v="2.9"/>
    <x v="1"/>
    <x v="1"/>
    <x v="1"/>
    <x v="1"/>
    <n v="1"/>
    <x v="0"/>
    <x v="3"/>
    <x v="3"/>
  </r>
  <r>
    <n v="2604"/>
    <x v="28"/>
    <x v="0"/>
    <x v="10"/>
    <x v="0"/>
    <x v="47"/>
    <x v="47"/>
    <s v="M"/>
    <s v="Teal"/>
    <s v="Spring"/>
    <n v="2.7"/>
    <x v="1"/>
    <x v="4"/>
    <x v="1"/>
    <x v="1"/>
    <n v="8"/>
    <x v="1"/>
    <x v="2"/>
    <x v="2"/>
  </r>
  <r>
    <n v="2605"/>
    <x v="36"/>
    <x v="0"/>
    <x v="1"/>
    <x v="0"/>
    <x v="36"/>
    <x v="24"/>
    <s v="M"/>
    <s v="Beige"/>
    <s v="Spring"/>
    <n v="3.4"/>
    <x v="1"/>
    <x v="5"/>
    <x v="1"/>
    <x v="1"/>
    <n v="6"/>
    <x v="5"/>
    <x v="1"/>
    <x v="1"/>
  </r>
  <r>
    <n v="2606"/>
    <x v="38"/>
    <x v="0"/>
    <x v="15"/>
    <x v="0"/>
    <x v="73"/>
    <x v="22"/>
    <s v="M"/>
    <s v="White"/>
    <s v="Spring"/>
    <n v="3.7"/>
    <x v="1"/>
    <x v="4"/>
    <x v="1"/>
    <x v="1"/>
    <n v="32"/>
    <x v="0"/>
    <x v="0"/>
    <x v="0"/>
  </r>
  <r>
    <n v="2607"/>
    <x v="33"/>
    <x v="0"/>
    <x v="9"/>
    <x v="1"/>
    <x v="57"/>
    <x v="22"/>
    <s v="L"/>
    <s v="Turquoise"/>
    <s v="Spring"/>
    <n v="4.7"/>
    <x v="1"/>
    <x v="3"/>
    <x v="1"/>
    <x v="1"/>
    <n v="46"/>
    <x v="4"/>
    <x v="4"/>
    <x v="4"/>
  </r>
  <r>
    <n v="2608"/>
    <x v="38"/>
    <x v="0"/>
    <x v="9"/>
    <x v="1"/>
    <x v="14"/>
    <x v="19"/>
    <s v="XL"/>
    <s v="Teal"/>
    <s v="Spring"/>
    <n v="3.1"/>
    <x v="1"/>
    <x v="0"/>
    <x v="1"/>
    <x v="1"/>
    <n v="38"/>
    <x v="3"/>
    <x v="6"/>
    <x v="3"/>
  </r>
  <r>
    <n v="2609"/>
    <x v="32"/>
    <x v="0"/>
    <x v="14"/>
    <x v="2"/>
    <x v="10"/>
    <x v="16"/>
    <s v="L"/>
    <s v="Orange"/>
    <s v="Fall"/>
    <n v="4.2"/>
    <x v="1"/>
    <x v="4"/>
    <x v="1"/>
    <x v="1"/>
    <n v="48"/>
    <x v="2"/>
    <x v="0"/>
    <x v="0"/>
  </r>
  <r>
    <n v="2610"/>
    <x v="17"/>
    <x v="0"/>
    <x v="21"/>
    <x v="3"/>
    <x v="51"/>
    <x v="10"/>
    <s v="M"/>
    <s v="Black"/>
    <s v="Summer"/>
    <n v="3"/>
    <x v="1"/>
    <x v="5"/>
    <x v="1"/>
    <x v="1"/>
    <n v="18"/>
    <x v="5"/>
    <x v="4"/>
    <x v="4"/>
  </r>
  <r>
    <n v="2611"/>
    <x v="17"/>
    <x v="0"/>
    <x v="2"/>
    <x v="0"/>
    <x v="73"/>
    <x v="8"/>
    <s v="M"/>
    <s v="Violet"/>
    <s v="Spring"/>
    <n v="3.1"/>
    <x v="1"/>
    <x v="0"/>
    <x v="1"/>
    <x v="1"/>
    <n v="25"/>
    <x v="1"/>
    <x v="3"/>
    <x v="3"/>
  </r>
  <r>
    <n v="2612"/>
    <x v="23"/>
    <x v="0"/>
    <x v="14"/>
    <x v="2"/>
    <x v="54"/>
    <x v="49"/>
    <s v="L"/>
    <s v="Maroon"/>
    <s v="Fall"/>
    <n v="4.2"/>
    <x v="1"/>
    <x v="4"/>
    <x v="1"/>
    <x v="1"/>
    <n v="4"/>
    <x v="1"/>
    <x v="0"/>
    <x v="0"/>
  </r>
  <r>
    <n v="2613"/>
    <x v="0"/>
    <x v="0"/>
    <x v="12"/>
    <x v="3"/>
    <x v="20"/>
    <x v="7"/>
    <s v="M"/>
    <s v="Turquoise"/>
    <s v="Winter"/>
    <n v="3.8"/>
    <x v="1"/>
    <x v="2"/>
    <x v="1"/>
    <x v="1"/>
    <n v="27"/>
    <x v="0"/>
    <x v="3"/>
    <x v="3"/>
  </r>
  <r>
    <n v="2614"/>
    <x v="44"/>
    <x v="0"/>
    <x v="24"/>
    <x v="3"/>
    <x v="19"/>
    <x v="45"/>
    <s v="M"/>
    <s v="Gold"/>
    <s v="Fall"/>
    <n v="2.9"/>
    <x v="1"/>
    <x v="0"/>
    <x v="1"/>
    <x v="1"/>
    <n v="14"/>
    <x v="4"/>
    <x v="5"/>
    <x v="5"/>
  </r>
  <r>
    <n v="2615"/>
    <x v="20"/>
    <x v="0"/>
    <x v="14"/>
    <x v="2"/>
    <x v="61"/>
    <x v="25"/>
    <s v="M"/>
    <s v="Turquoise"/>
    <s v="Spring"/>
    <n v="4.2"/>
    <x v="1"/>
    <x v="0"/>
    <x v="1"/>
    <x v="1"/>
    <n v="36"/>
    <x v="4"/>
    <x v="0"/>
    <x v="0"/>
  </r>
  <r>
    <n v="2616"/>
    <x v="34"/>
    <x v="0"/>
    <x v="17"/>
    <x v="0"/>
    <x v="17"/>
    <x v="28"/>
    <s v="M"/>
    <s v="Maroon"/>
    <s v="Fall"/>
    <n v="3.1"/>
    <x v="1"/>
    <x v="4"/>
    <x v="1"/>
    <x v="1"/>
    <n v="6"/>
    <x v="5"/>
    <x v="3"/>
    <x v="3"/>
  </r>
  <r>
    <n v="2617"/>
    <x v="12"/>
    <x v="0"/>
    <x v="3"/>
    <x v="1"/>
    <x v="37"/>
    <x v="42"/>
    <s v="XL"/>
    <s v="Purple"/>
    <s v="Spring"/>
    <n v="3.6"/>
    <x v="1"/>
    <x v="0"/>
    <x v="1"/>
    <x v="1"/>
    <n v="46"/>
    <x v="1"/>
    <x v="2"/>
    <x v="2"/>
  </r>
  <r>
    <n v="2618"/>
    <x v="18"/>
    <x v="0"/>
    <x v="6"/>
    <x v="0"/>
    <x v="8"/>
    <x v="37"/>
    <s v="S"/>
    <s v="Maroon"/>
    <s v="Spring"/>
    <n v="4.8"/>
    <x v="1"/>
    <x v="3"/>
    <x v="1"/>
    <x v="1"/>
    <n v="29"/>
    <x v="4"/>
    <x v="2"/>
    <x v="2"/>
  </r>
  <r>
    <n v="2619"/>
    <x v="27"/>
    <x v="0"/>
    <x v="8"/>
    <x v="3"/>
    <x v="64"/>
    <x v="7"/>
    <s v="L"/>
    <s v="Brown"/>
    <s v="Fall"/>
    <n v="4.0999999999999996"/>
    <x v="1"/>
    <x v="0"/>
    <x v="1"/>
    <x v="1"/>
    <n v="12"/>
    <x v="0"/>
    <x v="5"/>
    <x v="5"/>
  </r>
  <r>
    <n v="2620"/>
    <x v="33"/>
    <x v="0"/>
    <x v="13"/>
    <x v="0"/>
    <x v="49"/>
    <x v="39"/>
    <s v="L"/>
    <s v="Indigo"/>
    <s v="Winter"/>
    <n v="3.9"/>
    <x v="1"/>
    <x v="1"/>
    <x v="1"/>
    <x v="1"/>
    <n v="47"/>
    <x v="2"/>
    <x v="1"/>
    <x v="1"/>
  </r>
  <r>
    <n v="2621"/>
    <x v="7"/>
    <x v="0"/>
    <x v="0"/>
    <x v="0"/>
    <x v="66"/>
    <x v="31"/>
    <s v="S"/>
    <s v="Lavender"/>
    <s v="Winter"/>
    <n v="3"/>
    <x v="1"/>
    <x v="3"/>
    <x v="1"/>
    <x v="1"/>
    <n v="28"/>
    <x v="5"/>
    <x v="2"/>
    <x v="2"/>
  </r>
  <r>
    <n v="2622"/>
    <x v="39"/>
    <x v="0"/>
    <x v="9"/>
    <x v="1"/>
    <x v="43"/>
    <x v="1"/>
    <s v="M"/>
    <s v="Beige"/>
    <s v="Winter"/>
    <n v="3"/>
    <x v="1"/>
    <x v="0"/>
    <x v="1"/>
    <x v="1"/>
    <n v="21"/>
    <x v="4"/>
    <x v="2"/>
    <x v="2"/>
  </r>
  <r>
    <n v="2623"/>
    <x v="6"/>
    <x v="0"/>
    <x v="21"/>
    <x v="3"/>
    <x v="60"/>
    <x v="13"/>
    <s v="M"/>
    <s v="Yellow"/>
    <s v="Spring"/>
    <n v="4.9000000000000004"/>
    <x v="1"/>
    <x v="4"/>
    <x v="1"/>
    <x v="1"/>
    <n v="15"/>
    <x v="2"/>
    <x v="2"/>
    <x v="2"/>
  </r>
  <r>
    <n v="2624"/>
    <x v="34"/>
    <x v="0"/>
    <x v="9"/>
    <x v="1"/>
    <x v="31"/>
    <x v="2"/>
    <s v="M"/>
    <s v="Gold"/>
    <s v="Fall"/>
    <n v="4.8"/>
    <x v="1"/>
    <x v="2"/>
    <x v="1"/>
    <x v="1"/>
    <n v="38"/>
    <x v="1"/>
    <x v="2"/>
    <x v="2"/>
  </r>
  <r>
    <n v="2625"/>
    <x v="1"/>
    <x v="0"/>
    <x v="10"/>
    <x v="0"/>
    <x v="40"/>
    <x v="45"/>
    <s v="M"/>
    <s v="Indigo"/>
    <s v="Summer"/>
    <n v="3.3"/>
    <x v="1"/>
    <x v="3"/>
    <x v="1"/>
    <x v="1"/>
    <n v="19"/>
    <x v="2"/>
    <x v="2"/>
    <x v="2"/>
  </r>
  <r>
    <n v="2626"/>
    <x v="11"/>
    <x v="0"/>
    <x v="11"/>
    <x v="0"/>
    <x v="12"/>
    <x v="24"/>
    <s v="L"/>
    <s v="Cyan"/>
    <s v="Summer"/>
    <n v="2.7"/>
    <x v="1"/>
    <x v="3"/>
    <x v="1"/>
    <x v="1"/>
    <n v="31"/>
    <x v="2"/>
    <x v="1"/>
    <x v="1"/>
  </r>
  <r>
    <n v="2627"/>
    <x v="2"/>
    <x v="0"/>
    <x v="14"/>
    <x v="2"/>
    <x v="43"/>
    <x v="3"/>
    <s v="XL"/>
    <s v="Silver"/>
    <s v="Fall"/>
    <n v="4.2"/>
    <x v="1"/>
    <x v="0"/>
    <x v="1"/>
    <x v="1"/>
    <n v="30"/>
    <x v="2"/>
    <x v="6"/>
    <x v="3"/>
  </r>
  <r>
    <n v="2628"/>
    <x v="17"/>
    <x v="0"/>
    <x v="5"/>
    <x v="0"/>
    <x v="46"/>
    <x v="9"/>
    <s v="L"/>
    <s v="Silver"/>
    <s v="Fall"/>
    <n v="3.6"/>
    <x v="1"/>
    <x v="2"/>
    <x v="1"/>
    <x v="1"/>
    <n v="40"/>
    <x v="4"/>
    <x v="3"/>
    <x v="3"/>
  </r>
  <r>
    <n v="2629"/>
    <x v="15"/>
    <x v="0"/>
    <x v="15"/>
    <x v="0"/>
    <x v="12"/>
    <x v="5"/>
    <s v="M"/>
    <s v="Silver"/>
    <s v="Summer"/>
    <n v="3.8"/>
    <x v="1"/>
    <x v="2"/>
    <x v="1"/>
    <x v="1"/>
    <n v="42"/>
    <x v="2"/>
    <x v="4"/>
    <x v="4"/>
  </r>
  <r>
    <n v="2630"/>
    <x v="12"/>
    <x v="0"/>
    <x v="18"/>
    <x v="3"/>
    <x v="77"/>
    <x v="13"/>
    <s v="M"/>
    <s v="Peach"/>
    <s v="Winter"/>
    <n v="3.8"/>
    <x v="1"/>
    <x v="1"/>
    <x v="1"/>
    <x v="1"/>
    <n v="25"/>
    <x v="0"/>
    <x v="2"/>
    <x v="2"/>
  </r>
  <r>
    <n v="2631"/>
    <x v="26"/>
    <x v="0"/>
    <x v="11"/>
    <x v="0"/>
    <x v="71"/>
    <x v="1"/>
    <s v="S"/>
    <s v="Pink"/>
    <s v="Spring"/>
    <n v="4.2"/>
    <x v="1"/>
    <x v="1"/>
    <x v="1"/>
    <x v="1"/>
    <n v="20"/>
    <x v="1"/>
    <x v="3"/>
    <x v="3"/>
  </r>
  <r>
    <n v="2632"/>
    <x v="10"/>
    <x v="0"/>
    <x v="11"/>
    <x v="0"/>
    <x v="77"/>
    <x v="39"/>
    <s v="S"/>
    <s v="Violet"/>
    <s v="Summer"/>
    <n v="2.7"/>
    <x v="1"/>
    <x v="0"/>
    <x v="1"/>
    <x v="1"/>
    <n v="3"/>
    <x v="1"/>
    <x v="1"/>
    <x v="1"/>
  </r>
  <r>
    <n v="2633"/>
    <x v="41"/>
    <x v="0"/>
    <x v="18"/>
    <x v="3"/>
    <x v="65"/>
    <x v="29"/>
    <s v="M"/>
    <s v="Black"/>
    <s v="Fall"/>
    <n v="5"/>
    <x v="1"/>
    <x v="2"/>
    <x v="1"/>
    <x v="1"/>
    <n v="14"/>
    <x v="1"/>
    <x v="2"/>
    <x v="2"/>
  </r>
  <r>
    <n v="2634"/>
    <x v="47"/>
    <x v="0"/>
    <x v="12"/>
    <x v="3"/>
    <x v="3"/>
    <x v="29"/>
    <s v="M"/>
    <s v="Purple"/>
    <s v="Fall"/>
    <n v="4.7"/>
    <x v="1"/>
    <x v="2"/>
    <x v="1"/>
    <x v="1"/>
    <n v="32"/>
    <x v="2"/>
    <x v="0"/>
    <x v="0"/>
  </r>
  <r>
    <n v="2635"/>
    <x v="8"/>
    <x v="0"/>
    <x v="3"/>
    <x v="1"/>
    <x v="47"/>
    <x v="17"/>
    <s v="S"/>
    <s v="Black"/>
    <s v="Summer"/>
    <n v="3.2"/>
    <x v="1"/>
    <x v="5"/>
    <x v="1"/>
    <x v="1"/>
    <n v="20"/>
    <x v="3"/>
    <x v="6"/>
    <x v="3"/>
  </r>
  <r>
    <n v="2636"/>
    <x v="35"/>
    <x v="0"/>
    <x v="15"/>
    <x v="0"/>
    <x v="68"/>
    <x v="24"/>
    <s v="XL"/>
    <s v="Peach"/>
    <s v="Spring"/>
    <n v="2.9"/>
    <x v="1"/>
    <x v="4"/>
    <x v="1"/>
    <x v="1"/>
    <n v="34"/>
    <x v="3"/>
    <x v="0"/>
    <x v="0"/>
  </r>
  <r>
    <n v="2637"/>
    <x v="38"/>
    <x v="0"/>
    <x v="14"/>
    <x v="2"/>
    <x v="49"/>
    <x v="40"/>
    <s v="S"/>
    <s v="Magenta"/>
    <s v="Winter"/>
    <n v="4.2"/>
    <x v="1"/>
    <x v="5"/>
    <x v="1"/>
    <x v="1"/>
    <n v="6"/>
    <x v="0"/>
    <x v="2"/>
    <x v="2"/>
  </r>
  <r>
    <n v="2638"/>
    <x v="30"/>
    <x v="0"/>
    <x v="13"/>
    <x v="0"/>
    <x v="66"/>
    <x v="15"/>
    <s v="M"/>
    <s v="Magenta"/>
    <s v="Spring"/>
    <n v="3.7"/>
    <x v="1"/>
    <x v="5"/>
    <x v="1"/>
    <x v="1"/>
    <n v="2"/>
    <x v="3"/>
    <x v="2"/>
    <x v="2"/>
  </r>
  <r>
    <n v="2639"/>
    <x v="40"/>
    <x v="0"/>
    <x v="5"/>
    <x v="0"/>
    <x v="7"/>
    <x v="11"/>
    <s v="S"/>
    <s v="Black"/>
    <s v="Spring"/>
    <n v="4.2"/>
    <x v="1"/>
    <x v="5"/>
    <x v="1"/>
    <x v="1"/>
    <n v="35"/>
    <x v="2"/>
    <x v="2"/>
    <x v="2"/>
  </r>
  <r>
    <n v="2640"/>
    <x v="20"/>
    <x v="0"/>
    <x v="0"/>
    <x v="0"/>
    <x v="59"/>
    <x v="13"/>
    <s v="XL"/>
    <s v="Pink"/>
    <s v="Winter"/>
    <n v="2.6"/>
    <x v="1"/>
    <x v="1"/>
    <x v="1"/>
    <x v="1"/>
    <n v="33"/>
    <x v="5"/>
    <x v="3"/>
    <x v="3"/>
  </r>
  <r>
    <n v="2641"/>
    <x v="11"/>
    <x v="0"/>
    <x v="11"/>
    <x v="0"/>
    <x v="60"/>
    <x v="27"/>
    <s v="L"/>
    <s v="Olive"/>
    <s v="Summer"/>
    <n v="4"/>
    <x v="1"/>
    <x v="5"/>
    <x v="1"/>
    <x v="1"/>
    <n v="45"/>
    <x v="0"/>
    <x v="4"/>
    <x v="4"/>
  </r>
  <r>
    <n v="2642"/>
    <x v="15"/>
    <x v="0"/>
    <x v="12"/>
    <x v="3"/>
    <x v="30"/>
    <x v="34"/>
    <s v="XL"/>
    <s v="Olive"/>
    <s v="Winter"/>
    <n v="2.7"/>
    <x v="1"/>
    <x v="2"/>
    <x v="1"/>
    <x v="1"/>
    <n v="20"/>
    <x v="4"/>
    <x v="6"/>
    <x v="3"/>
  </r>
  <r>
    <n v="2643"/>
    <x v="31"/>
    <x v="0"/>
    <x v="22"/>
    <x v="3"/>
    <x v="55"/>
    <x v="44"/>
    <s v="L"/>
    <s v="Peach"/>
    <s v="Summer"/>
    <n v="4"/>
    <x v="1"/>
    <x v="5"/>
    <x v="1"/>
    <x v="1"/>
    <n v="48"/>
    <x v="4"/>
    <x v="2"/>
    <x v="2"/>
  </r>
  <r>
    <n v="2644"/>
    <x v="34"/>
    <x v="0"/>
    <x v="24"/>
    <x v="3"/>
    <x v="52"/>
    <x v="33"/>
    <s v="S"/>
    <s v="Silver"/>
    <s v="Spring"/>
    <n v="2.9"/>
    <x v="1"/>
    <x v="2"/>
    <x v="1"/>
    <x v="1"/>
    <n v="37"/>
    <x v="1"/>
    <x v="5"/>
    <x v="5"/>
  </r>
  <r>
    <n v="2645"/>
    <x v="15"/>
    <x v="0"/>
    <x v="13"/>
    <x v="0"/>
    <x v="42"/>
    <x v="35"/>
    <s v="M"/>
    <s v="Turquoise"/>
    <s v="Spring"/>
    <n v="3.3"/>
    <x v="1"/>
    <x v="3"/>
    <x v="1"/>
    <x v="1"/>
    <n v="4"/>
    <x v="4"/>
    <x v="6"/>
    <x v="3"/>
  </r>
  <r>
    <n v="2646"/>
    <x v="51"/>
    <x v="0"/>
    <x v="18"/>
    <x v="3"/>
    <x v="13"/>
    <x v="7"/>
    <s v="L"/>
    <s v="Olive"/>
    <s v="Spring"/>
    <n v="4"/>
    <x v="1"/>
    <x v="5"/>
    <x v="1"/>
    <x v="1"/>
    <n v="24"/>
    <x v="4"/>
    <x v="4"/>
    <x v="4"/>
  </r>
  <r>
    <n v="2647"/>
    <x v="23"/>
    <x v="0"/>
    <x v="17"/>
    <x v="0"/>
    <x v="22"/>
    <x v="35"/>
    <s v="S"/>
    <s v="Lavender"/>
    <s v="Summer"/>
    <n v="3.9"/>
    <x v="1"/>
    <x v="2"/>
    <x v="1"/>
    <x v="1"/>
    <n v="4"/>
    <x v="5"/>
    <x v="6"/>
    <x v="3"/>
  </r>
  <r>
    <n v="2648"/>
    <x v="52"/>
    <x v="0"/>
    <x v="9"/>
    <x v="1"/>
    <x v="47"/>
    <x v="36"/>
    <s v="M"/>
    <s v="Red"/>
    <s v="Summer"/>
    <n v="3.3"/>
    <x v="1"/>
    <x v="4"/>
    <x v="1"/>
    <x v="1"/>
    <n v="25"/>
    <x v="5"/>
    <x v="2"/>
    <x v="2"/>
  </r>
  <r>
    <n v="2649"/>
    <x v="47"/>
    <x v="0"/>
    <x v="13"/>
    <x v="0"/>
    <x v="63"/>
    <x v="26"/>
    <s v="M"/>
    <s v="Gray"/>
    <s v="Spring"/>
    <n v="3.9"/>
    <x v="1"/>
    <x v="2"/>
    <x v="1"/>
    <x v="1"/>
    <n v="14"/>
    <x v="3"/>
    <x v="4"/>
    <x v="4"/>
  </r>
  <r>
    <n v="2650"/>
    <x v="51"/>
    <x v="0"/>
    <x v="24"/>
    <x v="3"/>
    <x v="34"/>
    <x v="46"/>
    <s v="M"/>
    <s v="Magenta"/>
    <s v="Fall"/>
    <n v="3.9"/>
    <x v="1"/>
    <x v="5"/>
    <x v="1"/>
    <x v="1"/>
    <n v="14"/>
    <x v="4"/>
    <x v="0"/>
    <x v="0"/>
  </r>
  <r>
    <n v="2651"/>
    <x v="30"/>
    <x v="0"/>
    <x v="20"/>
    <x v="0"/>
    <x v="59"/>
    <x v="4"/>
    <s v="L"/>
    <s v="Maroon"/>
    <s v="Summer"/>
    <n v="4.2"/>
    <x v="1"/>
    <x v="3"/>
    <x v="1"/>
    <x v="1"/>
    <n v="46"/>
    <x v="2"/>
    <x v="6"/>
    <x v="3"/>
  </r>
  <r>
    <n v="2652"/>
    <x v="47"/>
    <x v="0"/>
    <x v="4"/>
    <x v="1"/>
    <x v="35"/>
    <x v="30"/>
    <s v="M"/>
    <s v="Cyan"/>
    <s v="Summer"/>
    <n v="4.5999999999999996"/>
    <x v="1"/>
    <x v="5"/>
    <x v="1"/>
    <x v="1"/>
    <n v="27"/>
    <x v="3"/>
    <x v="3"/>
    <x v="3"/>
  </r>
  <r>
    <n v="2653"/>
    <x v="51"/>
    <x v="1"/>
    <x v="6"/>
    <x v="0"/>
    <x v="5"/>
    <x v="33"/>
    <s v="L"/>
    <s v="Cyan"/>
    <s v="Summer"/>
    <n v="3.3"/>
    <x v="1"/>
    <x v="4"/>
    <x v="1"/>
    <x v="1"/>
    <n v="46"/>
    <x v="2"/>
    <x v="5"/>
    <x v="5"/>
  </r>
  <r>
    <n v="2654"/>
    <x v="29"/>
    <x v="1"/>
    <x v="0"/>
    <x v="0"/>
    <x v="14"/>
    <x v="48"/>
    <s v="L"/>
    <s v="Lavender"/>
    <s v="Fall"/>
    <n v="4.8"/>
    <x v="1"/>
    <x v="0"/>
    <x v="1"/>
    <x v="1"/>
    <n v="24"/>
    <x v="0"/>
    <x v="6"/>
    <x v="3"/>
  </r>
  <r>
    <n v="2655"/>
    <x v="51"/>
    <x v="1"/>
    <x v="7"/>
    <x v="2"/>
    <x v="44"/>
    <x v="37"/>
    <s v="S"/>
    <s v="Pink"/>
    <s v="Fall"/>
    <n v="4.0999999999999996"/>
    <x v="1"/>
    <x v="2"/>
    <x v="1"/>
    <x v="1"/>
    <n v="4"/>
    <x v="3"/>
    <x v="2"/>
    <x v="2"/>
  </r>
  <r>
    <n v="2656"/>
    <x v="8"/>
    <x v="1"/>
    <x v="12"/>
    <x v="3"/>
    <x v="42"/>
    <x v="5"/>
    <s v="M"/>
    <s v="Gray"/>
    <s v="Summer"/>
    <n v="3.4"/>
    <x v="1"/>
    <x v="3"/>
    <x v="1"/>
    <x v="1"/>
    <n v="2"/>
    <x v="2"/>
    <x v="0"/>
    <x v="0"/>
  </r>
  <r>
    <n v="2657"/>
    <x v="16"/>
    <x v="1"/>
    <x v="6"/>
    <x v="0"/>
    <x v="31"/>
    <x v="27"/>
    <s v="L"/>
    <s v="Yellow"/>
    <s v="Winter"/>
    <n v="3.6"/>
    <x v="1"/>
    <x v="0"/>
    <x v="1"/>
    <x v="1"/>
    <n v="29"/>
    <x v="4"/>
    <x v="0"/>
    <x v="0"/>
  </r>
  <r>
    <n v="2658"/>
    <x v="16"/>
    <x v="1"/>
    <x v="10"/>
    <x v="0"/>
    <x v="13"/>
    <x v="21"/>
    <s v="M"/>
    <s v="Pink"/>
    <s v="Summer"/>
    <n v="2.7"/>
    <x v="1"/>
    <x v="0"/>
    <x v="1"/>
    <x v="1"/>
    <n v="7"/>
    <x v="2"/>
    <x v="0"/>
    <x v="0"/>
  </r>
  <r>
    <n v="2659"/>
    <x v="16"/>
    <x v="1"/>
    <x v="8"/>
    <x v="3"/>
    <x v="53"/>
    <x v="31"/>
    <s v="XL"/>
    <s v="Indigo"/>
    <s v="Summer"/>
    <n v="3.2"/>
    <x v="1"/>
    <x v="2"/>
    <x v="1"/>
    <x v="1"/>
    <n v="39"/>
    <x v="3"/>
    <x v="5"/>
    <x v="5"/>
  </r>
  <r>
    <n v="2660"/>
    <x v="25"/>
    <x v="1"/>
    <x v="23"/>
    <x v="1"/>
    <x v="59"/>
    <x v="23"/>
    <s v="L"/>
    <s v="Gray"/>
    <s v="Summer"/>
    <n v="4.4000000000000004"/>
    <x v="1"/>
    <x v="4"/>
    <x v="1"/>
    <x v="1"/>
    <n v="46"/>
    <x v="2"/>
    <x v="0"/>
    <x v="0"/>
  </r>
  <r>
    <n v="2661"/>
    <x v="41"/>
    <x v="1"/>
    <x v="13"/>
    <x v="0"/>
    <x v="6"/>
    <x v="36"/>
    <s v="L"/>
    <s v="Yellow"/>
    <s v="Spring"/>
    <n v="4.9000000000000004"/>
    <x v="1"/>
    <x v="0"/>
    <x v="1"/>
    <x v="1"/>
    <n v="44"/>
    <x v="0"/>
    <x v="2"/>
    <x v="2"/>
  </r>
  <r>
    <n v="2662"/>
    <x v="49"/>
    <x v="1"/>
    <x v="23"/>
    <x v="1"/>
    <x v="48"/>
    <x v="49"/>
    <s v="XL"/>
    <s v="Olive"/>
    <s v="Fall"/>
    <n v="4.8"/>
    <x v="1"/>
    <x v="0"/>
    <x v="1"/>
    <x v="1"/>
    <n v="20"/>
    <x v="4"/>
    <x v="2"/>
    <x v="2"/>
  </r>
  <r>
    <n v="2663"/>
    <x v="15"/>
    <x v="1"/>
    <x v="11"/>
    <x v="0"/>
    <x v="57"/>
    <x v="43"/>
    <s v="M"/>
    <s v="Cyan"/>
    <s v="Summer"/>
    <n v="2.8"/>
    <x v="1"/>
    <x v="4"/>
    <x v="1"/>
    <x v="1"/>
    <n v="44"/>
    <x v="3"/>
    <x v="0"/>
    <x v="0"/>
  </r>
  <r>
    <n v="2664"/>
    <x v="5"/>
    <x v="1"/>
    <x v="4"/>
    <x v="1"/>
    <x v="78"/>
    <x v="48"/>
    <s v="L"/>
    <s v="Silver"/>
    <s v="Fall"/>
    <n v="2.9"/>
    <x v="1"/>
    <x v="1"/>
    <x v="1"/>
    <x v="1"/>
    <n v="23"/>
    <x v="4"/>
    <x v="2"/>
    <x v="2"/>
  </r>
  <r>
    <n v="2665"/>
    <x v="40"/>
    <x v="1"/>
    <x v="16"/>
    <x v="3"/>
    <x v="63"/>
    <x v="26"/>
    <s v="L"/>
    <s v="Silver"/>
    <s v="Winter"/>
    <n v="3.2"/>
    <x v="1"/>
    <x v="5"/>
    <x v="1"/>
    <x v="1"/>
    <n v="37"/>
    <x v="3"/>
    <x v="1"/>
    <x v="1"/>
  </r>
  <r>
    <n v="2666"/>
    <x v="27"/>
    <x v="1"/>
    <x v="17"/>
    <x v="0"/>
    <x v="79"/>
    <x v="7"/>
    <s v="L"/>
    <s v="Red"/>
    <s v="Winter"/>
    <n v="3.5"/>
    <x v="1"/>
    <x v="5"/>
    <x v="1"/>
    <x v="1"/>
    <n v="4"/>
    <x v="0"/>
    <x v="1"/>
    <x v="1"/>
  </r>
  <r>
    <n v="2667"/>
    <x v="34"/>
    <x v="1"/>
    <x v="3"/>
    <x v="1"/>
    <x v="51"/>
    <x v="31"/>
    <s v="S"/>
    <s v="Brown"/>
    <s v="Winter"/>
    <n v="4.0999999999999996"/>
    <x v="1"/>
    <x v="5"/>
    <x v="1"/>
    <x v="1"/>
    <n v="14"/>
    <x v="0"/>
    <x v="0"/>
    <x v="0"/>
  </r>
  <r>
    <n v="2668"/>
    <x v="39"/>
    <x v="1"/>
    <x v="23"/>
    <x v="1"/>
    <x v="53"/>
    <x v="33"/>
    <s v="M"/>
    <s v="Orange"/>
    <s v="Summer"/>
    <n v="4.0999999999999996"/>
    <x v="1"/>
    <x v="1"/>
    <x v="1"/>
    <x v="1"/>
    <n v="31"/>
    <x v="1"/>
    <x v="0"/>
    <x v="0"/>
  </r>
  <r>
    <n v="2669"/>
    <x v="35"/>
    <x v="1"/>
    <x v="7"/>
    <x v="2"/>
    <x v="60"/>
    <x v="21"/>
    <s v="M"/>
    <s v="Black"/>
    <s v="Summer"/>
    <n v="4.8"/>
    <x v="1"/>
    <x v="2"/>
    <x v="1"/>
    <x v="1"/>
    <n v="9"/>
    <x v="3"/>
    <x v="3"/>
    <x v="3"/>
  </r>
  <r>
    <n v="2670"/>
    <x v="31"/>
    <x v="1"/>
    <x v="22"/>
    <x v="3"/>
    <x v="39"/>
    <x v="26"/>
    <s v="L"/>
    <s v="Teal"/>
    <s v="Spring"/>
    <n v="2.8"/>
    <x v="1"/>
    <x v="1"/>
    <x v="1"/>
    <x v="1"/>
    <n v="31"/>
    <x v="2"/>
    <x v="1"/>
    <x v="1"/>
  </r>
  <r>
    <n v="2671"/>
    <x v="11"/>
    <x v="1"/>
    <x v="12"/>
    <x v="3"/>
    <x v="77"/>
    <x v="38"/>
    <s v="M"/>
    <s v="Yellow"/>
    <s v="Fall"/>
    <n v="4.7"/>
    <x v="1"/>
    <x v="0"/>
    <x v="1"/>
    <x v="1"/>
    <n v="26"/>
    <x v="4"/>
    <x v="4"/>
    <x v="4"/>
  </r>
  <r>
    <n v="2672"/>
    <x v="43"/>
    <x v="1"/>
    <x v="3"/>
    <x v="1"/>
    <x v="1"/>
    <x v="15"/>
    <s v="XL"/>
    <s v="Gray"/>
    <s v="Winter"/>
    <n v="4.8"/>
    <x v="1"/>
    <x v="4"/>
    <x v="1"/>
    <x v="1"/>
    <n v="41"/>
    <x v="3"/>
    <x v="6"/>
    <x v="3"/>
  </r>
  <r>
    <n v="2673"/>
    <x v="19"/>
    <x v="1"/>
    <x v="23"/>
    <x v="1"/>
    <x v="39"/>
    <x v="8"/>
    <s v="M"/>
    <s v="Maroon"/>
    <s v="Spring"/>
    <n v="2.9"/>
    <x v="1"/>
    <x v="3"/>
    <x v="1"/>
    <x v="1"/>
    <n v="13"/>
    <x v="1"/>
    <x v="2"/>
    <x v="2"/>
  </r>
  <r>
    <n v="2674"/>
    <x v="29"/>
    <x v="1"/>
    <x v="15"/>
    <x v="0"/>
    <x v="34"/>
    <x v="22"/>
    <s v="M"/>
    <s v="Olive"/>
    <s v="Summer"/>
    <n v="2.6"/>
    <x v="1"/>
    <x v="4"/>
    <x v="1"/>
    <x v="1"/>
    <n v="4"/>
    <x v="1"/>
    <x v="5"/>
    <x v="5"/>
  </r>
  <r>
    <n v="2675"/>
    <x v="37"/>
    <x v="1"/>
    <x v="19"/>
    <x v="3"/>
    <x v="52"/>
    <x v="20"/>
    <s v="S"/>
    <s v="Charcoal"/>
    <s v="Fall"/>
    <n v="3.3"/>
    <x v="1"/>
    <x v="0"/>
    <x v="1"/>
    <x v="1"/>
    <n v="15"/>
    <x v="1"/>
    <x v="6"/>
    <x v="3"/>
  </r>
  <r>
    <n v="2676"/>
    <x v="41"/>
    <x v="1"/>
    <x v="6"/>
    <x v="0"/>
    <x v="15"/>
    <x v="41"/>
    <s v="M"/>
    <s v="Peach"/>
    <s v="Winter"/>
    <n v="3.4"/>
    <x v="1"/>
    <x v="1"/>
    <x v="1"/>
    <x v="1"/>
    <n v="38"/>
    <x v="1"/>
    <x v="4"/>
    <x v="4"/>
  </r>
  <r>
    <n v="2677"/>
    <x v="49"/>
    <x v="1"/>
    <x v="21"/>
    <x v="3"/>
    <x v="64"/>
    <x v="0"/>
    <s v="M"/>
    <s v="Maroon"/>
    <s v="Spring"/>
    <n v="3.6"/>
    <x v="1"/>
    <x v="1"/>
    <x v="1"/>
    <x v="1"/>
    <n v="3"/>
    <x v="1"/>
    <x v="0"/>
    <x v="0"/>
  </r>
  <r>
    <n v="2678"/>
    <x v="4"/>
    <x v="1"/>
    <x v="6"/>
    <x v="0"/>
    <x v="35"/>
    <x v="39"/>
    <s v="L"/>
    <s v="Olive"/>
    <s v="Spring"/>
    <n v="3.8"/>
    <x v="1"/>
    <x v="2"/>
    <x v="1"/>
    <x v="1"/>
    <n v="6"/>
    <x v="3"/>
    <x v="6"/>
    <x v="3"/>
  </r>
  <r>
    <n v="2679"/>
    <x v="23"/>
    <x v="1"/>
    <x v="22"/>
    <x v="3"/>
    <x v="26"/>
    <x v="6"/>
    <s v="M"/>
    <s v="Magenta"/>
    <s v="Spring"/>
    <n v="3.4"/>
    <x v="1"/>
    <x v="4"/>
    <x v="1"/>
    <x v="1"/>
    <n v="34"/>
    <x v="2"/>
    <x v="4"/>
    <x v="4"/>
  </r>
  <r>
    <n v="2680"/>
    <x v="10"/>
    <x v="1"/>
    <x v="6"/>
    <x v="0"/>
    <x v="10"/>
    <x v="6"/>
    <s v="S"/>
    <s v="Yellow"/>
    <s v="Spring"/>
    <n v="3.8"/>
    <x v="1"/>
    <x v="0"/>
    <x v="1"/>
    <x v="1"/>
    <n v="7"/>
    <x v="5"/>
    <x v="3"/>
    <x v="3"/>
  </r>
  <r>
    <n v="2681"/>
    <x v="42"/>
    <x v="1"/>
    <x v="20"/>
    <x v="0"/>
    <x v="18"/>
    <x v="43"/>
    <s v="L"/>
    <s v="Indigo"/>
    <s v="Fall"/>
    <n v="3.3"/>
    <x v="1"/>
    <x v="2"/>
    <x v="1"/>
    <x v="1"/>
    <n v="21"/>
    <x v="0"/>
    <x v="2"/>
    <x v="2"/>
  </r>
  <r>
    <n v="2682"/>
    <x v="51"/>
    <x v="1"/>
    <x v="9"/>
    <x v="1"/>
    <x v="66"/>
    <x v="2"/>
    <s v="L"/>
    <s v="Olive"/>
    <s v="Summer"/>
    <n v="4.8"/>
    <x v="1"/>
    <x v="3"/>
    <x v="1"/>
    <x v="1"/>
    <n v="17"/>
    <x v="5"/>
    <x v="5"/>
    <x v="5"/>
  </r>
  <r>
    <n v="2683"/>
    <x v="35"/>
    <x v="1"/>
    <x v="4"/>
    <x v="1"/>
    <x v="61"/>
    <x v="17"/>
    <s v="L"/>
    <s v="Maroon"/>
    <s v="Winter"/>
    <n v="3.9"/>
    <x v="1"/>
    <x v="4"/>
    <x v="1"/>
    <x v="1"/>
    <n v="5"/>
    <x v="0"/>
    <x v="6"/>
    <x v="3"/>
  </r>
  <r>
    <n v="2684"/>
    <x v="33"/>
    <x v="1"/>
    <x v="21"/>
    <x v="3"/>
    <x v="38"/>
    <x v="6"/>
    <s v="M"/>
    <s v="Indigo"/>
    <s v="Summer"/>
    <n v="4.2"/>
    <x v="1"/>
    <x v="2"/>
    <x v="1"/>
    <x v="1"/>
    <n v="21"/>
    <x v="1"/>
    <x v="0"/>
    <x v="0"/>
  </r>
  <r>
    <n v="2685"/>
    <x v="5"/>
    <x v="1"/>
    <x v="10"/>
    <x v="0"/>
    <x v="29"/>
    <x v="47"/>
    <s v="M"/>
    <s v="Gray"/>
    <s v="Summer"/>
    <n v="4.7"/>
    <x v="1"/>
    <x v="1"/>
    <x v="1"/>
    <x v="1"/>
    <n v="42"/>
    <x v="2"/>
    <x v="4"/>
    <x v="4"/>
  </r>
  <r>
    <n v="2686"/>
    <x v="19"/>
    <x v="1"/>
    <x v="23"/>
    <x v="1"/>
    <x v="21"/>
    <x v="41"/>
    <s v="M"/>
    <s v="Gray"/>
    <s v="Winter"/>
    <n v="2.7"/>
    <x v="1"/>
    <x v="0"/>
    <x v="1"/>
    <x v="1"/>
    <n v="49"/>
    <x v="2"/>
    <x v="3"/>
    <x v="3"/>
  </r>
  <r>
    <n v="2687"/>
    <x v="37"/>
    <x v="1"/>
    <x v="20"/>
    <x v="0"/>
    <x v="11"/>
    <x v="42"/>
    <s v="M"/>
    <s v="Black"/>
    <s v="Winter"/>
    <n v="3.8"/>
    <x v="1"/>
    <x v="4"/>
    <x v="1"/>
    <x v="1"/>
    <n v="33"/>
    <x v="1"/>
    <x v="0"/>
    <x v="0"/>
  </r>
  <r>
    <n v="2688"/>
    <x v="12"/>
    <x v="1"/>
    <x v="10"/>
    <x v="0"/>
    <x v="60"/>
    <x v="12"/>
    <s v="M"/>
    <s v="White"/>
    <s v="Fall"/>
    <n v="3.6"/>
    <x v="1"/>
    <x v="4"/>
    <x v="1"/>
    <x v="1"/>
    <n v="12"/>
    <x v="5"/>
    <x v="4"/>
    <x v="4"/>
  </r>
  <r>
    <n v="2689"/>
    <x v="10"/>
    <x v="1"/>
    <x v="8"/>
    <x v="3"/>
    <x v="80"/>
    <x v="8"/>
    <s v="XL"/>
    <s v="Turquoise"/>
    <s v="Spring"/>
    <n v="2.9"/>
    <x v="1"/>
    <x v="4"/>
    <x v="1"/>
    <x v="1"/>
    <n v="18"/>
    <x v="2"/>
    <x v="6"/>
    <x v="3"/>
  </r>
  <r>
    <n v="2690"/>
    <x v="26"/>
    <x v="1"/>
    <x v="0"/>
    <x v="0"/>
    <x v="59"/>
    <x v="5"/>
    <s v="M"/>
    <s v="Orange"/>
    <s v="Fall"/>
    <n v="3.9"/>
    <x v="1"/>
    <x v="3"/>
    <x v="1"/>
    <x v="1"/>
    <n v="47"/>
    <x v="3"/>
    <x v="3"/>
    <x v="3"/>
  </r>
  <r>
    <n v="2691"/>
    <x v="42"/>
    <x v="1"/>
    <x v="22"/>
    <x v="3"/>
    <x v="50"/>
    <x v="35"/>
    <s v="L"/>
    <s v="Yellow"/>
    <s v="Summer"/>
    <n v="4.7"/>
    <x v="1"/>
    <x v="1"/>
    <x v="1"/>
    <x v="1"/>
    <n v="18"/>
    <x v="4"/>
    <x v="1"/>
    <x v="1"/>
  </r>
  <r>
    <n v="2692"/>
    <x v="49"/>
    <x v="1"/>
    <x v="13"/>
    <x v="0"/>
    <x v="21"/>
    <x v="43"/>
    <s v="L"/>
    <s v="Blue"/>
    <s v="Winter"/>
    <n v="3.3"/>
    <x v="1"/>
    <x v="4"/>
    <x v="1"/>
    <x v="1"/>
    <n v="48"/>
    <x v="1"/>
    <x v="5"/>
    <x v="5"/>
  </r>
  <r>
    <n v="2693"/>
    <x v="37"/>
    <x v="1"/>
    <x v="4"/>
    <x v="1"/>
    <x v="3"/>
    <x v="47"/>
    <s v="XL"/>
    <s v="Violet"/>
    <s v="Spring"/>
    <n v="4.2"/>
    <x v="1"/>
    <x v="1"/>
    <x v="1"/>
    <x v="1"/>
    <n v="18"/>
    <x v="5"/>
    <x v="6"/>
    <x v="3"/>
  </r>
  <r>
    <n v="2694"/>
    <x v="0"/>
    <x v="1"/>
    <x v="23"/>
    <x v="1"/>
    <x v="44"/>
    <x v="11"/>
    <s v="L"/>
    <s v="Lavender"/>
    <s v="Summer"/>
    <n v="2.6"/>
    <x v="1"/>
    <x v="3"/>
    <x v="1"/>
    <x v="1"/>
    <n v="46"/>
    <x v="1"/>
    <x v="3"/>
    <x v="3"/>
  </r>
  <r>
    <n v="2695"/>
    <x v="17"/>
    <x v="1"/>
    <x v="12"/>
    <x v="3"/>
    <x v="65"/>
    <x v="7"/>
    <s v="M"/>
    <s v="Olive"/>
    <s v="Spring"/>
    <n v="4.9000000000000004"/>
    <x v="1"/>
    <x v="0"/>
    <x v="1"/>
    <x v="1"/>
    <n v="34"/>
    <x v="2"/>
    <x v="6"/>
    <x v="3"/>
  </r>
  <r>
    <n v="2696"/>
    <x v="2"/>
    <x v="1"/>
    <x v="19"/>
    <x v="3"/>
    <x v="56"/>
    <x v="30"/>
    <s v="M"/>
    <s v="Orange"/>
    <s v="Fall"/>
    <n v="3.6"/>
    <x v="1"/>
    <x v="3"/>
    <x v="1"/>
    <x v="1"/>
    <n v="10"/>
    <x v="3"/>
    <x v="4"/>
    <x v="4"/>
  </r>
  <r>
    <n v="2697"/>
    <x v="9"/>
    <x v="1"/>
    <x v="7"/>
    <x v="2"/>
    <x v="5"/>
    <x v="45"/>
    <s v="M"/>
    <s v="White"/>
    <s v="Spring"/>
    <n v="4.7"/>
    <x v="1"/>
    <x v="1"/>
    <x v="1"/>
    <x v="1"/>
    <n v="12"/>
    <x v="5"/>
    <x v="5"/>
    <x v="5"/>
  </r>
  <r>
    <n v="2698"/>
    <x v="32"/>
    <x v="1"/>
    <x v="14"/>
    <x v="2"/>
    <x v="78"/>
    <x v="12"/>
    <s v="L"/>
    <s v="Red"/>
    <s v="Winter"/>
    <n v="3.2"/>
    <x v="1"/>
    <x v="3"/>
    <x v="1"/>
    <x v="1"/>
    <n v="36"/>
    <x v="4"/>
    <x v="3"/>
    <x v="3"/>
  </r>
  <r>
    <n v="2699"/>
    <x v="0"/>
    <x v="1"/>
    <x v="15"/>
    <x v="0"/>
    <x v="75"/>
    <x v="41"/>
    <s v="M"/>
    <s v="Magenta"/>
    <s v="Summer"/>
    <n v="3.6"/>
    <x v="1"/>
    <x v="5"/>
    <x v="1"/>
    <x v="1"/>
    <n v="34"/>
    <x v="0"/>
    <x v="3"/>
    <x v="3"/>
  </r>
  <r>
    <n v="2700"/>
    <x v="15"/>
    <x v="1"/>
    <x v="23"/>
    <x v="1"/>
    <x v="48"/>
    <x v="40"/>
    <s v="M"/>
    <s v="Violet"/>
    <s v="Fall"/>
    <n v="3.6"/>
    <x v="1"/>
    <x v="4"/>
    <x v="1"/>
    <x v="1"/>
    <n v="49"/>
    <x v="5"/>
    <x v="2"/>
    <x v="2"/>
  </r>
  <r>
    <n v="2701"/>
    <x v="40"/>
    <x v="1"/>
    <x v="17"/>
    <x v="0"/>
    <x v="10"/>
    <x v="18"/>
    <s v="XL"/>
    <s v="Olive"/>
    <s v="Winter"/>
    <n v="3.2"/>
    <x v="1"/>
    <x v="3"/>
    <x v="1"/>
    <x v="1"/>
    <n v="36"/>
    <x v="1"/>
    <x v="1"/>
    <x v="1"/>
  </r>
  <r>
    <n v="2702"/>
    <x v="34"/>
    <x v="1"/>
    <x v="1"/>
    <x v="0"/>
    <x v="38"/>
    <x v="37"/>
    <s v="L"/>
    <s v="Silver"/>
    <s v="Summer"/>
    <n v="2.8"/>
    <x v="1"/>
    <x v="5"/>
    <x v="1"/>
    <x v="1"/>
    <n v="18"/>
    <x v="4"/>
    <x v="0"/>
    <x v="0"/>
  </r>
  <r>
    <n v="2703"/>
    <x v="27"/>
    <x v="1"/>
    <x v="9"/>
    <x v="1"/>
    <x v="18"/>
    <x v="21"/>
    <s v="L"/>
    <s v="Gray"/>
    <s v="Fall"/>
    <n v="4"/>
    <x v="1"/>
    <x v="2"/>
    <x v="1"/>
    <x v="1"/>
    <n v="39"/>
    <x v="5"/>
    <x v="0"/>
    <x v="0"/>
  </r>
  <r>
    <n v="2704"/>
    <x v="19"/>
    <x v="1"/>
    <x v="18"/>
    <x v="3"/>
    <x v="69"/>
    <x v="30"/>
    <s v="XL"/>
    <s v="Olive"/>
    <s v="Winter"/>
    <n v="4.4000000000000004"/>
    <x v="1"/>
    <x v="1"/>
    <x v="1"/>
    <x v="1"/>
    <n v="34"/>
    <x v="3"/>
    <x v="1"/>
    <x v="1"/>
  </r>
  <r>
    <n v="2705"/>
    <x v="16"/>
    <x v="1"/>
    <x v="10"/>
    <x v="0"/>
    <x v="36"/>
    <x v="30"/>
    <s v="L"/>
    <s v="Beige"/>
    <s v="Spring"/>
    <n v="3.4"/>
    <x v="1"/>
    <x v="2"/>
    <x v="1"/>
    <x v="1"/>
    <n v="35"/>
    <x v="5"/>
    <x v="1"/>
    <x v="1"/>
  </r>
  <r>
    <n v="2706"/>
    <x v="13"/>
    <x v="1"/>
    <x v="14"/>
    <x v="2"/>
    <x v="13"/>
    <x v="47"/>
    <s v="S"/>
    <s v="Turquoise"/>
    <s v="Spring"/>
    <n v="5"/>
    <x v="1"/>
    <x v="5"/>
    <x v="1"/>
    <x v="1"/>
    <n v="1"/>
    <x v="2"/>
    <x v="4"/>
    <x v="4"/>
  </r>
  <r>
    <n v="2707"/>
    <x v="41"/>
    <x v="1"/>
    <x v="9"/>
    <x v="1"/>
    <x v="49"/>
    <x v="15"/>
    <s v="S"/>
    <s v="Blue"/>
    <s v="Spring"/>
    <n v="3.1"/>
    <x v="1"/>
    <x v="0"/>
    <x v="1"/>
    <x v="1"/>
    <n v="48"/>
    <x v="5"/>
    <x v="3"/>
    <x v="3"/>
  </r>
  <r>
    <n v="2708"/>
    <x v="45"/>
    <x v="1"/>
    <x v="21"/>
    <x v="3"/>
    <x v="19"/>
    <x v="43"/>
    <s v="M"/>
    <s v="Pink"/>
    <s v="Fall"/>
    <n v="4.2"/>
    <x v="1"/>
    <x v="3"/>
    <x v="1"/>
    <x v="1"/>
    <n v="19"/>
    <x v="1"/>
    <x v="1"/>
    <x v="1"/>
  </r>
  <r>
    <n v="2709"/>
    <x v="9"/>
    <x v="1"/>
    <x v="10"/>
    <x v="0"/>
    <x v="23"/>
    <x v="15"/>
    <s v="M"/>
    <s v="Teal"/>
    <s v="Summer"/>
    <n v="3.3"/>
    <x v="1"/>
    <x v="5"/>
    <x v="1"/>
    <x v="1"/>
    <n v="44"/>
    <x v="5"/>
    <x v="1"/>
    <x v="1"/>
  </r>
  <r>
    <n v="2710"/>
    <x v="25"/>
    <x v="1"/>
    <x v="5"/>
    <x v="0"/>
    <x v="36"/>
    <x v="26"/>
    <s v="S"/>
    <s v="Cyan"/>
    <s v="Winter"/>
    <n v="2.9"/>
    <x v="1"/>
    <x v="3"/>
    <x v="1"/>
    <x v="1"/>
    <n v="9"/>
    <x v="2"/>
    <x v="4"/>
    <x v="4"/>
  </r>
  <r>
    <n v="2711"/>
    <x v="28"/>
    <x v="1"/>
    <x v="14"/>
    <x v="2"/>
    <x v="12"/>
    <x v="48"/>
    <s v="L"/>
    <s v="Purple"/>
    <s v="Summer"/>
    <n v="4.7"/>
    <x v="1"/>
    <x v="3"/>
    <x v="1"/>
    <x v="1"/>
    <n v="3"/>
    <x v="4"/>
    <x v="0"/>
    <x v="0"/>
  </r>
  <r>
    <n v="2712"/>
    <x v="11"/>
    <x v="1"/>
    <x v="12"/>
    <x v="3"/>
    <x v="20"/>
    <x v="43"/>
    <s v="L"/>
    <s v="Red"/>
    <s v="Spring"/>
    <n v="4"/>
    <x v="1"/>
    <x v="3"/>
    <x v="1"/>
    <x v="1"/>
    <n v="50"/>
    <x v="0"/>
    <x v="5"/>
    <x v="5"/>
  </r>
  <r>
    <n v="2713"/>
    <x v="43"/>
    <x v="1"/>
    <x v="14"/>
    <x v="2"/>
    <x v="51"/>
    <x v="25"/>
    <s v="L"/>
    <s v="Brown"/>
    <s v="Fall"/>
    <n v="4.5999999999999996"/>
    <x v="1"/>
    <x v="3"/>
    <x v="1"/>
    <x v="1"/>
    <n v="7"/>
    <x v="5"/>
    <x v="3"/>
    <x v="3"/>
  </r>
  <r>
    <n v="2714"/>
    <x v="1"/>
    <x v="1"/>
    <x v="7"/>
    <x v="2"/>
    <x v="75"/>
    <x v="16"/>
    <s v="M"/>
    <s v="Magenta"/>
    <s v="Fall"/>
    <n v="3.8"/>
    <x v="1"/>
    <x v="4"/>
    <x v="1"/>
    <x v="1"/>
    <n v="20"/>
    <x v="5"/>
    <x v="2"/>
    <x v="2"/>
  </r>
  <r>
    <n v="2715"/>
    <x v="10"/>
    <x v="1"/>
    <x v="1"/>
    <x v="0"/>
    <x v="29"/>
    <x v="44"/>
    <s v="S"/>
    <s v="Olive"/>
    <s v="Winter"/>
    <n v="3.6"/>
    <x v="1"/>
    <x v="5"/>
    <x v="1"/>
    <x v="1"/>
    <n v="16"/>
    <x v="2"/>
    <x v="4"/>
    <x v="4"/>
  </r>
  <r>
    <n v="2716"/>
    <x v="15"/>
    <x v="1"/>
    <x v="4"/>
    <x v="1"/>
    <x v="56"/>
    <x v="16"/>
    <s v="XL"/>
    <s v="Pink"/>
    <s v="Winter"/>
    <n v="4.0999999999999996"/>
    <x v="1"/>
    <x v="0"/>
    <x v="1"/>
    <x v="1"/>
    <n v="29"/>
    <x v="3"/>
    <x v="0"/>
    <x v="0"/>
  </r>
  <r>
    <n v="2717"/>
    <x v="36"/>
    <x v="1"/>
    <x v="9"/>
    <x v="1"/>
    <x v="49"/>
    <x v="24"/>
    <s v="L"/>
    <s v="Black"/>
    <s v="Spring"/>
    <n v="2.7"/>
    <x v="1"/>
    <x v="5"/>
    <x v="1"/>
    <x v="1"/>
    <n v="21"/>
    <x v="5"/>
    <x v="1"/>
    <x v="1"/>
  </r>
  <r>
    <n v="2718"/>
    <x v="20"/>
    <x v="1"/>
    <x v="12"/>
    <x v="3"/>
    <x v="17"/>
    <x v="43"/>
    <s v="XL"/>
    <s v="Beige"/>
    <s v="Winter"/>
    <n v="4.3"/>
    <x v="1"/>
    <x v="1"/>
    <x v="1"/>
    <x v="1"/>
    <n v="19"/>
    <x v="2"/>
    <x v="6"/>
    <x v="3"/>
  </r>
  <r>
    <n v="2719"/>
    <x v="40"/>
    <x v="1"/>
    <x v="6"/>
    <x v="0"/>
    <x v="3"/>
    <x v="41"/>
    <s v="M"/>
    <s v="Peach"/>
    <s v="Winter"/>
    <n v="4.9000000000000004"/>
    <x v="1"/>
    <x v="2"/>
    <x v="1"/>
    <x v="1"/>
    <n v="10"/>
    <x v="0"/>
    <x v="4"/>
    <x v="4"/>
  </r>
  <r>
    <n v="2720"/>
    <x v="28"/>
    <x v="1"/>
    <x v="15"/>
    <x v="0"/>
    <x v="71"/>
    <x v="7"/>
    <s v="S"/>
    <s v="Peach"/>
    <s v="Fall"/>
    <n v="4.2"/>
    <x v="1"/>
    <x v="1"/>
    <x v="1"/>
    <x v="1"/>
    <n v="4"/>
    <x v="4"/>
    <x v="5"/>
    <x v="5"/>
  </r>
  <r>
    <n v="2721"/>
    <x v="0"/>
    <x v="1"/>
    <x v="18"/>
    <x v="3"/>
    <x v="78"/>
    <x v="33"/>
    <s v="M"/>
    <s v="Peach"/>
    <s v="Spring"/>
    <n v="2.8"/>
    <x v="1"/>
    <x v="5"/>
    <x v="1"/>
    <x v="1"/>
    <n v="45"/>
    <x v="4"/>
    <x v="3"/>
    <x v="3"/>
  </r>
  <r>
    <n v="2722"/>
    <x v="1"/>
    <x v="1"/>
    <x v="3"/>
    <x v="1"/>
    <x v="44"/>
    <x v="46"/>
    <s v="S"/>
    <s v="Teal"/>
    <s v="Spring"/>
    <n v="4.9000000000000004"/>
    <x v="1"/>
    <x v="1"/>
    <x v="1"/>
    <x v="1"/>
    <n v="17"/>
    <x v="3"/>
    <x v="0"/>
    <x v="0"/>
  </r>
  <r>
    <n v="2723"/>
    <x v="51"/>
    <x v="1"/>
    <x v="19"/>
    <x v="3"/>
    <x v="42"/>
    <x v="1"/>
    <s v="M"/>
    <s v="Green"/>
    <s v="Spring"/>
    <n v="2.8"/>
    <x v="1"/>
    <x v="4"/>
    <x v="1"/>
    <x v="1"/>
    <n v="22"/>
    <x v="3"/>
    <x v="0"/>
    <x v="0"/>
  </r>
  <r>
    <n v="2724"/>
    <x v="22"/>
    <x v="1"/>
    <x v="9"/>
    <x v="1"/>
    <x v="4"/>
    <x v="21"/>
    <s v="XL"/>
    <s v="Brown"/>
    <s v="Summer"/>
    <n v="2.9"/>
    <x v="1"/>
    <x v="5"/>
    <x v="1"/>
    <x v="1"/>
    <n v="3"/>
    <x v="3"/>
    <x v="6"/>
    <x v="3"/>
  </r>
  <r>
    <n v="2725"/>
    <x v="16"/>
    <x v="1"/>
    <x v="4"/>
    <x v="1"/>
    <x v="26"/>
    <x v="9"/>
    <s v="M"/>
    <s v="Brown"/>
    <s v="Spring"/>
    <n v="2.5"/>
    <x v="1"/>
    <x v="2"/>
    <x v="1"/>
    <x v="1"/>
    <n v="11"/>
    <x v="5"/>
    <x v="0"/>
    <x v="0"/>
  </r>
  <r>
    <n v="2726"/>
    <x v="14"/>
    <x v="1"/>
    <x v="21"/>
    <x v="3"/>
    <x v="54"/>
    <x v="16"/>
    <s v="S"/>
    <s v="Violet"/>
    <s v="Summer"/>
    <n v="2.7"/>
    <x v="1"/>
    <x v="1"/>
    <x v="1"/>
    <x v="1"/>
    <n v="4"/>
    <x v="5"/>
    <x v="2"/>
    <x v="2"/>
  </r>
  <r>
    <n v="2727"/>
    <x v="23"/>
    <x v="1"/>
    <x v="22"/>
    <x v="3"/>
    <x v="56"/>
    <x v="49"/>
    <s v="L"/>
    <s v="Blue"/>
    <s v="Winter"/>
    <n v="3.3"/>
    <x v="1"/>
    <x v="1"/>
    <x v="1"/>
    <x v="1"/>
    <n v="11"/>
    <x v="3"/>
    <x v="4"/>
    <x v="4"/>
  </r>
  <r>
    <n v="2728"/>
    <x v="37"/>
    <x v="1"/>
    <x v="5"/>
    <x v="0"/>
    <x v="55"/>
    <x v="24"/>
    <s v="L"/>
    <s v="Charcoal"/>
    <s v="Winter"/>
    <n v="3.7"/>
    <x v="1"/>
    <x v="4"/>
    <x v="1"/>
    <x v="1"/>
    <n v="47"/>
    <x v="2"/>
    <x v="0"/>
    <x v="0"/>
  </r>
  <r>
    <n v="2729"/>
    <x v="8"/>
    <x v="1"/>
    <x v="11"/>
    <x v="0"/>
    <x v="39"/>
    <x v="20"/>
    <s v="M"/>
    <s v="Pink"/>
    <s v="Winter"/>
    <n v="4"/>
    <x v="1"/>
    <x v="0"/>
    <x v="1"/>
    <x v="1"/>
    <n v="17"/>
    <x v="5"/>
    <x v="1"/>
    <x v="1"/>
  </r>
  <r>
    <n v="2730"/>
    <x v="18"/>
    <x v="1"/>
    <x v="24"/>
    <x v="3"/>
    <x v="79"/>
    <x v="6"/>
    <s v="S"/>
    <s v="Violet"/>
    <s v="Summer"/>
    <n v="4.0999999999999996"/>
    <x v="1"/>
    <x v="1"/>
    <x v="1"/>
    <x v="1"/>
    <n v="32"/>
    <x v="2"/>
    <x v="5"/>
    <x v="5"/>
  </r>
  <r>
    <n v="2731"/>
    <x v="51"/>
    <x v="1"/>
    <x v="24"/>
    <x v="3"/>
    <x v="50"/>
    <x v="48"/>
    <s v="M"/>
    <s v="Teal"/>
    <s v="Winter"/>
    <n v="4.0999999999999996"/>
    <x v="1"/>
    <x v="5"/>
    <x v="1"/>
    <x v="1"/>
    <n v="37"/>
    <x v="4"/>
    <x v="2"/>
    <x v="2"/>
  </r>
  <r>
    <n v="2732"/>
    <x v="16"/>
    <x v="1"/>
    <x v="8"/>
    <x v="3"/>
    <x v="27"/>
    <x v="48"/>
    <s v="M"/>
    <s v="Red"/>
    <s v="Summer"/>
    <n v="2.5"/>
    <x v="1"/>
    <x v="4"/>
    <x v="1"/>
    <x v="1"/>
    <n v="44"/>
    <x v="4"/>
    <x v="3"/>
    <x v="3"/>
  </r>
  <r>
    <n v="2733"/>
    <x v="3"/>
    <x v="1"/>
    <x v="20"/>
    <x v="0"/>
    <x v="60"/>
    <x v="12"/>
    <s v="L"/>
    <s v="Orange"/>
    <s v="Winter"/>
    <n v="4.2"/>
    <x v="1"/>
    <x v="5"/>
    <x v="1"/>
    <x v="1"/>
    <n v="27"/>
    <x v="5"/>
    <x v="6"/>
    <x v="3"/>
  </r>
  <r>
    <n v="2734"/>
    <x v="18"/>
    <x v="1"/>
    <x v="21"/>
    <x v="3"/>
    <x v="42"/>
    <x v="17"/>
    <s v="M"/>
    <s v="Magenta"/>
    <s v="Summer"/>
    <n v="4.7"/>
    <x v="1"/>
    <x v="0"/>
    <x v="1"/>
    <x v="1"/>
    <n v="46"/>
    <x v="3"/>
    <x v="2"/>
    <x v="2"/>
  </r>
  <r>
    <n v="2735"/>
    <x v="6"/>
    <x v="1"/>
    <x v="2"/>
    <x v="0"/>
    <x v="73"/>
    <x v="14"/>
    <s v="XL"/>
    <s v="Yellow"/>
    <s v="Summer"/>
    <n v="2.7"/>
    <x v="1"/>
    <x v="4"/>
    <x v="1"/>
    <x v="1"/>
    <n v="13"/>
    <x v="1"/>
    <x v="4"/>
    <x v="4"/>
  </r>
  <r>
    <n v="2736"/>
    <x v="5"/>
    <x v="1"/>
    <x v="11"/>
    <x v="0"/>
    <x v="45"/>
    <x v="18"/>
    <s v="M"/>
    <s v="Yellow"/>
    <s v="Spring"/>
    <n v="3"/>
    <x v="1"/>
    <x v="0"/>
    <x v="1"/>
    <x v="1"/>
    <n v="2"/>
    <x v="3"/>
    <x v="4"/>
    <x v="4"/>
  </r>
  <r>
    <n v="2737"/>
    <x v="42"/>
    <x v="1"/>
    <x v="15"/>
    <x v="0"/>
    <x v="21"/>
    <x v="6"/>
    <s v="M"/>
    <s v="Pink"/>
    <s v="Spring"/>
    <n v="4.8"/>
    <x v="1"/>
    <x v="5"/>
    <x v="1"/>
    <x v="1"/>
    <n v="45"/>
    <x v="2"/>
    <x v="2"/>
    <x v="2"/>
  </r>
  <r>
    <n v="2738"/>
    <x v="9"/>
    <x v="1"/>
    <x v="16"/>
    <x v="3"/>
    <x v="31"/>
    <x v="17"/>
    <s v="S"/>
    <s v="Indigo"/>
    <s v="Spring"/>
    <n v="4.4000000000000004"/>
    <x v="1"/>
    <x v="1"/>
    <x v="1"/>
    <x v="1"/>
    <n v="35"/>
    <x v="1"/>
    <x v="6"/>
    <x v="3"/>
  </r>
  <r>
    <n v="2739"/>
    <x v="2"/>
    <x v="1"/>
    <x v="4"/>
    <x v="1"/>
    <x v="13"/>
    <x v="31"/>
    <s v="M"/>
    <s v="Charcoal"/>
    <s v="Summer"/>
    <n v="4.3"/>
    <x v="1"/>
    <x v="4"/>
    <x v="1"/>
    <x v="1"/>
    <n v="39"/>
    <x v="0"/>
    <x v="6"/>
    <x v="3"/>
  </r>
  <r>
    <n v="2740"/>
    <x v="23"/>
    <x v="1"/>
    <x v="5"/>
    <x v="0"/>
    <x v="68"/>
    <x v="29"/>
    <s v="XL"/>
    <s v="Blue"/>
    <s v="Winter"/>
    <n v="2.5"/>
    <x v="1"/>
    <x v="5"/>
    <x v="1"/>
    <x v="1"/>
    <n v="39"/>
    <x v="2"/>
    <x v="6"/>
    <x v="3"/>
  </r>
  <r>
    <n v="2741"/>
    <x v="1"/>
    <x v="1"/>
    <x v="12"/>
    <x v="3"/>
    <x v="44"/>
    <x v="38"/>
    <s v="M"/>
    <s v="Lavender"/>
    <s v="Summer"/>
    <n v="4.9000000000000004"/>
    <x v="1"/>
    <x v="1"/>
    <x v="1"/>
    <x v="1"/>
    <n v="34"/>
    <x v="4"/>
    <x v="0"/>
    <x v="0"/>
  </r>
  <r>
    <n v="2742"/>
    <x v="33"/>
    <x v="1"/>
    <x v="10"/>
    <x v="0"/>
    <x v="13"/>
    <x v="1"/>
    <s v="L"/>
    <s v="Yellow"/>
    <s v="Fall"/>
    <n v="4.9000000000000004"/>
    <x v="1"/>
    <x v="4"/>
    <x v="1"/>
    <x v="1"/>
    <n v="41"/>
    <x v="0"/>
    <x v="5"/>
    <x v="5"/>
  </r>
  <r>
    <n v="2743"/>
    <x v="7"/>
    <x v="1"/>
    <x v="9"/>
    <x v="1"/>
    <x v="62"/>
    <x v="21"/>
    <s v="M"/>
    <s v="Black"/>
    <s v="Spring"/>
    <n v="3.9"/>
    <x v="1"/>
    <x v="1"/>
    <x v="1"/>
    <x v="1"/>
    <n v="47"/>
    <x v="5"/>
    <x v="2"/>
    <x v="2"/>
  </r>
  <r>
    <n v="2744"/>
    <x v="12"/>
    <x v="1"/>
    <x v="22"/>
    <x v="3"/>
    <x v="23"/>
    <x v="32"/>
    <s v="S"/>
    <s v="Beige"/>
    <s v="Fall"/>
    <n v="4.0999999999999996"/>
    <x v="1"/>
    <x v="4"/>
    <x v="1"/>
    <x v="1"/>
    <n v="17"/>
    <x v="0"/>
    <x v="3"/>
    <x v="3"/>
  </r>
  <r>
    <n v="2745"/>
    <x v="21"/>
    <x v="1"/>
    <x v="5"/>
    <x v="0"/>
    <x v="76"/>
    <x v="5"/>
    <s v="M"/>
    <s v="Silver"/>
    <s v="Winter"/>
    <n v="3.3"/>
    <x v="1"/>
    <x v="5"/>
    <x v="1"/>
    <x v="1"/>
    <n v="40"/>
    <x v="2"/>
    <x v="5"/>
    <x v="5"/>
  </r>
  <r>
    <n v="2746"/>
    <x v="48"/>
    <x v="1"/>
    <x v="23"/>
    <x v="1"/>
    <x v="57"/>
    <x v="49"/>
    <s v="M"/>
    <s v="Magenta"/>
    <s v="Summer"/>
    <n v="4.0999999999999996"/>
    <x v="1"/>
    <x v="3"/>
    <x v="1"/>
    <x v="1"/>
    <n v="44"/>
    <x v="3"/>
    <x v="4"/>
    <x v="4"/>
  </r>
  <r>
    <n v="2747"/>
    <x v="31"/>
    <x v="1"/>
    <x v="15"/>
    <x v="0"/>
    <x v="21"/>
    <x v="31"/>
    <s v="M"/>
    <s v="Orange"/>
    <s v="Fall"/>
    <n v="3.7"/>
    <x v="1"/>
    <x v="3"/>
    <x v="1"/>
    <x v="1"/>
    <n v="21"/>
    <x v="3"/>
    <x v="6"/>
    <x v="3"/>
  </r>
  <r>
    <n v="2748"/>
    <x v="20"/>
    <x v="1"/>
    <x v="2"/>
    <x v="0"/>
    <x v="17"/>
    <x v="8"/>
    <s v="M"/>
    <s v="Teal"/>
    <s v="Winter"/>
    <n v="3.1"/>
    <x v="1"/>
    <x v="1"/>
    <x v="1"/>
    <x v="1"/>
    <n v="21"/>
    <x v="2"/>
    <x v="6"/>
    <x v="3"/>
  </r>
  <r>
    <n v="2749"/>
    <x v="41"/>
    <x v="1"/>
    <x v="14"/>
    <x v="2"/>
    <x v="57"/>
    <x v="41"/>
    <s v="L"/>
    <s v="Turquoise"/>
    <s v="Spring"/>
    <n v="3"/>
    <x v="1"/>
    <x v="1"/>
    <x v="1"/>
    <x v="1"/>
    <n v="16"/>
    <x v="0"/>
    <x v="2"/>
    <x v="2"/>
  </r>
  <r>
    <n v="2750"/>
    <x v="14"/>
    <x v="1"/>
    <x v="14"/>
    <x v="2"/>
    <x v="0"/>
    <x v="34"/>
    <s v="M"/>
    <s v="Cyan"/>
    <s v="Spring"/>
    <n v="3.4"/>
    <x v="1"/>
    <x v="3"/>
    <x v="1"/>
    <x v="1"/>
    <n v="15"/>
    <x v="4"/>
    <x v="2"/>
    <x v="2"/>
  </r>
  <r>
    <n v="2751"/>
    <x v="47"/>
    <x v="1"/>
    <x v="3"/>
    <x v="1"/>
    <x v="76"/>
    <x v="29"/>
    <s v="L"/>
    <s v="Pink"/>
    <s v="Spring"/>
    <n v="2.7"/>
    <x v="1"/>
    <x v="4"/>
    <x v="1"/>
    <x v="1"/>
    <n v="26"/>
    <x v="3"/>
    <x v="6"/>
    <x v="3"/>
  </r>
  <r>
    <n v="2752"/>
    <x v="7"/>
    <x v="1"/>
    <x v="10"/>
    <x v="0"/>
    <x v="78"/>
    <x v="46"/>
    <s v="S"/>
    <s v="Indigo"/>
    <s v="Fall"/>
    <n v="3.1"/>
    <x v="1"/>
    <x v="1"/>
    <x v="1"/>
    <x v="1"/>
    <n v="50"/>
    <x v="0"/>
    <x v="5"/>
    <x v="5"/>
  </r>
  <r>
    <n v="2753"/>
    <x v="39"/>
    <x v="1"/>
    <x v="1"/>
    <x v="0"/>
    <x v="1"/>
    <x v="24"/>
    <s v="S"/>
    <s v="Peach"/>
    <s v="Winter"/>
    <n v="4"/>
    <x v="1"/>
    <x v="1"/>
    <x v="1"/>
    <x v="1"/>
    <n v="30"/>
    <x v="0"/>
    <x v="4"/>
    <x v="4"/>
  </r>
  <r>
    <n v="2754"/>
    <x v="28"/>
    <x v="1"/>
    <x v="24"/>
    <x v="3"/>
    <x v="40"/>
    <x v="3"/>
    <s v="M"/>
    <s v="Beige"/>
    <s v="Spring"/>
    <n v="3.6"/>
    <x v="1"/>
    <x v="2"/>
    <x v="1"/>
    <x v="1"/>
    <n v="48"/>
    <x v="3"/>
    <x v="3"/>
    <x v="3"/>
  </r>
  <r>
    <n v="2755"/>
    <x v="35"/>
    <x v="1"/>
    <x v="12"/>
    <x v="3"/>
    <x v="70"/>
    <x v="32"/>
    <s v="L"/>
    <s v="Gold"/>
    <s v="Summer"/>
    <n v="3.6"/>
    <x v="1"/>
    <x v="1"/>
    <x v="1"/>
    <x v="1"/>
    <n v="21"/>
    <x v="0"/>
    <x v="4"/>
    <x v="4"/>
  </r>
  <r>
    <n v="2756"/>
    <x v="35"/>
    <x v="1"/>
    <x v="22"/>
    <x v="3"/>
    <x v="8"/>
    <x v="22"/>
    <s v="M"/>
    <s v="Indigo"/>
    <s v="Winter"/>
    <n v="3.3"/>
    <x v="1"/>
    <x v="5"/>
    <x v="1"/>
    <x v="1"/>
    <n v="18"/>
    <x v="2"/>
    <x v="2"/>
    <x v="2"/>
  </r>
  <r>
    <n v="2757"/>
    <x v="32"/>
    <x v="1"/>
    <x v="19"/>
    <x v="3"/>
    <x v="66"/>
    <x v="46"/>
    <s v="L"/>
    <s v="Violet"/>
    <s v="Winter"/>
    <n v="4.0999999999999996"/>
    <x v="1"/>
    <x v="1"/>
    <x v="1"/>
    <x v="1"/>
    <n v="41"/>
    <x v="3"/>
    <x v="5"/>
    <x v="5"/>
  </r>
  <r>
    <n v="2758"/>
    <x v="31"/>
    <x v="1"/>
    <x v="19"/>
    <x v="3"/>
    <x v="57"/>
    <x v="12"/>
    <s v="XL"/>
    <s v="Brown"/>
    <s v="Fall"/>
    <n v="4.3"/>
    <x v="1"/>
    <x v="2"/>
    <x v="1"/>
    <x v="1"/>
    <n v="11"/>
    <x v="0"/>
    <x v="5"/>
    <x v="5"/>
  </r>
  <r>
    <n v="2759"/>
    <x v="45"/>
    <x v="1"/>
    <x v="0"/>
    <x v="0"/>
    <x v="57"/>
    <x v="26"/>
    <s v="M"/>
    <s v="Purple"/>
    <s v="Summer"/>
    <n v="3.2"/>
    <x v="1"/>
    <x v="3"/>
    <x v="1"/>
    <x v="1"/>
    <n v="8"/>
    <x v="4"/>
    <x v="4"/>
    <x v="4"/>
  </r>
  <r>
    <n v="2760"/>
    <x v="33"/>
    <x v="1"/>
    <x v="9"/>
    <x v="1"/>
    <x v="40"/>
    <x v="47"/>
    <s v="M"/>
    <s v="Turquoise"/>
    <s v="Summer"/>
    <n v="3.9"/>
    <x v="1"/>
    <x v="1"/>
    <x v="1"/>
    <x v="1"/>
    <n v="42"/>
    <x v="1"/>
    <x v="6"/>
    <x v="3"/>
  </r>
  <r>
    <n v="2761"/>
    <x v="38"/>
    <x v="1"/>
    <x v="11"/>
    <x v="0"/>
    <x v="71"/>
    <x v="29"/>
    <s v="S"/>
    <s v="Violet"/>
    <s v="Fall"/>
    <n v="5"/>
    <x v="1"/>
    <x v="2"/>
    <x v="1"/>
    <x v="1"/>
    <n v="41"/>
    <x v="2"/>
    <x v="4"/>
    <x v="4"/>
  </r>
  <r>
    <n v="2762"/>
    <x v="18"/>
    <x v="1"/>
    <x v="4"/>
    <x v="1"/>
    <x v="71"/>
    <x v="49"/>
    <s v="M"/>
    <s v="Purple"/>
    <s v="Fall"/>
    <n v="3.4"/>
    <x v="1"/>
    <x v="2"/>
    <x v="1"/>
    <x v="1"/>
    <n v="3"/>
    <x v="2"/>
    <x v="6"/>
    <x v="3"/>
  </r>
  <r>
    <n v="2763"/>
    <x v="44"/>
    <x v="1"/>
    <x v="17"/>
    <x v="0"/>
    <x v="52"/>
    <x v="42"/>
    <s v="M"/>
    <s v="Charcoal"/>
    <s v="Fall"/>
    <n v="3.8"/>
    <x v="1"/>
    <x v="5"/>
    <x v="1"/>
    <x v="1"/>
    <n v="10"/>
    <x v="5"/>
    <x v="6"/>
    <x v="3"/>
  </r>
  <r>
    <n v="2764"/>
    <x v="48"/>
    <x v="1"/>
    <x v="8"/>
    <x v="3"/>
    <x v="78"/>
    <x v="8"/>
    <s v="M"/>
    <s v="Green"/>
    <s v="Fall"/>
    <n v="2.9"/>
    <x v="1"/>
    <x v="4"/>
    <x v="1"/>
    <x v="1"/>
    <n v="35"/>
    <x v="0"/>
    <x v="3"/>
    <x v="3"/>
  </r>
  <r>
    <n v="2765"/>
    <x v="6"/>
    <x v="1"/>
    <x v="1"/>
    <x v="0"/>
    <x v="52"/>
    <x v="28"/>
    <s v="XL"/>
    <s v="White"/>
    <s v="Spring"/>
    <n v="2.6"/>
    <x v="1"/>
    <x v="2"/>
    <x v="1"/>
    <x v="1"/>
    <n v="2"/>
    <x v="5"/>
    <x v="1"/>
    <x v="1"/>
  </r>
  <r>
    <n v="2766"/>
    <x v="14"/>
    <x v="1"/>
    <x v="24"/>
    <x v="3"/>
    <x v="44"/>
    <x v="24"/>
    <s v="M"/>
    <s v="Purple"/>
    <s v="Summer"/>
    <n v="4.3"/>
    <x v="1"/>
    <x v="4"/>
    <x v="1"/>
    <x v="1"/>
    <n v="24"/>
    <x v="2"/>
    <x v="3"/>
    <x v="3"/>
  </r>
  <r>
    <n v="2767"/>
    <x v="17"/>
    <x v="1"/>
    <x v="10"/>
    <x v="0"/>
    <x v="26"/>
    <x v="30"/>
    <s v="M"/>
    <s v="Cyan"/>
    <s v="Winter"/>
    <n v="2.8"/>
    <x v="1"/>
    <x v="3"/>
    <x v="1"/>
    <x v="1"/>
    <n v="47"/>
    <x v="2"/>
    <x v="5"/>
    <x v="5"/>
  </r>
  <r>
    <n v="2768"/>
    <x v="18"/>
    <x v="1"/>
    <x v="10"/>
    <x v="0"/>
    <x v="51"/>
    <x v="44"/>
    <s v="M"/>
    <s v="Green"/>
    <s v="Spring"/>
    <n v="4.5"/>
    <x v="1"/>
    <x v="1"/>
    <x v="1"/>
    <x v="1"/>
    <n v="31"/>
    <x v="1"/>
    <x v="5"/>
    <x v="5"/>
  </r>
  <r>
    <n v="2769"/>
    <x v="0"/>
    <x v="1"/>
    <x v="0"/>
    <x v="0"/>
    <x v="21"/>
    <x v="23"/>
    <s v="M"/>
    <s v="Beige"/>
    <s v="Spring"/>
    <n v="3.8"/>
    <x v="1"/>
    <x v="4"/>
    <x v="1"/>
    <x v="1"/>
    <n v="28"/>
    <x v="3"/>
    <x v="4"/>
    <x v="4"/>
  </r>
  <r>
    <n v="2770"/>
    <x v="45"/>
    <x v="1"/>
    <x v="5"/>
    <x v="0"/>
    <x v="58"/>
    <x v="19"/>
    <s v="L"/>
    <s v="Lavender"/>
    <s v="Fall"/>
    <n v="3"/>
    <x v="1"/>
    <x v="3"/>
    <x v="1"/>
    <x v="1"/>
    <n v="13"/>
    <x v="1"/>
    <x v="1"/>
    <x v="1"/>
  </r>
  <r>
    <n v="2771"/>
    <x v="2"/>
    <x v="1"/>
    <x v="23"/>
    <x v="1"/>
    <x v="77"/>
    <x v="43"/>
    <s v="S"/>
    <s v="Blue"/>
    <s v="Fall"/>
    <n v="3.3"/>
    <x v="1"/>
    <x v="0"/>
    <x v="1"/>
    <x v="1"/>
    <n v="22"/>
    <x v="4"/>
    <x v="3"/>
    <x v="3"/>
  </r>
  <r>
    <n v="2772"/>
    <x v="44"/>
    <x v="1"/>
    <x v="14"/>
    <x v="2"/>
    <x v="78"/>
    <x v="33"/>
    <s v="S"/>
    <s v="Beige"/>
    <s v="Summer"/>
    <n v="3.1"/>
    <x v="1"/>
    <x v="4"/>
    <x v="1"/>
    <x v="1"/>
    <n v="12"/>
    <x v="4"/>
    <x v="0"/>
    <x v="0"/>
  </r>
  <r>
    <n v="2773"/>
    <x v="20"/>
    <x v="1"/>
    <x v="21"/>
    <x v="3"/>
    <x v="23"/>
    <x v="38"/>
    <s v="L"/>
    <s v="Blue"/>
    <s v="Spring"/>
    <n v="3.5"/>
    <x v="1"/>
    <x v="5"/>
    <x v="1"/>
    <x v="1"/>
    <n v="10"/>
    <x v="4"/>
    <x v="6"/>
    <x v="3"/>
  </r>
  <r>
    <n v="2774"/>
    <x v="31"/>
    <x v="1"/>
    <x v="13"/>
    <x v="0"/>
    <x v="57"/>
    <x v="28"/>
    <s v="S"/>
    <s v="Maroon"/>
    <s v="Spring"/>
    <n v="4.5999999999999996"/>
    <x v="1"/>
    <x v="0"/>
    <x v="1"/>
    <x v="1"/>
    <n v="45"/>
    <x v="4"/>
    <x v="3"/>
    <x v="3"/>
  </r>
  <r>
    <n v="2775"/>
    <x v="19"/>
    <x v="1"/>
    <x v="23"/>
    <x v="1"/>
    <x v="49"/>
    <x v="19"/>
    <s v="L"/>
    <s v="Yellow"/>
    <s v="Fall"/>
    <n v="4.0999999999999996"/>
    <x v="1"/>
    <x v="3"/>
    <x v="1"/>
    <x v="1"/>
    <n v="42"/>
    <x v="2"/>
    <x v="3"/>
    <x v="3"/>
  </r>
  <r>
    <n v="2776"/>
    <x v="43"/>
    <x v="1"/>
    <x v="20"/>
    <x v="0"/>
    <x v="21"/>
    <x v="6"/>
    <s v="L"/>
    <s v="Red"/>
    <s v="Fall"/>
    <n v="3.6"/>
    <x v="1"/>
    <x v="1"/>
    <x v="1"/>
    <x v="1"/>
    <n v="16"/>
    <x v="5"/>
    <x v="1"/>
    <x v="1"/>
  </r>
  <r>
    <n v="2777"/>
    <x v="5"/>
    <x v="1"/>
    <x v="18"/>
    <x v="3"/>
    <x v="17"/>
    <x v="5"/>
    <s v="L"/>
    <s v="Green"/>
    <s v="Fall"/>
    <n v="2.9"/>
    <x v="1"/>
    <x v="1"/>
    <x v="1"/>
    <x v="1"/>
    <n v="6"/>
    <x v="4"/>
    <x v="2"/>
    <x v="2"/>
  </r>
  <r>
    <n v="2778"/>
    <x v="16"/>
    <x v="1"/>
    <x v="0"/>
    <x v="0"/>
    <x v="41"/>
    <x v="37"/>
    <s v="M"/>
    <s v="Magenta"/>
    <s v="Fall"/>
    <n v="4.8"/>
    <x v="1"/>
    <x v="3"/>
    <x v="1"/>
    <x v="1"/>
    <n v="28"/>
    <x v="2"/>
    <x v="6"/>
    <x v="3"/>
  </r>
  <r>
    <n v="2779"/>
    <x v="27"/>
    <x v="1"/>
    <x v="22"/>
    <x v="3"/>
    <x v="75"/>
    <x v="38"/>
    <s v="L"/>
    <s v="Yellow"/>
    <s v="Spring"/>
    <n v="3.2"/>
    <x v="1"/>
    <x v="3"/>
    <x v="1"/>
    <x v="1"/>
    <n v="24"/>
    <x v="2"/>
    <x v="4"/>
    <x v="4"/>
  </r>
  <r>
    <n v="2780"/>
    <x v="12"/>
    <x v="1"/>
    <x v="12"/>
    <x v="3"/>
    <x v="76"/>
    <x v="6"/>
    <s v="L"/>
    <s v="Blue"/>
    <s v="Winter"/>
    <n v="4.3"/>
    <x v="1"/>
    <x v="0"/>
    <x v="1"/>
    <x v="1"/>
    <n v="14"/>
    <x v="2"/>
    <x v="0"/>
    <x v="0"/>
  </r>
  <r>
    <n v="2781"/>
    <x v="23"/>
    <x v="1"/>
    <x v="23"/>
    <x v="1"/>
    <x v="44"/>
    <x v="31"/>
    <s v="M"/>
    <s v="Charcoal"/>
    <s v="Winter"/>
    <n v="4.0999999999999996"/>
    <x v="1"/>
    <x v="2"/>
    <x v="1"/>
    <x v="1"/>
    <n v="29"/>
    <x v="3"/>
    <x v="0"/>
    <x v="0"/>
  </r>
  <r>
    <n v="2782"/>
    <x v="13"/>
    <x v="1"/>
    <x v="3"/>
    <x v="1"/>
    <x v="32"/>
    <x v="16"/>
    <s v="M"/>
    <s v="Blue"/>
    <s v="Spring"/>
    <n v="4.5999999999999996"/>
    <x v="1"/>
    <x v="3"/>
    <x v="1"/>
    <x v="1"/>
    <n v="33"/>
    <x v="3"/>
    <x v="1"/>
    <x v="1"/>
  </r>
  <r>
    <n v="2783"/>
    <x v="38"/>
    <x v="1"/>
    <x v="24"/>
    <x v="3"/>
    <x v="7"/>
    <x v="37"/>
    <s v="S"/>
    <s v="Cyan"/>
    <s v="Spring"/>
    <n v="3.8"/>
    <x v="1"/>
    <x v="1"/>
    <x v="1"/>
    <x v="1"/>
    <n v="30"/>
    <x v="3"/>
    <x v="2"/>
    <x v="2"/>
  </r>
  <r>
    <n v="2784"/>
    <x v="1"/>
    <x v="1"/>
    <x v="11"/>
    <x v="0"/>
    <x v="15"/>
    <x v="41"/>
    <s v="M"/>
    <s v="Silver"/>
    <s v="Spring"/>
    <n v="4.5"/>
    <x v="1"/>
    <x v="2"/>
    <x v="1"/>
    <x v="1"/>
    <n v="26"/>
    <x v="2"/>
    <x v="3"/>
    <x v="3"/>
  </r>
  <r>
    <n v="2785"/>
    <x v="23"/>
    <x v="1"/>
    <x v="11"/>
    <x v="0"/>
    <x v="44"/>
    <x v="37"/>
    <s v="M"/>
    <s v="Black"/>
    <s v="Winter"/>
    <n v="3.1"/>
    <x v="1"/>
    <x v="0"/>
    <x v="1"/>
    <x v="1"/>
    <n v="12"/>
    <x v="3"/>
    <x v="6"/>
    <x v="3"/>
  </r>
  <r>
    <n v="2786"/>
    <x v="10"/>
    <x v="1"/>
    <x v="0"/>
    <x v="0"/>
    <x v="68"/>
    <x v="7"/>
    <s v="S"/>
    <s v="Green"/>
    <s v="Summer"/>
    <n v="2.9"/>
    <x v="1"/>
    <x v="2"/>
    <x v="1"/>
    <x v="1"/>
    <n v="13"/>
    <x v="4"/>
    <x v="5"/>
    <x v="5"/>
  </r>
  <r>
    <n v="2787"/>
    <x v="22"/>
    <x v="1"/>
    <x v="8"/>
    <x v="3"/>
    <x v="12"/>
    <x v="24"/>
    <s v="M"/>
    <s v="Violet"/>
    <s v="Spring"/>
    <n v="3.8"/>
    <x v="1"/>
    <x v="2"/>
    <x v="1"/>
    <x v="1"/>
    <n v="41"/>
    <x v="5"/>
    <x v="6"/>
    <x v="3"/>
  </r>
  <r>
    <n v="2788"/>
    <x v="24"/>
    <x v="1"/>
    <x v="23"/>
    <x v="1"/>
    <x v="24"/>
    <x v="8"/>
    <s v="XL"/>
    <s v="Pink"/>
    <s v="Spring"/>
    <n v="4.0999999999999996"/>
    <x v="1"/>
    <x v="2"/>
    <x v="1"/>
    <x v="1"/>
    <n v="4"/>
    <x v="0"/>
    <x v="0"/>
    <x v="0"/>
  </r>
  <r>
    <n v="2789"/>
    <x v="19"/>
    <x v="1"/>
    <x v="23"/>
    <x v="1"/>
    <x v="56"/>
    <x v="3"/>
    <s v="M"/>
    <s v="Olive"/>
    <s v="Summer"/>
    <n v="3.1"/>
    <x v="1"/>
    <x v="1"/>
    <x v="1"/>
    <x v="1"/>
    <n v="2"/>
    <x v="2"/>
    <x v="2"/>
    <x v="2"/>
  </r>
  <r>
    <n v="2790"/>
    <x v="48"/>
    <x v="1"/>
    <x v="1"/>
    <x v="0"/>
    <x v="6"/>
    <x v="17"/>
    <s v="L"/>
    <s v="Orange"/>
    <s v="Fall"/>
    <n v="5"/>
    <x v="1"/>
    <x v="0"/>
    <x v="1"/>
    <x v="1"/>
    <n v="28"/>
    <x v="2"/>
    <x v="4"/>
    <x v="4"/>
  </r>
  <r>
    <n v="2791"/>
    <x v="50"/>
    <x v="1"/>
    <x v="20"/>
    <x v="0"/>
    <x v="80"/>
    <x v="1"/>
    <s v="M"/>
    <s v="Black"/>
    <s v="Spring"/>
    <n v="4.5"/>
    <x v="1"/>
    <x v="1"/>
    <x v="1"/>
    <x v="1"/>
    <n v="24"/>
    <x v="5"/>
    <x v="2"/>
    <x v="2"/>
  </r>
  <r>
    <n v="2792"/>
    <x v="49"/>
    <x v="1"/>
    <x v="24"/>
    <x v="3"/>
    <x v="30"/>
    <x v="44"/>
    <s v="M"/>
    <s v="Yellow"/>
    <s v="Fall"/>
    <n v="2.8"/>
    <x v="1"/>
    <x v="0"/>
    <x v="1"/>
    <x v="1"/>
    <n v="14"/>
    <x v="0"/>
    <x v="0"/>
    <x v="0"/>
  </r>
  <r>
    <n v="2793"/>
    <x v="22"/>
    <x v="1"/>
    <x v="6"/>
    <x v="0"/>
    <x v="77"/>
    <x v="0"/>
    <s v="L"/>
    <s v="Violet"/>
    <s v="Winter"/>
    <n v="3.2"/>
    <x v="1"/>
    <x v="0"/>
    <x v="1"/>
    <x v="1"/>
    <n v="11"/>
    <x v="2"/>
    <x v="1"/>
    <x v="1"/>
  </r>
  <r>
    <n v="2794"/>
    <x v="43"/>
    <x v="1"/>
    <x v="23"/>
    <x v="1"/>
    <x v="75"/>
    <x v="2"/>
    <s v="M"/>
    <s v="Silver"/>
    <s v="Spring"/>
    <n v="3.1"/>
    <x v="1"/>
    <x v="3"/>
    <x v="1"/>
    <x v="1"/>
    <n v="27"/>
    <x v="5"/>
    <x v="4"/>
    <x v="4"/>
  </r>
  <r>
    <n v="2795"/>
    <x v="23"/>
    <x v="1"/>
    <x v="14"/>
    <x v="2"/>
    <x v="41"/>
    <x v="14"/>
    <s v="M"/>
    <s v="Gold"/>
    <s v="Fall"/>
    <n v="3.3"/>
    <x v="1"/>
    <x v="3"/>
    <x v="1"/>
    <x v="1"/>
    <n v="7"/>
    <x v="1"/>
    <x v="0"/>
    <x v="0"/>
  </r>
  <r>
    <n v="2796"/>
    <x v="23"/>
    <x v="1"/>
    <x v="18"/>
    <x v="3"/>
    <x v="59"/>
    <x v="43"/>
    <s v="M"/>
    <s v="Magenta"/>
    <s v="Winter"/>
    <n v="3.4"/>
    <x v="1"/>
    <x v="5"/>
    <x v="1"/>
    <x v="1"/>
    <n v="49"/>
    <x v="3"/>
    <x v="2"/>
    <x v="2"/>
  </r>
  <r>
    <n v="2797"/>
    <x v="0"/>
    <x v="1"/>
    <x v="14"/>
    <x v="2"/>
    <x v="2"/>
    <x v="19"/>
    <s v="M"/>
    <s v="Red"/>
    <s v="Winter"/>
    <n v="3.8"/>
    <x v="1"/>
    <x v="5"/>
    <x v="1"/>
    <x v="1"/>
    <n v="21"/>
    <x v="1"/>
    <x v="2"/>
    <x v="2"/>
  </r>
  <r>
    <n v="2798"/>
    <x v="6"/>
    <x v="1"/>
    <x v="16"/>
    <x v="3"/>
    <x v="69"/>
    <x v="19"/>
    <s v="M"/>
    <s v="Green"/>
    <s v="Winter"/>
    <n v="3.5"/>
    <x v="1"/>
    <x v="0"/>
    <x v="1"/>
    <x v="1"/>
    <n v="10"/>
    <x v="0"/>
    <x v="6"/>
    <x v="3"/>
  </r>
  <r>
    <n v="2799"/>
    <x v="16"/>
    <x v="1"/>
    <x v="15"/>
    <x v="0"/>
    <x v="5"/>
    <x v="3"/>
    <s v="XL"/>
    <s v="Red"/>
    <s v="Winter"/>
    <n v="4.8"/>
    <x v="1"/>
    <x v="5"/>
    <x v="1"/>
    <x v="1"/>
    <n v="37"/>
    <x v="3"/>
    <x v="1"/>
    <x v="1"/>
  </r>
  <r>
    <n v="2800"/>
    <x v="51"/>
    <x v="1"/>
    <x v="17"/>
    <x v="0"/>
    <x v="58"/>
    <x v="1"/>
    <s v="L"/>
    <s v="Pink"/>
    <s v="Spring"/>
    <n v="3.9"/>
    <x v="1"/>
    <x v="1"/>
    <x v="1"/>
    <x v="1"/>
    <n v="9"/>
    <x v="4"/>
    <x v="6"/>
    <x v="3"/>
  </r>
  <r>
    <n v="2801"/>
    <x v="27"/>
    <x v="1"/>
    <x v="5"/>
    <x v="0"/>
    <x v="31"/>
    <x v="10"/>
    <s v="L"/>
    <s v="Violet"/>
    <s v="Fall"/>
    <n v="3.4"/>
    <x v="1"/>
    <x v="1"/>
    <x v="1"/>
    <x v="1"/>
    <n v="14"/>
    <x v="1"/>
    <x v="4"/>
    <x v="4"/>
  </r>
  <r>
    <n v="2802"/>
    <x v="14"/>
    <x v="1"/>
    <x v="5"/>
    <x v="0"/>
    <x v="22"/>
    <x v="35"/>
    <s v="M"/>
    <s v="Indigo"/>
    <s v="Winter"/>
    <n v="2.6"/>
    <x v="1"/>
    <x v="0"/>
    <x v="1"/>
    <x v="1"/>
    <n v="30"/>
    <x v="3"/>
    <x v="2"/>
    <x v="2"/>
  </r>
  <r>
    <n v="2803"/>
    <x v="40"/>
    <x v="1"/>
    <x v="7"/>
    <x v="2"/>
    <x v="33"/>
    <x v="11"/>
    <s v="L"/>
    <s v="Red"/>
    <s v="Fall"/>
    <n v="3.1"/>
    <x v="1"/>
    <x v="5"/>
    <x v="1"/>
    <x v="1"/>
    <n v="42"/>
    <x v="2"/>
    <x v="0"/>
    <x v="0"/>
  </r>
  <r>
    <n v="2804"/>
    <x v="5"/>
    <x v="1"/>
    <x v="17"/>
    <x v="0"/>
    <x v="77"/>
    <x v="37"/>
    <s v="M"/>
    <s v="Violet"/>
    <s v="Winter"/>
    <n v="3.3"/>
    <x v="1"/>
    <x v="1"/>
    <x v="1"/>
    <x v="1"/>
    <n v="31"/>
    <x v="4"/>
    <x v="5"/>
    <x v="5"/>
  </r>
  <r>
    <n v="2805"/>
    <x v="13"/>
    <x v="1"/>
    <x v="15"/>
    <x v="0"/>
    <x v="31"/>
    <x v="36"/>
    <s v="M"/>
    <s v="Cyan"/>
    <s v="Spring"/>
    <n v="2.8"/>
    <x v="1"/>
    <x v="3"/>
    <x v="1"/>
    <x v="1"/>
    <n v="48"/>
    <x v="4"/>
    <x v="6"/>
    <x v="3"/>
  </r>
  <r>
    <n v="2806"/>
    <x v="20"/>
    <x v="1"/>
    <x v="12"/>
    <x v="3"/>
    <x v="8"/>
    <x v="22"/>
    <s v="S"/>
    <s v="Black"/>
    <s v="Fall"/>
    <n v="4.3"/>
    <x v="1"/>
    <x v="3"/>
    <x v="1"/>
    <x v="1"/>
    <n v="48"/>
    <x v="1"/>
    <x v="3"/>
    <x v="3"/>
  </r>
  <r>
    <n v="2807"/>
    <x v="4"/>
    <x v="1"/>
    <x v="0"/>
    <x v="0"/>
    <x v="32"/>
    <x v="36"/>
    <s v="L"/>
    <s v="Purple"/>
    <s v="Spring"/>
    <n v="2.7"/>
    <x v="1"/>
    <x v="3"/>
    <x v="1"/>
    <x v="1"/>
    <n v="50"/>
    <x v="2"/>
    <x v="2"/>
    <x v="2"/>
  </r>
  <r>
    <n v="2808"/>
    <x v="19"/>
    <x v="1"/>
    <x v="15"/>
    <x v="0"/>
    <x v="33"/>
    <x v="33"/>
    <s v="M"/>
    <s v="Charcoal"/>
    <s v="Spring"/>
    <n v="4.4000000000000004"/>
    <x v="1"/>
    <x v="4"/>
    <x v="1"/>
    <x v="1"/>
    <n v="10"/>
    <x v="5"/>
    <x v="0"/>
    <x v="0"/>
  </r>
  <r>
    <n v="2809"/>
    <x v="34"/>
    <x v="1"/>
    <x v="11"/>
    <x v="0"/>
    <x v="17"/>
    <x v="30"/>
    <s v="M"/>
    <s v="Beige"/>
    <s v="Spring"/>
    <n v="3.9"/>
    <x v="1"/>
    <x v="1"/>
    <x v="1"/>
    <x v="1"/>
    <n v="45"/>
    <x v="3"/>
    <x v="6"/>
    <x v="3"/>
  </r>
  <r>
    <n v="2810"/>
    <x v="17"/>
    <x v="1"/>
    <x v="6"/>
    <x v="0"/>
    <x v="57"/>
    <x v="10"/>
    <s v="XL"/>
    <s v="Teal"/>
    <s v="Summer"/>
    <n v="3"/>
    <x v="1"/>
    <x v="3"/>
    <x v="1"/>
    <x v="1"/>
    <n v="27"/>
    <x v="5"/>
    <x v="3"/>
    <x v="3"/>
  </r>
  <r>
    <n v="2811"/>
    <x v="7"/>
    <x v="1"/>
    <x v="2"/>
    <x v="0"/>
    <x v="9"/>
    <x v="28"/>
    <s v="M"/>
    <s v="Purple"/>
    <s v="Summer"/>
    <n v="4"/>
    <x v="1"/>
    <x v="3"/>
    <x v="1"/>
    <x v="1"/>
    <n v="10"/>
    <x v="5"/>
    <x v="0"/>
    <x v="0"/>
  </r>
  <r>
    <n v="2812"/>
    <x v="28"/>
    <x v="1"/>
    <x v="14"/>
    <x v="2"/>
    <x v="58"/>
    <x v="31"/>
    <s v="M"/>
    <s v="Blue"/>
    <s v="Fall"/>
    <n v="3.7"/>
    <x v="1"/>
    <x v="5"/>
    <x v="1"/>
    <x v="1"/>
    <n v="19"/>
    <x v="2"/>
    <x v="3"/>
    <x v="3"/>
  </r>
  <r>
    <n v="2813"/>
    <x v="17"/>
    <x v="1"/>
    <x v="15"/>
    <x v="0"/>
    <x v="26"/>
    <x v="25"/>
    <s v="XL"/>
    <s v="Magenta"/>
    <s v="Fall"/>
    <n v="3.8"/>
    <x v="1"/>
    <x v="5"/>
    <x v="1"/>
    <x v="1"/>
    <n v="1"/>
    <x v="2"/>
    <x v="6"/>
    <x v="3"/>
  </r>
  <r>
    <n v="2814"/>
    <x v="4"/>
    <x v="1"/>
    <x v="5"/>
    <x v="0"/>
    <x v="74"/>
    <x v="34"/>
    <s v="S"/>
    <s v="Maroon"/>
    <s v="Summer"/>
    <n v="3.3"/>
    <x v="1"/>
    <x v="4"/>
    <x v="1"/>
    <x v="1"/>
    <n v="39"/>
    <x v="5"/>
    <x v="3"/>
    <x v="3"/>
  </r>
  <r>
    <n v="2815"/>
    <x v="18"/>
    <x v="1"/>
    <x v="17"/>
    <x v="0"/>
    <x v="50"/>
    <x v="46"/>
    <s v="L"/>
    <s v="Gold"/>
    <s v="Winter"/>
    <n v="3.6"/>
    <x v="1"/>
    <x v="3"/>
    <x v="1"/>
    <x v="1"/>
    <n v="14"/>
    <x v="4"/>
    <x v="5"/>
    <x v="5"/>
  </r>
  <r>
    <n v="2816"/>
    <x v="23"/>
    <x v="1"/>
    <x v="0"/>
    <x v="0"/>
    <x v="25"/>
    <x v="37"/>
    <s v="L"/>
    <s v="Black"/>
    <s v="Fall"/>
    <n v="3.9"/>
    <x v="1"/>
    <x v="1"/>
    <x v="1"/>
    <x v="1"/>
    <n v="40"/>
    <x v="0"/>
    <x v="6"/>
    <x v="3"/>
  </r>
  <r>
    <n v="2817"/>
    <x v="49"/>
    <x v="1"/>
    <x v="11"/>
    <x v="0"/>
    <x v="39"/>
    <x v="33"/>
    <s v="M"/>
    <s v="Black"/>
    <s v="Spring"/>
    <n v="3.5"/>
    <x v="1"/>
    <x v="1"/>
    <x v="1"/>
    <x v="1"/>
    <n v="45"/>
    <x v="0"/>
    <x v="1"/>
    <x v="1"/>
  </r>
  <r>
    <n v="2818"/>
    <x v="15"/>
    <x v="1"/>
    <x v="21"/>
    <x v="3"/>
    <x v="61"/>
    <x v="36"/>
    <s v="XL"/>
    <s v="Yellow"/>
    <s v="Winter"/>
    <n v="3.4"/>
    <x v="1"/>
    <x v="3"/>
    <x v="1"/>
    <x v="1"/>
    <n v="6"/>
    <x v="0"/>
    <x v="1"/>
    <x v="1"/>
  </r>
  <r>
    <n v="2819"/>
    <x v="5"/>
    <x v="1"/>
    <x v="6"/>
    <x v="0"/>
    <x v="2"/>
    <x v="18"/>
    <s v="M"/>
    <s v="Turquoise"/>
    <s v="Fall"/>
    <n v="4.7"/>
    <x v="1"/>
    <x v="2"/>
    <x v="1"/>
    <x v="1"/>
    <n v="12"/>
    <x v="5"/>
    <x v="2"/>
    <x v="2"/>
  </r>
  <r>
    <n v="2820"/>
    <x v="29"/>
    <x v="1"/>
    <x v="5"/>
    <x v="0"/>
    <x v="65"/>
    <x v="42"/>
    <s v="L"/>
    <s v="Lavender"/>
    <s v="Spring"/>
    <n v="3"/>
    <x v="1"/>
    <x v="1"/>
    <x v="1"/>
    <x v="1"/>
    <n v="19"/>
    <x v="1"/>
    <x v="5"/>
    <x v="5"/>
  </r>
  <r>
    <n v="2821"/>
    <x v="8"/>
    <x v="1"/>
    <x v="21"/>
    <x v="3"/>
    <x v="58"/>
    <x v="34"/>
    <s v="L"/>
    <s v="Yellow"/>
    <s v="Summer"/>
    <n v="3.9"/>
    <x v="1"/>
    <x v="1"/>
    <x v="1"/>
    <x v="1"/>
    <n v="5"/>
    <x v="1"/>
    <x v="4"/>
    <x v="4"/>
  </r>
  <r>
    <n v="2822"/>
    <x v="25"/>
    <x v="1"/>
    <x v="9"/>
    <x v="1"/>
    <x v="11"/>
    <x v="42"/>
    <s v="L"/>
    <s v="Olive"/>
    <s v="Summer"/>
    <n v="4.5"/>
    <x v="1"/>
    <x v="3"/>
    <x v="1"/>
    <x v="1"/>
    <n v="37"/>
    <x v="0"/>
    <x v="5"/>
    <x v="5"/>
  </r>
  <r>
    <n v="2823"/>
    <x v="12"/>
    <x v="1"/>
    <x v="11"/>
    <x v="0"/>
    <x v="18"/>
    <x v="32"/>
    <s v="S"/>
    <s v="Brown"/>
    <s v="Fall"/>
    <n v="4.0999999999999996"/>
    <x v="1"/>
    <x v="3"/>
    <x v="1"/>
    <x v="1"/>
    <n v="33"/>
    <x v="3"/>
    <x v="3"/>
    <x v="3"/>
  </r>
  <r>
    <n v="2824"/>
    <x v="8"/>
    <x v="1"/>
    <x v="10"/>
    <x v="0"/>
    <x v="80"/>
    <x v="40"/>
    <s v="M"/>
    <s v="Olive"/>
    <s v="Summer"/>
    <n v="4.5"/>
    <x v="1"/>
    <x v="3"/>
    <x v="1"/>
    <x v="1"/>
    <n v="47"/>
    <x v="5"/>
    <x v="4"/>
    <x v="4"/>
  </r>
  <r>
    <n v="2825"/>
    <x v="31"/>
    <x v="1"/>
    <x v="19"/>
    <x v="3"/>
    <x v="3"/>
    <x v="40"/>
    <s v="M"/>
    <s v="Purple"/>
    <s v="Fall"/>
    <n v="4"/>
    <x v="1"/>
    <x v="1"/>
    <x v="1"/>
    <x v="1"/>
    <n v="49"/>
    <x v="5"/>
    <x v="3"/>
    <x v="3"/>
  </r>
  <r>
    <n v="2826"/>
    <x v="28"/>
    <x v="1"/>
    <x v="8"/>
    <x v="3"/>
    <x v="17"/>
    <x v="17"/>
    <s v="M"/>
    <s v="Yellow"/>
    <s v="Winter"/>
    <n v="4.3"/>
    <x v="1"/>
    <x v="4"/>
    <x v="1"/>
    <x v="1"/>
    <n v="28"/>
    <x v="4"/>
    <x v="2"/>
    <x v="2"/>
  </r>
  <r>
    <n v="2827"/>
    <x v="45"/>
    <x v="1"/>
    <x v="8"/>
    <x v="3"/>
    <x v="35"/>
    <x v="20"/>
    <s v="L"/>
    <s v="Brown"/>
    <s v="Fall"/>
    <n v="3.6"/>
    <x v="1"/>
    <x v="0"/>
    <x v="1"/>
    <x v="1"/>
    <n v="23"/>
    <x v="0"/>
    <x v="2"/>
    <x v="2"/>
  </r>
  <r>
    <n v="2828"/>
    <x v="30"/>
    <x v="1"/>
    <x v="0"/>
    <x v="0"/>
    <x v="48"/>
    <x v="48"/>
    <s v="M"/>
    <s v="Magenta"/>
    <s v="Fall"/>
    <n v="3.1"/>
    <x v="1"/>
    <x v="2"/>
    <x v="1"/>
    <x v="1"/>
    <n v="11"/>
    <x v="4"/>
    <x v="4"/>
    <x v="4"/>
  </r>
  <r>
    <n v="2829"/>
    <x v="15"/>
    <x v="1"/>
    <x v="18"/>
    <x v="3"/>
    <x v="42"/>
    <x v="30"/>
    <s v="L"/>
    <s v="Lavender"/>
    <s v="Fall"/>
    <n v="2.6"/>
    <x v="1"/>
    <x v="3"/>
    <x v="1"/>
    <x v="1"/>
    <n v="33"/>
    <x v="3"/>
    <x v="3"/>
    <x v="3"/>
  </r>
  <r>
    <n v="2830"/>
    <x v="19"/>
    <x v="1"/>
    <x v="16"/>
    <x v="3"/>
    <x v="25"/>
    <x v="28"/>
    <s v="XL"/>
    <s v="Teal"/>
    <s v="Fall"/>
    <n v="3.4"/>
    <x v="1"/>
    <x v="2"/>
    <x v="1"/>
    <x v="1"/>
    <n v="47"/>
    <x v="1"/>
    <x v="1"/>
    <x v="1"/>
  </r>
  <r>
    <n v="2831"/>
    <x v="6"/>
    <x v="1"/>
    <x v="11"/>
    <x v="0"/>
    <x v="3"/>
    <x v="4"/>
    <s v="L"/>
    <s v="Cyan"/>
    <s v="Spring"/>
    <n v="2.9"/>
    <x v="1"/>
    <x v="5"/>
    <x v="1"/>
    <x v="1"/>
    <n v="13"/>
    <x v="0"/>
    <x v="6"/>
    <x v="3"/>
  </r>
  <r>
    <n v="2832"/>
    <x v="50"/>
    <x v="1"/>
    <x v="15"/>
    <x v="0"/>
    <x v="0"/>
    <x v="41"/>
    <s v="L"/>
    <s v="Pink"/>
    <s v="Winter"/>
    <n v="5"/>
    <x v="1"/>
    <x v="0"/>
    <x v="1"/>
    <x v="1"/>
    <n v="4"/>
    <x v="2"/>
    <x v="1"/>
    <x v="1"/>
  </r>
  <r>
    <n v="2833"/>
    <x v="26"/>
    <x v="1"/>
    <x v="18"/>
    <x v="3"/>
    <x v="18"/>
    <x v="33"/>
    <s v="M"/>
    <s v="Magenta"/>
    <s v="Summer"/>
    <n v="4.5999999999999996"/>
    <x v="1"/>
    <x v="3"/>
    <x v="1"/>
    <x v="1"/>
    <n v="40"/>
    <x v="3"/>
    <x v="3"/>
    <x v="3"/>
  </r>
  <r>
    <n v="2834"/>
    <x v="49"/>
    <x v="1"/>
    <x v="2"/>
    <x v="0"/>
    <x v="22"/>
    <x v="10"/>
    <s v="M"/>
    <s v="Teal"/>
    <s v="Fall"/>
    <n v="3.3"/>
    <x v="1"/>
    <x v="1"/>
    <x v="1"/>
    <x v="1"/>
    <n v="19"/>
    <x v="1"/>
    <x v="5"/>
    <x v="5"/>
  </r>
  <r>
    <n v="2835"/>
    <x v="31"/>
    <x v="1"/>
    <x v="14"/>
    <x v="2"/>
    <x v="35"/>
    <x v="21"/>
    <s v="M"/>
    <s v="Indigo"/>
    <s v="Fall"/>
    <n v="2.9"/>
    <x v="1"/>
    <x v="4"/>
    <x v="1"/>
    <x v="1"/>
    <n v="17"/>
    <x v="2"/>
    <x v="1"/>
    <x v="1"/>
  </r>
  <r>
    <n v="2836"/>
    <x v="23"/>
    <x v="1"/>
    <x v="17"/>
    <x v="0"/>
    <x v="63"/>
    <x v="34"/>
    <s v="S"/>
    <s v="Pink"/>
    <s v="Winter"/>
    <n v="4.9000000000000004"/>
    <x v="1"/>
    <x v="1"/>
    <x v="1"/>
    <x v="1"/>
    <n v="7"/>
    <x v="0"/>
    <x v="2"/>
    <x v="2"/>
  </r>
  <r>
    <n v="2837"/>
    <x v="47"/>
    <x v="1"/>
    <x v="13"/>
    <x v="0"/>
    <x v="74"/>
    <x v="5"/>
    <s v="M"/>
    <s v="Charcoal"/>
    <s v="Winter"/>
    <n v="5"/>
    <x v="1"/>
    <x v="4"/>
    <x v="1"/>
    <x v="1"/>
    <n v="21"/>
    <x v="1"/>
    <x v="4"/>
    <x v="4"/>
  </r>
  <r>
    <n v="2838"/>
    <x v="13"/>
    <x v="1"/>
    <x v="9"/>
    <x v="1"/>
    <x v="19"/>
    <x v="15"/>
    <s v="M"/>
    <s v="Brown"/>
    <s v="Summer"/>
    <n v="4.5"/>
    <x v="1"/>
    <x v="0"/>
    <x v="1"/>
    <x v="1"/>
    <n v="44"/>
    <x v="3"/>
    <x v="1"/>
    <x v="1"/>
  </r>
  <r>
    <n v="2839"/>
    <x v="47"/>
    <x v="1"/>
    <x v="14"/>
    <x v="2"/>
    <x v="74"/>
    <x v="1"/>
    <s v="M"/>
    <s v="Blue"/>
    <s v="Fall"/>
    <n v="3.7"/>
    <x v="1"/>
    <x v="1"/>
    <x v="1"/>
    <x v="1"/>
    <n v="2"/>
    <x v="4"/>
    <x v="1"/>
    <x v="1"/>
  </r>
  <r>
    <n v="2840"/>
    <x v="27"/>
    <x v="1"/>
    <x v="18"/>
    <x v="3"/>
    <x v="68"/>
    <x v="45"/>
    <s v="L"/>
    <s v="Teal"/>
    <s v="Summer"/>
    <n v="2.8"/>
    <x v="1"/>
    <x v="5"/>
    <x v="1"/>
    <x v="1"/>
    <n v="30"/>
    <x v="4"/>
    <x v="5"/>
    <x v="5"/>
  </r>
  <r>
    <n v="2841"/>
    <x v="37"/>
    <x v="1"/>
    <x v="17"/>
    <x v="0"/>
    <x v="53"/>
    <x v="8"/>
    <s v="L"/>
    <s v="Pink"/>
    <s v="Spring"/>
    <n v="3.5"/>
    <x v="1"/>
    <x v="5"/>
    <x v="1"/>
    <x v="1"/>
    <n v="41"/>
    <x v="1"/>
    <x v="2"/>
    <x v="2"/>
  </r>
  <r>
    <n v="2842"/>
    <x v="1"/>
    <x v="1"/>
    <x v="10"/>
    <x v="0"/>
    <x v="27"/>
    <x v="31"/>
    <s v="XL"/>
    <s v="Magenta"/>
    <s v="Winter"/>
    <n v="3"/>
    <x v="1"/>
    <x v="4"/>
    <x v="1"/>
    <x v="1"/>
    <n v="31"/>
    <x v="1"/>
    <x v="1"/>
    <x v="1"/>
  </r>
  <r>
    <n v="2843"/>
    <x v="48"/>
    <x v="1"/>
    <x v="7"/>
    <x v="2"/>
    <x v="33"/>
    <x v="28"/>
    <s v="L"/>
    <s v="Green"/>
    <s v="Fall"/>
    <n v="4.3"/>
    <x v="1"/>
    <x v="3"/>
    <x v="1"/>
    <x v="1"/>
    <n v="48"/>
    <x v="5"/>
    <x v="3"/>
    <x v="3"/>
  </r>
  <r>
    <n v="2844"/>
    <x v="47"/>
    <x v="1"/>
    <x v="1"/>
    <x v="0"/>
    <x v="46"/>
    <x v="31"/>
    <s v="M"/>
    <s v="White"/>
    <s v="Summer"/>
    <n v="3.6"/>
    <x v="1"/>
    <x v="5"/>
    <x v="1"/>
    <x v="1"/>
    <n v="41"/>
    <x v="0"/>
    <x v="1"/>
    <x v="1"/>
  </r>
  <r>
    <n v="2845"/>
    <x v="45"/>
    <x v="1"/>
    <x v="19"/>
    <x v="3"/>
    <x v="24"/>
    <x v="35"/>
    <s v="M"/>
    <s v="Indigo"/>
    <s v="Summer"/>
    <n v="4.4000000000000004"/>
    <x v="1"/>
    <x v="3"/>
    <x v="1"/>
    <x v="1"/>
    <n v="42"/>
    <x v="0"/>
    <x v="2"/>
    <x v="2"/>
  </r>
  <r>
    <n v="2846"/>
    <x v="8"/>
    <x v="1"/>
    <x v="21"/>
    <x v="3"/>
    <x v="64"/>
    <x v="45"/>
    <s v="L"/>
    <s v="Lavender"/>
    <s v="Summer"/>
    <n v="4.0999999999999996"/>
    <x v="1"/>
    <x v="0"/>
    <x v="1"/>
    <x v="1"/>
    <n v="39"/>
    <x v="5"/>
    <x v="6"/>
    <x v="3"/>
  </r>
  <r>
    <n v="2847"/>
    <x v="2"/>
    <x v="1"/>
    <x v="20"/>
    <x v="0"/>
    <x v="14"/>
    <x v="19"/>
    <s v="XL"/>
    <s v="Black"/>
    <s v="Fall"/>
    <n v="2.8"/>
    <x v="1"/>
    <x v="2"/>
    <x v="1"/>
    <x v="1"/>
    <n v="15"/>
    <x v="3"/>
    <x v="4"/>
    <x v="4"/>
  </r>
  <r>
    <n v="2848"/>
    <x v="33"/>
    <x v="1"/>
    <x v="16"/>
    <x v="3"/>
    <x v="34"/>
    <x v="39"/>
    <s v="L"/>
    <s v="Charcoal"/>
    <s v="Winter"/>
    <n v="2.8"/>
    <x v="1"/>
    <x v="1"/>
    <x v="1"/>
    <x v="1"/>
    <n v="3"/>
    <x v="3"/>
    <x v="6"/>
    <x v="3"/>
  </r>
  <r>
    <n v="2849"/>
    <x v="23"/>
    <x v="1"/>
    <x v="23"/>
    <x v="1"/>
    <x v="11"/>
    <x v="48"/>
    <s v="L"/>
    <s v="Gray"/>
    <s v="Fall"/>
    <n v="4.9000000000000004"/>
    <x v="1"/>
    <x v="5"/>
    <x v="1"/>
    <x v="1"/>
    <n v="28"/>
    <x v="4"/>
    <x v="3"/>
    <x v="3"/>
  </r>
  <r>
    <n v="2850"/>
    <x v="19"/>
    <x v="1"/>
    <x v="7"/>
    <x v="2"/>
    <x v="21"/>
    <x v="13"/>
    <s v="M"/>
    <s v="Gold"/>
    <s v="Spring"/>
    <n v="4.0999999999999996"/>
    <x v="1"/>
    <x v="0"/>
    <x v="1"/>
    <x v="1"/>
    <n v="27"/>
    <x v="3"/>
    <x v="4"/>
    <x v="4"/>
  </r>
  <r>
    <n v="2851"/>
    <x v="9"/>
    <x v="1"/>
    <x v="1"/>
    <x v="0"/>
    <x v="24"/>
    <x v="43"/>
    <s v="M"/>
    <s v="Silver"/>
    <s v="Spring"/>
    <n v="3"/>
    <x v="1"/>
    <x v="5"/>
    <x v="1"/>
    <x v="1"/>
    <n v="36"/>
    <x v="5"/>
    <x v="2"/>
    <x v="2"/>
  </r>
  <r>
    <n v="2852"/>
    <x v="44"/>
    <x v="1"/>
    <x v="0"/>
    <x v="0"/>
    <x v="2"/>
    <x v="22"/>
    <s v="L"/>
    <s v="Teal"/>
    <s v="Summer"/>
    <n v="3"/>
    <x v="1"/>
    <x v="5"/>
    <x v="1"/>
    <x v="1"/>
    <n v="42"/>
    <x v="5"/>
    <x v="5"/>
    <x v="5"/>
  </r>
  <r>
    <n v="2853"/>
    <x v="37"/>
    <x v="1"/>
    <x v="22"/>
    <x v="3"/>
    <x v="79"/>
    <x v="14"/>
    <s v="M"/>
    <s v="Magenta"/>
    <s v="Spring"/>
    <n v="3"/>
    <x v="1"/>
    <x v="5"/>
    <x v="1"/>
    <x v="1"/>
    <n v="30"/>
    <x v="0"/>
    <x v="1"/>
    <x v="1"/>
  </r>
  <r>
    <n v="2854"/>
    <x v="43"/>
    <x v="1"/>
    <x v="19"/>
    <x v="3"/>
    <x v="16"/>
    <x v="38"/>
    <s v="M"/>
    <s v="Magenta"/>
    <s v="Winter"/>
    <n v="3.2"/>
    <x v="1"/>
    <x v="2"/>
    <x v="1"/>
    <x v="1"/>
    <n v="9"/>
    <x v="3"/>
    <x v="1"/>
    <x v="1"/>
  </r>
  <r>
    <n v="2855"/>
    <x v="24"/>
    <x v="1"/>
    <x v="3"/>
    <x v="1"/>
    <x v="39"/>
    <x v="12"/>
    <s v="M"/>
    <s v="Beige"/>
    <s v="Fall"/>
    <n v="2.7"/>
    <x v="1"/>
    <x v="5"/>
    <x v="1"/>
    <x v="1"/>
    <n v="25"/>
    <x v="0"/>
    <x v="5"/>
    <x v="5"/>
  </r>
  <r>
    <n v="2856"/>
    <x v="26"/>
    <x v="1"/>
    <x v="23"/>
    <x v="1"/>
    <x v="51"/>
    <x v="16"/>
    <s v="S"/>
    <s v="Maroon"/>
    <s v="Winter"/>
    <n v="3.8"/>
    <x v="1"/>
    <x v="4"/>
    <x v="1"/>
    <x v="1"/>
    <n v="33"/>
    <x v="3"/>
    <x v="3"/>
    <x v="3"/>
  </r>
  <r>
    <n v="2857"/>
    <x v="13"/>
    <x v="1"/>
    <x v="14"/>
    <x v="2"/>
    <x v="16"/>
    <x v="44"/>
    <s v="M"/>
    <s v="Indigo"/>
    <s v="Winter"/>
    <n v="3.5"/>
    <x v="1"/>
    <x v="4"/>
    <x v="1"/>
    <x v="1"/>
    <n v="31"/>
    <x v="2"/>
    <x v="5"/>
    <x v="5"/>
  </r>
  <r>
    <n v="2858"/>
    <x v="42"/>
    <x v="1"/>
    <x v="10"/>
    <x v="0"/>
    <x v="73"/>
    <x v="40"/>
    <s v="S"/>
    <s v="Maroon"/>
    <s v="Spring"/>
    <n v="3.8"/>
    <x v="1"/>
    <x v="2"/>
    <x v="1"/>
    <x v="1"/>
    <n v="35"/>
    <x v="5"/>
    <x v="5"/>
    <x v="5"/>
  </r>
  <r>
    <n v="2859"/>
    <x v="50"/>
    <x v="1"/>
    <x v="2"/>
    <x v="0"/>
    <x v="55"/>
    <x v="33"/>
    <s v="L"/>
    <s v="Teal"/>
    <s v="Summer"/>
    <n v="3.8"/>
    <x v="1"/>
    <x v="4"/>
    <x v="1"/>
    <x v="1"/>
    <n v="46"/>
    <x v="4"/>
    <x v="5"/>
    <x v="5"/>
  </r>
  <r>
    <n v="2860"/>
    <x v="18"/>
    <x v="1"/>
    <x v="6"/>
    <x v="0"/>
    <x v="50"/>
    <x v="40"/>
    <s v="L"/>
    <s v="Yellow"/>
    <s v="Fall"/>
    <n v="3.4"/>
    <x v="1"/>
    <x v="0"/>
    <x v="1"/>
    <x v="1"/>
    <n v="29"/>
    <x v="4"/>
    <x v="2"/>
    <x v="2"/>
  </r>
  <r>
    <n v="2861"/>
    <x v="48"/>
    <x v="1"/>
    <x v="5"/>
    <x v="0"/>
    <x v="15"/>
    <x v="3"/>
    <s v="M"/>
    <s v="Gold"/>
    <s v="Spring"/>
    <n v="2.9"/>
    <x v="1"/>
    <x v="2"/>
    <x v="1"/>
    <x v="1"/>
    <n v="49"/>
    <x v="4"/>
    <x v="1"/>
    <x v="1"/>
  </r>
  <r>
    <n v="2862"/>
    <x v="17"/>
    <x v="1"/>
    <x v="7"/>
    <x v="2"/>
    <x v="36"/>
    <x v="33"/>
    <s v="M"/>
    <s v="Teal"/>
    <s v="Fall"/>
    <n v="3.4"/>
    <x v="1"/>
    <x v="1"/>
    <x v="1"/>
    <x v="1"/>
    <n v="27"/>
    <x v="2"/>
    <x v="5"/>
    <x v="5"/>
  </r>
  <r>
    <n v="2863"/>
    <x v="33"/>
    <x v="1"/>
    <x v="7"/>
    <x v="2"/>
    <x v="60"/>
    <x v="11"/>
    <s v="S"/>
    <s v="Violet"/>
    <s v="Summer"/>
    <n v="4.7"/>
    <x v="1"/>
    <x v="5"/>
    <x v="1"/>
    <x v="1"/>
    <n v="5"/>
    <x v="4"/>
    <x v="6"/>
    <x v="3"/>
  </r>
  <r>
    <n v="2864"/>
    <x v="43"/>
    <x v="1"/>
    <x v="17"/>
    <x v="0"/>
    <x v="22"/>
    <x v="39"/>
    <s v="M"/>
    <s v="Yellow"/>
    <s v="Fall"/>
    <n v="3.9"/>
    <x v="1"/>
    <x v="4"/>
    <x v="1"/>
    <x v="1"/>
    <n v="18"/>
    <x v="0"/>
    <x v="5"/>
    <x v="5"/>
  </r>
  <r>
    <n v="2865"/>
    <x v="44"/>
    <x v="1"/>
    <x v="1"/>
    <x v="0"/>
    <x v="35"/>
    <x v="26"/>
    <s v="S"/>
    <s v="Maroon"/>
    <s v="Fall"/>
    <n v="3.6"/>
    <x v="1"/>
    <x v="5"/>
    <x v="1"/>
    <x v="1"/>
    <n v="31"/>
    <x v="0"/>
    <x v="1"/>
    <x v="1"/>
  </r>
  <r>
    <n v="2866"/>
    <x v="48"/>
    <x v="1"/>
    <x v="11"/>
    <x v="0"/>
    <x v="8"/>
    <x v="18"/>
    <s v="M"/>
    <s v="Silver"/>
    <s v="Fall"/>
    <n v="3.7"/>
    <x v="1"/>
    <x v="1"/>
    <x v="1"/>
    <x v="1"/>
    <n v="27"/>
    <x v="1"/>
    <x v="0"/>
    <x v="0"/>
  </r>
  <r>
    <n v="2867"/>
    <x v="22"/>
    <x v="1"/>
    <x v="0"/>
    <x v="0"/>
    <x v="60"/>
    <x v="39"/>
    <s v="S"/>
    <s v="Violet"/>
    <s v="Summer"/>
    <n v="3.1"/>
    <x v="1"/>
    <x v="1"/>
    <x v="1"/>
    <x v="1"/>
    <n v="19"/>
    <x v="1"/>
    <x v="2"/>
    <x v="2"/>
  </r>
  <r>
    <n v="2868"/>
    <x v="3"/>
    <x v="1"/>
    <x v="4"/>
    <x v="1"/>
    <x v="37"/>
    <x v="24"/>
    <s v="L"/>
    <s v="White"/>
    <s v="Summer"/>
    <n v="4.9000000000000004"/>
    <x v="1"/>
    <x v="2"/>
    <x v="1"/>
    <x v="1"/>
    <n v="33"/>
    <x v="1"/>
    <x v="0"/>
    <x v="0"/>
  </r>
  <r>
    <n v="2869"/>
    <x v="4"/>
    <x v="1"/>
    <x v="21"/>
    <x v="3"/>
    <x v="4"/>
    <x v="24"/>
    <s v="M"/>
    <s v="Black"/>
    <s v="Winter"/>
    <n v="2.6"/>
    <x v="1"/>
    <x v="2"/>
    <x v="1"/>
    <x v="1"/>
    <n v="42"/>
    <x v="3"/>
    <x v="6"/>
    <x v="3"/>
  </r>
  <r>
    <n v="2870"/>
    <x v="9"/>
    <x v="1"/>
    <x v="20"/>
    <x v="0"/>
    <x v="47"/>
    <x v="42"/>
    <s v="M"/>
    <s v="White"/>
    <s v="Summer"/>
    <n v="4.2"/>
    <x v="1"/>
    <x v="3"/>
    <x v="1"/>
    <x v="1"/>
    <n v="16"/>
    <x v="4"/>
    <x v="1"/>
    <x v="1"/>
  </r>
  <r>
    <n v="2871"/>
    <x v="36"/>
    <x v="1"/>
    <x v="16"/>
    <x v="3"/>
    <x v="7"/>
    <x v="25"/>
    <s v="M"/>
    <s v="Blue"/>
    <s v="Winter"/>
    <n v="4.8"/>
    <x v="1"/>
    <x v="1"/>
    <x v="1"/>
    <x v="1"/>
    <n v="49"/>
    <x v="5"/>
    <x v="6"/>
    <x v="3"/>
  </r>
  <r>
    <n v="2872"/>
    <x v="5"/>
    <x v="1"/>
    <x v="6"/>
    <x v="0"/>
    <x v="35"/>
    <x v="37"/>
    <s v="S"/>
    <s v="Black"/>
    <s v="Summer"/>
    <n v="2.7"/>
    <x v="1"/>
    <x v="4"/>
    <x v="1"/>
    <x v="1"/>
    <n v="40"/>
    <x v="0"/>
    <x v="4"/>
    <x v="4"/>
  </r>
  <r>
    <n v="2873"/>
    <x v="6"/>
    <x v="1"/>
    <x v="16"/>
    <x v="3"/>
    <x v="16"/>
    <x v="39"/>
    <s v="L"/>
    <s v="Olive"/>
    <s v="Fall"/>
    <n v="2.6"/>
    <x v="1"/>
    <x v="2"/>
    <x v="1"/>
    <x v="1"/>
    <n v="5"/>
    <x v="1"/>
    <x v="2"/>
    <x v="2"/>
  </r>
  <r>
    <n v="2874"/>
    <x v="42"/>
    <x v="1"/>
    <x v="1"/>
    <x v="0"/>
    <x v="49"/>
    <x v="6"/>
    <s v="M"/>
    <s v="Teal"/>
    <s v="Spring"/>
    <n v="2.6"/>
    <x v="1"/>
    <x v="1"/>
    <x v="1"/>
    <x v="1"/>
    <n v="8"/>
    <x v="4"/>
    <x v="5"/>
    <x v="5"/>
  </r>
  <r>
    <n v="2875"/>
    <x v="24"/>
    <x v="1"/>
    <x v="5"/>
    <x v="0"/>
    <x v="45"/>
    <x v="24"/>
    <s v="L"/>
    <s v="Silver"/>
    <s v="Summer"/>
    <n v="3.1"/>
    <x v="1"/>
    <x v="3"/>
    <x v="1"/>
    <x v="1"/>
    <n v="2"/>
    <x v="5"/>
    <x v="2"/>
    <x v="2"/>
  </r>
  <r>
    <n v="2876"/>
    <x v="41"/>
    <x v="1"/>
    <x v="13"/>
    <x v="0"/>
    <x v="13"/>
    <x v="0"/>
    <s v="M"/>
    <s v="Pink"/>
    <s v="Fall"/>
    <n v="2.6"/>
    <x v="1"/>
    <x v="1"/>
    <x v="1"/>
    <x v="1"/>
    <n v="14"/>
    <x v="5"/>
    <x v="1"/>
    <x v="1"/>
  </r>
  <r>
    <n v="2877"/>
    <x v="13"/>
    <x v="1"/>
    <x v="15"/>
    <x v="0"/>
    <x v="63"/>
    <x v="35"/>
    <s v="M"/>
    <s v="Charcoal"/>
    <s v="Spring"/>
    <n v="3.4"/>
    <x v="1"/>
    <x v="4"/>
    <x v="1"/>
    <x v="1"/>
    <n v="5"/>
    <x v="4"/>
    <x v="0"/>
    <x v="0"/>
  </r>
  <r>
    <n v="2878"/>
    <x v="45"/>
    <x v="1"/>
    <x v="20"/>
    <x v="0"/>
    <x v="43"/>
    <x v="32"/>
    <s v="M"/>
    <s v="Silver"/>
    <s v="Summer"/>
    <n v="3.6"/>
    <x v="1"/>
    <x v="3"/>
    <x v="1"/>
    <x v="1"/>
    <n v="34"/>
    <x v="0"/>
    <x v="5"/>
    <x v="5"/>
  </r>
  <r>
    <n v="2879"/>
    <x v="6"/>
    <x v="1"/>
    <x v="10"/>
    <x v="0"/>
    <x v="62"/>
    <x v="18"/>
    <s v="L"/>
    <s v="Turquoise"/>
    <s v="Summer"/>
    <n v="4.3"/>
    <x v="1"/>
    <x v="2"/>
    <x v="1"/>
    <x v="1"/>
    <n v="13"/>
    <x v="4"/>
    <x v="2"/>
    <x v="2"/>
  </r>
  <r>
    <n v="2880"/>
    <x v="46"/>
    <x v="1"/>
    <x v="0"/>
    <x v="0"/>
    <x v="75"/>
    <x v="25"/>
    <s v="XL"/>
    <s v="Turquoise"/>
    <s v="Winter"/>
    <n v="4.9000000000000004"/>
    <x v="1"/>
    <x v="1"/>
    <x v="1"/>
    <x v="1"/>
    <n v="31"/>
    <x v="0"/>
    <x v="2"/>
    <x v="2"/>
  </r>
  <r>
    <n v="2881"/>
    <x v="1"/>
    <x v="1"/>
    <x v="11"/>
    <x v="0"/>
    <x v="70"/>
    <x v="20"/>
    <s v="L"/>
    <s v="Beige"/>
    <s v="Winter"/>
    <n v="4.8"/>
    <x v="1"/>
    <x v="5"/>
    <x v="1"/>
    <x v="1"/>
    <n v="43"/>
    <x v="3"/>
    <x v="3"/>
    <x v="3"/>
  </r>
  <r>
    <n v="2882"/>
    <x v="21"/>
    <x v="1"/>
    <x v="21"/>
    <x v="3"/>
    <x v="3"/>
    <x v="21"/>
    <s v="M"/>
    <s v="Cyan"/>
    <s v="Winter"/>
    <n v="4.2"/>
    <x v="1"/>
    <x v="1"/>
    <x v="1"/>
    <x v="1"/>
    <n v="6"/>
    <x v="4"/>
    <x v="2"/>
    <x v="2"/>
  </r>
  <r>
    <n v="2883"/>
    <x v="35"/>
    <x v="1"/>
    <x v="0"/>
    <x v="0"/>
    <x v="12"/>
    <x v="19"/>
    <s v="L"/>
    <s v="Gold"/>
    <s v="Winter"/>
    <n v="2.6"/>
    <x v="1"/>
    <x v="5"/>
    <x v="1"/>
    <x v="1"/>
    <n v="23"/>
    <x v="2"/>
    <x v="4"/>
    <x v="4"/>
  </r>
  <r>
    <n v="2884"/>
    <x v="40"/>
    <x v="1"/>
    <x v="20"/>
    <x v="0"/>
    <x v="16"/>
    <x v="3"/>
    <s v="XL"/>
    <s v="Silver"/>
    <s v="Spring"/>
    <n v="3.2"/>
    <x v="1"/>
    <x v="3"/>
    <x v="1"/>
    <x v="1"/>
    <n v="10"/>
    <x v="3"/>
    <x v="1"/>
    <x v="1"/>
  </r>
  <r>
    <n v="2885"/>
    <x v="0"/>
    <x v="1"/>
    <x v="23"/>
    <x v="1"/>
    <x v="74"/>
    <x v="10"/>
    <s v="M"/>
    <s v="Purple"/>
    <s v="Summer"/>
    <n v="3.4"/>
    <x v="1"/>
    <x v="4"/>
    <x v="1"/>
    <x v="1"/>
    <n v="47"/>
    <x v="2"/>
    <x v="6"/>
    <x v="3"/>
  </r>
  <r>
    <n v="2886"/>
    <x v="26"/>
    <x v="1"/>
    <x v="21"/>
    <x v="3"/>
    <x v="71"/>
    <x v="22"/>
    <s v="M"/>
    <s v="Yellow"/>
    <s v="Summer"/>
    <n v="3.5"/>
    <x v="1"/>
    <x v="2"/>
    <x v="1"/>
    <x v="1"/>
    <n v="14"/>
    <x v="2"/>
    <x v="4"/>
    <x v="4"/>
  </r>
  <r>
    <n v="2887"/>
    <x v="32"/>
    <x v="1"/>
    <x v="19"/>
    <x v="3"/>
    <x v="27"/>
    <x v="40"/>
    <s v="L"/>
    <s v="Blue"/>
    <s v="Spring"/>
    <n v="4.2"/>
    <x v="1"/>
    <x v="1"/>
    <x v="1"/>
    <x v="1"/>
    <n v="29"/>
    <x v="3"/>
    <x v="1"/>
    <x v="1"/>
  </r>
  <r>
    <n v="2888"/>
    <x v="51"/>
    <x v="1"/>
    <x v="3"/>
    <x v="1"/>
    <x v="39"/>
    <x v="0"/>
    <s v="L"/>
    <s v="Blue"/>
    <s v="Winter"/>
    <n v="2.8"/>
    <x v="1"/>
    <x v="0"/>
    <x v="1"/>
    <x v="1"/>
    <n v="12"/>
    <x v="1"/>
    <x v="4"/>
    <x v="4"/>
  </r>
  <r>
    <n v="2889"/>
    <x v="27"/>
    <x v="1"/>
    <x v="15"/>
    <x v="0"/>
    <x v="69"/>
    <x v="48"/>
    <s v="L"/>
    <s v="Green"/>
    <s v="Spring"/>
    <n v="5"/>
    <x v="1"/>
    <x v="4"/>
    <x v="1"/>
    <x v="1"/>
    <n v="25"/>
    <x v="5"/>
    <x v="3"/>
    <x v="3"/>
  </r>
  <r>
    <n v="2890"/>
    <x v="14"/>
    <x v="1"/>
    <x v="12"/>
    <x v="3"/>
    <x v="35"/>
    <x v="46"/>
    <s v="M"/>
    <s v="Charcoal"/>
    <s v="Fall"/>
    <n v="3.3"/>
    <x v="1"/>
    <x v="5"/>
    <x v="1"/>
    <x v="1"/>
    <n v="21"/>
    <x v="0"/>
    <x v="2"/>
    <x v="2"/>
  </r>
  <r>
    <n v="2891"/>
    <x v="31"/>
    <x v="1"/>
    <x v="2"/>
    <x v="0"/>
    <x v="37"/>
    <x v="25"/>
    <s v="M"/>
    <s v="Violet"/>
    <s v="Winter"/>
    <n v="3.7"/>
    <x v="1"/>
    <x v="1"/>
    <x v="1"/>
    <x v="1"/>
    <n v="23"/>
    <x v="2"/>
    <x v="5"/>
    <x v="5"/>
  </r>
  <r>
    <n v="2892"/>
    <x v="36"/>
    <x v="1"/>
    <x v="17"/>
    <x v="0"/>
    <x v="2"/>
    <x v="31"/>
    <s v="XL"/>
    <s v="Black"/>
    <s v="Winter"/>
    <n v="2.5"/>
    <x v="1"/>
    <x v="1"/>
    <x v="1"/>
    <x v="1"/>
    <n v="10"/>
    <x v="3"/>
    <x v="5"/>
    <x v="5"/>
  </r>
  <r>
    <n v="2893"/>
    <x v="40"/>
    <x v="1"/>
    <x v="10"/>
    <x v="0"/>
    <x v="32"/>
    <x v="22"/>
    <s v="M"/>
    <s v="Teal"/>
    <s v="Spring"/>
    <n v="3.2"/>
    <x v="1"/>
    <x v="3"/>
    <x v="1"/>
    <x v="1"/>
    <n v="47"/>
    <x v="2"/>
    <x v="5"/>
    <x v="5"/>
  </r>
  <r>
    <n v="2894"/>
    <x v="28"/>
    <x v="1"/>
    <x v="22"/>
    <x v="3"/>
    <x v="5"/>
    <x v="0"/>
    <s v="S"/>
    <s v="Orange"/>
    <s v="Spring"/>
    <n v="3.1"/>
    <x v="1"/>
    <x v="1"/>
    <x v="1"/>
    <x v="1"/>
    <n v="44"/>
    <x v="5"/>
    <x v="6"/>
    <x v="3"/>
  </r>
  <r>
    <n v="2895"/>
    <x v="25"/>
    <x v="1"/>
    <x v="16"/>
    <x v="3"/>
    <x v="50"/>
    <x v="0"/>
    <s v="S"/>
    <s v="Brown"/>
    <s v="Spring"/>
    <n v="3.5"/>
    <x v="1"/>
    <x v="3"/>
    <x v="1"/>
    <x v="1"/>
    <n v="41"/>
    <x v="0"/>
    <x v="2"/>
    <x v="2"/>
  </r>
  <r>
    <n v="2896"/>
    <x v="19"/>
    <x v="1"/>
    <x v="15"/>
    <x v="0"/>
    <x v="62"/>
    <x v="6"/>
    <s v="L"/>
    <s v="Green"/>
    <s v="Summer"/>
    <n v="4.5999999999999996"/>
    <x v="1"/>
    <x v="3"/>
    <x v="1"/>
    <x v="1"/>
    <n v="29"/>
    <x v="4"/>
    <x v="5"/>
    <x v="5"/>
  </r>
  <r>
    <n v="2897"/>
    <x v="11"/>
    <x v="1"/>
    <x v="0"/>
    <x v="0"/>
    <x v="26"/>
    <x v="12"/>
    <s v="M"/>
    <s v="Silver"/>
    <s v="Summer"/>
    <n v="3.3"/>
    <x v="1"/>
    <x v="1"/>
    <x v="1"/>
    <x v="1"/>
    <n v="2"/>
    <x v="0"/>
    <x v="6"/>
    <x v="3"/>
  </r>
  <r>
    <n v="2898"/>
    <x v="49"/>
    <x v="1"/>
    <x v="14"/>
    <x v="2"/>
    <x v="40"/>
    <x v="6"/>
    <s v="L"/>
    <s v="Violet"/>
    <s v="Fall"/>
    <n v="2.5"/>
    <x v="1"/>
    <x v="1"/>
    <x v="1"/>
    <x v="1"/>
    <n v="2"/>
    <x v="1"/>
    <x v="0"/>
    <x v="0"/>
  </r>
  <r>
    <n v="2899"/>
    <x v="51"/>
    <x v="1"/>
    <x v="4"/>
    <x v="1"/>
    <x v="27"/>
    <x v="32"/>
    <s v="XL"/>
    <s v="Peach"/>
    <s v="Summer"/>
    <n v="4.5999999999999996"/>
    <x v="1"/>
    <x v="0"/>
    <x v="1"/>
    <x v="1"/>
    <n v="29"/>
    <x v="2"/>
    <x v="2"/>
    <x v="2"/>
  </r>
  <r>
    <n v="2900"/>
    <x v="2"/>
    <x v="1"/>
    <x v="23"/>
    <x v="1"/>
    <x v="1"/>
    <x v="43"/>
    <s v="M"/>
    <s v="Gold"/>
    <s v="Spring"/>
    <n v="4.2"/>
    <x v="1"/>
    <x v="4"/>
    <x v="1"/>
    <x v="1"/>
    <n v="22"/>
    <x v="4"/>
    <x v="0"/>
    <x v="0"/>
  </r>
  <r>
    <n v="2901"/>
    <x v="38"/>
    <x v="1"/>
    <x v="0"/>
    <x v="0"/>
    <x v="25"/>
    <x v="33"/>
    <s v="XL"/>
    <s v="Violet"/>
    <s v="Winter"/>
    <n v="4"/>
    <x v="1"/>
    <x v="3"/>
    <x v="1"/>
    <x v="1"/>
    <n v="23"/>
    <x v="1"/>
    <x v="4"/>
    <x v="4"/>
  </r>
  <r>
    <n v="2902"/>
    <x v="38"/>
    <x v="1"/>
    <x v="0"/>
    <x v="0"/>
    <x v="35"/>
    <x v="15"/>
    <s v="L"/>
    <s v="Olive"/>
    <s v="Winter"/>
    <n v="2.6"/>
    <x v="1"/>
    <x v="1"/>
    <x v="1"/>
    <x v="1"/>
    <n v="46"/>
    <x v="2"/>
    <x v="3"/>
    <x v="3"/>
  </r>
  <r>
    <n v="2903"/>
    <x v="7"/>
    <x v="1"/>
    <x v="23"/>
    <x v="1"/>
    <x v="50"/>
    <x v="17"/>
    <s v="S"/>
    <s v="Orange"/>
    <s v="Spring"/>
    <n v="4.5999999999999996"/>
    <x v="1"/>
    <x v="3"/>
    <x v="1"/>
    <x v="1"/>
    <n v="19"/>
    <x v="3"/>
    <x v="4"/>
    <x v="4"/>
  </r>
  <r>
    <n v="2904"/>
    <x v="21"/>
    <x v="1"/>
    <x v="18"/>
    <x v="3"/>
    <x v="32"/>
    <x v="12"/>
    <s v="S"/>
    <s v="Teal"/>
    <s v="Spring"/>
    <n v="3.5"/>
    <x v="1"/>
    <x v="4"/>
    <x v="1"/>
    <x v="1"/>
    <n v="24"/>
    <x v="2"/>
    <x v="6"/>
    <x v="3"/>
  </r>
  <r>
    <n v="2905"/>
    <x v="38"/>
    <x v="1"/>
    <x v="3"/>
    <x v="1"/>
    <x v="52"/>
    <x v="44"/>
    <s v="M"/>
    <s v="Gray"/>
    <s v="Spring"/>
    <n v="4"/>
    <x v="1"/>
    <x v="4"/>
    <x v="1"/>
    <x v="1"/>
    <n v="43"/>
    <x v="0"/>
    <x v="5"/>
    <x v="5"/>
  </r>
  <r>
    <n v="2906"/>
    <x v="44"/>
    <x v="1"/>
    <x v="12"/>
    <x v="3"/>
    <x v="0"/>
    <x v="14"/>
    <s v="L"/>
    <s v="Black"/>
    <s v="Winter"/>
    <n v="4.8"/>
    <x v="1"/>
    <x v="3"/>
    <x v="1"/>
    <x v="1"/>
    <n v="14"/>
    <x v="5"/>
    <x v="0"/>
    <x v="0"/>
  </r>
  <r>
    <n v="2907"/>
    <x v="44"/>
    <x v="1"/>
    <x v="7"/>
    <x v="2"/>
    <x v="65"/>
    <x v="41"/>
    <s v="M"/>
    <s v="Indigo"/>
    <s v="Spring"/>
    <n v="3.9"/>
    <x v="1"/>
    <x v="3"/>
    <x v="1"/>
    <x v="1"/>
    <n v="7"/>
    <x v="0"/>
    <x v="2"/>
    <x v="2"/>
  </r>
  <r>
    <n v="2908"/>
    <x v="1"/>
    <x v="1"/>
    <x v="12"/>
    <x v="3"/>
    <x v="71"/>
    <x v="33"/>
    <s v="XL"/>
    <s v="Lavender"/>
    <s v="Summer"/>
    <n v="3.7"/>
    <x v="1"/>
    <x v="2"/>
    <x v="1"/>
    <x v="1"/>
    <n v="50"/>
    <x v="3"/>
    <x v="4"/>
    <x v="4"/>
  </r>
  <r>
    <n v="2909"/>
    <x v="49"/>
    <x v="1"/>
    <x v="0"/>
    <x v="0"/>
    <x v="55"/>
    <x v="21"/>
    <s v="M"/>
    <s v="Beige"/>
    <s v="Winter"/>
    <n v="3.1"/>
    <x v="1"/>
    <x v="5"/>
    <x v="1"/>
    <x v="1"/>
    <n v="15"/>
    <x v="5"/>
    <x v="6"/>
    <x v="3"/>
  </r>
  <r>
    <n v="2910"/>
    <x v="7"/>
    <x v="1"/>
    <x v="21"/>
    <x v="3"/>
    <x v="72"/>
    <x v="7"/>
    <s v="M"/>
    <s v="Indigo"/>
    <s v="Winter"/>
    <n v="3"/>
    <x v="1"/>
    <x v="2"/>
    <x v="1"/>
    <x v="1"/>
    <n v="40"/>
    <x v="2"/>
    <x v="6"/>
    <x v="3"/>
  </r>
  <r>
    <n v="2911"/>
    <x v="45"/>
    <x v="1"/>
    <x v="22"/>
    <x v="3"/>
    <x v="50"/>
    <x v="16"/>
    <s v="M"/>
    <s v="Blue"/>
    <s v="Summer"/>
    <n v="2.9"/>
    <x v="1"/>
    <x v="5"/>
    <x v="1"/>
    <x v="1"/>
    <n v="41"/>
    <x v="2"/>
    <x v="5"/>
    <x v="5"/>
  </r>
  <r>
    <n v="2912"/>
    <x v="48"/>
    <x v="1"/>
    <x v="20"/>
    <x v="0"/>
    <x v="15"/>
    <x v="31"/>
    <s v="XL"/>
    <s v="Orange"/>
    <s v="Fall"/>
    <n v="2.9"/>
    <x v="1"/>
    <x v="2"/>
    <x v="1"/>
    <x v="1"/>
    <n v="34"/>
    <x v="0"/>
    <x v="3"/>
    <x v="3"/>
  </r>
  <r>
    <n v="2913"/>
    <x v="39"/>
    <x v="1"/>
    <x v="9"/>
    <x v="1"/>
    <x v="18"/>
    <x v="4"/>
    <s v="M"/>
    <s v="Yellow"/>
    <s v="Winter"/>
    <n v="4"/>
    <x v="1"/>
    <x v="3"/>
    <x v="1"/>
    <x v="1"/>
    <n v="27"/>
    <x v="1"/>
    <x v="4"/>
    <x v="4"/>
  </r>
  <r>
    <n v="2914"/>
    <x v="49"/>
    <x v="1"/>
    <x v="7"/>
    <x v="2"/>
    <x v="42"/>
    <x v="5"/>
    <s v="L"/>
    <s v="Cyan"/>
    <s v="Winter"/>
    <n v="3.5"/>
    <x v="1"/>
    <x v="0"/>
    <x v="1"/>
    <x v="1"/>
    <n v="12"/>
    <x v="1"/>
    <x v="6"/>
    <x v="3"/>
  </r>
  <r>
    <n v="2915"/>
    <x v="4"/>
    <x v="1"/>
    <x v="1"/>
    <x v="0"/>
    <x v="11"/>
    <x v="38"/>
    <s v="M"/>
    <s v="Yellow"/>
    <s v="Fall"/>
    <n v="3.8"/>
    <x v="1"/>
    <x v="0"/>
    <x v="1"/>
    <x v="1"/>
    <n v="1"/>
    <x v="5"/>
    <x v="4"/>
    <x v="4"/>
  </r>
  <r>
    <n v="2916"/>
    <x v="8"/>
    <x v="1"/>
    <x v="5"/>
    <x v="0"/>
    <x v="38"/>
    <x v="4"/>
    <s v="M"/>
    <s v="Cyan"/>
    <s v="Fall"/>
    <n v="4.5"/>
    <x v="1"/>
    <x v="0"/>
    <x v="1"/>
    <x v="1"/>
    <n v="39"/>
    <x v="5"/>
    <x v="4"/>
    <x v="4"/>
  </r>
  <r>
    <n v="2917"/>
    <x v="46"/>
    <x v="1"/>
    <x v="6"/>
    <x v="0"/>
    <x v="76"/>
    <x v="19"/>
    <s v="M"/>
    <s v="Green"/>
    <s v="Winter"/>
    <n v="2.7"/>
    <x v="1"/>
    <x v="0"/>
    <x v="1"/>
    <x v="1"/>
    <n v="13"/>
    <x v="2"/>
    <x v="4"/>
    <x v="4"/>
  </r>
  <r>
    <n v="2918"/>
    <x v="44"/>
    <x v="1"/>
    <x v="5"/>
    <x v="0"/>
    <x v="29"/>
    <x v="24"/>
    <s v="XL"/>
    <s v="White"/>
    <s v="Winter"/>
    <n v="2.9"/>
    <x v="1"/>
    <x v="5"/>
    <x v="1"/>
    <x v="1"/>
    <n v="50"/>
    <x v="0"/>
    <x v="2"/>
    <x v="2"/>
  </r>
  <r>
    <n v="2919"/>
    <x v="1"/>
    <x v="1"/>
    <x v="12"/>
    <x v="3"/>
    <x v="2"/>
    <x v="14"/>
    <s v="S"/>
    <s v="Black"/>
    <s v="Fall"/>
    <n v="4.9000000000000004"/>
    <x v="1"/>
    <x v="1"/>
    <x v="1"/>
    <x v="1"/>
    <n v="36"/>
    <x v="1"/>
    <x v="1"/>
    <x v="1"/>
  </r>
  <r>
    <n v="2920"/>
    <x v="14"/>
    <x v="1"/>
    <x v="9"/>
    <x v="1"/>
    <x v="25"/>
    <x v="46"/>
    <s v="L"/>
    <s v="Charcoal"/>
    <s v="Winter"/>
    <n v="3.8"/>
    <x v="1"/>
    <x v="3"/>
    <x v="1"/>
    <x v="1"/>
    <n v="31"/>
    <x v="5"/>
    <x v="5"/>
    <x v="5"/>
  </r>
  <r>
    <n v="2921"/>
    <x v="23"/>
    <x v="1"/>
    <x v="12"/>
    <x v="3"/>
    <x v="11"/>
    <x v="21"/>
    <s v="XL"/>
    <s v="Brown"/>
    <s v="Spring"/>
    <n v="4.9000000000000004"/>
    <x v="1"/>
    <x v="1"/>
    <x v="1"/>
    <x v="1"/>
    <n v="3"/>
    <x v="5"/>
    <x v="4"/>
    <x v="4"/>
  </r>
  <r>
    <n v="2922"/>
    <x v="30"/>
    <x v="1"/>
    <x v="8"/>
    <x v="3"/>
    <x v="41"/>
    <x v="48"/>
    <s v="M"/>
    <s v="Cyan"/>
    <s v="Fall"/>
    <n v="4.5999999999999996"/>
    <x v="1"/>
    <x v="3"/>
    <x v="1"/>
    <x v="1"/>
    <n v="11"/>
    <x v="1"/>
    <x v="0"/>
    <x v="0"/>
  </r>
  <r>
    <n v="2923"/>
    <x v="4"/>
    <x v="1"/>
    <x v="12"/>
    <x v="3"/>
    <x v="10"/>
    <x v="0"/>
    <s v="L"/>
    <s v="Beige"/>
    <s v="Winter"/>
    <n v="3.5"/>
    <x v="1"/>
    <x v="0"/>
    <x v="1"/>
    <x v="1"/>
    <n v="16"/>
    <x v="3"/>
    <x v="3"/>
    <x v="3"/>
  </r>
  <r>
    <n v="2924"/>
    <x v="48"/>
    <x v="1"/>
    <x v="5"/>
    <x v="0"/>
    <x v="44"/>
    <x v="38"/>
    <s v="M"/>
    <s v="Magenta"/>
    <s v="Spring"/>
    <n v="4.2"/>
    <x v="1"/>
    <x v="4"/>
    <x v="1"/>
    <x v="1"/>
    <n v="12"/>
    <x v="1"/>
    <x v="3"/>
    <x v="3"/>
  </r>
  <r>
    <n v="2925"/>
    <x v="36"/>
    <x v="1"/>
    <x v="5"/>
    <x v="0"/>
    <x v="1"/>
    <x v="3"/>
    <s v="L"/>
    <s v="Indigo"/>
    <s v="Winter"/>
    <n v="3.7"/>
    <x v="1"/>
    <x v="1"/>
    <x v="1"/>
    <x v="1"/>
    <n v="37"/>
    <x v="5"/>
    <x v="6"/>
    <x v="3"/>
  </r>
  <r>
    <n v="2926"/>
    <x v="22"/>
    <x v="1"/>
    <x v="1"/>
    <x v="0"/>
    <x v="26"/>
    <x v="26"/>
    <s v="M"/>
    <s v="Maroon"/>
    <s v="Spring"/>
    <n v="2.8"/>
    <x v="1"/>
    <x v="5"/>
    <x v="1"/>
    <x v="1"/>
    <n v="43"/>
    <x v="2"/>
    <x v="6"/>
    <x v="3"/>
  </r>
  <r>
    <n v="2927"/>
    <x v="14"/>
    <x v="1"/>
    <x v="8"/>
    <x v="3"/>
    <x v="71"/>
    <x v="33"/>
    <s v="M"/>
    <s v="Gray"/>
    <s v="Winter"/>
    <n v="4.8"/>
    <x v="1"/>
    <x v="4"/>
    <x v="1"/>
    <x v="1"/>
    <n v="9"/>
    <x v="1"/>
    <x v="1"/>
    <x v="1"/>
  </r>
  <r>
    <n v="2928"/>
    <x v="4"/>
    <x v="1"/>
    <x v="5"/>
    <x v="0"/>
    <x v="41"/>
    <x v="9"/>
    <s v="M"/>
    <s v="Black"/>
    <s v="Summer"/>
    <n v="2.7"/>
    <x v="1"/>
    <x v="0"/>
    <x v="1"/>
    <x v="1"/>
    <n v="15"/>
    <x v="0"/>
    <x v="4"/>
    <x v="4"/>
  </r>
  <r>
    <n v="2929"/>
    <x v="37"/>
    <x v="1"/>
    <x v="16"/>
    <x v="3"/>
    <x v="68"/>
    <x v="15"/>
    <s v="L"/>
    <s v="Yellow"/>
    <s v="Spring"/>
    <n v="3.6"/>
    <x v="1"/>
    <x v="5"/>
    <x v="1"/>
    <x v="1"/>
    <n v="17"/>
    <x v="2"/>
    <x v="1"/>
    <x v="1"/>
  </r>
  <r>
    <n v="2930"/>
    <x v="18"/>
    <x v="1"/>
    <x v="20"/>
    <x v="0"/>
    <x v="0"/>
    <x v="1"/>
    <s v="XL"/>
    <s v="White"/>
    <s v="Winter"/>
    <n v="4.5"/>
    <x v="1"/>
    <x v="2"/>
    <x v="1"/>
    <x v="1"/>
    <n v="42"/>
    <x v="0"/>
    <x v="0"/>
    <x v="0"/>
  </r>
  <r>
    <n v="2931"/>
    <x v="21"/>
    <x v="1"/>
    <x v="17"/>
    <x v="0"/>
    <x v="74"/>
    <x v="16"/>
    <s v="M"/>
    <s v="Orange"/>
    <s v="Spring"/>
    <n v="4"/>
    <x v="1"/>
    <x v="1"/>
    <x v="1"/>
    <x v="1"/>
    <n v="14"/>
    <x v="0"/>
    <x v="5"/>
    <x v="5"/>
  </r>
  <r>
    <n v="2932"/>
    <x v="24"/>
    <x v="1"/>
    <x v="16"/>
    <x v="3"/>
    <x v="9"/>
    <x v="15"/>
    <s v="M"/>
    <s v="Magenta"/>
    <s v="Fall"/>
    <n v="4.5"/>
    <x v="1"/>
    <x v="4"/>
    <x v="1"/>
    <x v="1"/>
    <n v="49"/>
    <x v="2"/>
    <x v="4"/>
    <x v="4"/>
  </r>
  <r>
    <n v="2933"/>
    <x v="13"/>
    <x v="1"/>
    <x v="21"/>
    <x v="3"/>
    <x v="19"/>
    <x v="29"/>
    <s v="L"/>
    <s v="Black"/>
    <s v="Spring"/>
    <n v="3.9"/>
    <x v="1"/>
    <x v="0"/>
    <x v="1"/>
    <x v="1"/>
    <n v="3"/>
    <x v="3"/>
    <x v="3"/>
    <x v="3"/>
  </r>
  <r>
    <n v="2934"/>
    <x v="7"/>
    <x v="1"/>
    <x v="19"/>
    <x v="3"/>
    <x v="78"/>
    <x v="26"/>
    <s v="M"/>
    <s v="Brown"/>
    <s v="Summer"/>
    <n v="3.8"/>
    <x v="1"/>
    <x v="3"/>
    <x v="1"/>
    <x v="1"/>
    <n v="28"/>
    <x v="0"/>
    <x v="5"/>
    <x v="5"/>
  </r>
  <r>
    <n v="2935"/>
    <x v="21"/>
    <x v="1"/>
    <x v="24"/>
    <x v="3"/>
    <x v="20"/>
    <x v="37"/>
    <s v="M"/>
    <s v="Orange"/>
    <s v="Fall"/>
    <n v="4.7"/>
    <x v="1"/>
    <x v="2"/>
    <x v="1"/>
    <x v="1"/>
    <n v="41"/>
    <x v="4"/>
    <x v="3"/>
    <x v="3"/>
  </r>
  <r>
    <n v="2936"/>
    <x v="44"/>
    <x v="1"/>
    <x v="4"/>
    <x v="1"/>
    <x v="65"/>
    <x v="17"/>
    <s v="XL"/>
    <s v="Gray"/>
    <s v="Spring"/>
    <n v="4.5999999999999996"/>
    <x v="1"/>
    <x v="3"/>
    <x v="1"/>
    <x v="1"/>
    <n v="11"/>
    <x v="0"/>
    <x v="1"/>
    <x v="1"/>
  </r>
  <r>
    <n v="2937"/>
    <x v="18"/>
    <x v="1"/>
    <x v="11"/>
    <x v="0"/>
    <x v="7"/>
    <x v="47"/>
    <s v="M"/>
    <s v="White"/>
    <s v="Spring"/>
    <n v="3.6"/>
    <x v="1"/>
    <x v="0"/>
    <x v="1"/>
    <x v="1"/>
    <n v="46"/>
    <x v="3"/>
    <x v="1"/>
    <x v="1"/>
  </r>
  <r>
    <n v="2938"/>
    <x v="48"/>
    <x v="1"/>
    <x v="8"/>
    <x v="3"/>
    <x v="32"/>
    <x v="8"/>
    <s v="M"/>
    <s v="White"/>
    <s v="Spring"/>
    <n v="4.3"/>
    <x v="1"/>
    <x v="4"/>
    <x v="1"/>
    <x v="1"/>
    <n v="15"/>
    <x v="2"/>
    <x v="1"/>
    <x v="1"/>
  </r>
  <r>
    <n v="2939"/>
    <x v="48"/>
    <x v="1"/>
    <x v="12"/>
    <x v="3"/>
    <x v="0"/>
    <x v="1"/>
    <s v="M"/>
    <s v="Violet"/>
    <s v="Fall"/>
    <n v="3"/>
    <x v="1"/>
    <x v="3"/>
    <x v="1"/>
    <x v="1"/>
    <n v="15"/>
    <x v="1"/>
    <x v="5"/>
    <x v="5"/>
  </r>
  <r>
    <n v="2940"/>
    <x v="45"/>
    <x v="1"/>
    <x v="1"/>
    <x v="0"/>
    <x v="43"/>
    <x v="0"/>
    <s v="M"/>
    <s v="Beige"/>
    <s v="Winter"/>
    <n v="4.3"/>
    <x v="1"/>
    <x v="0"/>
    <x v="1"/>
    <x v="1"/>
    <n v="34"/>
    <x v="0"/>
    <x v="1"/>
    <x v="1"/>
  </r>
  <r>
    <n v="2941"/>
    <x v="12"/>
    <x v="1"/>
    <x v="8"/>
    <x v="3"/>
    <x v="6"/>
    <x v="2"/>
    <s v="L"/>
    <s v="Beige"/>
    <s v="Summer"/>
    <n v="4.8"/>
    <x v="1"/>
    <x v="2"/>
    <x v="1"/>
    <x v="1"/>
    <n v="13"/>
    <x v="1"/>
    <x v="5"/>
    <x v="5"/>
  </r>
  <r>
    <n v="2942"/>
    <x v="21"/>
    <x v="1"/>
    <x v="11"/>
    <x v="0"/>
    <x v="62"/>
    <x v="38"/>
    <s v="L"/>
    <s v="Purple"/>
    <s v="Spring"/>
    <n v="3.7"/>
    <x v="1"/>
    <x v="1"/>
    <x v="1"/>
    <x v="1"/>
    <n v="27"/>
    <x v="3"/>
    <x v="5"/>
    <x v="5"/>
  </r>
  <r>
    <n v="2943"/>
    <x v="22"/>
    <x v="1"/>
    <x v="20"/>
    <x v="0"/>
    <x v="80"/>
    <x v="11"/>
    <s v="M"/>
    <s v="Brown"/>
    <s v="Summer"/>
    <n v="2.6"/>
    <x v="1"/>
    <x v="1"/>
    <x v="1"/>
    <x v="1"/>
    <n v="37"/>
    <x v="4"/>
    <x v="1"/>
    <x v="1"/>
  </r>
  <r>
    <n v="2944"/>
    <x v="26"/>
    <x v="1"/>
    <x v="5"/>
    <x v="0"/>
    <x v="77"/>
    <x v="41"/>
    <s v="M"/>
    <s v="Orange"/>
    <s v="Spring"/>
    <n v="3.4"/>
    <x v="1"/>
    <x v="3"/>
    <x v="1"/>
    <x v="1"/>
    <n v="37"/>
    <x v="2"/>
    <x v="5"/>
    <x v="5"/>
  </r>
  <r>
    <n v="2945"/>
    <x v="2"/>
    <x v="1"/>
    <x v="4"/>
    <x v="1"/>
    <x v="51"/>
    <x v="14"/>
    <s v="XL"/>
    <s v="Cyan"/>
    <s v="Summer"/>
    <n v="3.9"/>
    <x v="1"/>
    <x v="1"/>
    <x v="1"/>
    <x v="1"/>
    <n v="4"/>
    <x v="0"/>
    <x v="6"/>
    <x v="3"/>
  </r>
  <r>
    <n v="2946"/>
    <x v="45"/>
    <x v="1"/>
    <x v="22"/>
    <x v="3"/>
    <x v="4"/>
    <x v="12"/>
    <s v="M"/>
    <s v="Charcoal"/>
    <s v="Summer"/>
    <n v="4.8"/>
    <x v="1"/>
    <x v="1"/>
    <x v="1"/>
    <x v="1"/>
    <n v="1"/>
    <x v="2"/>
    <x v="6"/>
    <x v="3"/>
  </r>
  <r>
    <n v="2947"/>
    <x v="21"/>
    <x v="1"/>
    <x v="13"/>
    <x v="0"/>
    <x v="64"/>
    <x v="11"/>
    <s v="L"/>
    <s v="Purple"/>
    <s v="Spring"/>
    <n v="2.8"/>
    <x v="1"/>
    <x v="1"/>
    <x v="1"/>
    <x v="1"/>
    <n v="29"/>
    <x v="4"/>
    <x v="3"/>
    <x v="3"/>
  </r>
  <r>
    <n v="2948"/>
    <x v="16"/>
    <x v="1"/>
    <x v="16"/>
    <x v="3"/>
    <x v="80"/>
    <x v="43"/>
    <s v="L"/>
    <s v="Peach"/>
    <s v="Spring"/>
    <n v="4.4000000000000004"/>
    <x v="1"/>
    <x v="3"/>
    <x v="1"/>
    <x v="1"/>
    <n v="50"/>
    <x v="0"/>
    <x v="2"/>
    <x v="2"/>
  </r>
  <r>
    <n v="2949"/>
    <x v="12"/>
    <x v="1"/>
    <x v="13"/>
    <x v="0"/>
    <x v="42"/>
    <x v="34"/>
    <s v="M"/>
    <s v="Violet"/>
    <s v="Winter"/>
    <n v="3.1"/>
    <x v="1"/>
    <x v="3"/>
    <x v="1"/>
    <x v="1"/>
    <n v="38"/>
    <x v="5"/>
    <x v="4"/>
    <x v="4"/>
  </r>
  <r>
    <n v="2950"/>
    <x v="15"/>
    <x v="1"/>
    <x v="16"/>
    <x v="3"/>
    <x v="73"/>
    <x v="44"/>
    <s v="M"/>
    <s v="Peach"/>
    <s v="Spring"/>
    <n v="3.8"/>
    <x v="1"/>
    <x v="5"/>
    <x v="1"/>
    <x v="1"/>
    <n v="15"/>
    <x v="3"/>
    <x v="2"/>
    <x v="2"/>
  </r>
  <r>
    <n v="2951"/>
    <x v="40"/>
    <x v="1"/>
    <x v="2"/>
    <x v="0"/>
    <x v="26"/>
    <x v="44"/>
    <s v="S"/>
    <s v="Maroon"/>
    <s v="Winter"/>
    <n v="4.0999999999999996"/>
    <x v="1"/>
    <x v="4"/>
    <x v="1"/>
    <x v="1"/>
    <n v="44"/>
    <x v="5"/>
    <x v="6"/>
    <x v="3"/>
  </r>
  <r>
    <n v="2952"/>
    <x v="36"/>
    <x v="1"/>
    <x v="18"/>
    <x v="3"/>
    <x v="54"/>
    <x v="10"/>
    <s v="L"/>
    <s v="Maroon"/>
    <s v="Fall"/>
    <n v="4.5999999999999996"/>
    <x v="1"/>
    <x v="1"/>
    <x v="1"/>
    <x v="1"/>
    <n v="14"/>
    <x v="1"/>
    <x v="1"/>
    <x v="1"/>
  </r>
  <r>
    <n v="2953"/>
    <x v="2"/>
    <x v="1"/>
    <x v="22"/>
    <x v="3"/>
    <x v="41"/>
    <x v="15"/>
    <s v="M"/>
    <s v="Peach"/>
    <s v="Spring"/>
    <n v="4.9000000000000004"/>
    <x v="1"/>
    <x v="2"/>
    <x v="1"/>
    <x v="1"/>
    <n v="5"/>
    <x v="5"/>
    <x v="5"/>
    <x v="5"/>
  </r>
  <r>
    <n v="2954"/>
    <x v="4"/>
    <x v="1"/>
    <x v="10"/>
    <x v="0"/>
    <x v="71"/>
    <x v="33"/>
    <s v="M"/>
    <s v="Silver"/>
    <s v="Summer"/>
    <n v="4.8"/>
    <x v="1"/>
    <x v="2"/>
    <x v="1"/>
    <x v="1"/>
    <n v="11"/>
    <x v="2"/>
    <x v="2"/>
    <x v="2"/>
  </r>
  <r>
    <n v="2955"/>
    <x v="23"/>
    <x v="1"/>
    <x v="17"/>
    <x v="0"/>
    <x v="39"/>
    <x v="45"/>
    <s v="M"/>
    <s v="Indigo"/>
    <s v="Winter"/>
    <n v="3.9"/>
    <x v="1"/>
    <x v="0"/>
    <x v="1"/>
    <x v="1"/>
    <n v="15"/>
    <x v="2"/>
    <x v="2"/>
    <x v="2"/>
  </r>
  <r>
    <n v="2956"/>
    <x v="32"/>
    <x v="1"/>
    <x v="23"/>
    <x v="1"/>
    <x v="25"/>
    <x v="34"/>
    <s v="M"/>
    <s v="Silver"/>
    <s v="Winter"/>
    <n v="2.6"/>
    <x v="1"/>
    <x v="1"/>
    <x v="1"/>
    <x v="1"/>
    <n v="46"/>
    <x v="2"/>
    <x v="2"/>
    <x v="2"/>
  </r>
  <r>
    <n v="2957"/>
    <x v="16"/>
    <x v="1"/>
    <x v="10"/>
    <x v="0"/>
    <x v="19"/>
    <x v="6"/>
    <s v="M"/>
    <s v="Olive"/>
    <s v="Fall"/>
    <n v="3.7"/>
    <x v="1"/>
    <x v="3"/>
    <x v="1"/>
    <x v="1"/>
    <n v="30"/>
    <x v="0"/>
    <x v="5"/>
    <x v="5"/>
  </r>
  <r>
    <n v="2958"/>
    <x v="28"/>
    <x v="1"/>
    <x v="16"/>
    <x v="3"/>
    <x v="44"/>
    <x v="45"/>
    <s v="S"/>
    <s v="Gray"/>
    <s v="Fall"/>
    <n v="4.7"/>
    <x v="1"/>
    <x v="3"/>
    <x v="1"/>
    <x v="1"/>
    <n v="2"/>
    <x v="1"/>
    <x v="2"/>
    <x v="2"/>
  </r>
  <r>
    <n v="2959"/>
    <x v="0"/>
    <x v="1"/>
    <x v="11"/>
    <x v="0"/>
    <x v="33"/>
    <x v="31"/>
    <s v="M"/>
    <s v="Black"/>
    <s v="Summer"/>
    <n v="4.5"/>
    <x v="1"/>
    <x v="3"/>
    <x v="1"/>
    <x v="1"/>
    <n v="28"/>
    <x v="3"/>
    <x v="5"/>
    <x v="5"/>
  </r>
  <r>
    <n v="2960"/>
    <x v="21"/>
    <x v="1"/>
    <x v="8"/>
    <x v="3"/>
    <x v="39"/>
    <x v="21"/>
    <s v="L"/>
    <s v="Maroon"/>
    <s v="Summer"/>
    <n v="4.7"/>
    <x v="1"/>
    <x v="1"/>
    <x v="1"/>
    <x v="1"/>
    <n v="9"/>
    <x v="3"/>
    <x v="3"/>
    <x v="3"/>
  </r>
  <r>
    <n v="2961"/>
    <x v="9"/>
    <x v="1"/>
    <x v="7"/>
    <x v="2"/>
    <x v="16"/>
    <x v="27"/>
    <s v="S"/>
    <s v="Olive"/>
    <s v="Spring"/>
    <n v="3.6"/>
    <x v="1"/>
    <x v="3"/>
    <x v="1"/>
    <x v="1"/>
    <n v="47"/>
    <x v="2"/>
    <x v="1"/>
    <x v="1"/>
  </r>
  <r>
    <n v="2962"/>
    <x v="23"/>
    <x v="1"/>
    <x v="15"/>
    <x v="0"/>
    <x v="35"/>
    <x v="13"/>
    <s v="S"/>
    <s v="Gold"/>
    <s v="Fall"/>
    <n v="2.8"/>
    <x v="1"/>
    <x v="1"/>
    <x v="1"/>
    <x v="1"/>
    <n v="21"/>
    <x v="5"/>
    <x v="4"/>
    <x v="4"/>
  </r>
  <r>
    <n v="2963"/>
    <x v="9"/>
    <x v="1"/>
    <x v="13"/>
    <x v="0"/>
    <x v="49"/>
    <x v="18"/>
    <s v="L"/>
    <s v="Pink"/>
    <s v="Fall"/>
    <n v="4"/>
    <x v="1"/>
    <x v="0"/>
    <x v="1"/>
    <x v="1"/>
    <n v="42"/>
    <x v="2"/>
    <x v="6"/>
    <x v="3"/>
  </r>
  <r>
    <n v="2964"/>
    <x v="16"/>
    <x v="1"/>
    <x v="23"/>
    <x v="1"/>
    <x v="8"/>
    <x v="1"/>
    <s v="M"/>
    <s v="Brown"/>
    <s v="Spring"/>
    <n v="3.6"/>
    <x v="1"/>
    <x v="1"/>
    <x v="1"/>
    <x v="1"/>
    <n v="28"/>
    <x v="2"/>
    <x v="1"/>
    <x v="1"/>
  </r>
  <r>
    <n v="2965"/>
    <x v="42"/>
    <x v="1"/>
    <x v="7"/>
    <x v="2"/>
    <x v="21"/>
    <x v="31"/>
    <s v="S"/>
    <s v="White"/>
    <s v="Fall"/>
    <n v="3.8"/>
    <x v="1"/>
    <x v="4"/>
    <x v="1"/>
    <x v="1"/>
    <n v="13"/>
    <x v="0"/>
    <x v="0"/>
    <x v="0"/>
  </r>
  <r>
    <n v="2966"/>
    <x v="39"/>
    <x v="1"/>
    <x v="18"/>
    <x v="3"/>
    <x v="29"/>
    <x v="12"/>
    <s v="M"/>
    <s v="Blue"/>
    <s v="Summer"/>
    <n v="4.4000000000000004"/>
    <x v="1"/>
    <x v="3"/>
    <x v="1"/>
    <x v="1"/>
    <n v="25"/>
    <x v="3"/>
    <x v="0"/>
    <x v="0"/>
  </r>
  <r>
    <n v="2967"/>
    <x v="16"/>
    <x v="1"/>
    <x v="23"/>
    <x v="1"/>
    <x v="4"/>
    <x v="19"/>
    <s v="L"/>
    <s v="Orange"/>
    <s v="Fall"/>
    <n v="2.8"/>
    <x v="1"/>
    <x v="5"/>
    <x v="1"/>
    <x v="1"/>
    <n v="38"/>
    <x v="5"/>
    <x v="6"/>
    <x v="3"/>
  </r>
  <r>
    <n v="2968"/>
    <x v="50"/>
    <x v="1"/>
    <x v="4"/>
    <x v="1"/>
    <x v="14"/>
    <x v="27"/>
    <s v="L"/>
    <s v="Silver"/>
    <s v="Summer"/>
    <n v="3.4"/>
    <x v="1"/>
    <x v="1"/>
    <x v="1"/>
    <x v="1"/>
    <n v="40"/>
    <x v="0"/>
    <x v="2"/>
    <x v="2"/>
  </r>
  <r>
    <n v="2969"/>
    <x v="8"/>
    <x v="1"/>
    <x v="1"/>
    <x v="0"/>
    <x v="16"/>
    <x v="36"/>
    <s v="S"/>
    <s v="Gray"/>
    <s v="Fall"/>
    <n v="4.9000000000000004"/>
    <x v="1"/>
    <x v="0"/>
    <x v="1"/>
    <x v="1"/>
    <n v="25"/>
    <x v="1"/>
    <x v="6"/>
    <x v="3"/>
  </r>
  <r>
    <n v="2970"/>
    <x v="24"/>
    <x v="1"/>
    <x v="22"/>
    <x v="3"/>
    <x v="17"/>
    <x v="34"/>
    <s v="S"/>
    <s v="Blue"/>
    <s v="Fall"/>
    <n v="4.3"/>
    <x v="1"/>
    <x v="2"/>
    <x v="1"/>
    <x v="1"/>
    <n v="20"/>
    <x v="1"/>
    <x v="6"/>
    <x v="3"/>
  </r>
  <r>
    <n v="2971"/>
    <x v="41"/>
    <x v="1"/>
    <x v="16"/>
    <x v="3"/>
    <x v="67"/>
    <x v="23"/>
    <s v="M"/>
    <s v="White"/>
    <s v="Winter"/>
    <n v="3.4"/>
    <x v="1"/>
    <x v="1"/>
    <x v="1"/>
    <x v="1"/>
    <n v="44"/>
    <x v="2"/>
    <x v="4"/>
    <x v="4"/>
  </r>
  <r>
    <n v="2972"/>
    <x v="11"/>
    <x v="1"/>
    <x v="8"/>
    <x v="3"/>
    <x v="33"/>
    <x v="40"/>
    <s v="L"/>
    <s v="Yellow"/>
    <s v="Fall"/>
    <n v="3.9"/>
    <x v="1"/>
    <x v="2"/>
    <x v="1"/>
    <x v="1"/>
    <n v="9"/>
    <x v="3"/>
    <x v="6"/>
    <x v="3"/>
  </r>
  <r>
    <n v="2973"/>
    <x v="18"/>
    <x v="1"/>
    <x v="14"/>
    <x v="2"/>
    <x v="32"/>
    <x v="14"/>
    <s v="S"/>
    <s v="Indigo"/>
    <s v="Fall"/>
    <n v="4.2"/>
    <x v="1"/>
    <x v="1"/>
    <x v="1"/>
    <x v="1"/>
    <n v="11"/>
    <x v="0"/>
    <x v="6"/>
    <x v="3"/>
  </r>
  <r>
    <n v="2974"/>
    <x v="15"/>
    <x v="1"/>
    <x v="23"/>
    <x v="1"/>
    <x v="61"/>
    <x v="27"/>
    <s v="M"/>
    <s v="Blue"/>
    <s v="Summer"/>
    <n v="2.7"/>
    <x v="1"/>
    <x v="5"/>
    <x v="1"/>
    <x v="1"/>
    <n v="3"/>
    <x v="4"/>
    <x v="0"/>
    <x v="0"/>
  </r>
  <r>
    <n v="2975"/>
    <x v="9"/>
    <x v="1"/>
    <x v="4"/>
    <x v="1"/>
    <x v="54"/>
    <x v="30"/>
    <s v="XL"/>
    <s v="Peach"/>
    <s v="Summer"/>
    <n v="4.0999999999999996"/>
    <x v="1"/>
    <x v="5"/>
    <x v="1"/>
    <x v="1"/>
    <n v="34"/>
    <x v="2"/>
    <x v="1"/>
    <x v="1"/>
  </r>
  <r>
    <n v="2976"/>
    <x v="12"/>
    <x v="1"/>
    <x v="18"/>
    <x v="3"/>
    <x v="10"/>
    <x v="42"/>
    <s v="XL"/>
    <s v="Lavender"/>
    <s v="Winter"/>
    <n v="4.5"/>
    <x v="1"/>
    <x v="4"/>
    <x v="1"/>
    <x v="1"/>
    <n v="48"/>
    <x v="1"/>
    <x v="6"/>
    <x v="3"/>
  </r>
  <r>
    <n v="2977"/>
    <x v="11"/>
    <x v="1"/>
    <x v="7"/>
    <x v="2"/>
    <x v="8"/>
    <x v="43"/>
    <s v="M"/>
    <s v="Silver"/>
    <s v="Summer"/>
    <n v="2.8"/>
    <x v="1"/>
    <x v="0"/>
    <x v="1"/>
    <x v="1"/>
    <n v="28"/>
    <x v="1"/>
    <x v="0"/>
    <x v="0"/>
  </r>
  <r>
    <n v="2978"/>
    <x v="21"/>
    <x v="1"/>
    <x v="6"/>
    <x v="0"/>
    <x v="53"/>
    <x v="47"/>
    <s v="L"/>
    <s v="Gold"/>
    <s v="Winter"/>
    <n v="3.4"/>
    <x v="1"/>
    <x v="3"/>
    <x v="1"/>
    <x v="1"/>
    <n v="20"/>
    <x v="0"/>
    <x v="2"/>
    <x v="2"/>
  </r>
  <r>
    <n v="2979"/>
    <x v="10"/>
    <x v="1"/>
    <x v="6"/>
    <x v="0"/>
    <x v="22"/>
    <x v="37"/>
    <s v="S"/>
    <s v="Cyan"/>
    <s v="Spring"/>
    <n v="3.9"/>
    <x v="1"/>
    <x v="1"/>
    <x v="1"/>
    <x v="1"/>
    <n v="49"/>
    <x v="4"/>
    <x v="0"/>
    <x v="0"/>
  </r>
  <r>
    <n v="2980"/>
    <x v="18"/>
    <x v="1"/>
    <x v="2"/>
    <x v="0"/>
    <x v="26"/>
    <x v="7"/>
    <s v="L"/>
    <s v="Olive"/>
    <s v="Fall"/>
    <n v="2.6"/>
    <x v="1"/>
    <x v="2"/>
    <x v="1"/>
    <x v="1"/>
    <n v="14"/>
    <x v="3"/>
    <x v="1"/>
    <x v="1"/>
  </r>
  <r>
    <n v="2981"/>
    <x v="27"/>
    <x v="1"/>
    <x v="24"/>
    <x v="3"/>
    <x v="73"/>
    <x v="32"/>
    <s v="L"/>
    <s v="Teal"/>
    <s v="Fall"/>
    <n v="4.4000000000000004"/>
    <x v="1"/>
    <x v="4"/>
    <x v="1"/>
    <x v="1"/>
    <n v="9"/>
    <x v="4"/>
    <x v="5"/>
    <x v="5"/>
  </r>
  <r>
    <n v="2982"/>
    <x v="3"/>
    <x v="1"/>
    <x v="13"/>
    <x v="0"/>
    <x v="14"/>
    <x v="12"/>
    <s v="L"/>
    <s v="Pink"/>
    <s v="Winter"/>
    <n v="4.9000000000000004"/>
    <x v="1"/>
    <x v="3"/>
    <x v="1"/>
    <x v="1"/>
    <n v="37"/>
    <x v="0"/>
    <x v="2"/>
    <x v="2"/>
  </r>
  <r>
    <n v="2983"/>
    <x v="23"/>
    <x v="1"/>
    <x v="10"/>
    <x v="0"/>
    <x v="29"/>
    <x v="48"/>
    <s v="M"/>
    <s v="Orange"/>
    <s v="Summer"/>
    <n v="3.6"/>
    <x v="1"/>
    <x v="5"/>
    <x v="1"/>
    <x v="1"/>
    <n v="4"/>
    <x v="2"/>
    <x v="1"/>
    <x v="1"/>
  </r>
  <r>
    <n v="2984"/>
    <x v="52"/>
    <x v="1"/>
    <x v="13"/>
    <x v="0"/>
    <x v="77"/>
    <x v="8"/>
    <s v="M"/>
    <s v="Charcoal"/>
    <s v="Winter"/>
    <n v="2.8"/>
    <x v="1"/>
    <x v="4"/>
    <x v="1"/>
    <x v="1"/>
    <n v="1"/>
    <x v="2"/>
    <x v="3"/>
    <x v="3"/>
  </r>
  <r>
    <n v="2985"/>
    <x v="4"/>
    <x v="1"/>
    <x v="24"/>
    <x v="3"/>
    <x v="50"/>
    <x v="21"/>
    <s v="L"/>
    <s v="Red"/>
    <s v="Spring"/>
    <n v="4.3"/>
    <x v="1"/>
    <x v="4"/>
    <x v="1"/>
    <x v="1"/>
    <n v="36"/>
    <x v="5"/>
    <x v="4"/>
    <x v="4"/>
  </r>
  <r>
    <n v="2986"/>
    <x v="5"/>
    <x v="1"/>
    <x v="22"/>
    <x v="3"/>
    <x v="14"/>
    <x v="11"/>
    <s v="S"/>
    <s v="Teal"/>
    <s v="Summer"/>
    <n v="3"/>
    <x v="1"/>
    <x v="0"/>
    <x v="1"/>
    <x v="1"/>
    <n v="21"/>
    <x v="1"/>
    <x v="4"/>
    <x v="4"/>
  </r>
  <r>
    <n v="2987"/>
    <x v="46"/>
    <x v="1"/>
    <x v="22"/>
    <x v="3"/>
    <x v="6"/>
    <x v="28"/>
    <s v="S"/>
    <s v="Silver"/>
    <s v="Summer"/>
    <n v="3.3"/>
    <x v="1"/>
    <x v="4"/>
    <x v="1"/>
    <x v="1"/>
    <n v="16"/>
    <x v="2"/>
    <x v="5"/>
    <x v="5"/>
  </r>
  <r>
    <n v="2988"/>
    <x v="6"/>
    <x v="1"/>
    <x v="11"/>
    <x v="0"/>
    <x v="14"/>
    <x v="7"/>
    <s v="L"/>
    <s v="Black"/>
    <s v="Winter"/>
    <n v="2.5"/>
    <x v="1"/>
    <x v="5"/>
    <x v="1"/>
    <x v="1"/>
    <n v="42"/>
    <x v="1"/>
    <x v="5"/>
    <x v="5"/>
  </r>
  <r>
    <n v="2989"/>
    <x v="28"/>
    <x v="1"/>
    <x v="20"/>
    <x v="0"/>
    <x v="37"/>
    <x v="22"/>
    <s v="S"/>
    <s v="Pink"/>
    <s v="Spring"/>
    <n v="5"/>
    <x v="1"/>
    <x v="4"/>
    <x v="1"/>
    <x v="1"/>
    <n v="31"/>
    <x v="5"/>
    <x v="5"/>
    <x v="5"/>
  </r>
  <r>
    <n v="2990"/>
    <x v="5"/>
    <x v="1"/>
    <x v="22"/>
    <x v="3"/>
    <x v="5"/>
    <x v="3"/>
    <s v="XL"/>
    <s v="Teal"/>
    <s v="Summer"/>
    <n v="4.3"/>
    <x v="1"/>
    <x v="4"/>
    <x v="1"/>
    <x v="1"/>
    <n v="6"/>
    <x v="2"/>
    <x v="1"/>
    <x v="1"/>
  </r>
  <r>
    <n v="2991"/>
    <x v="28"/>
    <x v="1"/>
    <x v="5"/>
    <x v="0"/>
    <x v="26"/>
    <x v="26"/>
    <s v="M"/>
    <s v="Teal"/>
    <s v="Fall"/>
    <n v="4.2"/>
    <x v="1"/>
    <x v="1"/>
    <x v="1"/>
    <x v="1"/>
    <n v="24"/>
    <x v="0"/>
    <x v="5"/>
    <x v="5"/>
  </r>
  <r>
    <n v="2992"/>
    <x v="17"/>
    <x v="1"/>
    <x v="10"/>
    <x v="0"/>
    <x v="79"/>
    <x v="40"/>
    <s v="L"/>
    <s v="Green"/>
    <s v="Summer"/>
    <n v="3.9"/>
    <x v="1"/>
    <x v="3"/>
    <x v="1"/>
    <x v="1"/>
    <n v="7"/>
    <x v="3"/>
    <x v="4"/>
    <x v="4"/>
  </r>
  <r>
    <n v="2993"/>
    <x v="38"/>
    <x v="1"/>
    <x v="20"/>
    <x v="0"/>
    <x v="1"/>
    <x v="25"/>
    <s v="M"/>
    <s v="Charcoal"/>
    <s v="Spring"/>
    <n v="3.9"/>
    <x v="1"/>
    <x v="5"/>
    <x v="1"/>
    <x v="1"/>
    <n v="25"/>
    <x v="0"/>
    <x v="1"/>
    <x v="1"/>
  </r>
  <r>
    <n v="2994"/>
    <x v="45"/>
    <x v="1"/>
    <x v="14"/>
    <x v="2"/>
    <x v="34"/>
    <x v="23"/>
    <s v="L"/>
    <s v="Indigo"/>
    <s v="Spring"/>
    <n v="4.2"/>
    <x v="1"/>
    <x v="1"/>
    <x v="1"/>
    <x v="1"/>
    <n v="18"/>
    <x v="1"/>
    <x v="4"/>
    <x v="4"/>
  </r>
  <r>
    <n v="2995"/>
    <x v="28"/>
    <x v="1"/>
    <x v="1"/>
    <x v="0"/>
    <x v="33"/>
    <x v="22"/>
    <s v="S"/>
    <s v="White"/>
    <s v="Winter"/>
    <n v="3.5"/>
    <x v="1"/>
    <x v="5"/>
    <x v="1"/>
    <x v="1"/>
    <n v="14"/>
    <x v="4"/>
    <x v="3"/>
    <x v="3"/>
  </r>
  <r>
    <n v="2996"/>
    <x v="26"/>
    <x v="1"/>
    <x v="2"/>
    <x v="0"/>
    <x v="48"/>
    <x v="41"/>
    <s v="M"/>
    <s v="Orange"/>
    <s v="Summer"/>
    <n v="2.5"/>
    <x v="1"/>
    <x v="3"/>
    <x v="1"/>
    <x v="1"/>
    <n v="42"/>
    <x v="5"/>
    <x v="4"/>
    <x v="4"/>
  </r>
  <r>
    <n v="2997"/>
    <x v="27"/>
    <x v="1"/>
    <x v="16"/>
    <x v="3"/>
    <x v="26"/>
    <x v="40"/>
    <s v="M"/>
    <s v="White"/>
    <s v="Spring"/>
    <n v="2.9"/>
    <x v="1"/>
    <x v="0"/>
    <x v="1"/>
    <x v="1"/>
    <n v="6"/>
    <x v="0"/>
    <x v="6"/>
    <x v="3"/>
  </r>
  <r>
    <n v="2998"/>
    <x v="38"/>
    <x v="1"/>
    <x v="1"/>
    <x v="0"/>
    <x v="49"/>
    <x v="37"/>
    <s v="S"/>
    <s v="Yellow"/>
    <s v="Spring"/>
    <n v="2.7"/>
    <x v="1"/>
    <x v="2"/>
    <x v="1"/>
    <x v="1"/>
    <n v="14"/>
    <x v="0"/>
    <x v="6"/>
    <x v="3"/>
  </r>
  <r>
    <n v="2999"/>
    <x v="18"/>
    <x v="1"/>
    <x v="15"/>
    <x v="0"/>
    <x v="0"/>
    <x v="29"/>
    <s v="M"/>
    <s v="Red"/>
    <s v="Summer"/>
    <n v="4.7"/>
    <x v="1"/>
    <x v="0"/>
    <x v="1"/>
    <x v="1"/>
    <n v="30"/>
    <x v="5"/>
    <x v="3"/>
    <x v="3"/>
  </r>
  <r>
    <n v="3000"/>
    <x v="18"/>
    <x v="1"/>
    <x v="12"/>
    <x v="3"/>
    <x v="16"/>
    <x v="13"/>
    <s v="S"/>
    <s v="Charcoal"/>
    <s v="Winter"/>
    <n v="3.8"/>
    <x v="1"/>
    <x v="3"/>
    <x v="1"/>
    <x v="1"/>
    <n v="10"/>
    <x v="1"/>
    <x v="5"/>
    <x v="5"/>
  </r>
  <r>
    <n v="3001"/>
    <x v="9"/>
    <x v="1"/>
    <x v="3"/>
    <x v="1"/>
    <x v="44"/>
    <x v="31"/>
    <s v="M"/>
    <s v="Lavender"/>
    <s v="Winter"/>
    <n v="3.7"/>
    <x v="1"/>
    <x v="0"/>
    <x v="1"/>
    <x v="1"/>
    <n v="7"/>
    <x v="3"/>
    <x v="1"/>
    <x v="1"/>
  </r>
  <r>
    <n v="3002"/>
    <x v="26"/>
    <x v="1"/>
    <x v="7"/>
    <x v="2"/>
    <x v="45"/>
    <x v="6"/>
    <s v="L"/>
    <s v="Charcoal"/>
    <s v="Summer"/>
    <n v="4.7"/>
    <x v="1"/>
    <x v="0"/>
    <x v="1"/>
    <x v="1"/>
    <n v="28"/>
    <x v="2"/>
    <x v="3"/>
    <x v="3"/>
  </r>
  <r>
    <n v="3003"/>
    <x v="27"/>
    <x v="1"/>
    <x v="22"/>
    <x v="3"/>
    <x v="45"/>
    <x v="7"/>
    <s v="M"/>
    <s v="Maroon"/>
    <s v="Fall"/>
    <n v="3.6"/>
    <x v="1"/>
    <x v="2"/>
    <x v="1"/>
    <x v="1"/>
    <n v="19"/>
    <x v="4"/>
    <x v="3"/>
    <x v="3"/>
  </r>
  <r>
    <n v="3004"/>
    <x v="47"/>
    <x v="1"/>
    <x v="0"/>
    <x v="0"/>
    <x v="0"/>
    <x v="4"/>
    <s v="M"/>
    <s v="Brown"/>
    <s v="Fall"/>
    <n v="2.8"/>
    <x v="1"/>
    <x v="0"/>
    <x v="1"/>
    <x v="1"/>
    <n v="13"/>
    <x v="2"/>
    <x v="6"/>
    <x v="3"/>
  </r>
  <r>
    <n v="3005"/>
    <x v="4"/>
    <x v="1"/>
    <x v="11"/>
    <x v="0"/>
    <x v="24"/>
    <x v="28"/>
    <s v="M"/>
    <s v="Lavender"/>
    <s v="Winter"/>
    <n v="3.7"/>
    <x v="1"/>
    <x v="5"/>
    <x v="1"/>
    <x v="1"/>
    <n v="23"/>
    <x v="0"/>
    <x v="0"/>
    <x v="0"/>
  </r>
  <r>
    <n v="3006"/>
    <x v="20"/>
    <x v="1"/>
    <x v="6"/>
    <x v="0"/>
    <x v="61"/>
    <x v="29"/>
    <s v="XL"/>
    <s v="Brown"/>
    <s v="Spring"/>
    <n v="3.5"/>
    <x v="1"/>
    <x v="0"/>
    <x v="1"/>
    <x v="1"/>
    <n v="5"/>
    <x v="0"/>
    <x v="1"/>
    <x v="1"/>
  </r>
  <r>
    <n v="3007"/>
    <x v="43"/>
    <x v="1"/>
    <x v="10"/>
    <x v="0"/>
    <x v="54"/>
    <x v="40"/>
    <s v="M"/>
    <s v="Olive"/>
    <s v="Summer"/>
    <n v="3.7"/>
    <x v="1"/>
    <x v="5"/>
    <x v="1"/>
    <x v="1"/>
    <n v="17"/>
    <x v="0"/>
    <x v="4"/>
    <x v="4"/>
  </r>
  <r>
    <n v="3008"/>
    <x v="51"/>
    <x v="1"/>
    <x v="12"/>
    <x v="3"/>
    <x v="30"/>
    <x v="14"/>
    <s v="L"/>
    <s v="Lavender"/>
    <s v="Winter"/>
    <n v="3"/>
    <x v="1"/>
    <x v="2"/>
    <x v="1"/>
    <x v="1"/>
    <n v="31"/>
    <x v="0"/>
    <x v="1"/>
    <x v="1"/>
  </r>
  <r>
    <n v="3009"/>
    <x v="31"/>
    <x v="1"/>
    <x v="9"/>
    <x v="1"/>
    <x v="62"/>
    <x v="35"/>
    <s v="M"/>
    <s v="Gold"/>
    <s v="Winter"/>
    <n v="4.9000000000000004"/>
    <x v="1"/>
    <x v="1"/>
    <x v="1"/>
    <x v="1"/>
    <n v="19"/>
    <x v="3"/>
    <x v="1"/>
    <x v="1"/>
  </r>
  <r>
    <n v="3010"/>
    <x v="46"/>
    <x v="1"/>
    <x v="22"/>
    <x v="3"/>
    <x v="2"/>
    <x v="7"/>
    <s v="M"/>
    <s v="Silver"/>
    <s v="Winter"/>
    <n v="4.5999999999999996"/>
    <x v="1"/>
    <x v="1"/>
    <x v="1"/>
    <x v="1"/>
    <n v="8"/>
    <x v="0"/>
    <x v="0"/>
    <x v="0"/>
  </r>
  <r>
    <n v="3011"/>
    <x v="27"/>
    <x v="1"/>
    <x v="22"/>
    <x v="3"/>
    <x v="29"/>
    <x v="31"/>
    <s v="M"/>
    <s v="Violet"/>
    <s v="Winter"/>
    <n v="3.3"/>
    <x v="1"/>
    <x v="1"/>
    <x v="1"/>
    <x v="1"/>
    <n v="15"/>
    <x v="2"/>
    <x v="2"/>
    <x v="2"/>
  </r>
  <r>
    <n v="3012"/>
    <x v="30"/>
    <x v="1"/>
    <x v="22"/>
    <x v="3"/>
    <x v="44"/>
    <x v="22"/>
    <s v="S"/>
    <s v="Brown"/>
    <s v="Summer"/>
    <n v="3"/>
    <x v="1"/>
    <x v="2"/>
    <x v="1"/>
    <x v="1"/>
    <n v="18"/>
    <x v="2"/>
    <x v="6"/>
    <x v="3"/>
  </r>
  <r>
    <n v="3013"/>
    <x v="32"/>
    <x v="1"/>
    <x v="22"/>
    <x v="3"/>
    <x v="61"/>
    <x v="37"/>
    <s v="M"/>
    <s v="Teal"/>
    <s v="Fall"/>
    <n v="3.5"/>
    <x v="1"/>
    <x v="3"/>
    <x v="1"/>
    <x v="1"/>
    <n v="16"/>
    <x v="3"/>
    <x v="2"/>
    <x v="2"/>
  </r>
  <r>
    <n v="3014"/>
    <x v="38"/>
    <x v="1"/>
    <x v="11"/>
    <x v="0"/>
    <x v="37"/>
    <x v="28"/>
    <s v="L"/>
    <s v="Peach"/>
    <s v="Summer"/>
    <n v="4.2"/>
    <x v="1"/>
    <x v="5"/>
    <x v="1"/>
    <x v="1"/>
    <n v="13"/>
    <x v="1"/>
    <x v="5"/>
    <x v="5"/>
  </r>
  <r>
    <n v="3015"/>
    <x v="41"/>
    <x v="1"/>
    <x v="17"/>
    <x v="0"/>
    <x v="61"/>
    <x v="40"/>
    <s v="M"/>
    <s v="Maroon"/>
    <s v="Spring"/>
    <n v="4.5"/>
    <x v="1"/>
    <x v="0"/>
    <x v="1"/>
    <x v="1"/>
    <n v="38"/>
    <x v="3"/>
    <x v="6"/>
    <x v="3"/>
  </r>
  <r>
    <n v="3016"/>
    <x v="43"/>
    <x v="1"/>
    <x v="18"/>
    <x v="3"/>
    <x v="34"/>
    <x v="5"/>
    <s v="XL"/>
    <s v="Lavender"/>
    <s v="Spring"/>
    <n v="2.8"/>
    <x v="1"/>
    <x v="0"/>
    <x v="1"/>
    <x v="1"/>
    <n v="27"/>
    <x v="4"/>
    <x v="4"/>
    <x v="4"/>
  </r>
  <r>
    <n v="3017"/>
    <x v="11"/>
    <x v="1"/>
    <x v="0"/>
    <x v="0"/>
    <x v="46"/>
    <x v="27"/>
    <s v="L"/>
    <s v="Lavender"/>
    <s v="Summer"/>
    <n v="4.9000000000000004"/>
    <x v="1"/>
    <x v="5"/>
    <x v="1"/>
    <x v="1"/>
    <n v="31"/>
    <x v="4"/>
    <x v="3"/>
    <x v="3"/>
  </r>
  <r>
    <n v="3018"/>
    <x v="44"/>
    <x v="1"/>
    <x v="12"/>
    <x v="3"/>
    <x v="79"/>
    <x v="48"/>
    <s v="S"/>
    <s v="Purple"/>
    <s v="Summer"/>
    <n v="3.3"/>
    <x v="1"/>
    <x v="2"/>
    <x v="1"/>
    <x v="1"/>
    <n v="24"/>
    <x v="1"/>
    <x v="4"/>
    <x v="4"/>
  </r>
  <r>
    <n v="3019"/>
    <x v="49"/>
    <x v="1"/>
    <x v="23"/>
    <x v="1"/>
    <x v="52"/>
    <x v="21"/>
    <s v="M"/>
    <s v="Green"/>
    <s v="Summer"/>
    <n v="3"/>
    <x v="1"/>
    <x v="1"/>
    <x v="1"/>
    <x v="1"/>
    <n v="21"/>
    <x v="5"/>
    <x v="4"/>
    <x v="4"/>
  </r>
  <r>
    <n v="3020"/>
    <x v="1"/>
    <x v="1"/>
    <x v="14"/>
    <x v="2"/>
    <x v="77"/>
    <x v="40"/>
    <s v="M"/>
    <s v="Yellow"/>
    <s v="Winter"/>
    <n v="3.9"/>
    <x v="1"/>
    <x v="4"/>
    <x v="1"/>
    <x v="1"/>
    <n v="15"/>
    <x v="3"/>
    <x v="2"/>
    <x v="2"/>
  </r>
  <r>
    <n v="3021"/>
    <x v="51"/>
    <x v="1"/>
    <x v="2"/>
    <x v="0"/>
    <x v="13"/>
    <x v="10"/>
    <s v="S"/>
    <s v="Charcoal"/>
    <s v="Fall"/>
    <n v="2.8"/>
    <x v="1"/>
    <x v="5"/>
    <x v="1"/>
    <x v="1"/>
    <n v="48"/>
    <x v="0"/>
    <x v="6"/>
    <x v="3"/>
  </r>
  <r>
    <n v="3022"/>
    <x v="13"/>
    <x v="1"/>
    <x v="12"/>
    <x v="3"/>
    <x v="64"/>
    <x v="38"/>
    <s v="S"/>
    <s v="Blue"/>
    <s v="Summer"/>
    <n v="4.5"/>
    <x v="1"/>
    <x v="4"/>
    <x v="1"/>
    <x v="1"/>
    <n v="47"/>
    <x v="1"/>
    <x v="3"/>
    <x v="3"/>
  </r>
  <r>
    <n v="3023"/>
    <x v="44"/>
    <x v="1"/>
    <x v="3"/>
    <x v="1"/>
    <x v="46"/>
    <x v="42"/>
    <s v="M"/>
    <s v="Lavender"/>
    <s v="Fall"/>
    <n v="4"/>
    <x v="1"/>
    <x v="1"/>
    <x v="1"/>
    <x v="1"/>
    <n v="23"/>
    <x v="3"/>
    <x v="1"/>
    <x v="1"/>
  </r>
  <r>
    <n v="3024"/>
    <x v="2"/>
    <x v="1"/>
    <x v="21"/>
    <x v="3"/>
    <x v="9"/>
    <x v="27"/>
    <s v="M"/>
    <s v="Brown"/>
    <s v="Summer"/>
    <n v="2.9"/>
    <x v="1"/>
    <x v="0"/>
    <x v="1"/>
    <x v="1"/>
    <n v="4"/>
    <x v="3"/>
    <x v="3"/>
    <x v="3"/>
  </r>
  <r>
    <n v="3025"/>
    <x v="29"/>
    <x v="1"/>
    <x v="0"/>
    <x v="0"/>
    <x v="71"/>
    <x v="37"/>
    <s v="S"/>
    <s v="White"/>
    <s v="Spring"/>
    <n v="4"/>
    <x v="1"/>
    <x v="1"/>
    <x v="1"/>
    <x v="1"/>
    <n v="47"/>
    <x v="2"/>
    <x v="6"/>
    <x v="3"/>
  </r>
  <r>
    <n v="3026"/>
    <x v="37"/>
    <x v="1"/>
    <x v="9"/>
    <x v="1"/>
    <x v="30"/>
    <x v="6"/>
    <s v="XL"/>
    <s v="Green"/>
    <s v="Summer"/>
    <n v="3.4"/>
    <x v="1"/>
    <x v="5"/>
    <x v="1"/>
    <x v="1"/>
    <n v="7"/>
    <x v="3"/>
    <x v="5"/>
    <x v="5"/>
  </r>
  <r>
    <n v="3027"/>
    <x v="0"/>
    <x v="1"/>
    <x v="5"/>
    <x v="0"/>
    <x v="44"/>
    <x v="30"/>
    <s v="L"/>
    <s v="Magenta"/>
    <s v="Fall"/>
    <n v="2.5"/>
    <x v="1"/>
    <x v="1"/>
    <x v="1"/>
    <x v="1"/>
    <n v="6"/>
    <x v="2"/>
    <x v="2"/>
    <x v="2"/>
  </r>
  <r>
    <n v="3028"/>
    <x v="16"/>
    <x v="1"/>
    <x v="15"/>
    <x v="0"/>
    <x v="46"/>
    <x v="8"/>
    <s v="XL"/>
    <s v="Peach"/>
    <s v="Winter"/>
    <n v="2.8"/>
    <x v="1"/>
    <x v="4"/>
    <x v="1"/>
    <x v="1"/>
    <n v="47"/>
    <x v="2"/>
    <x v="3"/>
    <x v="3"/>
  </r>
  <r>
    <n v="3029"/>
    <x v="46"/>
    <x v="1"/>
    <x v="10"/>
    <x v="0"/>
    <x v="33"/>
    <x v="18"/>
    <s v="L"/>
    <s v="Charcoal"/>
    <s v="Summer"/>
    <n v="3"/>
    <x v="1"/>
    <x v="1"/>
    <x v="1"/>
    <x v="1"/>
    <n v="7"/>
    <x v="3"/>
    <x v="6"/>
    <x v="3"/>
  </r>
  <r>
    <n v="3030"/>
    <x v="14"/>
    <x v="1"/>
    <x v="10"/>
    <x v="0"/>
    <x v="71"/>
    <x v="42"/>
    <s v="M"/>
    <s v="Gold"/>
    <s v="Summer"/>
    <n v="3.1"/>
    <x v="1"/>
    <x v="1"/>
    <x v="1"/>
    <x v="1"/>
    <n v="1"/>
    <x v="5"/>
    <x v="3"/>
    <x v="3"/>
  </r>
  <r>
    <n v="3031"/>
    <x v="49"/>
    <x v="1"/>
    <x v="4"/>
    <x v="1"/>
    <x v="41"/>
    <x v="33"/>
    <s v="XL"/>
    <s v="Purple"/>
    <s v="Spring"/>
    <n v="2.6"/>
    <x v="1"/>
    <x v="4"/>
    <x v="1"/>
    <x v="1"/>
    <n v="23"/>
    <x v="2"/>
    <x v="1"/>
    <x v="1"/>
  </r>
  <r>
    <n v="3032"/>
    <x v="12"/>
    <x v="1"/>
    <x v="0"/>
    <x v="0"/>
    <x v="67"/>
    <x v="37"/>
    <s v="L"/>
    <s v="Teal"/>
    <s v="Summer"/>
    <n v="4.9000000000000004"/>
    <x v="1"/>
    <x v="4"/>
    <x v="1"/>
    <x v="1"/>
    <n v="30"/>
    <x v="2"/>
    <x v="5"/>
    <x v="5"/>
  </r>
  <r>
    <n v="3033"/>
    <x v="8"/>
    <x v="1"/>
    <x v="21"/>
    <x v="3"/>
    <x v="47"/>
    <x v="18"/>
    <s v="XL"/>
    <s v="Green"/>
    <s v="Summer"/>
    <n v="3.5"/>
    <x v="1"/>
    <x v="2"/>
    <x v="1"/>
    <x v="1"/>
    <n v="24"/>
    <x v="2"/>
    <x v="3"/>
    <x v="3"/>
  </r>
  <r>
    <n v="3034"/>
    <x v="40"/>
    <x v="1"/>
    <x v="1"/>
    <x v="0"/>
    <x v="22"/>
    <x v="15"/>
    <s v="L"/>
    <s v="Orange"/>
    <s v="Spring"/>
    <n v="2.6"/>
    <x v="1"/>
    <x v="5"/>
    <x v="1"/>
    <x v="1"/>
    <n v="9"/>
    <x v="3"/>
    <x v="1"/>
    <x v="1"/>
  </r>
  <r>
    <n v="3035"/>
    <x v="47"/>
    <x v="1"/>
    <x v="23"/>
    <x v="1"/>
    <x v="18"/>
    <x v="40"/>
    <s v="L"/>
    <s v="Peach"/>
    <s v="Spring"/>
    <n v="3.5"/>
    <x v="1"/>
    <x v="4"/>
    <x v="1"/>
    <x v="1"/>
    <n v="25"/>
    <x v="2"/>
    <x v="3"/>
    <x v="3"/>
  </r>
  <r>
    <n v="3036"/>
    <x v="28"/>
    <x v="1"/>
    <x v="8"/>
    <x v="3"/>
    <x v="1"/>
    <x v="0"/>
    <s v="M"/>
    <s v="Gold"/>
    <s v="Spring"/>
    <n v="4.5"/>
    <x v="1"/>
    <x v="1"/>
    <x v="1"/>
    <x v="1"/>
    <n v="18"/>
    <x v="1"/>
    <x v="4"/>
    <x v="4"/>
  </r>
  <r>
    <n v="3037"/>
    <x v="2"/>
    <x v="1"/>
    <x v="15"/>
    <x v="0"/>
    <x v="47"/>
    <x v="34"/>
    <s v="S"/>
    <s v="Violet"/>
    <s v="Spring"/>
    <n v="4.3"/>
    <x v="1"/>
    <x v="2"/>
    <x v="1"/>
    <x v="1"/>
    <n v="7"/>
    <x v="0"/>
    <x v="0"/>
    <x v="0"/>
  </r>
  <r>
    <n v="3038"/>
    <x v="47"/>
    <x v="1"/>
    <x v="22"/>
    <x v="3"/>
    <x v="77"/>
    <x v="44"/>
    <s v="L"/>
    <s v="Charcoal"/>
    <s v="Summer"/>
    <n v="4.8"/>
    <x v="1"/>
    <x v="2"/>
    <x v="1"/>
    <x v="1"/>
    <n v="2"/>
    <x v="1"/>
    <x v="2"/>
    <x v="2"/>
  </r>
  <r>
    <n v="3039"/>
    <x v="19"/>
    <x v="1"/>
    <x v="16"/>
    <x v="3"/>
    <x v="32"/>
    <x v="42"/>
    <s v="M"/>
    <s v="Brown"/>
    <s v="Summer"/>
    <n v="4.2"/>
    <x v="1"/>
    <x v="1"/>
    <x v="1"/>
    <x v="1"/>
    <n v="36"/>
    <x v="5"/>
    <x v="2"/>
    <x v="2"/>
  </r>
  <r>
    <n v="3040"/>
    <x v="35"/>
    <x v="1"/>
    <x v="0"/>
    <x v="0"/>
    <x v="16"/>
    <x v="15"/>
    <s v="L"/>
    <s v="Blue"/>
    <s v="Spring"/>
    <n v="3.2"/>
    <x v="1"/>
    <x v="2"/>
    <x v="1"/>
    <x v="1"/>
    <n v="31"/>
    <x v="3"/>
    <x v="4"/>
    <x v="4"/>
  </r>
  <r>
    <n v="3041"/>
    <x v="20"/>
    <x v="1"/>
    <x v="8"/>
    <x v="3"/>
    <x v="50"/>
    <x v="43"/>
    <s v="M"/>
    <s v="Gold"/>
    <s v="Fall"/>
    <n v="4.0999999999999996"/>
    <x v="1"/>
    <x v="0"/>
    <x v="1"/>
    <x v="1"/>
    <n v="10"/>
    <x v="1"/>
    <x v="0"/>
    <x v="0"/>
  </r>
  <r>
    <n v="3042"/>
    <x v="39"/>
    <x v="1"/>
    <x v="8"/>
    <x v="3"/>
    <x v="24"/>
    <x v="3"/>
    <s v="M"/>
    <s v="Orange"/>
    <s v="Winter"/>
    <n v="4"/>
    <x v="1"/>
    <x v="0"/>
    <x v="1"/>
    <x v="1"/>
    <n v="27"/>
    <x v="3"/>
    <x v="5"/>
    <x v="5"/>
  </r>
  <r>
    <n v="3043"/>
    <x v="10"/>
    <x v="1"/>
    <x v="7"/>
    <x v="2"/>
    <x v="65"/>
    <x v="45"/>
    <s v="L"/>
    <s v="Turquoise"/>
    <s v="Winter"/>
    <n v="2.9"/>
    <x v="1"/>
    <x v="2"/>
    <x v="1"/>
    <x v="1"/>
    <n v="14"/>
    <x v="3"/>
    <x v="6"/>
    <x v="3"/>
  </r>
  <r>
    <n v="3044"/>
    <x v="4"/>
    <x v="1"/>
    <x v="22"/>
    <x v="3"/>
    <x v="57"/>
    <x v="26"/>
    <s v="S"/>
    <s v="Peach"/>
    <s v="Fall"/>
    <n v="2.6"/>
    <x v="1"/>
    <x v="5"/>
    <x v="1"/>
    <x v="1"/>
    <n v="17"/>
    <x v="2"/>
    <x v="5"/>
    <x v="5"/>
  </r>
  <r>
    <n v="3045"/>
    <x v="3"/>
    <x v="1"/>
    <x v="23"/>
    <x v="1"/>
    <x v="25"/>
    <x v="17"/>
    <s v="M"/>
    <s v="Magenta"/>
    <s v="Winter"/>
    <n v="2.7"/>
    <x v="1"/>
    <x v="1"/>
    <x v="1"/>
    <x v="1"/>
    <n v="10"/>
    <x v="4"/>
    <x v="3"/>
    <x v="3"/>
  </r>
  <r>
    <n v="3046"/>
    <x v="32"/>
    <x v="1"/>
    <x v="20"/>
    <x v="0"/>
    <x v="18"/>
    <x v="20"/>
    <s v="L"/>
    <s v="Black"/>
    <s v="Winter"/>
    <n v="4.5999999999999996"/>
    <x v="1"/>
    <x v="4"/>
    <x v="1"/>
    <x v="1"/>
    <n v="4"/>
    <x v="3"/>
    <x v="4"/>
    <x v="4"/>
  </r>
  <r>
    <n v="3047"/>
    <x v="52"/>
    <x v="1"/>
    <x v="9"/>
    <x v="1"/>
    <x v="4"/>
    <x v="38"/>
    <s v="M"/>
    <s v="White"/>
    <s v="Spring"/>
    <n v="3.2"/>
    <x v="1"/>
    <x v="5"/>
    <x v="1"/>
    <x v="1"/>
    <n v="25"/>
    <x v="1"/>
    <x v="6"/>
    <x v="3"/>
  </r>
  <r>
    <n v="3048"/>
    <x v="3"/>
    <x v="1"/>
    <x v="4"/>
    <x v="1"/>
    <x v="67"/>
    <x v="34"/>
    <s v="M"/>
    <s v="Violet"/>
    <s v="Fall"/>
    <n v="4.0999999999999996"/>
    <x v="1"/>
    <x v="4"/>
    <x v="1"/>
    <x v="1"/>
    <n v="3"/>
    <x v="3"/>
    <x v="4"/>
    <x v="4"/>
  </r>
  <r>
    <n v="3049"/>
    <x v="28"/>
    <x v="1"/>
    <x v="16"/>
    <x v="3"/>
    <x v="73"/>
    <x v="24"/>
    <s v="M"/>
    <s v="Olive"/>
    <s v="Summer"/>
    <n v="3.9"/>
    <x v="1"/>
    <x v="3"/>
    <x v="1"/>
    <x v="1"/>
    <n v="47"/>
    <x v="0"/>
    <x v="0"/>
    <x v="0"/>
  </r>
  <r>
    <n v="3050"/>
    <x v="37"/>
    <x v="1"/>
    <x v="8"/>
    <x v="3"/>
    <x v="30"/>
    <x v="40"/>
    <s v="L"/>
    <s v="Red"/>
    <s v="Summer"/>
    <n v="3"/>
    <x v="1"/>
    <x v="2"/>
    <x v="1"/>
    <x v="1"/>
    <n v="41"/>
    <x v="4"/>
    <x v="4"/>
    <x v="4"/>
  </r>
  <r>
    <n v="3051"/>
    <x v="18"/>
    <x v="1"/>
    <x v="7"/>
    <x v="2"/>
    <x v="31"/>
    <x v="0"/>
    <s v="S"/>
    <s v="Green"/>
    <s v="Spring"/>
    <n v="3.6"/>
    <x v="1"/>
    <x v="3"/>
    <x v="1"/>
    <x v="1"/>
    <n v="28"/>
    <x v="0"/>
    <x v="6"/>
    <x v="3"/>
  </r>
  <r>
    <n v="3052"/>
    <x v="42"/>
    <x v="1"/>
    <x v="12"/>
    <x v="3"/>
    <x v="1"/>
    <x v="5"/>
    <s v="L"/>
    <s v="Gold"/>
    <s v="Summer"/>
    <n v="4.5999999999999996"/>
    <x v="1"/>
    <x v="0"/>
    <x v="1"/>
    <x v="1"/>
    <n v="49"/>
    <x v="5"/>
    <x v="6"/>
    <x v="3"/>
  </r>
  <r>
    <n v="3053"/>
    <x v="39"/>
    <x v="1"/>
    <x v="9"/>
    <x v="1"/>
    <x v="15"/>
    <x v="1"/>
    <s v="XL"/>
    <s v="Olive"/>
    <s v="Spring"/>
    <n v="4.5"/>
    <x v="1"/>
    <x v="5"/>
    <x v="1"/>
    <x v="1"/>
    <n v="7"/>
    <x v="4"/>
    <x v="0"/>
    <x v="0"/>
  </r>
  <r>
    <n v="3054"/>
    <x v="45"/>
    <x v="1"/>
    <x v="9"/>
    <x v="1"/>
    <x v="26"/>
    <x v="1"/>
    <s v="L"/>
    <s v="Brown"/>
    <s v="Winter"/>
    <n v="3.2"/>
    <x v="1"/>
    <x v="2"/>
    <x v="1"/>
    <x v="1"/>
    <n v="22"/>
    <x v="4"/>
    <x v="5"/>
    <x v="5"/>
  </r>
  <r>
    <n v="3055"/>
    <x v="32"/>
    <x v="1"/>
    <x v="23"/>
    <x v="1"/>
    <x v="44"/>
    <x v="13"/>
    <s v="S"/>
    <s v="Magenta"/>
    <s v="Summer"/>
    <n v="4.9000000000000004"/>
    <x v="1"/>
    <x v="4"/>
    <x v="1"/>
    <x v="1"/>
    <n v="34"/>
    <x v="0"/>
    <x v="5"/>
    <x v="5"/>
  </r>
  <r>
    <n v="3056"/>
    <x v="7"/>
    <x v="1"/>
    <x v="3"/>
    <x v="1"/>
    <x v="20"/>
    <x v="23"/>
    <s v="M"/>
    <s v="Violet"/>
    <s v="Fall"/>
    <n v="5"/>
    <x v="1"/>
    <x v="3"/>
    <x v="1"/>
    <x v="1"/>
    <n v="5"/>
    <x v="5"/>
    <x v="4"/>
    <x v="4"/>
  </r>
  <r>
    <n v="3057"/>
    <x v="28"/>
    <x v="1"/>
    <x v="24"/>
    <x v="3"/>
    <x v="40"/>
    <x v="32"/>
    <s v="M"/>
    <s v="Beige"/>
    <s v="Spring"/>
    <n v="3.8"/>
    <x v="1"/>
    <x v="3"/>
    <x v="1"/>
    <x v="1"/>
    <n v="15"/>
    <x v="1"/>
    <x v="4"/>
    <x v="4"/>
  </r>
  <r>
    <n v="3058"/>
    <x v="29"/>
    <x v="1"/>
    <x v="21"/>
    <x v="3"/>
    <x v="20"/>
    <x v="17"/>
    <s v="M"/>
    <s v="Blue"/>
    <s v="Spring"/>
    <n v="3.4"/>
    <x v="1"/>
    <x v="2"/>
    <x v="1"/>
    <x v="1"/>
    <n v="26"/>
    <x v="4"/>
    <x v="1"/>
    <x v="1"/>
  </r>
  <r>
    <n v="3059"/>
    <x v="38"/>
    <x v="1"/>
    <x v="8"/>
    <x v="3"/>
    <x v="67"/>
    <x v="8"/>
    <s v="S"/>
    <s v="Orange"/>
    <s v="Winter"/>
    <n v="3.8"/>
    <x v="1"/>
    <x v="5"/>
    <x v="1"/>
    <x v="1"/>
    <n v="3"/>
    <x v="4"/>
    <x v="0"/>
    <x v="0"/>
  </r>
  <r>
    <n v="3060"/>
    <x v="5"/>
    <x v="1"/>
    <x v="1"/>
    <x v="0"/>
    <x v="79"/>
    <x v="0"/>
    <s v="L"/>
    <s v="Maroon"/>
    <s v="Spring"/>
    <n v="3.2"/>
    <x v="1"/>
    <x v="0"/>
    <x v="1"/>
    <x v="1"/>
    <n v="42"/>
    <x v="2"/>
    <x v="3"/>
    <x v="3"/>
  </r>
  <r>
    <n v="3061"/>
    <x v="36"/>
    <x v="1"/>
    <x v="7"/>
    <x v="2"/>
    <x v="68"/>
    <x v="18"/>
    <s v="S"/>
    <s v="Charcoal"/>
    <s v="Summer"/>
    <n v="4.7"/>
    <x v="1"/>
    <x v="5"/>
    <x v="1"/>
    <x v="1"/>
    <n v="1"/>
    <x v="0"/>
    <x v="5"/>
    <x v="5"/>
  </r>
  <r>
    <n v="3062"/>
    <x v="23"/>
    <x v="1"/>
    <x v="17"/>
    <x v="0"/>
    <x v="40"/>
    <x v="45"/>
    <s v="L"/>
    <s v="Olive"/>
    <s v="Fall"/>
    <n v="4.5"/>
    <x v="1"/>
    <x v="0"/>
    <x v="1"/>
    <x v="1"/>
    <n v="20"/>
    <x v="3"/>
    <x v="6"/>
    <x v="3"/>
  </r>
  <r>
    <n v="3063"/>
    <x v="47"/>
    <x v="1"/>
    <x v="21"/>
    <x v="3"/>
    <x v="48"/>
    <x v="18"/>
    <s v="L"/>
    <s v="Green"/>
    <s v="Fall"/>
    <n v="3.3"/>
    <x v="1"/>
    <x v="3"/>
    <x v="1"/>
    <x v="1"/>
    <n v="39"/>
    <x v="3"/>
    <x v="5"/>
    <x v="5"/>
  </r>
  <r>
    <n v="3064"/>
    <x v="8"/>
    <x v="1"/>
    <x v="12"/>
    <x v="3"/>
    <x v="35"/>
    <x v="39"/>
    <s v="L"/>
    <s v="Brown"/>
    <s v="Winter"/>
    <n v="3.9"/>
    <x v="1"/>
    <x v="5"/>
    <x v="1"/>
    <x v="1"/>
    <n v="24"/>
    <x v="2"/>
    <x v="0"/>
    <x v="0"/>
  </r>
  <r>
    <n v="3065"/>
    <x v="40"/>
    <x v="1"/>
    <x v="22"/>
    <x v="3"/>
    <x v="31"/>
    <x v="37"/>
    <s v="S"/>
    <s v="Cyan"/>
    <s v="Winter"/>
    <n v="3.6"/>
    <x v="1"/>
    <x v="0"/>
    <x v="1"/>
    <x v="1"/>
    <n v="49"/>
    <x v="4"/>
    <x v="3"/>
    <x v="3"/>
  </r>
  <r>
    <n v="3066"/>
    <x v="34"/>
    <x v="1"/>
    <x v="14"/>
    <x v="2"/>
    <x v="40"/>
    <x v="25"/>
    <s v="M"/>
    <s v="Beige"/>
    <s v="Fall"/>
    <n v="2.8"/>
    <x v="1"/>
    <x v="5"/>
    <x v="1"/>
    <x v="1"/>
    <n v="7"/>
    <x v="0"/>
    <x v="4"/>
    <x v="4"/>
  </r>
  <r>
    <n v="3067"/>
    <x v="44"/>
    <x v="1"/>
    <x v="11"/>
    <x v="0"/>
    <x v="16"/>
    <x v="49"/>
    <s v="L"/>
    <s v="Teal"/>
    <s v="Summer"/>
    <n v="4.3"/>
    <x v="1"/>
    <x v="1"/>
    <x v="1"/>
    <x v="1"/>
    <n v="13"/>
    <x v="0"/>
    <x v="6"/>
    <x v="3"/>
  </r>
  <r>
    <n v="3068"/>
    <x v="27"/>
    <x v="1"/>
    <x v="22"/>
    <x v="3"/>
    <x v="20"/>
    <x v="9"/>
    <s v="S"/>
    <s v="Gray"/>
    <s v="Spring"/>
    <n v="3.5"/>
    <x v="1"/>
    <x v="1"/>
    <x v="1"/>
    <x v="1"/>
    <n v="2"/>
    <x v="1"/>
    <x v="1"/>
    <x v="1"/>
  </r>
  <r>
    <n v="3069"/>
    <x v="45"/>
    <x v="1"/>
    <x v="23"/>
    <x v="1"/>
    <x v="49"/>
    <x v="18"/>
    <s v="M"/>
    <s v="Indigo"/>
    <s v="Winter"/>
    <n v="4.2"/>
    <x v="1"/>
    <x v="0"/>
    <x v="1"/>
    <x v="1"/>
    <n v="4"/>
    <x v="5"/>
    <x v="1"/>
    <x v="1"/>
  </r>
  <r>
    <n v="3070"/>
    <x v="46"/>
    <x v="1"/>
    <x v="2"/>
    <x v="0"/>
    <x v="2"/>
    <x v="12"/>
    <s v="L"/>
    <s v="Magenta"/>
    <s v="Spring"/>
    <n v="4.5999999999999996"/>
    <x v="1"/>
    <x v="0"/>
    <x v="1"/>
    <x v="1"/>
    <n v="17"/>
    <x v="5"/>
    <x v="3"/>
    <x v="3"/>
  </r>
  <r>
    <n v="3071"/>
    <x v="16"/>
    <x v="1"/>
    <x v="9"/>
    <x v="1"/>
    <x v="46"/>
    <x v="15"/>
    <s v="XL"/>
    <s v="Red"/>
    <s v="Fall"/>
    <n v="2.6"/>
    <x v="1"/>
    <x v="1"/>
    <x v="1"/>
    <x v="1"/>
    <n v="43"/>
    <x v="3"/>
    <x v="4"/>
    <x v="4"/>
  </r>
  <r>
    <n v="3072"/>
    <x v="51"/>
    <x v="1"/>
    <x v="1"/>
    <x v="0"/>
    <x v="52"/>
    <x v="13"/>
    <s v="L"/>
    <s v="Turquoise"/>
    <s v="Spring"/>
    <n v="3.4"/>
    <x v="1"/>
    <x v="2"/>
    <x v="1"/>
    <x v="1"/>
    <n v="6"/>
    <x v="3"/>
    <x v="5"/>
    <x v="5"/>
  </r>
  <r>
    <n v="3073"/>
    <x v="8"/>
    <x v="1"/>
    <x v="16"/>
    <x v="3"/>
    <x v="57"/>
    <x v="14"/>
    <s v="L"/>
    <s v="Peach"/>
    <s v="Spring"/>
    <n v="3.1"/>
    <x v="1"/>
    <x v="3"/>
    <x v="1"/>
    <x v="1"/>
    <n v="46"/>
    <x v="3"/>
    <x v="3"/>
    <x v="3"/>
  </r>
  <r>
    <n v="3074"/>
    <x v="44"/>
    <x v="1"/>
    <x v="5"/>
    <x v="0"/>
    <x v="80"/>
    <x v="4"/>
    <s v="L"/>
    <s v="White"/>
    <s v="Winter"/>
    <n v="3.6"/>
    <x v="1"/>
    <x v="1"/>
    <x v="1"/>
    <x v="1"/>
    <n v="7"/>
    <x v="5"/>
    <x v="4"/>
    <x v="4"/>
  </r>
  <r>
    <n v="3075"/>
    <x v="8"/>
    <x v="1"/>
    <x v="23"/>
    <x v="1"/>
    <x v="37"/>
    <x v="2"/>
    <s v="L"/>
    <s v="Maroon"/>
    <s v="Winter"/>
    <n v="4.2"/>
    <x v="1"/>
    <x v="2"/>
    <x v="1"/>
    <x v="1"/>
    <n v="34"/>
    <x v="5"/>
    <x v="0"/>
    <x v="0"/>
  </r>
  <r>
    <n v="3076"/>
    <x v="22"/>
    <x v="1"/>
    <x v="6"/>
    <x v="0"/>
    <x v="3"/>
    <x v="40"/>
    <s v="XL"/>
    <s v="Beige"/>
    <s v="Winter"/>
    <n v="3.6"/>
    <x v="1"/>
    <x v="3"/>
    <x v="1"/>
    <x v="1"/>
    <n v="21"/>
    <x v="3"/>
    <x v="6"/>
    <x v="3"/>
  </r>
  <r>
    <n v="3077"/>
    <x v="17"/>
    <x v="1"/>
    <x v="8"/>
    <x v="3"/>
    <x v="43"/>
    <x v="13"/>
    <s v="M"/>
    <s v="Blue"/>
    <s v="Summer"/>
    <n v="3.6"/>
    <x v="1"/>
    <x v="0"/>
    <x v="1"/>
    <x v="1"/>
    <n v="13"/>
    <x v="0"/>
    <x v="4"/>
    <x v="4"/>
  </r>
  <r>
    <n v="3078"/>
    <x v="52"/>
    <x v="1"/>
    <x v="1"/>
    <x v="0"/>
    <x v="19"/>
    <x v="26"/>
    <s v="S"/>
    <s v="Red"/>
    <s v="Spring"/>
    <n v="3"/>
    <x v="1"/>
    <x v="5"/>
    <x v="1"/>
    <x v="1"/>
    <n v="33"/>
    <x v="5"/>
    <x v="4"/>
    <x v="4"/>
  </r>
  <r>
    <n v="3079"/>
    <x v="45"/>
    <x v="1"/>
    <x v="22"/>
    <x v="3"/>
    <x v="51"/>
    <x v="29"/>
    <s v="M"/>
    <s v="Blue"/>
    <s v="Spring"/>
    <n v="2.5"/>
    <x v="1"/>
    <x v="4"/>
    <x v="1"/>
    <x v="1"/>
    <n v="24"/>
    <x v="4"/>
    <x v="4"/>
    <x v="4"/>
  </r>
  <r>
    <n v="3080"/>
    <x v="39"/>
    <x v="1"/>
    <x v="22"/>
    <x v="3"/>
    <x v="9"/>
    <x v="5"/>
    <s v="M"/>
    <s v="Maroon"/>
    <s v="Fall"/>
    <n v="4"/>
    <x v="1"/>
    <x v="5"/>
    <x v="1"/>
    <x v="1"/>
    <n v="4"/>
    <x v="4"/>
    <x v="2"/>
    <x v="2"/>
  </r>
  <r>
    <n v="3081"/>
    <x v="28"/>
    <x v="1"/>
    <x v="15"/>
    <x v="0"/>
    <x v="69"/>
    <x v="24"/>
    <s v="L"/>
    <s v="Yellow"/>
    <s v="Spring"/>
    <n v="4.0999999999999996"/>
    <x v="1"/>
    <x v="2"/>
    <x v="1"/>
    <x v="1"/>
    <n v="5"/>
    <x v="1"/>
    <x v="4"/>
    <x v="4"/>
  </r>
  <r>
    <n v="3082"/>
    <x v="14"/>
    <x v="1"/>
    <x v="4"/>
    <x v="1"/>
    <x v="77"/>
    <x v="34"/>
    <s v="L"/>
    <s v="Pink"/>
    <s v="Winter"/>
    <n v="4.9000000000000004"/>
    <x v="1"/>
    <x v="2"/>
    <x v="1"/>
    <x v="1"/>
    <n v="11"/>
    <x v="2"/>
    <x v="1"/>
    <x v="1"/>
  </r>
  <r>
    <n v="3083"/>
    <x v="19"/>
    <x v="1"/>
    <x v="17"/>
    <x v="0"/>
    <x v="54"/>
    <x v="40"/>
    <s v="M"/>
    <s v="Maroon"/>
    <s v="Spring"/>
    <n v="4"/>
    <x v="1"/>
    <x v="2"/>
    <x v="1"/>
    <x v="1"/>
    <n v="20"/>
    <x v="4"/>
    <x v="2"/>
    <x v="2"/>
  </r>
  <r>
    <n v="3084"/>
    <x v="40"/>
    <x v="1"/>
    <x v="13"/>
    <x v="0"/>
    <x v="5"/>
    <x v="26"/>
    <s v="S"/>
    <s v="Purple"/>
    <s v="Summer"/>
    <n v="3.5"/>
    <x v="1"/>
    <x v="5"/>
    <x v="1"/>
    <x v="1"/>
    <n v="28"/>
    <x v="3"/>
    <x v="3"/>
    <x v="3"/>
  </r>
  <r>
    <n v="3085"/>
    <x v="5"/>
    <x v="1"/>
    <x v="18"/>
    <x v="3"/>
    <x v="18"/>
    <x v="37"/>
    <s v="S"/>
    <s v="Indigo"/>
    <s v="Spring"/>
    <n v="3.2"/>
    <x v="1"/>
    <x v="5"/>
    <x v="1"/>
    <x v="1"/>
    <n v="43"/>
    <x v="3"/>
    <x v="5"/>
    <x v="5"/>
  </r>
  <r>
    <n v="3086"/>
    <x v="41"/>
    <x v="1"/>
    <x v="1"/>
    <x v="0"/>
    <x v="74"/>
    <x v="22"/>
    <s v="L"/>
    <s v="Gray"/>
    <s v="Winter"/>
    <n v="2.8"/>
    <x v="1"/>
    <x v="5"/>
    <x v="1"/>
    <x v="1"/>
    <n v="10"/>
    <x v="0"/>
    <x v="6"/>
    <x v="3"/>
  </r>
  <r>
    <n v="3087"/>
    <x v="36"/>
    <x v="1"/>
    <x v="8"/>
    <x v="3"/>
    <x v="2"/>
    <x v="40"/>
    <s v="M"/>
    <s v="Lavender"/>
    <s v="Summer"/>
    <n v="3.5"/>
    <x v="1"/>
    <x v="2"/>
    <x v="1"/>
    <x v="1"/>
    <n v="26"/>
    <x v="0"/>
    <x v="6"/>
    <x v="3"/>
  </r>
  <r>
    <n v="3088"/>
    <x v="46"/>
    <x v="1"/>
    <x v="5"/>
    <x v="0"/>
    <x v="63"/>
    <x v="17"/>
    <s v="M"/>
    <s v="Charcoal"/>
    <s v="Spring"/>
    <n v="3.1"/>
    <x v="1"/>
    <x v="1"/>
    <x v="1"/>
    <x v="1"/>
    <n v="29"/>
    <x v="4"/>
    <x v="5"/>
    <x v="5"/>
  </r>
  <r>
    <n v="3089"/>
    <x v="50"/>
    <x v="1"/>
    <x v="10"/>
    <x v="0"/>
    <x v="1"/>
    <x v="10"/>
    <s v="M"/>
    <s v="Teal"/>
    <s v="Spring"/>
    <n v="3.3"/>
    <x v="1"/>
    <x v="5"/>
    <x v="1"/>
    <x v="1"/>
    <n v="35"/>
    <x v="4"/>
    <x v="3"/>
    <x v="3"/>
  </r>
  <r>
    <n v="3090"/>
    <x v="2"/>
    <x v="1"/>
    <x v="3"/>
    <x v="1"/>
    <x v="34"/>
    <x v="17"/>
    <s v="L"/>
    <s v="Blue"/>
    <s v="Fall"/>
    <n v="4.5999999999999996"/>
    <x v="1"/>
    <x v="1"/>
    <x v="1"/>
    <x v="1"/>
    <n v="23"/>
    <x v="1"/>
    <x v="4"/>
    <x v="4"/>
  </r>
  <r>
    <n v="3091"/>
    <x v="26"/>
    <x v="1"/>
    <x v="5"/>
    <x v="0"/>
    <x v="14"/>
    <x v="21"/>
    <s v="M"/>
    <s v="Peach"/>
    <s v="Summer"/>
    <n v="4.9000000000000004"/>
    <x v="1"/>
    <x v="5"/>
    <x v="1"/>
    <x v="1"/>
    <n v="15"/>
    <x v="4"/>
    <x v="3"/>
    <x v="3"/>
  </r>
  <r>
    <n v="3092"/>
    <x v="33"/>
    <x v="1"/>
    <x v="10"/>
    <x v="0"/>
    <x v="13"/>
    <x v="22"/>
    <s v="L"/>
    <s v="Orange"/>
    <s v="Winter"/>
    <n v="3.4"/>
    <x v="1"/>
    <x v="4"/>
    <x v="1"/>
    <x v="1"/>
    <n v="46"/>
    <x v="2"/>
    <x v="2"/>
    <x v="2"/>
  </r>
  <r>
    <n v="3093"/>
    <x v="16"/>
    <x v="1"/>
    <x v="12"/>
    <x v="3"/>
    <x v="36"/>
    <x v="40"/>
    <s v="L"/>
    <s v="Silver"/>
    <s v="Fall"/>
    <n v="3.5"/>
    <x v="1"/>
    <x v="2"/>
    <x v="1"/>
    <x v="1"/>
    <n v="14"/>
    <x v="4"/>
    <x v="4"/>
    <x v="4"/>
  </r>
  <r>
    <n v="3094"/>
    <x v="26"/>
    <x v="1"/>
    <x v="20"/>
    <x v="0"/>
    <x v="80"/>
    <x v="38"/>
    <s v="L"/>
    <s v="Red"/>
    <s v="Summer"/>
    <n v="4.8"/>
    <x v="1"/>
    <x v="5"/>
    <x v="1"/>
    <x v="1"/>
    <n v="17"/>
    <x v="1"/>
    <x v="6"/>
    <x v="3"/>
  </r>
  <r>
    <n v="3095"/>
    <x v="40"/>
    <x v="1"/>
    <x v="3"/>
    <x v="1"/>
    <x v="40"/>
    <x v="42"/>
    <s v="M"/>
    <s v="Gray"/>
    <s v="Summer"/>
    <n v="2.7"/>
    <x v="1"/>
    <x v="5"/>
    <x v="1"/>
    <x v="1"/>
    <n v="9"/>
    <x v="1"/>
    <x v="1"/>
    <x v="1"/>
  </r>
  <r>
    <n v="3096"/>
    <x v="46"/>
    <x v="1"/>
    <x v="19"/>
    <x v="3"/>
    <x v="0"/>
    <x v="46"/>
    <s v="S"/>
    <s v="Beige"/>
    <s v="Fall"/>
    <n v="3.4"/>
    <x v="1"/>
    <x v="3"/>
    <x v="1"/>
    <x v="1"/>
    <n v="13"/>
    <x v="0"/>
    <x v="0"/>
    <x v="0"/>
  </r>
  <r>
    <n v="3097"/>
    <x v="28"/>
    <x v="1"/>
    <x v="5"/>
    <x v="0"/>
    <x v="80"/>
    <x v="23"/>
    <s v="L"/>
    <s v="White"/>
    <s v="Winter"/>
    <n v="3.5"/>
    <x v="1"/>
    <x v="2"/>
    <x v="1"/>
    <x v="1"/>
    <n v="20"/>
    <x v="4"/>
    <x v="5"/>
    <x v="5"/>
  </r>
  <r>
    <n v="3098"/>
    <x v="39"/>
    <x v="1"/>
    <x v="9"/>
    <x v="1"/>
    <x v="27"/>
    <x v="12"/>
    <s v="M"/>
    <s v="Silver"/>
    <s v="Fall"/>
    <n v="3.7"/>
    <x v="1"/>
    <x v="1"/>
    <x v="1"/>
    <x v="1"/>
    <n v="39"/>
    <x v="4"/>
    <x v="3"/>
    <x v="3"/>
  </r>
  <r>
    <n v="3099"/>
    <x v="17"/>
    <x v="1"/>
    <x v="13"/>
    <x v="0"/>
    <x v="1"/>
    <x v="35"/>
    <s v="L"/>
    <s v="Cyan"/>
    <s v="Summer"/>
    <n v="3.3"/>
    <x v="1"/>
    <x v="2"/>
    <x v="1"/>
    <x v="1"/>
    <n v="50"/>
    <x v="4"/>
    <x v="3"/>
    <x v="3"/>
  </r>
  <r>
    <n v="3100"/>
    <x v="32"/>
    <x v="1"/>
    <x v="5"/>
    <x v="0"/>
    <x v="57"/>
    <x v="49"/>
    <s v="S"/>
    <s v="Maroon"/>
    <s v="Fall"/>
    <n v="2.9"/>
    <x v="1"/>
    <x v="1"/>
    <x v="1"/>
    <x v="1"/>
    <n v="21"/>
    <x v="4"/>
    <x v="4"/>
    <x v="4"/>
  </r>
  <r>
    <n v="3101"/>
    <x v="2"/>
    <x v="1"/>
    <x v="19"/>
    <x v="3"/>
    <x v="6"/>
    <x v="34"/>
    <s v="L"/>
    <s v="Purple"/>
    <s v="Winter"/>
    <n v="3.9"/>
    <x v="1"/>
    <x v="0"/>
    <x v="1"/>
    <x v="1"/>
    <n v="3"/>
    <x v="4"/>
    <x v="1"/>
    <x v="1"/>
  </r>
  <r>
    <n v="3102"/>
    <x v="45"/>
    <x v="1"/>
    <x v="16"/>
    <x v="3"/>
    <x v="71"/>
    <x v="37"/>
    <s v="S"/>
    <s v="Brown"/>
    <s v="Summer"/>
    <n v="2.7"/>
    <x v="1"/>
    <x v="0"/>
    <x v="1"/>
    <x v="1"/>
    <n v="9"/>
    <x v="3"/>
    <x v="0"/>
    <x v="0"/>
  </r>
  <r>
    <n v="3103"/>
    <x v="47"/>
    <x v="1"/>
    <x v="14"/>
    <x v="2"/>
    <x v="6"/>
    <x v="45"/>
    <s v="M"/>
    <s v="Green"/>
    <s v="Summer"/>
    <n v="4.3"/>
    <x v="1"/>
    <x v="3"/>
    <x v="1"/>
    <x v="1"/>
    <n v="29"/>
    <x v="1"/>
    <x v="4"/>
    <x v="4"/>
  </r>
  <r>
    <n v="3104"/>
    <x v="7"/>
    <x v="1"/>
    <x v="5"/>
    <x v="0"/>
    <x v="18"/>
    <x v="26"/>
    <s v="S"/>
    <s v="Peach"/>
    <s v="Winter"/>
    <n v="3"/>
    <x v="1"/>
    <x v="4"/>
    <x v="1"/>
    <x v="1"/>
    <n v="42"/>
    <x v="4"/>
    <x v="1"/>
    <x v="1"/>
  </r>
  <r>
    <n v="3105"/>
    <x v="49"/>
    <x v="1"/>
    <x v="13"/>
    <x v="0"/>
    <x v="22"/>
    <x v="42"/>
    <s v="S"/>
    <s v="Turquoise"/>
    <s v="Summer"/>
    <n v="5"/>
    <x v="1"/>
    <x v="4"/>
    <x v="1"/>
    <x v="1"/>
    <n v="41"/>
    <x v="5"/>
    <x v="0"/>
    <x v="0"/>
  </r>
  <r>
    <n v="3106"/>
    <x v="39"/>
    <x v="1"/>
    <x v="11"/>
    <x v="0"/>
    <x v="27"/>
    <x v="4"/>
    <s v="M"/>
    <s v="Olive"/>
    <s v="Fall"/>
    <n v="2.7"/>
    <x v="1"/>
    <x v="0"/>
    <x v="1"/>
    <x v="1"/>
    <n v="17"/>
    <x v="5"/>
    <x v="5"/>
    <x v="5"/>
  </r>
  <r>
    <n v="3107"/>
    <x v="46"/>
    <x v="1"/>
    <x v="3"/>
    <x v="1"/>
    <x v="75"/>
    <x v="15"/>
    <s v="M"/>
    <s v="Yellow"/>
    <s v="Winter"/>
    <n v="4.7"/>
    <x v="1"/>
    <x v="2"/>
    <x v="1"/>
    <x v="1"/>
    <n v="20"/>
    <x v="3"/>
    <x v="2"/>
    <x v="2"/>
  </r>
  <r>
    <n v="3108"/>
    <x v="13"/>
    <x v="1"/>
    <x v="0"/>
    <x v="0"/>
    <x v="9"/>
    <x v="11"/>
    <s v="L"/>
    <s v="Gray"/>
    <s v="Winter"/>
    <n v="4.5999999999999996"/>
    <x v="1"/>
    <x v="3"/>
    <x v="1"/>
    <x v="1"/>
    <n v="18"/>
    <x v="2"/>
    <x v="4"/>
    <x v="4"/>
  </r>
  <r>
    <n v="3109"/>
    <x v="2"/>
    <x v="1"/>
    <x v="20"/>
    <x v="0"/>
    <x v="28"/>
    <x v="4"/>
    <s v="M"/>
    <s v="Purple"/>
    <s v="Fall"/>
    <n v="3.2"/>
    <x v="1"/>
    <x v="4"/>
    <x v="1"/>
    <x v="1"/>
    <n v="7"/>
    <x v="3"/>
    <x v="5"/>
    <x v="5"/>
  </r>
  <r>
    <n v="3110"/>
    <x v="52"/>
    <x v="1"/>
    <x v="14"/>
    <x v="2"/>
    <x v="56"/>
    <x v="26"/>
    <s v="M"/>
    <s v="Gray"/>
    <s v="Winter"/>
    <n v="4.3"/>
    <x v="1"/>
    <x v="1"/>
    <x v="1"/>
    <x v="1"/>
    <n v="47"/>
    <x v="4"/>
    <x v="0"/>
    <x v="0"/>
  </r>
  <r>
    <n v="3111"/>
    <x v="1"/>
    <x v="1"/>
    <x v="8"/>
    <x v="3"/>
    <x v="43"/>
    <x v="21"/>
    <s v="L"/>
    <s v="Lavender"/>
    <s v="Fall"/>
    <n v="4.5999999999999996"/>
    <x v="1"/>
    <x v="2"/>
    <x v="1"/>
    <x v="1"/>
    <n v="2"/>
    <x v="4"/>
    <x v="4"/>
    <x v="4"/>
  </r>
  <r>
    <n v="3112"/>
    <x v="3"/>
    <x v="1"/>
    <x v="22"/>
    <x v="3"/>
    <x v="13"/>
    <x v="23"/>
    <s v="XL"/>
    <s v="Indigo"/>
    <s v="Spring"/>
    <n v="4.9000000000000004"/>
    <x v="1"/>
    <x v="1"/>
    <x v="1"/>
    <x v="1"/>
    <n v="25"/>
    <x v="5"/>
    <x v="3"/>
    <x v="3"/>
  </r>
  <r>
    <n v="3113"/>
    <x v="1"/>
    <x v="1"/>
    <x v="0"/>
    <x v="0"/>
    <x v="8"/>
    <x v="21"/>
    <s v="S"/>
    <s v="Green"/>
    <s v="Fall"/>
    <n v="3.8"/>
    <x v="1"/>
    <x v="0"/>
    <x v="1"/>
    <x v="1"/>
    <n v="26"/>
    <x v="0"/>
    <x v="2"/>
    <x v="2"/>
  </r>
  <r>
    <n v="3114"/>
    <x v="5"/>
    <x v="1"/>
    <x v="5"/>
    <x v="0"/>
    <x v="73"/>
    <x v="43"/>
    <s v="L"/>
    <s v="Green"/>
    <s v="Summer"/>
    <n v="2.6"/>
    <x v="1"/>
    <x v="0"/>
    <x v="1"/>
    <x v="1"/>
    <n v="2"/>
    <x v="5"/>
    <x v="1"/>
    <x v="1"/>
  </r>
  <r>
    <n v="3115"/>
    <x v="3"/>
    <x v="1"/>
    <x v="8"/>
    <x v="3"/>
    <x v="22"/>
    <x v="10"/>
    <s v="M"/>
    <s v="Olive"/>
    <s v="Spring"/>
    <n v="4.7"/>
    <x v="1"/>
    <x v="5"/>
    <x v="1"/>
    <x v="1"/>
    <n v="45"/>
    <x v="0"/>
    <x v="4"/>
    <x v="4"/>
  </r>
  <r>
    <n v="3116"/>
    <x v="8"/>
    <x v="1"/>
    <x v="18"/>
    <x v="3"/>
    <x v="0"/>
    <x v="45"/>
    <s v="M"/>
    <s v="Charcoal"/>
    <s v="Fall"/>
    <n v="4.0999999999999996"/>
    <x v="1"/>
    <x v="1"/>
    <x v="1"/>
    <x v="1"/>
    <n v="9"/>
    <x v="4"/>
    <x v="4"/>
    <x v="4"/>
  </r>
  <r>
    <n v="3117"/>
    <x v="2"/>
    <x v="1"/>
    <x v="7"/>
    <x v="2"/>
    <x v="76"/>
    <x v="6"/>
    <s v="L"/>
    <s v="Gray"/>
    <s v="Spring"/>
    <n v="3.7"/>
    <x v="1"/>
    <x v="5"/>
    <x v="1"/>
    <x v="1"/>
    <n v="1"/>
    <x v="0"/>
    <x v="1"/>
    <x v="1"/>
  </r>
  <r>
    <n v="3118"/>
    <x v="49"/>
    <x v="1"/>
    <x v="15"/>
    <x v="0"/>
    <x v="74"/>
    <x v="20"/>
    <s v="M"/>
    <s v="Olive"/>
    <s v="Fall"/>
    <n v="3"/>
    <x v="1"/>
    <x v="1"/>
    <x v="1"/>
    <x v="1"/>
    <n v="4"/>
    <x v="3"/>
    <x v="4"/>
    <x v="4"/>
  </r>
  <r>
    <n v="3119"/>
    <x v="12"/>
    <x v="1"/>
    <x v="6"/>
    <x v="0"/>
    <x v="8"/>
    <x v="41"/>
    <s v="L"/>
    <s v="Blue"/>
    <s v="Summer"/>
    <n v="4.7"/>
    <x v="1"/>
    <x v="3"/>
    <x v="1"/>
    <x v="1"/>
    <n v="31"/>
    <x v="5"/>
    <x v="3"/>
    <x v="3"/>
  </r>
  <r>
    <n v="3120"/>
    <x v="6"/>
    <x v="1"/>
    <x v="3"/>
    <x v="1"/>
    <x v="24"/>
    <x v="7"/>
    <s v="XL"/>
    <s v="Silver"/>
    <s v="Winter"/>
    <n v="4.7"/>
    <x v="1"/>
    <x v="4"/>
    <x v="1"/>
    <x v="1"/>
    <n v="21"/>
    <x v="2"/>
    <x v="6"/>
    <x v="3"/>
  </r>
  <r>
    <n v="3121"/>
    <x v="5"/>
    <x v="1"/>
    <x v="5"/>
    <x v="0"/>
    <x v="31"/>
    <x v="7"/>
    <s v="M"/>
    <s v="Magenta"/>
    <s v="Fall"/>
    <n v="4"/>
    <x v="1"/>
    <x v="5"/>
    <x v="1"/>
    <x v="1"/>
    <n v="32"/>
    <x v="5"/>
    <x v="0"/>
    <x v="0"/>
  </r>
  <r>
    <n v="3122"/>
    <x v="6"/>
    <x v="1"/>
    <x v="15"/>
    <x v="0"/>
    <x v="15"/>
    <x v="7"/>
    <s v="L"/>
    <s v="Black"/>
    <s v="Fall"/>
    <n v="2.6"/>
    <x v="1"/>
    <x v="3"/>
    <x v="1"/>
    <x v="1"/>
    <n v="16"/>
    <x v="0"/>
    <x v="1"/>
    <x v="1"/>
  </r>
  <r>
    <n v="3123"/>
    <x v="51"/>
    <x v="1"/>
    <x v="20"/>
    <x v="0"/>
    <x v="29"/>
    <x v="42"/>
    <s v="M"/>
    <s v="Pink"/>
    <s v="Fall"/>
    <n v="3"/>
    <x v="1"/>
    <x v="0"/>
    <x v="1"/>
    <x v="1"/>
    <n v="34"/>
    <x v="2"/>
    <x v="0"/>
    <x v="0"/>
  </r>
  <r>
    <n v="3124"/>
    <x v="9"/>
    <x v="1"/>
    <x v="8"/>
    <x v="3"/>
    <x v="64"/>
    <x v="44"/>
    <s v="XL"/>
    <s v="Red"/>
    <s v="Fall"/>
    <n v="3.3"/>
    <x v="1"/>
    <x v="2"/>
    <x v="1"/>
    <x v="1"/>
    <n v="40"/>
    <x v="0"/>
    <x v="4"/>
    <x v="4"/>
  </r>
  <r>
    <n v="3125"/>
    <x v="9"/>
    <x v="1"/>
    <x v="16"/>
    <x v="3"/>
    <x v="12"/>
    <x v="18"/>
    <s v="M"/>
    <s v="Peach"/>
    <s v="Summer"/>
    <n v="3.4"/>
    <x v="1"/>
    <x v="3"/>
    <x v="1"/>
    <x v="1"/>
    <n v="4"/>
    <x v="1"/>
    <x v="6"/>
    <x v="3"/>
  </r>
  <r>
    <n v="3126"/>
    <x v="23"/>
    <x v="1"/>
    <x v="7"/>
    <x v="2"/>
    <x v="46"/>
    <x v="4"/>
    <s v="L"/>
    <s v="Lavender"/>
    <s v="Spring"/>
    <n v="4"/>
    <x v="1"/>
    <x v="3"/>
    <x v="1"/>
    <x v="1"/>
    <n v="3"/>
    <x v="1"/>
    <x v="3"/>
    <x v="3"/>
  </r>
  <r>
    <n v="3127"/>
    <x v="9"/>
    <x v="1"/>
    <x v="12"/>
    <x v="3"/>
    <x v="31"/>
    <x v="1"/>
    <s v="L"/>
    <s v="Lavender"/>
    <s v="Winter"/>
    <n v="2.6"/>
    <x v="1"/>
    <x v="5"/>
    <x v="1"/>
    <x v="1"/>
    <n v="28"/>
    <x v="4"/>
    <x v="4"/>
    <x v="4"/>
  </r>
  <r>
    <n v="3128"/>
    <x v="0"/>
    <x v="1"/>
    <x v="24"/>
    <x v="3"/>
    <x v="23"/>
    <x v="7"/>
    <s v="M"/>
    <s v="Beige"/>
    <s v="Winter"/>
    <n v="3.4"/>
    <x v="1"/>
    <x v="1"/>
    <x v="1"/>
    <x v="1"/>
    <n v="43"/>
    <x v="2"/>
    <x v="6"/>
    <x v="3"/>
  </r>
  <r>
    <n v="3129"/>
    <x v="13"/>
    <x v="1"/>
    <x v="14"/>
    <x v="2"/>
    <x v="50"/>
    <x v="10"/>
    <s v="S"/>
    <s v="Indigo"/>
    <s v="Fall"/>
    <n v="4.4000000000000004"/>
    <x v="1"/>
    <x v="3"/>
    <x v="1"/>
    <x v="1"/>
    <n v="20"/>
    <x v="1"/>
    <x v="2"/>
    <x v="2"/>
  </r>
  <r>
    <n v="3130"/>
    <x v="52"/>
    <x v="1"/>
    <x v="3"/>
    <x v="1"/>
    <x v="5"/>
    <x v="33"/>
    <s v="S"/>
    <s v="Cyan"/>
    <s v="Summer"/>
    <n v="4.7"/>
    <x v="1"/>
    <x v="0"/>
    <x v="1"/>
    <x v="1"/>
    <n v="40"/>
    <x v="0"/>
    <x v="6"/>
    <x v="3"/>
  </r>
  <r>
    <n v="3131"/>
    <x v="16"/>
    <x v="1"/>
    <x v="13"/>
    <x v="0"/>
    <x v="5"/>
    <x v="34"/>
    <s v="M"/>
    <s v="Yellow"/>
    <s v="Summer"/>
    <n v="4.5"/>
    <x v="1"/>
    <x v="5"/>
    <x v="1"/>
    <x v="1"/>
    <n v="34"/>
    <x v="0"/>
    <x v="6"/>
    <x v="3"/>
  </r>
  <r>
    <n v="3132"/>
    <x v="50"/>
    <x v="1"/>
    <x v="14"/>
    <x v="2"/>
    <x v="40"/>
    <x v="25"/>
    <s v="M"/>
    <s v="Peach"/>
    <s v="Fall"/>
    <n v="2.9"/>
    <x v="1"/>
    <x v="5"/>
    <x v="1"/>
    <x v="1"/>
    <n v="11"/>
    <x v="4"/>
    <x v="6"/>
    <x v="3"/>
  </r>
  <r>
    <n v="3133"/>
    <x v="23"/>
    <x v="1"/>
    <x v="1"/>
    <x v="0"/>
    <x v="8"/>
    <x v="49"/>
    <s v="M"/>
    <s v="Yellow"/>
    <s v="Summer"/>
    <n v="4.2"/>
    <x v="1"/>
    <x v="0"/>
    <x v="1"/>
    <x v="1"/>
    <n v="26"/>
    <x v="1"/>
    <x v="3"/>
    <x v="3"/>
  </r>
  <r>
    <n v="3134"/>
    <x v="44"/>
    <x v="1"/>
    <x v="17"/>
    <x v="0"/>
    <x v="10"/>
    <x v="10"/>
    <s v="M"/>
    <s v="Orange"/>
    <s v="Spring"/>
    <n v="4.0999999999999996"/>
    <x v="1"/>
    <x v="2"/>
    <x v="1"/>
    <x v="1"/>
    <n v="29"/>
    <x v="1"/>
    <x v="4"/>
    <x v="4"/>
  </r>
  <r>
    <n v="3135"/>
    <x v="25"/>
    <x v="1"/>
    <x v="23"/>
    <x v="1"/>
    <x v="76"/>
    <x v="0"/>
    <s v="L"/>
    <s v="Gray"/>
    <s v="Spring"/>
    <n v="4.4000000000000004"/>
    <x v="1"/>
    <x v="5"/>
    <x v="1"/>
    <x v="1"/>
    <n v="47"/>
    <x v="4"/>
    <x v="1"/>
    <x v="1"/>
  </r>
  <r>
    <n v="3136"/>
    <x v="33"/>
    <x v="1"/>
    <x v="9"/>
    <x v="1"/>
    <x v="6"/>
    <x v="27"/>
    <s v="L"/>
    <s v="Yellow"/>
    <s v="Spring"/>
    <n v="4.7"/>
    <x v="1"/>
    <x v="1"/>
    <x v="1"/>
    <x v="1"/>
    <n v="48"/>
    <x v="0"/>
    <x v="0"/>
    <x v="0"/>
  </r>
  <r>
    <n v="3137"/>
    <x v="44"/>
    <x v="1"/>
    <x v="11"/>
    <x v="0"/>
    <x v="50"/>
    <x v="46"/>
    <s v="M"/>
    <s v="Gray"/>
    <s v="Fall"/>
    <n v="3.1"/>
    <x v="1"/>
    <x v="2"/>
    <x v="1"/>
    <x v="1"/>
    <n v="29"/>
    <x v="1"/>
    <x v="4"/>
    <x v="4"/>
  </r>
  <r>
    <n v="3138"/>
    <x v="50"/>
    <x v="1"/>
    <x v="7"/>
    <x v="2"/>
    <x v="77"/>
    <x v="7"/>
    <s v="M"/>
    <s v="Turquoise"/>
    <s v="Spring"/>
    <n v="2.7"/>
    <x v="1"/>
    <x v="4"/>
    <x v="1"/>
    <x v="1"/>
    <n v="14"/>
    <x v="4"/>
    <x v="5"/>
    <x v="5"/>
  </r>
  <r>
    <n v="3139"/>
    <x v="36"/>
    <x v="1"/>
    <x v="0"/>
    <x v="0"/>
    <x v="51"/>
    <x v="0"/>
    <s v="L"/>
    <s v="Gray"/>
    <s v="Fall"/>
    <n v="4.5999999999999996"/>
    <x v="1"/>
    <x v="2"/>
    <x v="1"/>
    <x v="1"/>
    <n v="40"/>
    <x v="1"/>
    <x v="6"/>
    <x v="3"/>
  </r>
  <r>
    <n v="3140"/>
    <x v="25"/>
    <x v="1"/>
    <x v="12"/>
    <x v="3"/>
    <x v="6"/>
    <x v="42"/>
    <s v="M"/>
    <s v="Olive"/>
    <s v="Winter"/>
    <n v="4.4000000000000004"/>
    <x v="1"/>
    <x v="2"/>
    <x v="1"/>
    <x v="1"/>
    <n v="4"/>
    <x v="0"/>
    <x v="1"/>
    <x v="1"/>
  </r>
  <r>
    <n v="3141"/>
    <x v="50"/>
    <x v="1"/>
    <x v="24"/>
    <x v="3"/>
    <x v="77"/>
    <x v="29"/>
    <s v="XL"/>
    <s v="Peach"/>
    <s v="Summer"/>
    <n v="4.5999999999999996"/>
    <x v="1"/>
    <x v="1"/>
    <x v="1"/>
    <x v="1"/>
    <n v="37"/>
    <x v="4"/>
    <x v="1"/>
    <x v="1"/>
  </r>
  <r>
    <n v="3142"/>
    <x v="24"/>
    <x v="1"/>
    <x v="12"/>
    <x v="3"/>
    <x v="38"/>
    <x v="16"/>
    <s v="S"/>
    <s v="Peach"/>
    <s v="Winter"/>
    <n v="4.9000000000000004"/>
    <x v="1"/>
    <x v="0"/>
    <x v="1"/>
    <x v="1"/>
    <n v="47"/>
    <x v="2"/>
    <x v="4"/>
    <x v="4"/>
  </r>
  <r>
    <n v="3143"/>
    <x v="51"/>
    <x v="1"/>
    <x v="4"/>
    <x v="1"/>
    <x v="34"/>
    <x v="23"/>
    <s v="L"/>
    <s v="Magenta"/>
    <s v="Winter"/>
    <n v="4"/>
    <x v="1"/>
    <x v="4"/>
    <x v="1"/>
    <x v="1"/>
    <n v="1"/>
    <x v="0"/>
    <x v="3"/>
    <x v="3"/>
  </r>
  <r>
    <n v="3144"/>
    <x v="33"/>
    <x v="1"/>
    <x v="15"/>
    <x v="0"/>
    <x v="20"/>
    <x v="28"/>
    <s v="M"/>
    <s v="Purple"/>
    <s v="Summer"/>
    <n v="2.9"/>
    <x v="1"/>
    <x v="5"/>
    <x v="1"/>
    <x v="1"/>
    <n v="26"/>
    <x v="1"/>
    <x v="3"/>
    <x v="3"/>
  </r>
  <r>
    <n v="3145"/>
    <x v="51"/>
    <x v="1"/>
    <x v="23"/>
    <x v="1"/>
    <x v="44"/>
    <x v="1"/>
    <s v="L"/>
    <s v="Beige"/>
    <s v="Spring"/>
    <n v="2.6"/>
    <x v="1"/>
    <x v="1"/>
    <x v="1"/>
    <x v="1"/>
    <n v="12"/>
    <x v="5"/>
    <x v="3"/>
    <x v="3"/>
  </r>
  <r>
    <n v="3146"/>
    <x v="9"/>
    <x v="1"/>
    <x v="8"/>
    <x v="3"/>
    <x v="45"/>
    <x v="21"/>
    <s v="XL"/>
    <s v="Purple"/>
    <s v="Spring"/>
    <n v="4.5999999999999996"/>
    <x v="1"/>
    <x v="3"/>
    <x v="1"/>
    <x v="1"/>
    <n v="16"/>
    <x v="3"/>
    <x v="0"/>
    <x v="0"/>
  </r>
  <r>
    <n v="3147"/>
    <x v="3"/>
    <x v="1"/>
    <x v="5"/>
    <x v="0"/>
    <x v="42"/>
    <x v="41"/>
    <s v="S"/>
    <s v="Yellow"/>
    <s v="Winter"/>
    <n v="4.9000000000000004"/>
    <x v="1"/>
    <x v="1"/>
    <x v="1"/>
    <x v="1"/>
    <n v="19"/>
    <x v="3"/>
    <x v="2"/>
    <x v="2"/>
  </r>
  <r>
    <n v="3148"/>
    <x v="4"/>
    <x v="1"/>
    <x v="1"/>
    <x v="0"/>
    <x v="54"/>
    <x v="25"/>
    <s v="M"/>
    <s v="Pink"/>
    <s v="Winter"/>
    <n v="4.3"/>
    <x v="1"/>
    <x v="0"/>
    <x v="1"/>
    <x v="1"/>
    <n v="21"/>
    <x v="2"/>
    <x v="1"/>
    <x v="1"/>
  </r>
  <r>
    <n v="3149"/>
    <x v="43"/>
    <x v="1"/>
    <x v="6"/>
    <x v="0"/>
    <x v="59"/>
    <x v="8"/>
    <s v="L"/>
    <s v="Purple"/>
    <s v="Fall"/>
    <n v="4.3"/>
    <x v="1"/>
    <x v="1"/>
    <x v="1"/>
    <x v="1"/>
    <n v="15"/>
    <x v="0"/>
    <x v="1"/>
    <x v="1"/>
  </r>
  <r>
    <n v="3150"/>
    <x v="20"/>
    <x v="1"/>
    <x v="22"/>
    <x v="3"/>
    <x v="49"/>
    <x v="17"/>
    <s v="M"/>
    <s v="Lavender"/>
    <s v="Winter"/>
    <n v="4.5999999999999996"/>
    <x v="1"/>
    <x v="1"/>
    <x v="1"/>
    <x v="1"/>
    <n v="9"/>
    <x v="0"/>
    <x v="2"/>
    <x v="2"/>
  </r>
  <r>
    <n v="3151"/>
    <x v="0"/>
    <x v="1"/>
    <x v="0"/>
    <x v="0"/>
    <x v="21"/>
    <x v="42"/>
    <s v="M"/>
    <s v="Peach"/>
    <s v="Spring"/>
    <n v="2.6"/>
    <x v="1"/>
    <x v="0"/>
    <x v="1"/>
    <x v="1"/>
    <n v="7"/>
    <x v="4"/>
    <x v="4"/>
    <x v="4"/>
  </r>
  <r>
    <n v="3152"/>
    <x v="16"/>
    <x v="1"/>
    <x v="17"/>
    <x v="0"/>
    <x v="1"/>
    <x v="35"/>
    <s v="L"/>
    <s v="Orange"/>
    <s v="Fall"/>
    <n v="3.1"/>
    <x v="1"/>
    <x v="4"/>
    <x v="1"/>
    <x v="1"/>
    <n v="47"/>
    <x v="4"/>
    <x v="3"/>
    <x v="3"/>
  </r>
  <r>
    <n v="3153"/>
    <x v="34"/>
    <x v="1"/>
    <x v="22"/>
    <x v="3"/>
    <x v="3"/>
    <x v="17"/>
    <s v="M"/>
    <s v="Red"/>
    <s v="Fall"/>
    <n v="3.1"/>
    <x v="1"/>
    <x v="5"/>
    <x v="1"/>
    <x v="1"/>
    <n v="17"/>
    <x v="3"/>
    <x v="5"/>
    <x v="5"/>
  </r>
  <r>
    <n v="3154"/>
    <x v="19"/>
    <x v="1"/>
    <x v="20"/>
    <x v="0"/>
    <x v="19"/>
    <x v="15"/>
    <s v="L"/>
    <s v="Red"/>
    <s v="Fall"/>
    <n v="3.1"/>
    <x v="1"/>
    <x v="2"/>
    <x v="1"/>
    <x v="1"/>
    <n v="46"/>
    <x v="0"/>
    <x v="0"/>
    <x v="0"/>
  </r>
  <r>
    <n v="3155"/>
    <x v="7"/>
    <x v="1"/>
    <x v="22"/>
    <x v="3"/>
    <x v="37"/>
    <x v="39"/>
    <s v="M"/>
    <s v="Gold"/>
    <s v="Winter"/>
    <n v="4.4000000000000004"/>
    <x v="1"/>
    <x v="3"/>
    <x v="1"/>
    <x v="1"/>
    <n v="32"/>
    <x v="1"/>
    <x v="3"/>
    <x v="3"/>
  </r>
  <r>
    <n v="3156"/>
    <x v="40"/>
    <x v="1"/>
    <x v="8"/>
    <x v="3"/>
    <x v="3"/>
    <x v="6"/>
    <s v="M"/>
    <s v="Brown"/>
    <s v="Fall"/>
    <n v="4.3"/>
    <x v="1"/>
    <x v="1"/>
    <x v="1"/>
    <x v="1"/>
    <n v="34"/>
    <x v="1"/>
    <x v="2"/>
    <x v="2"/>
  </r>
  <r>
    <n v="3157"/>
    <x v="20"/>
    <x v="1"/>
    <x v="5"/>
    <x v="0"/>
    <x v="74"/>
    <x v="6"/>
    <s v="M"/>
    <s v="Black"/>
    <s v="Winter"/>
    <n v="3.1"/>
    <x v="1"/>
    <x v="4"/>
    <x v="1"/>
    <x v="1"/>
    <n v="18"/>
    <x v="1"/>
    <x v="5"/>
    <x v="5"/>
  </r>
  <r>
    <n v="3158"/>
    <x v="3"/>
    <x v="1"/>
    <x v="22"/>
    <x v="3"/>
    <x v="7"/>
    <x v="1"/>
    <s v="L"/>
    <s v="Red"/>
    <s v="Fall"/>
    <n v="3.1"/>
    <x v="1"/>
    <x v="5"/>
    <x v="1"/>
    <x v="1"/>
    <n v="5"/>
    <x v="5"/>
    <x v="0"/>
    <x v="0"/>
  </r>
  <r>
    <n v="3159"/>
    <x v="11"/>
    <x v="1"/>
    <x v="16"/>
    <x v="3"/>
    <x v="64"/>
    <x v="16"/>
    <s v="M"/>
    <s v="Gray"/>
    <s v="Winter"/>
    <n v="4.9000000000000004"/>
    <x v="1"/>
    <x v="4"/>
    <x v="1"/>
    <x v="1"/>
    <n v="44"/>
    <x v="2"/>
    <x v="5"/>
    <x v="5"/>
  </r>
  <r>
    <n v="3160"/>
    <x v="46"/>
    <x v="1"/>
    <x v="19"/>
    <x v="3"/>
    <x v="58"/>
    <x v="7"/>
    <s v="L"/>
    <s v="Pink"/>
    <s v="Winter"/>
    <n v="2.9"/>
    <x v="1"/>
    <x v="5"/>
    <x v="1"/>
    <x v="1"/>
    <n v="4"/>
    <x v="4"/>
    <x v="3"/>
    <x v="3"/>
  </r>
  <r>
    <n v="3161"/>
    <x v="48"/>
    <x v="1"/>
    <x v="21"/>
    <x v="3"/>
    <x v="55"/>
    <x v="43"/>
    <s v="XL"/>
    <s v="Turquoise"/>
    <s v="Fall"/>
    <n v="3.8"/>
    <x v="1"/>
    <x v="2"/>
    <x v="1"/>
    <x v="1"/>
    <n v="37"/>
    <x v="1"/>
    <x v="0"/>
    <x v="0"/>
  </r>
  <r>
    <n v="3162"/>
    <x v="17"/>
    <x v="1"/>
    <x v="10"/>
    <x v="0"/>
    <x v="64"/>
    <x v="2"/>
    <s v="S"/>
    <s v="Charcoal"/>
    <s v="Winter"/>
    <n v="4.2"/>
    <x v="1"/>
    <x v="4"/>
    <x v="1"/>
    <x v="1"/>
    <n v="43"/>
    <x v="1"/>
    <x v="5"/>
    <x v="5"/>
  </r>
  <r>
    <n v="3163"/>
    <x v="17"/>
    <x v="1"/>
    <x v="9"/>
    <x v="1"/>
    <x v="6"/>
    <x v="48"/>
    <s v="L"/>
    <s v="Blue"/>
    <s v="Winter"/>
    <n v="3.9"/>
    <x v="1"/>
    <x v="3"/>
    <x v="1"/>
    <x v="1"/>
    <n v="28"/>
    <x v="4"/>
    <x v="3"/>
    <x v="3"/>
  </r>
  <r>
    <n v="3164"/>
    <x v="34"/>
    <x v="1"/>
    <x v="13"/>
    <x v="0"/>
    <x v="76"/>
    <x v="43"/>
    <s v="XL"/>
    <s v="Turquoise"/>
    <s v="Summer"/>
    <n v="2.8"/>
    <x v="1"/>
    <x v="0"/>
    <x v="1"/>
    <x v="1"/>
    <n v="36"/>
    <x v="1"/>
    <x v="5"/>
    <x v="5"/>
  </r>
  <r>
    <n v="3165"/>
    <x v="37"/>
    <x v="1"/>
    <x v="10"/>
    <x v="0"/>
    <x v="50"/>
    <x v="28"/>
    <s v="L"/>
    <s v="Silver"/>
    <s v="Winter"/>
    <n v="2.6"/>
    <x v="1"/>
    <x v="3"/>
    <x v="1"/>
    <x v="1"/>
    <n v="16"/>
    <x v="2"/>
    <x v="2"/>
    <x v="2"/>
  </r>
  <r>
    <n v="3166"/>
    <x v="34"/>
    <x v="1"/>
    <x v="14"/>
    <x v="2"/>
    <x v="56"/>
    <x v="11"/>
    <s v="M"/>
    <s v="Lavender"/>
    <s v="Spring"/>
    <n v="3"/>
    <x v="1"/>
    <x v="5"/>
    <x v="1"/>
    <x v="1"/>
    <n v="38"/>
    <x v="4"/>
    <x v="6"/>
    <x v="3"/>
  </r>
  <r>
    <n v="3167"/>
    <x v="1"/>
    <x v="1"/>
    <x v="5"/>
    <x v="0"/>
    <x v="68"/>
    <x v="42"/>
    <s v="M"/>
    <s v="Gold"/>
    <s v="Winter"/>
    <n v="2.7"/>
    <x v="1"/>
    <x v="2"/>
    <x v="1"/>
    <x v="1"/>
    <n v="37"/>
    <x v="4"/>
    <x v="0"/>
    <x v="0"/>
  </r>
  <r>
    <n v="3168"/>
    <x v="41"/>
    <x v="1"/>
    <x v="10"/>
    <x v="0"/>
    <x v="72"/>
    <x v="4"/>
    <s v="M"/>
    <s v="Blue"/>
    <s v="Fall"/>
    <n v="2.8"/>
    <x v="1"/>
    <x v="4"/>
    <x v="1"/>
    <x v="1"/>
    <n v="9"/>
    <x v="1"/>
    <x v="4"/>
    <x v="4"/>
  </r>
  <r>
    <n v="3169"/>
    <x v="18"/>
    <x v="1"/>
    <x v="2"/>
    <x v="0"/>
    <x v="41"/>
    <x v="6"/>
    <s v="M"/>
    <s v="Orange"/>
    <s v="Spring"/>
    <n v="2.9"/>
    <x v="1"/>
    <x v="4"/>
    <x v="1"/>
    <x v="1"/>
    <n v="14"/>
    <x v="3"/>
    <x v="0"/>
    <x v="0"/>
  </r>
  <r>
    <n v="3170"/>
    <x v="25"/>
    <x v="1"/>
    <x v="17"/>
    <x v="0"/>
    <x v="40"/>
    <x v="42"/>
    <s v="M"/>
    <s v="White"/>
    <s v="Fall"/>
    <n v="3.8"/>
    <x v="1"/>
    <x v="1"/>
    <x v="1"/>
    <x v="1"/>
    <n v="3"/>
    <x v="0"/>
    <x v="1"/>
    <x v="1"/>
  </r>
  <r>
    <n v="3171"/>
    <x v="13"/>
    <x v="1"/>
    <x v="12"/>
    <x v="3"/>
    <x v="52"/>
    <x v="3"/>
    <s v="XL"/>
    <s v="Charcoal"/>
    <s v="Spring"/>
    <n v="4.4000000000000004"/>
    <x v="1"/>
    <x v="0"/>
    <x v="1"/>
    <x v="1"/>
    <n v="10"/>
    <x v="2"/>
    <x v="0"/>
    <x v="0"/>
  </r>
  <r>
    <n v="3172"/>
    <x v="33"/>
    <x v="1"/>
    <x v="16"/>
    <x v="3"/>
    <x v="46"/>
    <x v="30"/>
    <s v="M"/>
    <s v="Maroon"/>
    <s v="Spring"/>
    <n v="3.1"/>
    <x v="1"/>
    <x v="0"/>
    <x v="1"/>
    <x v="1"/>
    <n v="26"/>
    <x v="4"/>
    <x v="4"/>
    <x v="4"/>
  </r>
  <r>
    <n v="3173"/>
    <x v="9"/>
    <x v="1"/>
    <x v="20"/>
    <x v="0"/>
    <x v="78"/>
    <x v="9"/>
    <s v="M"/>
    <s v="Olive"/>
    <s v="Fall"/>
    <n v="3.7"/>
    <x v="1"/>
    <x v="3"/>
    <x v="1"/>
    <x v="1"/>
    <n v="30"/>
    <x v="5"/>
    <x v="4"/>
    <x v="4"/>
  </r>
  <r>
    <n v="3174"/>
    <x v="28"/>
    <x v="1"/>
    <x v="11"/>
    <x v="0"/>
    <x v="43"/>
    <x v="47"/>
    <s v="L"/>
    <s v="Teal"/>
    <s v="Summer"/>
    <n v="4.9000000000000004"/>
    <x v="1"/>
    <x v="2"/>
    <x v="1"/>
    <x v="1"/>
    <n v="32"/>
    <x v="3"/>
    <x v="0"/>
    <x v="0"/>
  </r>
  <r>
    <n v="3175"/>
    <x v="4"/>
    <x v="1"/>
    <x v="13"/>
    <x v="0"/>
    <x v="78"/>
    <x v="19"/>
    <s v="L"/>
    <s v="Orange"/>
    <s v="Winter"/>
    <n v="3.8"/>
    <x v="1"/>
    <x v="5"/>
    <x v="1"/>
    <x v="1"/>
    <n v="35"/>
    <x v="3"/>
    <x v="5"/>
    <x v="5"/>
  </r>
  <r>
    <n v="3176"/>
    <x v="25"/>
    <x v="1"/>
    <x v="20"/>
    <x v="0"/>
    <x v="69"/>
    <x v="39"/>
    <s v="M"/>
    <s v="Maroon"/>
    <s v="Fall"/>
    <n v="3.4"/>
    <x v="1"/>
    <x v="5"/>
    <x v="1"/>
    <x v="1"/>
    <n v="26"/>
    <x v="5"/>
    <x v="6"/>
    <x v="3"/>
  </r>
  <r>
    <n v="3177"/>
    <x v="24"/>
    <x v="1"/>
    <x v="3"/>
    <x v="1"/>
    <x v="18"/>
    <x v="10"/>
    <s v="XL"/>
    <s v="Turquoise"/>
    <s v="Spring"/>
    <n v="4.5999999999999996"/>
    <x v="1"/>
    <x v="4"/>
    <x v="1"/>
    <x v="1"/>
    <n v="39"/>
    <x v="2"/>
    <x v="5"/>
    <x v="5"/>
  </r>
  <r>
    <n v="3178"/>
    <x v="0"/>
    <x v="1"/>
    <x v="22"/>
    <x v="3"/>
    <x v="78"/>
    <x v="9"/>
    <s v="L"/>
    <s v="Beige"/>
    <s v="Fall"/>
    <n v="3.2"/>
    <x v="1"/>
    <x v="3"/>
    <x v="1"/>
    <x v="1"/>
    <n v="31"/>
    <x v="2"/>
    <x v="5"/>
    <x v="5"/>
  </r>
  <r>
    <n v="3179"/>
    <x v="17"/>
    <x v="1"/>
    <x v="3"/>
    <x v="1"/>
    <x v="7"/>
    <x v="47"/>
    <s v="L"/>
    <s v="Beige"/>
    <s v="Spring"/>
    <n v="2.7"/>
    <x v="1"/>
    <x v="1"/>
    <x v="1"/>
    <x v="1"/>
    <n v="28"/>
    <x v="2"/>
    <x v="2"/>
    <x v="2"/>
  </r>
  <r>
    <n v="3180"/>
    <x v="9"/>
    <x v="1"/>
    <x v="6"/>
    <x v="0"/>
    <x v="19"/>
    <x v="37"/>
    <s v="M"/>
    <s v="Olive"/>
    <s v="Spring"/>
    <n v="4.3"/>
    <x v="1"/>
    <x v="1"/>
    <x v="1"/>
    <x v="1"/>
    <n v="12"/>
    <x v="5"/>
    <x v="4"/>
    <x v="4"/>
  </r>
  <r>
    <n v="3181"/>
    <x v="20"/>
    <x v="1"/>
    <x v="8"/>
    <x v="3"/>
    <x v="19"/>
    <x v="6"/>
    <s v="L"/>
    <s v="Turquoise"/>
    <s v="Fall"/>
    <n v="3.8"/>
    <x v="1"/>
    <x v="3"/>
    <x v="1"/>
    <x v="1"/>
    <n v="46"/>
    <x v="3"/>
    <x v="1"/>
    <x v="1"/>
  </r>
  <r>
    <n v="3182"/>
    <x v="18"/>
    <x v="1"/>
    <x v="14"/>
    <x v="2"/>
    <x v="12"/>
    <x v="6"/>
    <s v="M"/>
    <s v="Charcoal"/>
    <s v="Summer"/>
    <n v="4.4000000000000004"/>
    <x v="1"/>
    <x v="1"/>
    <x v="1"/>
    <x v="1"/>
    <n v="27"/>
    <x v="3"/>
    <x v="6"/>
    <x v="3"/>
  </r>
  <r>
    <n v="3183"/>
    <x v="2"/>
    <x v="1"/>
    <x v="12"/>
    <x v="3"/>
    <x v="8"/>
    <x v="42"/>
    <s v="L"/>
    <s v="Green"/>
    <s v="Fall"/>
    <n v="3.6"/>
    <x v="1"/>
    <x v="1"/>
    <x v="1"/>
    <x v="1"/>
    <n v="4"/>
    <x v="2"/>
    <x v="2"/>
    <x v="2"/>
  </r>
  <r>
    <n v="3184"/>
    <x v="2"/>
    <x v="1"/>
    <x v="4"/>
    <x v="1"/>
    <x v="22"/>
    <x v="16"/>
    <s v="M"/>
    <s v="Green"/>
    <s v="Winter"/>
    <n v="3.5"/>
    <x v="1"/>
    <x v="3"/>
    <x v="1"/>
    <x v="1"/>
    <n v="14"/>
    <x v="1"/>
    <x v="6"/>
    <x v="3"/>
  </r>
  <r>
    <n v="3185"/>
    <x v="12"/>
    <x v="1"/>
    <x v="1"/>
    <x v="0"/>
    <x v="0"/>
    <x v="11"/>
    <s v="L"/>
    <s v="Green"/>
    <s v="Spring"/>
    <n v="4.2"/>
    <x v="1"/>
    <x v="4"/>
    <x v="1"/>
    <x v="1"/>
    <n v="30"/>
    <x v="0"/>
    <x v="3"/>
    <x v="3"/>
  </r>
  <r>
    <n v="3186"/>
    <x v="16"/>
    <x v="1"/>
    <x v="11"/>
    <x v="0"/>
    <x v="79"/>
    <x v="31"/>
    <s v="L"/>
    <s v="Gold"/>
    <s v="Fall"/>
    <n v="4.7"/>
    <x v="1"/>
    <x v="0"/>
    <x v="1"/>
    <x v="1"/>
    <n v="6"/>
    <x v="3"/>
    <x v="2"/>
    <x v="2"/>
  </r>
  <r>
    <n v="3187"/>
    <x v="21"/>
    <x v="1"/>
    <x v="16"/>
    <x v="3"/>
    <x v="73"/>
    <x v="41"/>
    <s v="S"/>
    <s v="Cyan"/>
    <s v="Winter"/>
    <n v="4.8"/>
    <x v="1"/>
    <x v="5"/>
    <x v="1"/>
    <x v="1"/>
    <n v="43"/>
    <x v="0"/>
    <x v="2"/>
    <x v="2"/>
  </r>
  <r>
    <n v="3188"/>
    <x v="29"/>
    <x v="1"/>
    <x v="0"/>
    <x v="0"/>
    <x v="11"/>
    <x v="21"/>
    <s v="L"/>
    <s v="Indigo"/>
    <s v="Winter"/>
    <n v="3.2"/>
    <x v="1"/>
    <x v="1"/>
    <x v="1"/>
    <x v="1"/>
    <n v="28"/>
    <x v="5"/>
    <x v="1"/>
    <x v="1"/>
  </r>
  <r>
    <n v="3189"/>
    <x v="32"/>
    <x v="1"/>
    <x v="0"/>
    <x v="0"/>
    <x v="40"/>
    <x v="34"/>
    <s v="M"/>
    <s v="Lavender"/>
    <s v="Winter"/>
    <n v="3.5"/>
    <x v="1"/>
    <x v="3"/>
    <x v="1"/>
    <x v="1"/>
    <n v="39"/>
    <x v="4"/>
    <x v="5"/>
    <x v="5"/>
  </r>
  <r>
    <n v="3190"/>
    <x v="15"/>
    <x v="1"/>
    <x v="23"/>
    <x v="1"/>
    <x v="55"/>
    <x v="23"/>
    <s v="M"/>
    <s v="Beige"/>
    <s v="Summer"/>
    <n v="4.2"/>
    <x v="1"/>
    <x v="5"/>
    <x v="1"/>
    <x v="1"/>
    <n v="30"/>
    <x v="3"/>
    <x v="4"/>
    <x v="4"/>
  </r>
  <r>
    <n v="3191"/>
    <x v="38"/>
    <x v="1"/>
    <x v="2"/>
    <x v="0"/>
    <x v="72"/>
    <x v="18"/>
    <s v="S"/>
    <s v="Purple"/>
    <s v="Fall"/>
    <n v="3.4"/>
    <x v="1"/>
    <x v="1"/>
    <x v="1"/>
    <x v="1"/>
    <n v="5"/>
    <x v="2"/>
    <x v="0"/>
    <x v="0"/>
  </r>
  <r>
    <n v="3192"/>
    <x v="46"/>
    <x v="1"/>
    <x v="15"/>
    <x v="0"/>
    <x v="10"/>
    <x v="16"/>
    <s v="XL"/>
    <s v="Maroon"/>
    <s v="Winter"/>
    <n v="4.7"/>
    <x v="1"/>
    <x v="5"/>
    <x v="1"/>
    <x v="1"/>
    <n v="42"/>
    <x v="2"/>
    <x v="6"/>
    <x v="3"/>
  </r>
  <r>
    <n v="3193"/>
    <x v="1"/>
    <x v="1"/>
    <x v="1"/>
    <x v="0"/>
    <x v="31"/>
    <x v="44"/>
    <s v="S"/>
    <s v="Maroon"/>
    <s v="Fall"/>
    <n v="3"/>
    <x v="1"/>
    <x v="1"/>
    <x v="1"/>
    <x v="1"/>
    <n v="20"/>
    <x v="1"/>
    <x v="0"/>
    <x v="0"/>
  </r>
  <r>
    <n v="3194"/>
    <x v="6"/>
    <x v="1"/>
    <x v="24"/>
    <x v="3"/>
    <x v="54"/>
    <x v="41"/>
    <s v="L"/>
    <s v="Teal"/>
    <s v="Winter"/>
    <n v="4"/>
    <x v="1"/>
    <x v="0"/>
    <x v="1"/>
    <x v="1"/>
    <n v="35"/>
    <x v="2"/>
    <x v="0"/>
    <x v="0"/>
  </r>
  <r>
    <n v="3195"/>
    <x v="49"/>
    <x v="1"/>
    <x v="4"/>
    <x v="1"/>
    <x v="78"/>
    <x v="33"/>
    <s v="L"/>
    <s v="Gold"/>
    <s v="Summer"/>
    <n v="4.5999999999999996"/>
    <x v="1"/>
    <x v="3"/>
    <x v="1"/>
    <x v="1"/>
    <n v="10"/>
    <x v="2"/>
    <x v="4"/>
    <x v="4"/>
  </r>
  <r>
    <n v="3196"/>
    <x v="33"/>
    <x v="1"/>
    <x v="12"/>
    <x v="3"/>
    <x v="47"/>
    <x v="9"/>
    <s v="S"/>
    <s v="Red"/>
    <s v="Spring"/>
    <n v="4.9000000000000004"/>
    <x v="1"/>
    <x v="2"/>
    <x v="1"/>
    <x v="1"/>
    <n v="36"/>
    <x v="2"/>
    <x v="3"/>
    <x v="3"/>
  </r>
  <r>
    <n v="3197"/>
    <x v="41"/>
    <x v="1"/>
    <x v="22"/>
    <x v="3"/>
    <x v="40"/>
    <x v="48"/>
    <s v="L"/>
    <s v="Maroon"/>
    <s v="Winter"/>
    <n v="2.8"/>
    <x v="1"/>
    <x v="0"/>
    <x v="1"/>
    <x v="1"/>
    <n v="21"/>
    <x v="5"/>
    <x v="0"/>
    <x v="0"/>
  </r>
  <r>
    <n v="3198"/>
    <x v="7"/>
    <x v="1"/>
    <x v="1"/>
    <x v="0"/>
    <x v="79"/>
    <x v="1"/>
    <s v="M"/>
    <s v="Teal"/>
    <s v="Spring"/>
    <n v="3.2"/>
    <x v="1"/>
    <x v="1"/>
    <x v="1"/>
    <x v="1"/>
    <n v="29"/>
    <x v="2"/>
    <x v="6"/>
    <x v="3"/>
  </r>
  <r>
    <n v="3199"/>
    <x v="12"/>
    <x v="1"/>
    <x v="24"/>
    <x v="3"/>
    <x v="23"/>
    <x v="38"/>
    <s v="L"/>
    <s v="Peach"/>
    <s v="Winter"/>
    <n v="2.8"/>
    <x v="1"/>
    <x v="1"/>
    <x v="1"/>
    <x v="1"/>
    <n v="39"/>
    <x v="5"/>
    <x v="1"/>
    <x v="1"/>
  </r>
  <r>
    <n v="3200"/>
    <x v="35"/>
    <x v="1"/>
    <x v="8"/>
    <x v="3"/>
    <x v="49"/>
    <x v="1"/>
    <s v="XL"/>
    <s v="Pink"/>
    <s v="Winter"/>
    <n v="4.2"/>
    <x v="1"/>
    <x v="0"/>
    <x v="1"/>
    <x v="1"/>
    <n v="16"/>
    <x v="3"/>
    <x v="5"/>
    <x v="5"/>
  </r>
  <r>
    <n v="3201"/>
    <x v="29"/>
    <x v="1"/>
    <x v="20"/>
    <x v="0"/>
    <x v="41"/>
    <x v="9"/>
    <s v="L"/>
    <s v="Black"/>
    <s v="Spring"/>
    <n v="4.8"/>
    <x v="1"/>
    <x v="1"/>
    <x v="1"/>
    <x v="1"/>
    <n v="32"/>
    <x v="2"/>
    <x v="5"/>
    <x v="5"/>
  </r>
  <r>
    <n v="3202"/>
    <x v="5"/>
    <x v="1"/>
    <x v="13"/>
    <x v="0"/>
    <x v="15"/>
    <x v="34"/>
    <s v="S"/>
    <s v="Indigo"/>
    <s v="Fall"/>
    <n v="2.8"/>
    <x v="1"/>
    <x v="4"/>
    <x v="1"/>
    <x v="1"/>
    <n v="34"/>
    <x v="1"/>
    <x v="5"/>
    <x v="5"/>
  </r>
  <r>
    <n v="3203"/>
    <x v="13"/>
    <x v="1"/>
    <x v="18"/>
    <x v="3"/>
    <x v="18"/>
    <x v="48"/>
    <s v="L"/>
    <s v="Green"/>
    <s v="Fall"/>
    <n v="4.5"/>
    <x v="1"/>
    <x v="3"/>
    <x v="1"/>
    <x v="1"/>
    <n v="38"/>
    <x v="0"/>
    <x v="2"/>
    <x v="2"/>
  </r>
  <r>
    <n v="3204"/>
    <x v="6"/>
    <x v="1"/>
    <x v="7"/>
    <x v="2"/>
    <x v="45"/>
    <x v="32"/>
    <s v="L"/>
    <s v="Teal"/>
    <s v="Spring"/>
    <n v="4.0999999999999996"/>
    <x v="1"/>
    <x v="0"/>
    <x v="1"/>
    <x v="1"/>
    <n v="14"/>
    <x v="0"/>
    <x v="2"/>
    <x v="2"/>
  </r>
  <r>
    <n v="3205"/>
    <x v="9"/>
    <x v="1"/>
    <x v="14"/>
    <x v="2"/>
    <x v="56"/>
    <x v="35"/>
    <s v="XL"/>
    <s v="Lavender"/>
    <s v="Fall"/>
    <n v="4.3"/>
    <x v="1"/>
    <x v="1"/>
    <x v="1"/>
    <x v="1"/>
    <n v="23"/>
    <x v="5"/>
    <x v="4"/>
    <x v="4"/>
  </r>
  <r>
    <n v="3206"/>
    <x v="37"/>
    <x v="1"/>
    <x v="15"/>
    <x v="0"/>
    <x v="41"/>
    <x v="24"/>
    <s v="XL"/>
    <s v="Magenta"/>
    <s v="Fall"/>
    <n v="4.4000000000000004"/>
    <x v="1"/>
    <x v="4"/>
    <x v="1"/>
    <x v="1"/>
    <n v="50"/>
    <x v="4"/>
    <x v="6"/>
    <x v="3"/>
  </r>
  <r>
    <n v="3207"/>
    <x v="24"/>
    <x v="1"/>
    <x v="23"/>
    <x v="1"/>
    <x v="78"/>
    <x v="18"/>
    <s v="M"/>
    <s v="Brown"/>
    <s v="Winter"/>
    <n v="3"/>
    <x v="1"/>
    <x v="1"/>
    <x v="1"/>
    <x v="1"/>
    <n v="49"/>
    <x v="3"/>
    <x v="5"/>
    <x v="5"/>
  </r>
  <r>
    <n v="3208"/>
    <x v="29"/>
    <x v="1"/>
    <x v="20"/>
    <x v="0"/>
    <x v="45"/>
    <x v="28"/>
    <s v="XL"/>
    <s v="Beige"/>
    <s v="Summer"/>
    <n v="2.7"/>
    <x v="1"/>
    <x v="2"/>
    <x v="1"/>
    <x v="1"/>
    <n v="14"/>
    <x v="3"/>
    <x v="2"/>
    <x v="2"/>
  </r>
  <r>
    <n v="3209"/>
    <x v="12"/>
    <x v="1"/>
    <x v="16"/>
    <x v="3"/>
    <x v="38"/>
    <x v="27"/>
    <s v="L"/>
    <s v="Indigo"/>
    <s v="Winter"/>
    <n v="3.3"/>
    <x v="1"/>
    <x v="4"/>
    <x v="1"/>
    <x v="1"/>
    <n v="42"/>
    <x v="3"/>
    <x v="1"/>
    <x v="1"/>
  </r>
  <r>
    <n v="3210"/>
    <x v="14"/>
    <x v="1"/>
    <x v="9"/>
    <x v="1"/>
    <x v="9"/>
    <x v="10"/>
    <s v="L"/>
    <s v="Peach"/>
    <s v="Fall"/>
    <n v="4.3"/>
    <x v="1"/>
    <x v="3"/>
    <x v="1"/>
    <x v="1"/>
    <n v="39"/>
    <x v="5"/>
    <x v="2"/>
    <x v="2"/>
  </r>
  <r>
    <n v="3211"/>
    <x v="11"/>
    <x v="1"/>
    <x v="20"/>
    <x v="0"/>
    <x v="25"/>
    <x v="22"/>
    <s v="M"/>
    <s v="Magenta"/>
    <s v="Summer"/>
    <n v="2.9"/>
    <x v="1"/>
    <x v="0"/>
    <x v="1"/>
    <x v="1"/>
    <n v="43"/>
    <x v="0"/>
    <x v="4"/>
    <x v="4"/>
  </r>
  <r>
    <n v="3212"/>
    <x v="10"/>
    <x v="1"/>
    <x v="13"/>
    <x v="0"/>
    <x v="61"/>
    <x v="3"/>
    <s v="L"/>
    <s v="Turquoise"/>
    <s v="Winter"/>
    <n v="4.9000000000000004"/>
    <x v="1"/>
    <x v="3"/>
    <x v="1"/>
    <x v="1"/>
    <n v="12"/>
    <x v="1"/>
    <x v="5"/>
    <x v="5"/>
  </r>
  <r>
    <n v="3213"/>
    <x v="7"/>
    <x v="1"/>
    <x v="4"/>
    <x v="1"/>
    <x v="20"/>
    <x v="5"/>
    <s v="M"/>
    <s v="Indigo"/>
    <s v="Winter"/>
    <n v="3.6"/>
    <x v="1"/>
    <x v="4"/>
    <x v="1"/>
    <x v="1"/>
    <n v="21"/>
    <x v="5"/>
    <x v="1"/>
    <x v="1"/>
  </r>
  <r>
    <n v="3214"/>
    <x v="7"/>
    <x v="1"/>
    <x v="12"/>
    <x v="3"/>
    <x v="22"/>
    <x v="21"/>
    <s v="M"/>
    <s v="Brown"/>
    <s v="Winter"/>
    <n v="3.3"/>
    <x v="1"/>
    <x v="3"/>
    <x v="1"/>
    <x v="1"/>
    <n v="33"/>
    <x v="2"/>
    <x v="5"/>
    <x v="5"/>
  </r>
  <r>
    <n v="3215"/>
    <x v="10"/>
    <x v="1"/>
    <x v="11"/>
    <x v="0"/>
    <x v="72"/>
    <x v="47"/>
    <s v="M"/>
    <s v="Yellow"/>
    <s v="Spring"/>
    <n v="3.1"/>
    <x v="1"/>
    <x v="1"/>
    <x v="1"/>
    <x v="1"/>
    <n v="6"/>
    <x v="5"/>
    <x v="2"/>
    <x v="2"/>
  </r>
  <r>
    <n v="3216"/>
    <x v="50"/>
    <x v="1"/>
    <x v="7"/>
    <x v="2"/>
    <x v="3"/>
    <x v="3"/>
    <s v="M"/>
    <s v="Magenta"/>
    <s v="Summer"/>
    <n v="2.7"/>
    <x v="1"/>
    <x v="1"/>
    <x v="1"/>
    <x v="1"/>
    <n v="10"/>
    <x v="3"/>
    <x v="6"/>
    <x v="3"/>
  </r>
  <r>
    <n v="3217"/>
    <x v="31"/>
    <x v="1"/>
    <x v="15"/>
    <x v="0"/>
    <x v="6"/>
    <x v="26"/>
    <s v="S"/>
    <s v="Olive"/>
    <s v="Winter"/>
    <n v="3.4"/>
    <x v="1"/>
    <x v="2"/>
    <x v="1"/>
    <x v="1"/>
    <n v="18"/>
    <x v="1"/>
    <x v="1"/>
    <x v="1"/>
  </r>
  <r>
    <n v="3218"/>
    <x v="42"/>
    <x v="1"/>
    <x v="12"/>
    <x v="3"/>
    <x v="47"/>
    <x v="4"/>
    <s v="M"/>
    <s v="Silver"/>
    <s v="Fall"/>
    <n v="3.4"/>
    <x v="1"/>
    <x v="0"/>
    <x v="1"/>
    <x v="1"/>
    <n v="46"/>
    <x v="0"/>
    <x v="1"/>
    <x v="1"/>
  </r>
  <r>
    <n v="3219"/>
    <x v="43"/>
    <x v="1"/>
    <x v="11"/>
    <x v="0"/>
    <x v="7"/>
    <x v="20"/>
    <s v="M"/>
    <s v="Teal"/>
    <s v="Fall"/>
    <n v="3.9"/>
    <x v="1"/>
    <x v="0"/>
    <x v="1"/>
    <x v="1"/>
    <n v="49"/>
    <x v="3"/>
    <x v="5"/>
    <x v="5"/>
  </r>
  <r>
    <n v="3220"/>
    <x v="9"/>
    <x v="1"/>
    <x v="7"/>
    <x v="2"/>
    <x v="49"/>
    <x v="23"/>
    <s v="L"/>
    <s v="White"/>
    <s v="Summer"/>
    <n v="3.5"/>
    <x v="1"/>
    <x v="4"/>
    <x v="1"/>
    <x v="1"/>
    <n v="39"/>
    <x v="2"/>
    <x v="1"/>
    <x v="1"/>
  </r>
  <r>
    <n v="3221"/>
    <x v="21"/>
    <x v="1"/>
    <x v="8"/>
    <x v="3"/>
    <x v="45"/>
    <x v="25"/>
    <s v="M"/>
    <s v="Blue"/>
    <s v="Fall"/>
    <n v="4.0999999999999996"/>
    <x v="1"/>
    <x v="1"/>
    <x v="1"/>
    <x v="1"/>
    <n v="16"/>
    <x v="1"/>
    <x v="5"/>
    <x v="5"/>
  </r>
  <r>
    <n v="3222"/>
    <x v="3"/>
    <x v="1"/>
    <x v="17"/>
    <x v="0"/>
    <x v="31"/>
    <x v="13"/>
    <s v="M"/>
    <s v="Yellow"/>
    <s v="Winter"/>
    <n v="3.2"/>
    <x v="1"/>
    <x v="3"/>
    <x v="1"/>
    <x v="1"/>
    <n v="28"/>
    <x v="1"/>
    <x v="2"/>
    <x v="2"/>
  </r>
  <r>
    <n v="3223"/>
    <x v="4"/>
    <x v="1"/>
    <x v="12"/>
    <x v="3"/>
    <x v="63"/>
    <x v="21"/>
    <s v="S"/>
    <s v="Maroon"/>
    <s v="Fall"/>
    <n v="4.5999999999999996"/>
    <x v="1"/>
    <x v="5"/>
    <x v="1"/>
    <x v="1"/>
    <n v="22"/>
    <x v="3"/>
    <x v="3"/>
    <x v="3"/>
  </r>
  <r>
    <n v="3224"/>
    <x v="33"/>
    <x v="1"/>
    <x v="5"/>
    <x v="0"/>
    <x v="61"/>
    <x v="6"/>
    <s v="S"/>
    <s v="Gray"/>
    <s v="Spring"/>
    <n v="3.9"/>
    <x v="1"/>
    <x v="3"/>
    <x v="1"/>
    <x v="1"/>
    <n v="36"/>
    <x v="0"/>
    <x v="4"/>
    <x v="4"/>
  </r>
  <r>
    <n v="3225"/>
    <x v="43"/>
    <x v="1"/>
    <x v="15"/>
    <x v="0"/>
    <x v="68"/>
    <x v="12"/>
    <s v="L"/>
    <s v="Indigo"/>
    <s v="Winter"/>
    <n v="2.7"/>
    <x v="1"/>
    <x v="1"/>
    <x v="1"/>
    <x v="1"/>
    <n v="18"/>
    <x v="3"/>
    <x v="5"/>
    <x v="5"/>
  </r>
  <r>
    <n v="3226"/>
    <x v="10"/>
    <x v="1"/>
    <x v="0"/>
    <x v="0"/>
    <x v="57"/>
    <x v="13"/>
    <s v="M"/>
    <s v="Pink"/>
    <s v="Fall"/>
    <n v="3"/>
    <x v="1"/>
    <x v="5"/>
    <x v="1"/>
    <x v="1"/>
    <n v="31"/>
    <x v="2"/>
    <x v="1"/>
    <x v="1"/>
  </r>
  <r>
    <n v="3227"/>
    <x v="9"/>
    <x v="1"/>
    <x v="4"/>
    <x v="1"/>
    <x v="79"/>
    <x v="46"/>
    <s v="XL"/>
    <s v="Beige"/>
    <s v="Spring"/>
    <n v="3.3"/>
    <x v="1"/>
    <x v="2"/>
    <x v="1"/>
    <x v="1"/>
    <n v="38"/>
    <x v="4"/>
    <x v="0"/>
    <x v="0"/>
  </r>
  <r>
    <n v="3228"/>
    <x v="48"/>
    <x v="1"/>
    <x v="18"/>
    <x v="3"/>
    <x v="28"/>
    <x v="29"/>
    <s v="XL"/>
    <s v="White"/>
    <s v="Fall"/>
    <n v="2.7"/>
    <x v="1"/>
    <x v="1"/>
    <x v="1"/>
    <x v="1"/>
    <n v="42"/>
    <x v="5"/>
    <x v="3"/>
    <x v="3"/>
  </r>
  <r>
    <n v="3229"/>
    <x v="43"/>
    <x v="1"/>
    <x v="16"/>
    <x v="3"/>
    <x v="51"/>
    <x v="39"/>
    <s v="M"/>
    <s v="Yellow"/>
    <s v="Spring"/>
    <n v="4.5999999999999996"/>
    <x v="1"/>
    <x v="4"/>
    <x v="1"/>
    <x v="1"/>
    <n v="27"/>
    <x v="3"/>
    <x v="2"/>
    <x v="2"/>
  </r>
  <r>
    <n v="3230"/>
    <x v="22"/>
    <x v="1"/>
    <x v="13"/>
    <x v="0"/>
    <x v="25"/>
    <x v="39"/>
    <s v="M"/>
    <s v="Teal"/>
    <s v="Fall"/>
    <n v="2.7"/>
    <x v="1"/>
    <x v="0"/>
    <x v="1"/>
    <x v="1"/>
    <n v="24"/>
    <x v="1"/>
    <x v="5"/>
    <x v="5"/>
  </r>
  <r>
    <n v="3231"/>
    <x v="34"/>
    <x v="1"/>
    <x v="4"/>
    <x v="1"/>
    <x v="4"/>
    <x v="23"/>
    <s v="M"/>
    <s v="Olive"/>
    <s v="Summer"/>
    <n v="2.5"/>
    <x v="1"/>
    <x v="2"/>
    <x v="1"/>
    <x v="1"/>
    <n v="38"/>
    <x v="5"/>
    <x v="2"/>
    <x v="2"/>
  </r>
  <r>
    <n v="3232"/>
    <x v="46"/>
    <x v="1"/>
    <x v="9"/>
    <x v="1"/>
    <x v="8"/>
    <x v="22"/>
    <s v="M"/>
    <s v="Maroon"/>
    <s v="Winter"/>
    <n v="4.4000000000000004"/>
    <x v="1"/>
    <x v="1"/>
    <x v="1"/>
    <x v="1"/>
    <n v="9"/>
    <x v="2"/>
    <x v="2"/>
    <x v="2"/>
  </r>
  <r>
    <n v="3233"/>
    <x v="4"/>
    <x v="1"/>
    <x v="17"/>
    <x v="0"/>
    <x v="7"/>
    <x v="2"/>
    <s v="M"/>
    <s v="White"/>
    <s v="Spring"/>
    <n v="4"/>
    <x v="1"/>
    <x v="2"/>
    <x v="1"/>
    <x v="1"/>
    <n v="19"/>
    <x v="4"/>
    <x v="5"/>
    <x v="5"/>
  </r>
  <r>
    <n v="3234"/>
    <x v="4"/>
    <x v="1"/>
    <x v="22"/>
    <x v="3"/>
    <x v="67"/>
    <x v="27"/>
    <s v="M"/>
    <s v="Lavender"/>
    <s v="Fall"/>
    <n v="3.8"/>
    <x v="1"/>
    <x v="0"/>
    <x v="1"/>
    <x v="1"/>
    <n v="11"/>
    <x v="5"/>
    <x v="4"/>
    <x v="4"/>
  </r>
  <r>
    <n v="3235"/>
    <x v="34"/>
    <x v="1"/>
    <x v="16"/>
    <x v="3"/>
    <x v="48"/>
    <x v="47"/>
    <s v="M"/>
    <s v="Black"/>
    <s v="Winter"/>
    <n v="2.5"/>
    <x v="1"/>
    <x v="4"/>
    <x v="1"/>
    <x v="1"/>
    <n v="16"/>
    <x v="5"/>
    <x v="3"/>
    <x v="3"/>
  </r>
  <r>
    <n v="3236"/>
    <x v="7"/>
    <x v="1"/>
    <x v="22"/>
    <x v="3"/>
    <x v="10"/>
    <x v="23"/>
    <s v="M"/>
    <s v="Green"/>
    <s v="Summer"/>
    <n v="4"/>
    <x v="1"/>
    <x v="1"/>
    <x v="1"/>
    <x v="1"/>
    <n v="18"/>
    <x v="0"/>
    <x v="5"/>
    <x v="5"/>
  </r>
  <r>
    <n v="3237"/>
    <x v="6"/>
    <x v="1"/>
    <x v="22"/>
    <x v="3"/>
    <x v="63"/>
    <x v="36"/>
    <s v="L"/>
    <s v="Olive"/>
    <s v="Fall"/>
    <n v="4.0999999999999996"/>
    <x v="1"/>
    <x v="2"/>
    <x v="1"/>
    <x v="1"/>
    <n v="8"/>
    <x v="1"/>
    <x v="5"/>
    <x v="5"/>
  </r>
  <r>
    <n v="3238"/>
    <x v="12"/>
    <x v="1"/>
    <x v="17"/>
    <x v="0"/>
    <x v="75"/>
    <x v="34"/>
    <s v="M"/>
    <s v="Gray"/>
    <s v="Summer"/>
    <n v="2.8"/>
    <x v="1"/>
    <x v="0"/>
    <x v="1"/>
    <x v="1"/>
    <n v="4"/>
    <x v="1"/>
    <x v="1"/>
    <x v="1"/>
  </r>
  <r>
    <n v="3239"/>
    <x v="15"/>
    <x v="1"/>
    <x v="4"/>
    <x v="1"/>
    <x v="63"/>
    <x v="5"/>
    <s v="XL"/>
    <s v="Teal"/>
    <s v="Fall"/>
    <n v="3.4"/>
    <x v="1"/>
    <x v="4"/>
    <x v="1"/>
    <x v="1"/>
    <n v="37"/>
    <x v="1"/>
    <x v="3"/>
    <x v="3"/>
  </r>
  <r>
    <n v="3240"/>
    <x v="23"/>
    <x v="1"/>
    <x v="12"/>
    <x v="3"/>
    <x v="50"/>
    <x v="24"/>
    <s v="M"/>
    <s v="Charcoal"/>
    <s v="Fall"/>
    <n v="2.7"/>
    <x v="1"/>
    <x v="4"/>
    <x v="1"/>
    <x v="1"/>
    <n v="30"/>
    <x v="1"/>
    <x v="5"/>
    <x v="5"/>
  </r>
  <r>
    <n v="3241"/>
    <x v="19"/>
    <x v="1"/>
    <x v="3"/>
    <x v="1"/>
    <x v="18"/>
    <x v="8"/>
    <s v="M"/>
    <s v="Violet"/>
    <s v="Fall"/>
    <n v="3.8"/>
    <x v="1"/>
    <x v="4"/>
    <x v="1"/>
    <x v="1"/>
    <n v="37"/>
    <x v="4"/>
    <x v="5"/>
    <x v="5"/>
  </r>
  <r>
    <n v="3242"/>
    <x v="2"/>
    <x v="1"/>
    <x v="8"/>
    <x v="3"/>
    <x v="47"/>
    <x v="39"/>
    <s v="M"/>
    <s v="Lavender"/>
    <s v="Summer"/>
    <n v="4.4000000000000004"/>
    <x v="1"/>
    <x v="5"/>
    <x v="1"/>
    <x v="1"/>
    <n v="30"/>
    <x v="3"/>
    <x v="3"/>
    <x v="3"/>
  </r>
  <r>
    <n v="3243"/>
    <x v="4"/>
    <x v="1"/>
    <x v="20"/>
    <x v="0"/>
    <x v="67"/>
    <x v="4"/>
    <s v="S"/>
    <s v="Beige"/>
    <s v="Fall"/>
    <n v="2.8"/>
    <x v="1"/>
    <x v="0"/>
    <x v="1"/>
    <x v="1"/>
    <n v="17"/>
    <x v="0"/>
    <x v="1"/>
    <x v="1"/>
  </r>
  <r>
    <n v="3244"/>
    <x v="4"/>
    <x v="1"/>
    <x v="15"/>
    <x v="0"/>
    <x v="54"/>
    <x v="37"/>
    <s v="L"/>
    <s v="Black"/>
    <s v="Summer"/>
    <n v="5"/>
    <x v="1"/>
    <x v="5"/>
    <x v="1"/>
    <x v="1"/>
    <n v="11"/>
    <x v="4"/>
    <x v="6"/>
    <x v="3"/>
  </r>
  <r>
    <n v="3245"/>
    <x v="13"/>
    <x v="1"/>
    <x v="1"/>
    <x v="0"/>
    <x v="13"/>
    <x v="10"/>
    <s v="M"/>
    <s v="Black"/>
    <s v="Fall"/>
    <n v="4.7"/>
    <x v="1"/>
    <x v="0"/>
    <x v="1"/>
    <x v="1"/>
    <n v="42"/>
    <x v="2"/>
    <x v="2"/>
    <x v="2"/>
  </r>
  <r>
    <n v="3246"/>
    <x v="6"/>
    <x v="1"/>
    <x v="13"/>
    <x v="0"/>
    <x v="31"/>
    <x v="23"/>
    <s v="M"/>
    <s v="Purple"/>
    <s v="Fall"/>
    <n v="3.2"/>
    <x v="1"/>
    <x v="2"/>
    <x v="1"/>
    <x v="1"/>
    <n v="20"/>
    <x v="1"/>
    <x v="1"/>
    <x v="1"/>
  </r>
  <r>
    <n v="3247"/>
    <x v="27"/>
    <x v="1"/>
    <x v="4"/>
    <x v="1"/>
    <x v="57"/>
    <x v="49"/>
    <s v="M"/>
    <s v="Magenta"/>
    <s v="Summer"/>
    <n v="2.9"/>
    <x v="1"/>
    <x v="5"/>
    <x v="1"/>
    <x v="1"/>
    <n v="37"/>
    <x v="1"/>
    <x v="5"/>
    <x v="5"/>
  </r>
  <r>
    <n v="3248"/>
    <x v="10"/>
    <x v="1"/>
    <x v="24"/>
    <x v="3"/>
    <x v="26"/>
    <x v="10"/>
    <s v="M"/>
    <s v="Teal"/>
    <s v="Summer"/>
    <n v="3.7"/>
    <x v="1"/>
    <x v="0"/>
    <x v="1"/>
    <x v="1"/>
    <n v="12"/>
    <x v="3"/>
    <x v="0"/>
    <x v="0"/>
  </r>
  <r>
    <n v="3249"/>
    <x v="40"/>
    <x v="1"/>
    <x v="17"/>
    <x v="0"/>
    <x v="24"/>
    <x v="38"/>
    <s v="S"/>
    <s v="Teal"/>
    <s v="Summer"/>
    <n v="4.2"/>
    <x v="1"/>
    <x v="1"/>
    <x v="1"/>
    <x v="1"/>
    <n v="41"/>
    <x v="4"/>
    <x v="3"/>
    <x v="3"/>
  </r>
  <r>
    <n v="3250"/>
    <x v="8"/>
    <x v="1"/>
    <x v="21"/>
    <x v="3"/>
    <x v="42"/>
    <x v="41"/>
    <s v="M"/>
    <s v="Pink"/>
    <s v="Summer"/>
    <n v="3.4"/>
    <x v="1"/>
    <x v="0"/>
    <x v="1"/>
    <x v="1"/>
    <n v="32"/>
    <x v="2"/>
    <x v="3"/>
    <x v="3"/>
  </r>
  <r>
    <n v="3251"/>
    <x v="51"/>
    <x v="1"/>
    <x v="7"/>
    <x v="2"/>
    <x v="3"/>
    <x v="46"/>
    <s v="M"/>
    <s v="Teal"/>
    <s v="Spring"/>
    <n v="2.9"/>
    <x v="1"/>
    <x v="4"/>
    <x v="1"/>
    <x v="1"/>
    <n v="15"/>
    <x v="0"/>
    <x v="1"/>
    <x v="1"/>
  </r>
  <r>
    <n v="3252"/>
    <x v="15"/>
    <x v="1"/>
    <x v="7"/>
    <x v="2"/>
    <x v="5"/>
    <x v="22"/>
    <s v="M"/>
    <s v="Gold"/>
    <s v="Winter"/>
    <n v="3.7"/>
    <x v="1"/>
    <x v="3"/>
    <x v="1"/>
    <x v="1"/>
    <n v="39"/>
    <x v="0"/>
    <x v="3"/>
    <x v="3"/>
  </r>
  <r>
    <n v="3253"/>
    <x v="28"/>
    <x v="1"/>
    <x v="3"/>
    <x v="1"/>
    <x v="34"/>
    <x v="6"/>
    <s v="L"/>
    <s v="Brown"/>
    <s v="Spring"/>
    <n v="2.7"/>
    <x v="1"/>
    <x v="5"/>
    <x v="1"/>
    <x v="1"/>
    <n v="48"/>
    <x v="2"/>
    <x v="0"/>
    <x v="0"/>
  </r>
  <r>
    <n v="3254"/>
    <x v="24"/>
    <x v="1"/>
    <x v="21"/>
    <x v="3"/>
    <x v="30"/>
    <x v="43"/>
    <s v="M"/>
    <s v="Brown"/>
    <s v="Fall"/>
    <n v="3.2"/>
    <x v="1"/>
    <x v="4"/>
    <x v="1"/>
    <x v="1"/>
    <n v="8"/>
    <x v="0"/>
    <x v="0"/>
    <x v="0"/>
  </r>
  <r>
    <n v="3255"/>
    <x v="3"/>
    <x v="1"/>
    <x v="1"/>
    <x v="0"/>
    <x v="9"/>
    <x v="27"/>
    <s v="S"/>
    <s v="Magenta"/>
    <s v="Winter"/>
    <n v="4.9000000000000004"/>
    <x v="1"/>
    <x v="5"/>
    <x v="1"/>
    <x v="1"/>
    <n v="11"/>
    <x v="4"/>
    <x v="6"/>
    <x v="3"/>
  </r>
  <r>
    <n v="3256"/>
    <x v="9"/>
    <x v="1"/>
    <x v="6"/>
    <x v="0"/>
    <x v="49"/>
    <x v="32"/>
    <s v="M"/>
    <s v="Black"/>
    <s v="Fall"/>
    <n v="2.8"/>
    <x v="1"/>
    <x v="2"/>
    <x v="1"/>
    <x v="1"/>
    <n v="36"/>
    <x v="4"/>
    <x v="5"/>
    <x v="5"/>
  </r>
  <r>
    <n v="3257"/>
    <x v="52"/>
    <x v="1"/>
    <x v="12"/>
    <x v="3"/>
    <x v="46"/>
    <x v="48"/>
    <s v="L"/>
    <s v="Teal"/>
    <s v="Winter"/>
    <n v="4.7"/>
    <x v="1"/>
    <x v="1"/>
    <x v="1"/>
    <x v="1"/>
    <n v="50"/>
    <x v="0"/>
    <x v="6"/>
    <x v="3"/>
  </r>
  <r>
    <n v="3258"/>
    <x v="42"/>
    <x v="1"/>
    <x v="5"/>
    <x v="0"/>
    <x v="57"/>
    <x v="46"/>
    <s v="M"/>
    <s v="Brown"/>
    <s v="Fall"/>
    <n v="3.3"/>
    <x v="1"/>
    <x v="0"/>
    <x v="1"/>
    <x v="1"/>
    <n v="39"/>
    <x v="0"/>
    <x v="6"/>
    <x v="3"/>
  </r>
  <r>
    <n v="3259"/>
    <x v="18"/>
    <x v="1"/>
    <x v="9"/>
    <x v="1"/>
    <x v="12"/>
    <x v="32"/>
    <s v="M"/>
    <s v="Magenta"/>
    <s v="Spring"/>
    <n v="4.3"/>
    <x v="1"/>
    <x v="0"/>
    <x v="1"/>
    <x v="1"/>
    <n v="11"/>
    <x v="2"/>
    <x v="4"/>
    <x v="4"/>
  </r>
  <r>
    <n v="3260"/>
    <x v="9"/>
    <x v="1"/>
    <x v="19"/>
    <x v="3"/>
    <x v="51"/>
    <x v="19"/>
    <s v="XL"/>
    <s v="Indigo"/>
    <s v="Fall"/>
    <n v="3.7"/>
    <x v="1"/>
    <x v="4"/>
    <x v="1"/>
    <x v="1"/>
    <n v="5"/>
    <x v="5"/>
    <x v="6"/>
    <x v="3"/>
  </r>
  <r>
    <n v="3261"/>
    <x v="31"/>
    <x v="1"/>
    <x v="18"/>
    <x v="3"/>
    <x v="14"/>
    <x v="48"/>
    <s v="M"/>
    <s v="Violet"/>
    <s v="Summer"/>
    <n v="4.5"/>
    <x v="1"/>
    <x v="4"/>
    <x v="1"/>
    <x v="1"/>
    <n v="7"/>
    <x v="2"/>
    <x v="2"/>
    <x v="2"/>
  </r>
  <r>
    <n v="3262"/>
    <x v="39"/>
    <x v="1"/>
    <x v="22"/>
    <x v="3"/>
    <x v="78"/>
    <x v="3"/>
    <s v="L"/>
    <s v="Cyan"/>
    <s v="Winter"/>
    <n v="3.4"/>
    <x v="1"/>
    <x v="5"/>
    <x v="1"/>
    <x v="1"/>
    <n v="50"/>
    <x v="5"/>
    <x v="1"/>
    <x v="1"/>
  </r>
  <r>
    <n v="3263"/>
    <x v="32"/>
    <x v="1"/>
    <x v="17"/>
    <x v="0"/>
    <x v="59"/>
    <x v="27"/>
    <s v="M"/>
    <s v="Violet"/>
    <s v="Spring"/>
    <n v="2.7"/>
    <x v="1"/>
    <x v="3"/>
    <x v="1"/>
    <x v="1"/>
    <n v="21"/>
    <x v="1"/>
    <x v="6"/>
    <x v="3"/>
  </r>
  <r>
    <n v="3264"/>
    <x v="19"/>
    <x v="1"/>
    <x v="6"/>
    <x v="0"/>
    <x v="10"/>
    <x v="34"/>
    <s v="S"/>
    <s v="Black"/>
    <s v="Fall"/>
    <n v="4.4000000000000004"/>
    <x v="1"/>
    <x v="0"/>
    <x v="1"/>
    <x v="1"/>
    <n v="31"/>
    <x v="5"/>
    <x v="0"/>
    <x v="0"/>
  </r>
  <r>
    <n v="3265"/>
    <x v="48"/>
    <x v="1"/>
    <x v="13"/>
    <x v="0"/>
    <x v="74"/>
    <x v="1"/>
    <s v="S"/>
    <s v="Charcoal"/>
    <s v="Winter"/>
    <n v="4"/>
    <x v="1"/>
    <x v="0"/>
    <x v="1"/>
    <x v="1"/>
    <n v="39"/>
    <x v="1"/>
    <x v="4"/>
    <x v="4"/>
  </r>
  <r>
    <n v="3266"/>
    <x v="37"/>
    <x v="1"/>
    <x v="12"/>
    <x v="3"/>
    <x v="33"/>
    <x v="15"/>
    <s v="M"/>
    <s v="White"/>
    <s v="Winter"/>
    <n v="3.2"/>
    <x v="1"/>
    <x v="0"/>
    <x v="1"/>
    <x v="1"/>
    <n v="28"/>
    <x v="2"/>
    <x v="0"/>
    <x v="0"/>
  </r>
  <r>
    <n v="3267"/>
    <x v="34"/>
    <x v="1"/>
    <x v="7"/>
    <x v="2"/>
    <x v="67"/>
    <x v="15"/>
    <s v="S"/>
    <s v="Gray"/>
    <s v="Winter"/>
    <n v="4.2"/>
    <x v="1"/>
    <x v="2"/>
    <x v="1"/>
    <x v="1"/>
    <n v="33"/>
    <x v="4"/>
    <x v="1"/>
    <x v="1"/>
  </r>
  <r>
    <n v="3268"/>
    <x v="43"/>
    <x v="1"/>
    <x v="15"/>
    <x v="0"/>
    <x v="29"/>
    <x v="37"/>
    <s v="L"/>
    <s v="Pink"/>
    <s v="Winter"/>
    <n v="3"/>
    <x v="1"/>
    <x v="5"/>
    <x v="1"/>
    <x v="1"/>
    <n v="42"/>
    <x v="2"/>
    <x v="3"/>
    <x v="3"/>
  </r>
  <r>
    <n v="3269"/>
    <x v="40"/>
    <x v="1"/>
    <x v="10"/>
    <x v="0"/>
    <x v="8"/>
    <x v="10"/>
    <s v="M"/>
    <s v="Cyan"/>
    <s v="Fall"/>
    <n v="2.8"/>
    <x v="1"/>
    <x v="1"/>
    <x v="1"/>
    <x v="1"/>
    <n v="5"/>
    <x v="4"/>
    <x v="6"/>
    <x v="3"/>
  </r>
  <r>
    <n v="3270"/>
    <x v="7"/>
    <x v="1"/>
    <x v="0"/>
    <x v="0"/>
    <x v="30"/>
    <x v="31"/>
    <s v="M"/>
    <s v="Blue"/>
    <s v="Winter"/>
    <n v="4.9000000000000004"/>
    <x v="1"/>
    <x v="0"/>
    <x v="1"/>
    <x v="1"/>
    <n v="25"/>
    <x v="1"/>
    <x v="5"/>
    <x v="5"/>
  </r>
  <r>
    <n v="3271"/>
    <x v="35"/>
    <x v="1"/>
    <x v="20"/>
    <x v="0"/>
    <x v="21"/>
    <x v="26"/>
    <s v="M"/>
    <s v="Indigo"/>
    <s v="Winter"/>
    <n v="4.7"/>
    <x v="1"/>
    <x v="0"/>
    <x v="1"/>
    <x v="1"/>
    <n v="48"/>
    <x v="3"/>
    <x v="2"/>
    <x v="2"/>
  </r>
  <r>
    <n v="3272"/>
    <x v="25"/>
    <x v="1"/>
    <x v="20"/>
    <x v="0"/>
    <x v="37"/>
    <x v="22"/>
    <s v="XL"/>
    <s v="Magenta"/>
    <s v="Spring"/>
    <n v="4.4000000000000004"/>
    <x v="1"/>
    <x v="3"/>
    <x v="1"/>
    <x v="1"/>
    <n v="30"/>
    <x v="2"/>
    <x v="1"/>
    <x v="1"/>
  </r>
  <r>
    <n v="3273"/>
    <x v="44"/>
    <x v="1"/>
    <x v="9"/>
    <x v="1"/>
    <x v="54"/>
    <x v="21"/>
    <s v="M"/>
    <s v="Lavender"/>
    <s v="Winter"/>
    <n v="3.1"/>
    <x v="1"/>
    <x v="2"/>
    <x v="1"/>
    <x v="1"/>
    <n v="34"/>
    <x v="3"/>
    <x v="3"/>
    <x v="3"/>
  </r>
  <r>
    <n v="3274"/>
    <x v="44"/>
    <x v="1"/>
    <x v="22"/>
    <x v="3"/>
    <x v="29"/>
    <x v="22"/>
    <s v="S"/>
    <s v="Orange"/>
    <s v="Summer"/>
    <n v="2.6"/>
    <x v="1"/>
    <x v="1"/>
    <x v="1"/>
    <x v="1"/>
    <n v="34"/>
    <x v="3"/>
    <x v="6"/>
    <x v="3"/>
  </r>
  <r>
    <n v="3275"/>
    <x v="5"/>
    <x v="1"/>
    <x v="1"/>
    <x v="0"/>
    <x v="5"/>
    <x v="19"/>
    <s v="M"/>
    <s v="Cyan"/>
    <s v="Spring"/>
    <n v="3.9"/>
    <x v="1"/>
    <x v="5"/>
    <x v="1"/>
    <x v="1"/>
    <n v="14"/>
    <x v="1"/>
    <x v="0"/>
    <x v="0"/>
  </r>
  <r>
    <n v="3276"/>
    <x v="49"/>
    <x v="1"/>
    <x v="13"/>
    <x v="0"/>
    <x v="19"/>
    <x v="15"/>
    <s v="XL"/>
    <s v="Green"/>
    <s v="Summer"/>
    <n v="2.6"/>
    <x v="1"/>
    <x v="4"/>
    <x v="1"/>
    <x v="1"/>
    <n v="2"/>
    <x v="5"/>
    <x v="1"/>
    <x v="1"/>
  </r>
  <r>
    <n v="3277"/>
    <x v="31"/>
    <x v="1"/>
    <x v="18"/>
    <x v="3"/>
    <x v="54"/>
    <x v="45"/>
    <s v="M"/>
    <s v="White"/>
    <s v="Summer"/>
    <n v="4"/>
    <x v="1"/>
    <x v="5"/>
    <x v="1"/>
    <x v="1"/>
    <n v="41"/>
    <x v="3"/>
    <x v="6"/>
    <x v="3"/>
  </r>
  <r>
    <n v="3278"/>
    <x v="35"/>
    <x v="1"/>
    <x v="11"/>
    <x v="0"/>
    <x v="62"/>
    <x v="21"/>
    <s v="M"/>
    <s v="Blue"/>
    <s v="Spring"/>
    <n v="4.9000000000000004"/>
    <x v="1"/>
    <x v="5"/>
    <x v="1"/>
    <x v="1"/>
    <n v="3"/>
    <x v="2"/>
    <x v="5"/>
    <x v="5"/>
  </r>
  <r>
    <n v="3279"/>
    <x v="35"/>
    <x v="1"/>
    <x v="10"/>
    <x v="0"/>
    <x v="44"/>
    <x v="6"/>
    <s v="M"/>
    <s v="Black"/>
    <s v="Summer"/>
    <n v="3.3"/>
    <x v="1"/>
    <x v="4"/>
    <x v="1"/>
    <x v="1"/>
    <n v="18"/>
    <x v="4"/>
    <x v="1"/>
    <x v="1"/>
  </r>
  <r>
    <n v="3280"/>
    <x v="35"/>
    <x v="1"/>
    <x v="19"/>
    <x v="3"/>
    <x v="74"/>
    <x v="5"/>
    <s v="S"/>
    <s v="Red"/>
    <s v="Fall"/>
    <n v="3"/>
    <x v="1"/>
    <x v="0"/>
    <x v="1"/>
    <x v="1"/>
    <n v="1"/>
    <x v="5"/>
    <x v="0"/>
    <x v="0"/>
  </r>
  <r>
    <n v="3281"/>
    <x v="4"/>
    <x v="1"/>
    <x v="8"/>
    <x v="3"/>
    <x v="75"/>
    <x v="14"/>
    <s v="L"/>
    <s v="Red"/>
    <s v="Winter"/>
    <n v="2.7"/>
    <x v="1"/>
    <x v="2"/>
    <x v="1"/>
    <x v="1"/>
    <n v="5"/>
    <x v="3"/>
    <x v="5"/>
    <x v="5"/>
  </r>
  <r>
    <n v="3282"/>
    <x v="7"/>
    <x v="1"/>
    <x v="13"/>
    <x v="0"/>
    <x v="28"/>
    <x v="4"/>
    <s v="L"/>
    <s v="Gold"/>
    <s v="Winter"/>
    <n v="3.1"/>
    <x v="1"/>
    <x v="1"/>
    <x v="1"/>
    <x v="1"/>
    <n v="41"/>
    <x v="4"/>
    <x v="2"/>
    <x v="2"/>
  </r>
  <r>
    <n v="3283"/>
    <x v="41"/>
    <x v="1"/>
    <x v="17"/>
    <x v="0"/>
    <x v="23"/>
    <x v="18"/>
    <s v="M"/>
    <s v="Red"/>
    <s v="Fall"/>
    <n v="4.8"/>
    <x v="1"/>
    <x v="2"/>
    <x v="1"/>
    <x v="1"/>
    <n v="5"/>
    <x v="2"/>
    <x v="5"/>
    <x v="5"/>
  </r>
  <r>
    <n v="3284"/>
    <x v="36"/>
    <x v="1"/>
    <x v="14"/>
    <x v="2"/>
    <x v="41"/>
    <x v="17"/>
    <s v="L"/>
    <s v="Purple"/>
    <s v="Spring"/>
    <n v="2.9"/>
    <x v="1"/>
    <x v="0"/>
    <x v="1"/>
    <x v="1"/>
    <n v="10"/>
    <x v="5"/>
    <x v="6"/>
    <x v="3"/>
  </r>
  <r>
    <n v="3285"/>
    <x v="27"/>
    <x v="1"/>
    <x v="18"/>
    <x v="3"/>
    <x v="24"/>
    <x v="0"/>
    <s v="L"/>
    <s v="White"/>
    <s v="Spring"/>
    <n v="4.5"/>
    <x v="1"/>
    <x v="4"/>
    <x v="1"/>
    <x v="1"/>
    <n v="20"/>
    <x v="0"/>
    <x v="2"/>
    <x v="2"/>
  </r>
  <r>
    <n v="3286"/>
    <x v="44"/>
    <x v="1"/>
    <x v="19"/>
    <x v="3"/>
    <x v="9"/>
    <x v="11"/>
    <s v="XL"/>
    <s v="Magenta"/>
    <s v="Fall"/>
    <n v="4.5999999999999996"/>
    <x v="1"/>
    <x v="1"/>
    <x v="1"/>
    <x v="1"/>
    <n v="11"/>
    <x v="1"/>
    <x v="1"/>
    <x v="1"/>
  </r>
  <r>
    <n v="3287"/>
    <x v="4"/>
    <x v="1"/>
    <x v="14"/>
    <x v="2"/>
    <x v="25"/>
    <x v="26"/>
    <s v="L"/>
    <s v="Pink"/>
    <s v="Winter"/>
    <n v="5"/>
    <x v="1"/>
    <x v="0"/>
    <x v="1"/>
    <x v="1"/>
    <n v="4"/>
    <x v="0"/>
    <x v="0"/>
    <x v="0"/>
  </r>
  <r>
    <n v="3288"/>
    <x v="41"/>
    <x v="1"/>
    <x v="11"/>
    <x v="0"/>
    <x v="80"/>
    <x v="8"/>
    <s v="L"/>
    <s v="Black"/>
    <s v="Spring"/>
    <n v="4.3"/>
    <x v="1"/>
    <x v="4"/>
    <x v="1"/>
    <x v="1"/>
    <n v="38"/>
    <x v="2"/>
    <x v="1"/>
    <x v="1"/>
  </r>
  <r>
    <n v="3289"/>
    <x v="29"/>
    <x v="1"/>
    <x v="8"/>
    <x v="3"/>
    <x v="70"/>
    <x v="36"/>
    <s v="XL"/>
    <s v="White"/>
    <s v="Spring"/>
    <n v="4.9000000000000004"/>
    <x v="1"/>
    <x v="2"/>
    <x v="1"/>
    <x v="1"/>
    <n v="19"/>
    <x v="2"/>
    <x v="4"/>
    <x v="4"/>
  </r>
  <r>
    <n v="3290"/>
    <x v="18"/>
    <x v="1"/>
    <x v="21"/>
    <x v="3"/>
    <x v="74"/>
    <x v="6"/>
    <s v="M"/>
    <s v="Maroon"/>
    <s v="Summer"/>
    <n v="4"/>
    <x v="1"/>
    <x v="4"/>
    <x v="1"/>
    <x v="1"/>
    <n v="16"/>
    <x v="0"/>
    <x v="6"/>
    <x v="3"/>
  </r>
  <r>
    <n v="3291"/>
    <x v="16"/>
    <x v="1"/>
    <x v="7"/>
    <x v="2"/>
    <x v="71"/>
    <x v="25"/>
    <s v="L"/>
    <s v="Black"/>
    <s v="Spring"/>
    <n v="3.1"/>
    <x v="1"/>
    <x v="1"/>
    <x v="1"/>
    <x v="1"/>
    <n v="2"/>
    <x v="3"/>
    <x v="5"/>
    <x v="5"/>
  </r>
  <r>
    <n v="3292"/>
    <x v="26"/>
    <x v="1"/>
    <x v="22"/>
    <x v="3"/>
    <x v="12"/>
    <x v="35"/>
    <s v="L"/>
    <s v="Olive"/>
    <s v="Fall"/>
    <n v="2.6"/>
    <x v="1"/>
    <x v="4"/>
    <x v="1"/>
    <x v="1"/>
    <n v="11"/>
    <x v="1"/>
    <x v="5"/>
    <x v="5"/>
  </r>
  <r>
    <n v="3293"/>
    <x v="46"/>
    <x v="1"/>
    <x v="8"/>
    <x v="3"/>
    <x v="66"/>
    <x v="9"/>
    <s v="L"/>
    <s v="Gray"/>
    <s v="Spring"/>
    <n v="4.9000000000000004"/>
    <x v="1"/>
    <x v="3"/>
    <x v="1"/>
    <x v="1"/>
    <n v="18"/>
    <x v="4"/>
    <x v="0"/>
    <x v="0"/>
  </r>
  <r>
    <n v="3294"/>
    <x v="1"/>
    <x v="1"/>
    <x v="7"/>
    <x v="2"/>
    <x v="26"/>
    <x v="8"/>
    <s v="M"/>
    <s v="Gold"/>
    <s v="Spring"/>
    <n v="3.5"/>
    <x v="1"/>
    <x v="4"/>
    <x v="1"/>
    <x v="1"/>
    <n v="47"/>
    <x v="2"/>
    <x v="0"/>
    <x v="0"/>
  </r>
  <r>
    <n v="3295"/>
    <x v="46"/>
    <x v="1"/>
    <x v="1"/>
    <x v="0"/>
    <x v="30"/>
    <x v="36"/>
    <s v="S"/>
    <s v="Magenta"/>
    <s v="Spring"/>
    <n v="4.5"/>
    <x v="1"/>
    <x v="5"/>
    <x v="1"/>
    <x v="1"/>
    <n v="15"/>
    <x v="4"/>
    <x v="4"/>
    <x v="4"/>
  </r>
  <r>
    <n v="3296"/>
    <x v="27"/>
    <x v="1"/>
    <x v="0"/>
    <x v="0"/>
    <x v="7"/>
    <x v="8"/>
    <s v="S"/>
    <s v="Lavender"/>
    <s v="Summer"/>
    <n v="2.8"/>
    <x v="1"/>
    <x v="2"/>
    <x v="1"/>
    <x v="1"/>
    <n v="15"/>
    <x v="1"/>
    <x v="1"/>
    <x v="1"/>
  </r>
  <r>
    <n v="3297"/>
    <x v="30"/>
    <x v="1"/>
    <x v="0"/>
    <x v="0"/>
    <x v="66"/>
    <x v="29"/>
    <s v="M"/>
    <s v="Green"/>
    <s v="Spring"/>
    <n v="4.2"/>
    <x v="1"/>
    <x v="2"/>
    <x v="1"/>
    <x v="1"/>
    <n v="47"/>
    <x v="0"/>
    <x v="3"/>
    <x v="3"/>
  </r>
  <r>
    <n v="3298"/>
    <x v="29"/>
    <x v="1"/>
    <x v="22"/>
    <x v="3"/>
    <x v="71"/>
    <x v="8"/>
    <s v="M"/>
    <s v="Violet"/>
    <s v="Fall"/>
    <n v="4.0999999999999996"/>
    <x v="1"/>
    <x v="1"/>
    <x v="1"/>
    <x v="1"/>
    <n v="47"/>
    <x v="3"/>
    <x v="5"/>
    <x v="5"/>
  </r>
  <r>
    <n v="3299"/>
    <x v="13"/>
    <x v="1"/>
    <x v="14"/>
    <x v="2"/>
    <x v="2"/>
    <x v="35"/>
    <s v="M"/>
    <s v="Brown"/>
    <s v="Fall"/>
    <n v="3.5"/>
    <x v="1"/>
    <x v="0"/>
    <x v="1"/>
    <x v="1"/>
    <n v="6"/>
    <x v="4"/>
    <x v="6"/>
    <x v="3"/>
  </r>
  <r>
    <n v="3300"/>
    <x v="4"/>
    <x v="1"/>
    <x v="6"/>
    <x v="0"/>
    <x v="50"/>
    <x v="45"/>
    <s v="L"/>
    <s v="Teal"/>
    <s v="Spring"/>
    <n v="4"/>
    <x v="1"/>
    <x v="4"/>
    <x v="1"/>
    <x v="1"/>
    <n v="18"/>
    <x v="0"/>
    <x v="5"/>
    <x v="5"/>
  </r>
  <r>
    <n v="3301"/>
    <x v="8"/>
    <x v="1"/>
    <x v="19"/>
    <x v="3"/>
    <x v="68"/>
    <x v="19"/>
    <s v="M"/>
    <s v="Charcoal"/>
    <s v="Spring"/>
    <n v="4"/>
    <x v="1"/>
    <x v="0"/>
    <x v="1"/>
    <x v="1"/>
    <n v="40"/>
    <x v="4"/>
    <x v="4"/>
    <x v="4"/>
  </r>
  <r>
    <n v="3302"/>
    <x v="24"/>
    <x v="1"/>
    <x v="13"/>
    <x v="0"/>
    <x v="47"/>
    <x v="19"/>
    <s v="XL"/>
    <s v="Charcoal"/>
    <s v="Summer"/>
    <n v="2.5"/>
    <x v="1"/>
    <x v="1"/>
    <x v="1"/>
    <x v="1"/>
    <n v="31"/>
    <x v="2"/>
    <x v="0"/>
    <x v="0"/>
  </r>
  <r>
    <n v="3303"/>
    <x v="24"/>
    <x v="1"/>
    <x v="0"/>
    <x v="0"/>
    <x v="71"/>
    <x v="15"/>
    <s v="XL"/>
    <s v="Beige"/>
    <s v="Winter"/>
    <n v="4.2"/>
    <x v="1"/>
    <x v="3"/>
    <x v="1"/>
    <x v="1"/>
    <n v="31"/>
    <x v="0"/>
    <x v="4"/>
    <x v="4"/>
  </r>
  <r>
    <n v="3304"/>
    <x v="30"/>
    <x v="1"/>
    <x v="22"/>
    <x v="3"/>
    <x v="30"/>
    <x v="16"/>
    <s v="S"/>
    <s v="Turquoise"/>
    <s v="Summer"/>
    <n v="3.4"/>
    <x v="1"/>
    <x v="2"/>
    <x v="1"/>
    <x v="1"/>
    <n v="4"/>
    <x v="2"/>
    <x v="0"/>
    <x v="0"/>
  </r>
  <r>
    <n v="3305"/>
    <x v="11"/>
    <x v="1"/>
    <x v="8"/>
    <x v="3"/>
    <x v="24"/>
    <x v="16"/>
    <s v="XL"/>
    <s v="Orange"/>
    <s v="Fall"/>
    <n v="4.8"/>
    <x v="1"/>
    <x v="2"/>
    <x v="1"/>
    <x v="1"/>
    <n v="36"/>
    <x v="4"/>
    <x v="6"/>
    <x v="3"/>
  </r>
  <r>
    <n v="3306"/>
    <x v="50"/>
    <x v="1"/>
    <x v="15"/>
    <x v="0"/>
    <x v="52"/>
    <x v="43"/>
    <s v="L"/>
    <s v="Cyan"/>
    <s v="Summer"/>
    <n v="4.9000000000000004"/>
    <x v="1"/>
    <x v="3"/>
    <x v="1"/>
    <x v="1"/>
    <n v="31"/>
    <x v="3"/>
    <x v="4"/>
    <x v="4"/>
  </r>
  <r>
    <n v="3307"/>
    <x v="6"/>
    <x v="1"/>
    <x v="14"/>
    <x v="2"/>
    <x v="32"/>
    <x v="24"/>
    <s v="L"/>
    <s v="Orange"/>
    <s v="Summer"/>
    <n v="3.6"/>
    <x v="1"/>
    <x v="5"/>
    <x v="1"/>
    <x v="1"/>
    <n v="6"/>
    <x v="0"/>
    <x v="0"/>
    <x v="0"/>
  </r>
  <r>
    <n v="3308"/>
    <x v="20"/>
    <x v="1"/>
    <x v="18"/>
    <x v="3"/>
    <x v="14"/>
    <x v="38"/>
    <s v="S"/>
    <s v="Green"/>
    <s v="Winter"/>
    <n v="4"/>
    <x v="1"/>
    <x v="5"/>
    <x v="1"/>
    <x v="1"/>
    <n v="1"/>
    <x v="1"/>
    <x v="5"/>
    <x v="5"/>
  </r>
  <r>
    <n v="3309"/>
    <x v="0"/>
    <x v="1"/>
    <x v="2"/>
    <x v="0"/>
    <x v="44"/>
    <x v="40"/>
    <s v="M"/>
    <s v="Pink"/>
    <s v="Fall"/>
    <n v="2.6"/>
    <x v="1"/>
    <x v="0"/>
    <x v="1"/>
    <x v="1"/>
    <n v="29"/>
    <x v="1"/>
    <x v="5"/>
    <x v="5"/>
  </r>
  <r>
    <n v="3310"/>
    <x v="39"/>
    <x v="1"/>
    <x v="8"/>
    <x v="3"/>
    <x v="53"/>
    <x v="2"/>
    <s v="M"/>
    <s v="Blue"/>
    <s v="Summer"/>
    <n v="3.1"/>
    <x v="1"/>
    <x v="5"/>
    <x v="1"/>
    <x v="1"/>
    <n v="19"/>
    <x v="3"/>
    <x v="5"/>
    <x v="5"/>
  </r>
  <r>
    <n v="3311"/>
    <x v="4"/>
    <x v="1"/>
    <x v="14"/>
    <x v="2"/>
    <x v="65"/>
    <x v="44"/>
    <s v="M"/>
    <s v="Pink"/>
    <s v="Winter"/>
    <n v="3.6"/>
    <x v="1"/>
    <x v="1"/>
    <x v="1"/>
    <x v="1"/>
    <n v="12"/>
    <x v="3"/>
    <x v="0"/>
    <x v="0"/>
  </r>
  <r>
    <n v="3312"/>
    <x v="26"/>
    <x v="1"/>
    <x v="19"/>
    <x v="3"/>
    <x v="78"/>
    <x v="20"/>
    <s v="L"/>
    <s v="Blue"/>
    <s v="Summer"/>
    <n v="4"/>
    <x v="1"/>
    <x v="0"/>
    <x v="1"/>
    <x v="1"/>
    <n v="18"/>
    <x v="4"/>
    <x v="2"/>
    <x v="2"/>
  </r>
  <r>
    <n v="3313"/>
    <x v="0"/>
    <x v="1"/>
    <x v="4"/>
    <x v="1"/>
    <x v="60"/>
    <x v="7"/>
    <s v="L"/>
    <s v="Black"/>
    <s v="Summer"/>
    <n v="3.9"/>
    <x v="1"/>
    <x v="2"/>
    <x v="1"/>
    <x v="1"/>
    <n v="45"/>
    <x v="1"/>
    <x v="3"/>
    <x v="3"/>
  </r>
  <r>
    <n v="3314"/>
    <x v="0"/>
    <x v="1"/>
    <x v="19"/>
    <x v="3"/>
    <x v="38"/>
    <x v="23"/>
    <s v="XL"/>
    <s v="Black"/>
    <s v="Fall"/>
    <n v="3.9"/>
    <x v="1"/>
    <x v="0"/>
    <x v="1"/>
    <x v="1"/>
    <n v="45"/>
    <x v="2"/>
    <x v="5"/>
    <x v="5"/>
  </r>
  <r>
    <n v="3315"/>
    <x v="0"/>
    <x v="1"/>
    <x v="20"/>
    <x v="0"/>
    <x v="23"/>
    <x v="23"/>
    <s v="M"/>
    <s v="Violet"/>
    <s v="Spring"/>
    <n v="3.3"/>
    <x v="1"/>
    <x v="3"/>
    <x v="1"/>
    <x v="1"/>
    <n v="8"/>
    <x v="2"/>
    <x v="3"/>
    <x v="3"/>
  </r>
  <r>
    <n v="3316"/>
    <x v="39"/>
    <x v="1"/>
    <x v="18"/>
    <x v="3"/>
    <x v="10"/>
    <x v="0"/>
    <s v="S"/>
    <s v="Gold"/>
    <s v="Summer"/>
    <n v="2.9"/>
    <x v="1"/>
    <x v="3"/>
    <x v="1"/>
    <x v="1"/>
    <n v="4"/>
    <x v="3"/>
    <x v="6"/>
    <x v="3"/>
  </r>
  <r>
    <n v="3317"/>
    <x v="32"/>
    <x v="1"/>
    <x v="20"/>
    <x v="0"/>
    <x v="29"/>
    <x v="35"/>
    <s v="M"/>
    <s v="Olive"/>
    <s v="Summer"/>
    <n v="3.1"/>
    <x v="1"/>
    <x v="1"/>
    <x v="1"/>
    <x v="1"/>
    <n v="5"/>
    <x v="5"/>
    <x v="0"/>
    <x v="0"/>
  </r>
  <r>
    <n v="3318"/>
    <x v="3"/>
    <x v="1"/>
    <x v="19"/>
    <x v="3"/>
    <x v="25"/>
    <x v="17"/>
    <s v="XL"/>
    <s v="Pink"/>
    <s v="Summer"/>
    <n v="4.7"/>
    <x v="1"/>
    <x v="3"/>
    <x v="1"/>
    <x v="1"/>
    <n v="30"/>
    <x v="1"/>
    <x v="3"/>
    <x v="3"/>
  </r>
  <r>
    <n v="3319"/>
    <x v="4"/>
    <x v="1"/>
    <x v="14"/>
    <x v="2"/>
    <x v="43"/>
    <x v="25"/>
    <s v="M"/>
    <s v="Olive"/>
    <s v="Summer"/>
    <n v="3.9"/>
    <x v="1"/>
    <x v="1"/>
    <x v="1"/>
    <x v="1"/>
    <n v="15"/>
    <x v="3"/>
    <x v="5"/>
    <x v="5"/>
  </r>
  <r>
    <n v="3320"/>
    <x v="51"/>
    <x v="1"/>
    <x v="6"/>
    <x v="0"/>
    <x v="9"/>
    <x v="25"/>
    <s v="M"/>
    <s v="Indigo"/>
    <s v="Summer"/>
    <n v="4.3"/>
    <x v="1"/>
    <x v="2"/>
    <x v="1"/>
    <x v="1"/>
    <n v="17"/>
    <x v="2"/>
    <x v="6"/>
    <x v="3"/>
  </r>
  <r>
    <n v="3321"/>
    <x v="17"/>
    <x v="1"/>
    <x v="0"/>
    <x v="0"/>
    <x v="77"/>
    <x v="26"/>
    <s v="XL"/>
    <s v="Silver"/>
    <s v="Fall"/>
    <n v="4.2"/>
    <x v="1"/>
    <x v="4"/>
    <x v="1"/>
    <x v="1"/>
    <n v="45"/>
    <x v="1"/>
    <x v="6"/>
    <x v="3"/>
  </r>
  <r>
    <n v="3322"/>
    <x v="45"/>
    <x v="1"/>
    <x v="7"/>
    <x v="2"/>
    <x v="33"/>
    <x v="1"/>
    <s v="S"/>
    <s v="Charcoal"/>
    <s v="Winter"/>
    <n v="4.3"/>
    <x v="1"/>
    <x v="2"/>
    <x v="1"/>
    <x v="1"/>
    <n v="3"/>
    <x v="0"/>
    <x v="2"/>
    <x v="2"/>
  </r>
  <r>
    <n v="3323"/>
    <x v="16"/>
    <x v="1"/>
    <x v="1"/>
    <x v="0"/>
    <x v="56"/>
    <x v="27"/>
    <s v="XL"/>
    <s v="Orange"/>
    <s v="Winter"/>
    <n v="4.5999999999999996"/>
    <x v="1"/>
    <x v="2"/>
    <x v="1"/>
    <x v="1"/>
    <n v="43"/>
    <x v="3"/>
    <x v="1"/>
    <x v="1"/>
  </r>
  <r>
    <n v="3324"/>
    <x v="22"/>
    <x v="1"/>
    <x v="8"/>
    <x v="3"/>
    <x v="72"/>
    <x v="25"/>
    <s v="M"/>
    <s v="Yellow"/>
    <s v="Winter"/>
    <n v="3.8"/>
    <x v="1"/>
    <x v="1"/>
    <x v="1"/>
    <x v="1"/>
    <n v="4"/>
    <x v="2"/>
    <x v="5"/>
    <x v="5"/>
  </r>
  <r>
    <n v="3325"/>
    <x v="43"/>
    <x v="1"/>
    <x v="17"/>
    <x v="0"/>
    <x v="50"/>
    <x v="9"/>
    <s v="S"/>
    <s v="Red"/>
    <s v="Fall"/>
    <n v="3.3"/>
    <x v="1"/>
    <x v="3"/>
    <x v="1"/>
    <x v="1"/>
    <n v="41"/>
    <x v="0"/>
    <x v="1"/>
    <x v="1"/>
  </r>
  <r>
    <n v="3326"/>
    <x v="26"/>
    <x v="1"/>
    <x v="3"/>
    <x v="1"/>
    <x v="8"/>
    <x v="29"/>
    <s v="M"/>
    <s v="Maroon"/>
    <s v="Fall"/>
    <n v="3.7"/>
    <x v="1"/>
    <x v="4"/>
    <x v="1"/>
    <x v="1"/>
    <n v="16"/>
    <x v="0"/>
    <x v="5"/>
    <x v="5"/>
  </r>
  <r>
    <n v="3327"/>
    <x v="36"/>
    <x v="1"/>
    <x v="24"/>
    <x v="3"/>
    <x v="51"/>
    <x v="25"/>
    <s v="M"/>
    <s v="Magenta"/>
    <s v="Summer"/>
    <n v="4.3"/>
    <x v="1"/>
    <x v="3"/>
    <x v="1"/>
    <x v="1"/>
    <n v="10"/>
    <x v="5"/>
    <x v="2"/>
    <x v="2"/>
  </r>
  <r>
    <n v="3328"/>
    <x v="36"/>
    <x v="1"/>
    <x v="6"/>
    <x v="0"/>
    <x v="1"/>
    <x v="39"/>
    <s v="M"/>
    <s v="Black"/>
    <s v="Spring"/>
    <n v="4.0999999999999996"/>
    <x v="1"/>
    <x v="0"/>
    <x v="1"/>
    <x v="1"/>
    <n v="2"/>
    <x v="5"/>
    <x v="3"/>
    <x v="3"/>
  </r>
  <r>
    <n v="3329"/>
    <x v="32"/>
    <x v="1"/>
    <x v="3"/>
    <x v="1"/>
    <x v="59"/>
    <x v="48"/>
    <s v="M"/>
    <s v="Violet"/>
    <s v="Spring"/>
    <n v="3.2"/>
    <x v="1"/>
    <x v="1"/>
    <x v="1"/>
    <x v="1"/>
    <n v="11"/>
    <x v="1"/>
    <x v="4"/>
    <x v="4"/>
  </r>
  <r>
    <n v="3330"/>
    <x v="50"/>
    <x v="1"/>
    <x v="21"/>
    <x v="3"/>
    <x v="36"/>
    <x v="32"/>
    <s v="M"/>
    <s v="Gray"/>
    <s v="Winter"/>
    <n v="3.8"/>
    <x v="1"/>
    <x v="0"/>
    <x v="1"/>
    <x v="1"/>
    <n v="1"/>
    <x v="5"/>
    <x v="4"/>
    <x v="4"/>
  </r>
  <r>
    <n v="3331"/>
    <x v="21"/>
    <x v="1"/>
    <x v="4"/>
    <x v="1"/>
    <x v="48"/>
    <x v="9"/>
    <s v="M"/>
    <s v="Black"/>
    <s v="Spring"/>
    <n v="3.2"/>
    <x v="1"/>
    <x v="4"/>
    <x v="1"/>
    <x v="1"/>
    <n v="41"/>
    <x v="4"/>
    <x v="3"/>
    <x v="3"/>
  </r>
  <r>
    <n v="3332"/>
    <x v="0"/>
    <x v="1"/>
    <x v="12"/>
    <x v="3"/>
    <x v="47"/>
    <x v="18"/>
    <s v="M"/>
    <s v="Pink"/>
    <s v="Summer"/>
    <n v="3.5"/>
    <x v="1"/>
    <x v="1"/>
    <x v="1"/>
    <x v="1"/>
    <n v="39"/>
    <x v="3"/>
    <x v="3"/>
    <x v="3"/>
  </r>
  <r>
    <n v="3333"/>
    <x v="7"/>
    <x v="1"/>
    <x v="17"/>
    <x v="0"/>
    <x v="66"/>
    <x v="47"/>
    <s v="M"/>
    <s v="Silver"/>
    <s v="Summer"/>
    <n v="3.1"/>
    <x v="1"/>
    <x v="4"/>
    <x v="1"/>
    <x v="1"/>
    <n v="1"/>
    <x v="3"/>
    <x v="4"/>
    <x v="4"/>
  </r>
  <r>
    <n v="3334"/>
    <x v="0"/>
    <x v="1"/>
    <x v="2"/>
    <x v="0"/>
    <x v="59"/>
    <x v="46"/>
    <s v="M"/>
    <s v="Violet"/>
    <s v="Spring"/>
    <n v="4.2"/>
    <x v="1"/>
    <x v="0"/>
    <x v="1"/>
    <x v="1"/>
    <n v="3"/>
    <x v="3"/>
    <x v="5"/>
    <x v="5"/>
  </r>
  <r>
    <n v="3335"/>
    <x v="17"/>
    <x v="1"/>
    <x v="5"/>
    <x v="0"/>
    <x v="66"/>
    <x v="18"/>
    <s v="M"/>
    <s v="Beige"/>
    <s v="Summer"/>
    <n v="3.4"/>
    <x v="1"/>
    <x v="1"/>
    <x v="1"/>
    <x v="1"/>
    <n v="21"/>
    <x v="2"/>
    <x v="2"/>
    <x v="2"/>
  </r>
  <r>
    <n v="3336"/>
    <x v="42"/>
    <x v="1"/>
    <x v="19"/>
    <x v="3"/>
    <x v="23"/>
    <x v="21"/>
    <s v="XL"/>
    <s v="Cyan"/>
    <s v="Winter"/>
    <n v="3.5"/>
    <x v="1"/>
    <x v="0"/>
    <x v="1"/>
    <x v="1"/>
    <n v="48"/>
    <x v="4"/>
    <x v="3"/>
    <x v="3"/>
  </r>
  <r>
    <n v="3337"/>
    <x v="31"/>
    <x v="1"/>
    <x v="0"/>
    <x v="0"/>
    <x v="29"/>
    <x v="6"/>
    <s v="M"/>
    <s v="Brown"/>
    <s v="Fall"/>
    <n v="4"/>
    <x v="1"/>
    <x v="1"/>
    <x v="1"/>
    <x v="1"/>
    <n v="24"/>
    <x v="5"/>
    <x v="2"/>
    <x v="2"/>
  </r>
  <r>
    <n v="3338"/>
    <x v="51"/>
    <x v="1"/>
    <x v="14"/>
    <x v="2"/>
    <x v="66"/>
    <x v="28"/>
    <s v="L"/>
    <s v="Blue"/>
    <s v="Winter"/>
    <n v="4.4000000000000004"/>
    <x v="1"/>
    <x v="4"/>
    <x v="1"/>
    <x v="1"/>
    <n v="45"/>
    <x v="4"/>
    <x v="4"/>
    <x v="4"/>
  </r>
  <r>
    <n v="3339"/>
    <x v="26"/>
    <x v="1"/>
    <x v="11"/>
    <x v="0"/>
    <x v="23"/>
    <x v="46"/>
    <s v="L"/>
    <s v="White"/>
    <s v="Winter"/>
    <n v="2.9"/>
    <x v="1"/>
    <x v="4"/>
    <x v="1"/>
    <x v="1"/>
    <n v="46"/>
    <x v="2"/>
    <x v="5"/>
    <x v="5"/>
  </r>
  <r>
    <n v="3340"/>
    <x v="30"/>
    <x v="1"/>
    <x v="24"/>
    <x v="3"/>
    <x v="54"/>
    <x v="43"/>
    <s v="M"/>
    <s v="Cyan"/>
    <s v="Fall"/>
    <n v="3.6"/>
    <x v="1"/>
    <x v="5"/>
    <x v="1"/>
    <x v="1"/>
    <n v="35"/>
    <x v="1"/>
    <x v="0"/>
    <x v="0"/>
  </r>
  <r>
    <n v="3341"/>
    <x v="32"/>
    <x v="1"/>
    <x v="17"/>
    <x v="0"/>
    <x v="14"/>
    <x v="41"/>
    <s v="XL"/>
    <s v="Maroon"/>
    <s v="Fall"/>
    <n v="4.4000000000000004"/>
    <x v="1"/>
    <x v="1"/>
    <x v="1"/>
    <x v="1"/>
    <n v="47"/>
    <x v="2"/>
    <x v="0"/>
    <x v="0"/>
  </r>
  <r>
    <n v="3342"/>
    <x v="0"/>
    <x v="1"/>
    <x v="14"/>
    <x v="2"/>
    <x v="74"/>
    <x v="39"/>
    <s v="XL"/>
    <s v="Olive"/>
    <s v="Summer"/>
    <n v="4.5"/>
    <x v="1"/>
    <x v="3"/>
    <x v="1"/>
    <x v="1"/>
    <n v="35"/>
    <x v="2"/>
    <x v="5"/>
    <x v="5"/>
  </r>
  <r>
    <n v="3343"/>
    <x v="17"/>
    <x v="1"/>
    <x v="14"/>
    <x v="2"/>
    <x v="13"/>
    <x v="32"/>
    <s v="M"/>
    <s v="Violet"/>
    <s v="Spring"/>
    <n v="3.8"/>
    <x v="1"/>
    <x v="1"/>
    <x v="1"/>
    <x v="1"/>
    <n v="45"/>
    <x v="2"/>
    <x v="1"/>
    <x v="1"/>
  </r>
  <r>
    <n v="3344"/>
    <x v="41"/>
    <x v="1"/>
    <x v="6"/>
    <x v="0"/>
    <x v="9"/>
    <x v="0"/>
    <s v="XL"/>
    <s v="Green"/>
    <s v="Winter"/>
    <n v="3.6"/>
    <x v="1"/>
    <x v="4"/>
    <x v="1"/>
    <x v="1"/>
    <n v="6"/>
    <x v="1"/>
    <x v="4"/>
    <x v="4"/>
  </r>
  <r>
    <n v="3345"/>
    <x v="46"/>
    <x v="1"/>
    <x v="19"/>
    <x v="3"/>
    <x v="16"/>
    <x v="47"/>
    <s v="XL"/>
    <s v="Magenta"/>
    <s v="Fall"/>
    <n v="4.3"/>
    <x v="1"/>
    <x v="1"/>
    <x v="1"/>
    <x v="1"/>
    <n v="20"/>
    <x v="1"/>
    <x v="2"/>
    <x v="2"/>
  </r>
  <r>
    <n v="3346"/>
    <x v="48"/>
    <x v="1"/>
    <x v="8"/>
    <x v="3"/>
    <x v="26"/>
    <x v="20"/>
    <s v="M"/>
    <s v="Turquoise"/>
    <s v="Summer"/>
    <n v="4"/>
    <x v="1"/>
    <x v="4"/>
    <x v="1"/>
    <x v="1"/>
    <n v="3"/>
    <x v="0"/>
    <x v="4"/>
    <x v="4"/>
  </r>
  <r>
    <n v="3347"/>
    <x v="11"/>
    <x v="1"/>
    <x v="2"/>
    <x v="0"/>
    <x v="54"/>
    <x v="19"/>
    <s v="M"/>
    <s v="Black"/>
    <s v="Summer"/>
    <n v="3.4"/>
    <x v="1"/>
    <x v="0"/>
    <x v="1"/>
    <x v="1"/>
    <n v="30"/>
    <x v="0"/>
    <x v="3"/>
    <x v="3"/>
  </r>
  <r>
    <n v="3348"/>
    <x v="40"/>
    <x v="1"/>
    <x v="9"/>
    <x v="1"/>
    <x v="44"/>
    <x v="44"/>
    <s v="XL"/>
    <s v="Cyan"/>
    <s v="Summer"/>
    <n v="4.4000000000000004"/>
    <x v="1"/>
    <x v="3"/>
    <x v="1"/>
    <x v="1"/>
    <n v="28"/>
    <x v="3"/>
    <x v="4"/>
    <x v="4"/>
  </r>
  <r>
    <n v="3349"/>
    <x v="48"/>
    <x v="1"/>
    <x v="17"/>
    <x v="0"/>
    <x v="67"/>
    <x v="13"/>
    <s v="L"/>
    <s v="Gray"/>
    <s v="Winter"/>
    <n v="2.8"/>
    <x v="1"/>
    <x v="3"/>
    <x v="1"/>
    <x v="1"/>
    <n v="15"/>
    <x v="1"/>
    <x v="6"/>
    <x v="3"/>
  </r>
  <r>
    <n v="3350"/>
    <x v="25"/>
    <x v="1"/>
    <x v="16"/>
    <x v="3"/>
    <x v="24"/>
    <x v="42"/>
    <s v="M"/>
    <s v="Red"/>
    <s v="Fall"/>
    <n v="2.8"/>
    <x v="1"/>
    <x v="5"/>
    <x v="1"/>
    <x v="1"/>
    <n v="29"/>
    <x v="3"/>
    <x v="3"/>
    <x v="3"/>
  </r>
  <r>
    <n v="3351"/>
    <x v="4"/>
    <x v="1"/>
    <x v="8"/>
    <x v="3"/>
    <x v="27"/>
    <x v="16"/>
    <s v="S"/>
    <s v="Olive"/>
    <s v="Fall"/>
    <n v="4.9000000000000004"/>
    <x v="1"/>
    <x v="4"/>
    <x v="1"/>
    <x v="1"/>
    <n v="15"/>
    <x v="1"/>
    <x v="4"/>
    <x v="4"/>
  </r>
  <r>
    <n v="3352"/>
    <x v="49"/>
    <x v="1"/>
    <x v="5"/>
    <x v="0"/>
    <x v="4"/>
    <x v="13"/>
    <s v="L"/>
    <s v="Cyan"/>
    <s v="Spring"/>
    <n v="4.2"/>
    <x v="1"/>
    <x v="4"/>
    <x v="1"/>
    <x v="1"/>
    <n v="18"/>
    <x v="4"/>
    <x v="0"/>
    <x v="0"/>
  </r>
  <r>
    <n v="3353"/>
    <x v="0"/>
    <x v="1"/>
    <x v="22"/>
    <x v="3"/>
    <x v="48"/>
    <x v="47"/>
    <s v="M"/>
    <s v="Teal"/>
    <s v="Summer"/>
    <n v="2.9"/>
    <x v="1"/>
    <x v="2"/>
    <x v="1"/>
    <x v="1"/>
    <n v="7"/>
    <x v="4"/>
    <x v="4"/>
    <x v="4"/>
  </r>
  <r>
    <n v="3354"/>
    <x v="18"/>
    <x v="1"/>
    <x v="10"/>
    <x v="0"/>
    <x v="76"/>
    <x v="31"/>
    <s v="L"/>
    <s v="Teal"/>
    <s v="Fall"/>
    <n v="4.5999999999999996"/>
    <x v="1"/>
    <x v="1"/>
    <x v="1"/>
    <x v="1"/>
    <n v="19"/>
    <x v="2"/>
    <x v="6"/>
    <x v="3"/>
  </r>
  <r>
    <n v="3355"/>
    <x v="32"/>
    <x v="1"/>
    <x v="11"/>
    <x v="0"/>
    <x v="29"/>
    <x v="33"/>
    <s v="M"/>
    <s v="Orange"/>
    <s v="Fall"/>
    <n v="2.8"/>
    <x v="1"/>
    <x v="2"/>
    <x v="1"/>
    <x v="1"/>
    <n v="15"/>
    <x v="3"/>
    <x v="1"/>
    <x v="1"/>
  </r>
  <r>
    <n v="3356"/>
    <x v="37"/>
    <x v="1"/>
    <x v="0"/>
    <x v="0"/>
    <x v="39"/>
    <x v="12"/>
    <s v="M"/>
    <s v="Peach"/>
    <s v="Spring"/>
    <n v="2.6"/>
    <x v="1"/>
    <x v="5"/>
    <x v="1"/>
    <x v="1"/>
    <n v="3"/>
    <x v="4"/>
    <x v="4"/>
    <x v="4"/>
  </r>
  <r>
    <n v="3357"/>
    <x v="31"/>
    <x v="1"/>
    <x v="2"/>
    <x v="0"/>
    <x v="16"/>
    <x v="30"/>
    <s v="M"/>
    <s v="Silver"/>
    <s v="Summer"/>
    <n v="3.5"/>
    <x v="1"/>
    <x v="5"/>
    <x v="1"/>
    <x v="1"/>
    <n v="13"/>
    <x v="3"/>
    <x v="4"/>
    <x v="4"/>
  </r>
  <r>
    <n v="3358"/>
    <x v="38"/>
    <x v="1"/>
    <x v="15"/>
    <x v="0"/>
    <x v="25"/>
    <x v="10"/>
    <s v="M"/>
    <s v="Pink"/>
    <s v="Winter"/>
    <n v="3.5"/>
    <x v="1"/>
    <x v="1"/>
    <x v="1"/>
    <x v="1"/>
    <n v="37"/>
    <x v="2"/>
    <x v="5"/>
    <x v="5"/>
  </r>
  <r>
    <n v="3359"/>
    <x v="19"/>
    <x v="1"/>
    <x v="17"/>
    <x v="0"/>
    <x v="40"/>
    <x v="30"/>
    <s v="M"/>
    <s v="Magenta"/>
    <s v="Fall"/>
    <n v="3.4"/>
    <x v="1"/>
    <x v="4"/>
    <x v="1"/>
    <x v="1"/>
    <n v="26"/>
    <x v="1"/>
    <x v="2"/>
    <x v="2"/>
  </r>
  <r>
    <n v="3360"/>
    <x v="49"/>
    <x v="1"/>
    <x v="12"/>
    <x v="3"/>
    <x v="67"/>
    <x v="13"/>
    <s v="L"/>
    <s v="Red"/>
    <s v="Fall"/>
    <n v="3.9"/>
    <x v="1"/>
    <x v="2"/>
    <x v="1"/>
    <x v="1"/>
    <n v="29"/>
    <x v="5"/>
    <x v="5"/>
    <x v="5"/>
  </r>
  <r>
    <n v="3361"/>
    <x v="40"/>
    <x v="1"/>
    <x v="14"/>
    <x v="2"/>
    <x v="13"/>
    <x v="46"/>
    <s v="M"/>
    <s v="Maroon"/>
    <s v="Spring"/>
    <n v="3.3"/>
    <x v="1"/>
    <x v="4"/>
    <x v="1"/>
    <x v="1"/>
    <n v="47"/>
    <x v="1"/>
    <x v="6"/>
    <x v="3"/>
  </r>
  <r>
    <n v="3362"/>
    <x v="36"/>
    <x v="1"/>
    <x v="9"/>
    <x v="1"/>
    <x v="46"/>
    <x v="20"/>
    <s v="M"/>
    <s v="Silver"/>
    <s v="Spring"/>
    <n v="4.0999999999999996"/>
    <x v="1"/>
    <x v="1"/>
    <x v="1"/>
    <x v="1"/>
    <n v="47"/>
    <x v="2"/>
    <x v="4"/>
    <x v="4"/>
  </r>
  <r>
    <n v="3363"/>
    <x v="2"/>
    <x v="1"/>
    <x v="8"/>
    <x v="3"/>
    <x v="70"/>
    <x v="30"/>
    <s v="M"/>
    <s v="Gray"/>
    <s v="Summer"/>
    <n v="3"/>
    <x v="1"/>
    <x v="2"/>
    <x v="1"/>
    <x v="1"/>
    <n v="48"/>
    <x v="0"/>
    <x v="0"/>
    <x v="0"/>
  </r>
  <r>
    <n v="3364"/>
    <x v="44"/>
    <x v="1"/>
    <x v="1"/>
    <x v="0"/>
    <x v="66"/>
    <x v="18"/>
    <s v="M"/>
    <s v="Turquoise"/>
    <s v="Winter"/>
    <n v="3"/>
    <x v="1"/>
    <x v="2"/>
    <x v="1"/>
    <x v="1"/>
    <n v="46"/>
    <x v="4"/>
    <x v="4"/>
    <x v="4"/>
  </r>
  <r>
    <n v="3365"/>
    <x v="2"/>
    <x v="1"/>
    <x v="18"/>
    <x v="3"/>
    <x v="27"/>
    <x v="4"/>
    <s v="M"/>
    <s v="Peach"/>
    <s v="Fall"/>
    <n v="3.2"/>
    <x v="1"/>
    <x v="3"/>
    <x v="1"/>
    <x v="1"/>
    <n v="7"/>
    <x v="2"/>
    <x v="5"/>
    <x v="5"/>
  </r>
  <r>
    <n v="3366"/>
    <x v="49"/>
    <x v="1"/>
    <x v="11"/>
    <x v="0"/>
    <x v="47"/>
    <x v="30"/>
    <s v="L"/>
    <s v="Teal"/>
    <s v="Fall"/>
    <n v="3.9"/>
    <x v="1"/>
    <x v="0"/>
    <x v="1"/>
    <x v="1"/>
    <n v="45"/>
    <x v="2"/>
    <x v="6"/>
    <x v="3"/>
  </r>
  <r>
    <n v="3367"/>
    <x v="21"/>
    <x v="1"/>
    <x v="24"/>
    <x v="3"/>
    <x v="61"/>
    <x v="17"/>
    <s v="M"/>
    <s v="Red"/>
    <s v="Spring"/>
    <n v="3.6"/>
    <x v="1"/>
    <x v="4"/>
    <x v="1"/>
    <x v="1"/>
    <n v="47"/>
    <x v="5"/>
    <x v="3"/>
    <x v="3"/>
  </r>
  <r>
    <n v="3368"/>
    <x v="42"/>
    <x v="1"/>
    <x v="17"/>
    <x v="0"/>
    <x v="16"/>
    <x v="30"/>
    <s v="M"/>
    <s v="Blue"/>
    <s v="Summer"/>
    <n v="3.1"/>
    <x v="1"/>
    <x v="5"/>
    <x v="1"/>
    <x v="1"/>
    <n v="6"/>
    <x v="0"/>
    <x v="0"/>
    <x v="0"/>
  </r>
  <r>
    <n v="3369"/>
    <x v="11"/>
    <x v="1"/>
    <x v="3"/>
    <x v="1"/>
    <x v="21"/>
    <x v="43"/>
    <s v="M"/>
    <s v="Blue"/>
    <s v="Spring"/>
    <n v="4.8"/>
    <x v="1"/>
    <x v="0"/>
    <x v="1"/>
    <x v="1"/>
    <n v="29"/>
    <x v="4"/>
    <x v="6"/>
    <x v="3"/>
  </r>
  <r>
    <n v="3370"/>
    <x v="36"/>
    <x v="1"/>
    <x v="1"/>
    <x v="0"/>
    <x v="12"/>
    <x v="1"/>
    <s v="M"/>
    <s v="Indigo"/>
    <s v="Winter"/>
    <n v="3.8"/>
    <x v="1"/>
    <x v="4"/>
    <x v="1"/>
    <x v="1"/>
    <n v="42"/>
    <x v="1"/>
    <x v="5"/>
    <x v="5"/>
  </r>
  <r>
    <n v="3371"/>
    <x v="11"/>
    <x v="1"/>
    <x v="22"/>
    <x v="3"/>
    <x v="9"/>
    <x v="26"/>
    <s v="M"/>
    <s v="Charcoal"/>
    <s v="Summer"/>
    <n v="2.8"/>
    <x v="1"/>
    <x v="5"/>
    <x v="1"/>
    <x v="1"/>
    <n v="46"/>
    <x v="1"/>
    <x v="0"/>
    <x v="0"/>
  </r>
  <r>
    <n v="3372"/>
    <x v="34"/>
    <x v="1"/>
    <x v="15"/>
    <x v="0"/>
    <x v="54"/>
    <x v="24"/>
    <s v="S"/>
    <s v="Turquoise"/>
    <s v="Winter"/>
    <n v="4"/>
    <x v="1"/>
    <x v="2"/>
    <x v="1"/>
    <x v="1"/>
    <n v="28"/>
    <x v="3"/>
    <x v="2"/>
    <x v="2"/>
  </r>
  <r>
    <n v="3373"/>
    <x v="19"/>
    <x v="1"/>
    <x v="20"/>
    <x v="0"/>
    <x v="21"/>
    <x v="38"/>
    <s v="M"/>
    <s v="Maroon"/>
    <s v="Winter"/>
    <n v="4.5999999999999996"/>
    <x v="1"/>
    <x v="1"/>
    <x v="1"/>
    <x v="1"/>
    <n v="14"/>
    <x v="2"/>
    <x v="6"/>
    <x v="3"/>
  </r>
  <r>
    <n v="3374"/>
    <x v="27"/>
    <x v="1"/>
    <x v="3"/>
    <x v="1"/>
    <x v="78"/>
    <x v="46"/>
    <s v="M"/>
    <s v="Purple"/>
    <s v="Spring"/>
    <n v="3.5"/>
    <x v="1"/>
    <x v="5"/>
    <x v="1"/>
    <x v="1"/>
    <n v="12"/>
    <x v="5"/>
    <x v="6"/>
    <x v="3"/>
  </r>
  <r>
    <n v="3375"/>
    <x v="40"/>
    <x v="1"/>
    <x v="0"/>
    <x v="0"/>
    <x v="53"/>
    <x v="22"/>
    <s v="S"/>
    <s v="Lavender"/>
    <s v="Spring"/>
    <n v="3.7"/>
    <x v="1"/>
    <x v="4"/>
    <x v="1"/>
    <x v="1"/>
    <n v="41"/>
    <x v="5"/>
    <x v="2"/>
    <x v="2"/>
  </r>
  <r>
    <n v="3376"/>
    <x v="47"/>
    <x v="1"/>
    <x v="23"/>
    <x v="1"/>
    <x v="57"/>
    <x v="39"/>
    <s v="XL"/>
    <s v="Yellow"/>
    <s v="Fall"/>
    <n v="4.9000000000000004"/>
    <x v="1"/>
    <x v="0"/>
    <x v="1"/>
    <x v="1"/>
    <n v="8"/>
    <x v="2"/>
    <x v="2"/>
    <x v="2"/>
  </r>
  <r>
    <n v="3377"/>
    <x v="40"/>
    <x v="1"/>
    <x v="19"/>
    <x v="3"/>
    <x v="43"/>
    <x v="31"/>
    <s v="M"/>
    <s v="Green"/>
    <s v="Winter"/>
    <n v="4.0999999999999996"/>
    <x v="1"/>
    <x v="5"/>
    <x v="1"/>
    <x v="1"/>
    <n v="24"/>
    <x v="1"/>
    <x v="3"/>
    <x v="3"/>
  </r>
  <r>
    <n v="3378"/>
    <x v="43"/>
    <x v="1"/>
    <x v="5"/>
    <x v="0"/>
    <x v="50"/>
    <x v="0"/>
    <s v="M"/>
    <s v="Yellow"/>
    <s v="Winter"/>
    <n v="4.5999999999999996"/>
    <x v="1"/>
    <x v="2"/>
    <x v="1"/>
    <x v="1"/>
    <n v="18"/>
    <x v="3"/>
    <x v="0"/>
    <x v="0"/>
  </r>
  <r>
    <n v="3379"/>
    <x v="34"/>
    <x v="1"/>
    <x v="6"/>
    <x v="0"/>
    <x v="60"/>
    <x v="46"/>
    <s v="L"/>
    <s v="Gold"/>
    <s v="Fall"/>
    <n v="4.5"/>
    <x v="1"/>
    <x v="2"/>
    <x v="1"/>
    <x v="1"/>
    <n v="6"/>
    <x v="1"/>
    <x v="3"/>
    <x v="3"/>
  </r>
  <r>
    <n v="3380"/>
    <x v="12"/>
    <x v="1"/>
    <x v="8"/>
    <x v="3"/>
    <x v="12"/>
    <x v="30"/>
    <s v="L"/>
    <s v="Turquoise"/>
    <s v="Summer"/>
    <n v="5"/>
    <x v="1"/>
    <x v="5"/>
    <x v="1"/>
    <x v="1"/>
    <n v="40"/>
    <x v="1"/>
    <x v="1"/>
    <x v="1"/>
  </r>
  <r>
    <n v="3381"/>
    <x v="38"/>
    <x v="1"/>
    <x v="10"/>
    <x v="0"/>
    <x v="78"/>
    <x v="25"/>
    <s v="L"/>
    <s v="Blue"/>
    <s v="Summer"/>
    <n v="3.8"/>
    <x v="1"/>
    <x v="3"/>
    <x v="1"/>
    <x v="1"/>
    <n v="6"/>
    <x v="3"/>
    <x v="6"/>
    <x v="3"/>
  </r>
  <r>
    <n v="3382"/>
    <x v="9"/>
    <x v="1"/>
    <x v="19"/>
    <x v="3"/>
    <x v="76"/>
    <x v="46"/>
    <s v="L"/>
    <s v="Turquoise"/>
    <s v="Winter"/>
    <n v="4.7"/>
    <x v="1"/>
    <x v="3"/>
    <x v="1"/>
    <x v="1"/>
    <n v="27"/>
    <x v="2"/>
    <x v="3"/>
    <x v="3"/>
  </r>
  <r>
    <n v="3383"/>
    <x v="50"/>
    <x v="1"/>
    <x v="1"/>
    <x v="0"/>
    <x v="59"/>
    <x v="43"/>
    <s v="M"/>
    <s v="Maroon"/>
    <s v="Spring"/>
    <n v="2.8"/>
    <x v="1"/>
    <x v="0"/>
    <x v="1"/>
    <x v="1"/>
    <n v="2"/>
    <x v="4"/>
    <x v="1"/>
    <x v="1"/>
  </r>
  <r>
    <n v="3384"/>
    <x v="7"/>
    <x v="1"/>
    <x v="7"/>
    <x v="2"/>
    <x v="35"/>
    <x v="12"/>
    <s v="M"/>
    <s v="Pink"/>
    <s v="Fall"/>
    <n v="2.6"/>
    <x v="1"/>
    <x v="2"/>
    <x v="1"/>
    <x v="1"/>
    <n v="39"/>
    <x v="0"/>
    <x v="4"/>
    <x v="4"/>
  </r>
  <r>
    <n v="3385"/>
    <x v="31"/>
    <x v="1"/>
    <x v="15"/>
    <x v="0"/>
    <x v="41"/>
    <x v="46"/>
    <s v="L"/>
    <s v="Maroon"/>
    <s v="Summer"/>
    <n v="3.8"/>
    <x v="1"/>
    <x v="1"/>
    <x v="1"/>
    <x v="1"/>
    <n v="9"/>
    <x v="0"/>
    <x v="3"/>
    <x v="3"/>
  </r>
  <r>
    <n v="3386"/>
    <x v="46"/>
    <x v="1"/>
    <x v="16"/>
    <x v="3"/>
    <x v="42"/>
    <x v="3"/>
    <s v="M"/>
    <s v="Olive"/>
    <s v="Winter"/>
    <n v="2.8"/>
    <x v="1"/>
    <x v="3"/>
    <x v="1"/>
    <x v="1"/>
    <n v="16"/>
    <x v="2"/>
    <x v="6"/>
    <x v="3"/>
  </r>
  <r>
    <n v="3387"/>
    <x v="50"/>
    <x v="1"/>
    <x v="17"/>
    <x v="0"/>
    <x v="17"/>
    <x v="49"/>
    <s v="M"/>
    <s v="Lavender"/>
    <s v="Fall"/>
    <n v="2.6"/>
    <x v="1"/>
    <x v="4"/>
    <x v="1"/>
    <x v="1"/>
    <n v="36"/>
    <x v="1"/>
    <x v="3"/>
    <x v="3"/>
  </r>
  <r>
    <n v="3388"/>
    <x v="10"/>
    <x v="1"/>
    <x v="13"/>
    <x v="0"/>
    <x v="72"/>
    <x v="32"/>
    <s v="S"/>
    <s v="Pink"/>
    <s v="Spring"/>
    <n v="3.4"/>
    <x v="1"/>
    <x v="4"/>
    <x v="1"/>
    <x v="1"/>
    <n v="2"/>
    <x v="2"/>
    <x v="4"/>
    <x v="4"/>
  </r>
  <r>
    <n v="3389"/>
    <x v="25"/>
    <x v="1"/>
    <x v="1"/>
    <x v="0"/>
    <x v="70"/>
    <x v="45"/>
    <s v="M"/>
    <s v="Cyan"/>
    <s v="Spring"/>
    <n v="4.5"/>
    <x v="1"/>
    <x v="5"/>
    <x v="1"/>
    <x v="1"/>
    <n v="21"/>
    <x v="2"/>
    <x v="1"/>
    <x v="1"/>
  </r>
  <r>
    <n v="3390"/>
    <x v="21"/>
    <x v="1"/>
    <x v="13"/>
    <x v="0"/>
    <x v="75"/>
    <x v="17"/>
    <s v="L"/>
    <s v="Maroon"/>
    <s v="Fall"/>
    <n v="3.8"/>
    <x v="1"/>
    <x v="1"/>
    <x v="1"/>
    <x v="1"/>
    <n v="39"/>
    <x v="0"/>
    <x v="2"/>
    <x v="2"/>
  </r>
  <r>
    <n v="3391"/>
    <x v="45"/>
    <x v="1"/>
    <x v="20"/>
    <x v="0"/>
    <x v="44"/>
    <x v="4"/>
    <s v="S"/>
    <s v="Red"/>
    <s v="Summer"/>
    <n v="3"/>
    <x v="1"/>
    <x v="2"/>
    <x v="1"/>
    <x v="1"/>
    <n v="38"/>
    <x v="3"/>
    <x v="2"/>
    <x v="2"/>
  </r>
  <r>
    <n v="3392"/>
    <x v="36"/>
    <x v="1"/>
    <x v="15"/>
    <x v="0"/>
    <x v="75"/>
    <x v="6"/>
    <s v="M"/>
    <s v="Silver"/>
    <s v="Fall"/>
    <n v="3.7"/>
    <x v="1"/>
    <x v="4"/>
    <x v="1"/>
    <x v="1"/>
    <n v="6"/>
    <x v="5"/>
    <x v="6"/>
    <x v="3"/>
  </r>
  <r>
    <n v="3393"/>
    <x v="10"/>
    <x v="1"/>
    <x v="18"/>
    <x v="3"/>
    <x v="67"/>
    <x v="32"/>
    <s v="XL"/>
    <s v="Blue"/>
    <s v="Winter"/>
    <n v="4.4000000000000004"/>
    <x v="1"/>
    <x v="1"/>
    <x v="1"/>
    <x v="1"/>
    <n v="6"/>
    <x v="0"/>
    <x v="4"/>
    <x v="4"/>
  </r>
  <r>
    <n v="3394"/>
    <x v="52"/>
    <x v="1"/>
    <x v="10"/>
    <x v="0"/>
    <x v="3"/>
    <x v="28"/>
    <s v="M"/>
    <s v="Gold"/>
    <s v="Fall"/>
    <n v="3.1"/>
    <x v="1"/>
    <x v="2"/>
    <x v="1"/>
    <x v="1"/>
    <n v="50"/>
    <x v="5"/>
    <x v="5"/>
    <x v="5"/>
  </r>
  <r>
    <n v="3395"/>
    <x v="18"/>
    <x v="1"/>
    <x v="3"/>
    <x v="1"/>
    <x v="57"/>
    <x v="34"/>
    <s v="S"/>
    <s v="Yellow"/>
    <s v="Spring"/>
    <n v="4.2"/>
    <x v="1"/>
    <x v="5"/>
    <x v="1"/>
    <x v="1"/>
    <n v="9"/>
    <x v="3"/>
    <x v="2"/>
    <x v="2"/>
  </r>
  <r>
    <n v="3396"/>
    <x v="42"/>
    <x v="1"/>
    <x v="10"/>
    <x v="0"/>
    <x v="35"/>
    <x v="24"/>
    <s v="M"/>
    <s v="Silver"/>
    <s v="Winter"/>
    <n v="3.1"/>
    <x v="1"/>
    <x v="1"/>
    <x v="1"/>
    <x v="1"/>
    <n v="15"/>
    <x v="5"/>
    <x v="6"/>
    <x v="3"/>
  </r>
  <r>
    <n v="3397"/>
    <x v="26"/>
    <x v="1"/>
    <x v="13"/>
    <x v="0"/>
    <x v="18"/>
    <x v="30"/>
    <s v="XL"/>
    <s v="Black"/>
    <s v="Winter"/>
    <n v="5"/>
    <x v="1"/>
    <x v="2"/>
    <x v="1"/>
    <x v="1"/>
    <n v="5"/>
    <x v="3"/>
    <x v="3"/>
    <x v="3"/>
  </r>
  <r>
    <n v="3398"/>
    <x v="1"/>
    <x v="1"/>
    <x v="0"/>
    <x v="0"/>
    <x v="15"/>
    <x v="32"/>
    <s v="L"/>
    <s v="Yellow"/>
    <s v="Summer"/>
    <n v="2.7"/>
    <x v="1"/>
    <x v="3"/>
    <x v="1"/>
    <x v="1"/>
    <n v="13"/>
    <x v="4"/>
    <x v="4"/>
    <x v="4"/>
  </r>
  <r>
    <n v="3399"/>
    <x v="22"/>
    <x v="1"/>
    <x v="2"/>
    <x v="0"/>
    <x v="30"/>
    <x v="6"/>
    <s v="L"/>
    <s v="Pink"/>
    <s v="Winter"/>
    <n v="3.8"/>
    <x v="1"/>
    <x v="3"/>
    <x v="1"/>
    <x v="1"/>
    <n v="44"/>
    <x v="1"/>
    <x v="0"/>
    <x v="0"/>
  </r>
  <r>
    <n v="3400"/>
    <x v="37"/>
    <x v="1"/>
    <x v="13"/>
    <x v="0"/>
    <x v="37"/>
    <x v="6"/>
    <s v="XL"/>
    <s v="Yellow"/>
    <s v="Winter"/>
    <n v="3.3"/>
    <x v="1"/>
    <x v="3"/>
    <x v="1"/>
    <x v="1"/>
    <n v="36"/>
    <x v="5"/>
    <x v="2"/>
    <x v="2"/>
  </r>
  <r>
    <n v="3401"/>
    <x v="31"/>
    <x v="1"/>
    <x v="12"/>
    <x v="3"/>
    <x v="12"/>
    <x v="22"/>
    <s v="M"/>
    <s v="Lavender"/>
    <s v="Fall"/>
    <n v="4.8"/>
    <x v="1"/>
    <x v="1"/>
    <x v="1"/>
    <x v="1"/>
    <n v="18"/>
    <x v="0"/>
    <x v="0"/>
    <x v="0"/>
  </r>
  <r>
    <n v="3402"/>
    <x v="42"/>
    <x v="1"/>
    <x v="21"/>
    <x v="3"/>
    <x v="79"/>
    <x v="22"/>
    <s v="L"/>
    <s v="Peach"/>
    <s v="Winter"/>
    <n v="3.4"/>
    <x v="1"/>
    <x v="3"/>
    <x v="1"/>
    <x v="1"/>
    <n v="39"/>
    <x v="2"/>
    <x v="1"/>
    <x v="1"/>
  </r>
  <r>
    <n v="3403"/>
    <x v="40"/>
    <x v="1"/>
    <x v="15"/>
    <x v="0"/>
    <x v="70"/>
    <x v="7"/>
    <s v="M"/>
    <s v="Black"/>
    <s v="Spring"/>
    <n v="4.4000000000000004"/>
    <x v="1"/>
    <x v="4"/>
    <x v="1"/>
    <x v="1"/>
    <n v="11"/>
    <x v="3"/>
    <x v="6"/>
    <x v="3"/>
  </r>
  <r>
    <n v="3404"/>
    <x v="11"/>
    <x v="1"/>
    <x v="23"/>
    <x v="1"/>
    <x v="61"/>
    <x v="26"/>
    <s v="M"/>
    <s v="Olive"/>
    <s v="Summer"/>
    <n v="3.9"/>
    <x v="1"/>
    <x v="3"/>
    <x v="1"/>
    <x v="1"/>
    <n v="1"/>
    <x v="1"/>
    <x v="4"/>
    <x v="4"/>
  </r>
  <r>
    <n v="3405"/>
    <x v="28"/>
    <x v="1"/>
    <x v="24"/>
    <x v="3"/>
    <x v="7"/>
    <x v="36"/>
    <s v="L"/>
    <s v="Olive"/>
    <s v="Fall"/>
    <n v="3.9"/>
    <x v="1"/>
    <x v="4"/>
    <x v="1"/>
    <x v="1"/>
    <n v="34"/>
    <x v="2"/>
    <x v="2"/>
    <x v="2"/>
  </r>
  <r>
    <n v="3406"/>
    <x v="48"/>
    <x v="1"/>
    <x v="0"/>
    <x v="0"/>
    <x v="55"/>
    <x v="47"/>
    <s v="M"/>
    <s v="White"/>
    <s v="Summer"/>
    <n v="4.2"/>
    <x v="1"/>
    <x v="5"/>
    <x v="1"/>
    <x v="1"/>
    <n v="47"/>
    <x v="4"/>
    <x v="4"/>
    <x v="4"/>
  </r>
  <r>
    <n v="3407"/>
    <x v="9"/>
    <x v="1"/>
    <x v="1"/>
    <x v="0"/>
    <x v="24"/>
    <x v="43"/>
    <s v="M"/>
    <s v="Red"/>
    <s v="Spring"/>
    <n v="4"/>
    <x v="1"/>
    <x v="5"/>
    <x v="1"/>
    <x v="1"/>
    <n v="24"/>
    <x v="0"/>
    <x v="3"/>
    <x v="3"/>
  </r>
  <r>
    <n v="3408"/>
    <x v="5"/>
    <x v="1"/>
    <x v="10"/>
    <x v="0"/>
    <x v="43"/>
    <x v="15"/>
    <s v="S"/>
    <s v="Purple"/>
    <s v="Spring"/>
    <n v="2.6"/>
    <x v="1"/>
    <x v="5"/>
    <x v="1"/>
    <x v="1"/>
    <n v="20"/>
    <x v="1"/>
    <x v="3"/>
    <x v="3"/>
  </r>
  <r>
    <n v="3409"/>
    <x v="39"/>
    <x v="1"/>
    <x v="20"/>
    <x v="0"/>
    <x v="11"/>
    <x v="6"/>
    <s v="L"/>
    <s v="Purple"/>
    <s v="Summer"/>
    <n v="4.4000000000000004"/>
    <x v="1"/>
    <x v="3"/>
    <x v="1"/>
    <x v="1"/>
    <n v="11"/>
    <x v="4"/>
    <x v="2"/>
    <x v="2"/>
  </r>
  <r>
    <n v="3410"/>
    <x v="41"/>
    <x v="1"/>
    <x v="5"/>
    <x v="0"/>
    <x v="73"/>
    <x v="46"/>
    <s v="M"/>
    <s v="Teal"/>
    <s v="Summer"/>
    <n v="3.2"/>
    <x v="1"/>
    <x v="2"/>
    <x v="1"/>
    <x v="1"/>
    <n v="3"/>
    <x v="2"/>
    <x v="6"/>
    <x v="3"/>
  </r>
  <r>
    <n v="3411"/>
    <x v="2"/>
    <x v="1"/>
    <x v="3"/>
    <x v="1"/>
    <x v="31"/>
    <x v="31"/>
    <s v="L"/>
    <s v="Teal"/>
    <s v="Summer"/>
    <n v="4.3"/>
    <x v="1"/>
    <x v="1"/>
    <x v="1"/>
    <x v="1"/>
    <n v="38"/>
    <x v="4"/>
    <x v="4"/>
    <x v="4"/>
  </r>
  <r>
    <n v="3412"/>
    <x v="26"/>
    <x v="1"/>
    <x v="9"/>
    <x v="1"/>
    <x v="22"/>
    <x v="14"/>
    <s v="L"/>
    <s v="Gray"/>
    <s v="Winter"/>
    <n v="4.9000000000000004"/>
    <x v="1"/>
    <x v="4"/>
    <x v="1"/>
    <x v="1"/>
    <n v="45"/>
    <x v="1"/>
    <x v="1"/>
    <x v="1"/>
  </r>
  <r>
    <n v="3413"/>
    <x v="12"/>
    <x v="1"/>
    <x v="3"/>
    <x v="1"/>
    <x v="42"/>
    <x v="27"/>
    <s v="M"/>
    <s v="Magenta"/>
    <s v="Fall"/>
    <n v="3.8"/>
    <x v="1"/>
    <x v="5"/>
    <x v="1"/>
    <x v="1"/>
    <n v="31"/>
    <x v="0"/>
    <x v="3"/>
    <x v="3"/>
  </r>
  <r>
    <n v="3414"/>
    <x v="50"/>
    <x v="1"/>
    <x v="24"/>
    <x v="3"/>
    <x v="3"/>
    <x v="12"/>
    <s v="XL"/>
    <s v="Black"/>
    <s v="Winter"/>
    <n v="2.5"/>
    <x v="1"/>
    <x v="0"/>
    <x v="1"/>
    <x v="1"/>
    <n v="16"/>
    <x v="3"/>
    <x v="4"/>
    <x v="4"/>
  </r>
  <r>
    <n v="3415"/>
    <x v="7"/>
    <x v="1"/>
    <x v="23"/>
    <x v="1"/>
    <x v="23"/>
    <x v="39"/>
    <s v="M"/>
    <s v="Maroon"/>
    <s v="Spring"/>
    <n v="4.9000000000000004"/>
    <x v="1"/>
    <x v="2"/>
    <x v="1"/>
    <x v="1"/>
    <n v="3"/>
    <x v="4"/>
    <x v="3"/>
    <x v="3"/>
  </r>
  <r>
    <n v="3416"/>
    <x v="21"/>
    <x v="1"/>
    <x v="0"/>
    <x v="0"/>
    <x v="10"/>
    <x v="14"/>
    <s v="M"/>
    <s v="Gold"/>
    <s v="Fall"/>
    <n v="3"/>
    <x v="1"/>
    <x v="4"/>
    <x v="1"/>
    <x v="1"/>
    <n v="15"/>
    <x v="4"/>
    <x v="2"/>
    <x v="2"/>
  </r>
  <r>
    <n v="3417"/>
    <x v="15"/>
    <x v="1"/>
    <x v="3"/>
    <x v="1"/>
    <x v="0"/>
    <x v="15"/>
    <s v="M"/>
    <s v="Purple"/>
    <s v="Spring"/>
    <n v="3.2"/>
    <x v="1"/>
    <x v="5"/>
    <x v="1"/>
    <x v="1"/>
    <n v="11"/>
    <x v="4"/>
    <x v="6"/>
    <x v="3"/>
  </r>
  <r>
    <n v="3418"/>
    <x v="22"/>
    <x v="1"/>
    <x v="7"/>
    <x v="2"/>
    <x v="59"/>
    <x v="2"/>
    <s v="M"/>
    <s v="Blue"/>
    <s v="Summer"/>
    <n v="2.9"/>
    <x v="1"/>
    <x v="4"/>
    <x v="1"/>
    <x v="1"/>
    <n v="22"/>
    <x v="5"/>
    <x v="0"/>
    <x v="0"/>
  </r>
  <r>
    <n v="3419"/>
    <x v="10"/>
    <x v="1"/>
    <x v="14"/>
    <x v="2"/>
    <x v="38"/>
    <x v="36"/>
    <s v="M"/>
    <s v="Beige"/>
    <s v="Summer"/>
    <n v="2.8"/>
    <x v="1"/>
    <x v="1"/>
    <x v="1"/>
    <x v="1"/>
    <n v="35"/>
    <x v="5"/>
    <x v="2"/>
    <x v="2"/>
  </r>
  <r>
    <n v="3420"/>
    <x v="51"/>
    <x v="1"/>
    <x v="16"/>
    <x v="3"/>
    <x v="46"/>
    <x v="8"/>
    <s v="L"/>
    <s v="Indigo"/>
    <s v="Winter"/>
    <n v="3.1"/>
    <x v="1"/>
    <x v="5"/>
    <x v="1"/>
    <x v="1"/>
    <n v="5"/>
    <x v="0"/>
    <x v="4"/>
    <x v="4"/>
  </r>
  <r>
    <n v="3421"/>
    <x v="1"/>
    <x v="1"/>
    <x v="19"/>
    <x v="3"/>
    <x v="30"/>
    <x v="0"/>
    <s v="M"/>
    <s v="Purple"/>
    <s v="Winter"/>
    <n v="3.4"/>
    <x v="1"/>
    <x v="0"/>
    <x v="1"/>
    <x v="1"/>
    <n v="35"/>
    <x v="3"/>
    <x v="4"/>
    <x v="4"/>
  </r>
  <r>
    <n v="3422"/>
    <x v="9"/>
    <x v="1"/>
    <x v="9"/>
    <x v="1"/>
    <x v="38"/>
    <x v="32"/>
    <s v="M"/>
    <s v="Maroon"/>
    <s v="Summer"/>
    <n v="2.9"/>
    <x v="1"/>
    <x v="1"/>
    <x v="1"/>
    <x v="1"/>
    <n v="27"/>
    <x v="3"/>
    <x v="1"/>
    <x v="1"/>
  </r>
  <r>
    <n v="3423"/>
    <x v="1"/>
    <x v="1"/>
    <x v="7"/>
    <x v="2"/>
    <x v="26"/>
    <x v="14"/>
    <s v="L"/>
    <s v="Beige"/>
    <s v="Winter"/>
    <n v="3.2"/>
    <x v="1"/>
    <x v="2"/>
    <x v="1"/>
    <x v="1"/>
    <n v="9"/>
    <x v="0"/>
    <x v="5"/>
    <x v="5"/>
  </r>
  <r>
    <n v="3424"/>
    <x v="23"/>
    <x v="1"/>
    <x v="23"/>
    <x v="1"/>
    <x v="79"/>
    <x v="2"/>
    <s v="M"/>
    <s v="Brown"/>
    <s v="Spring"/>
    <n v="3.8"/>
    <x v="1"/>
    <x v="2"/>
    <x v="1"/>
    <x v="1"/>
    <n v="21"/>
    <x v="3"/>
    <x v="4"/>
    <x v="4"/>
  </r>
  <r>
    <n v="3425"/>
    <x v="23"/>
    <x v="1"/>
    <x v="18"/>
    <x v="3"/>
    <x v="1"/>
    <x v="20"/>
    <s v="L"/>
    <s v="Green"/>
    <s v="Summer"/>
    <n v="3.6"/>
    <x v="1"/>
    <x v="4"/>
    <x v="1"/>
    <x v="1"/>
    <n v="23"/>
    <x v="2"/>
    <x v="5"/>
    <x v="5"/>
  </r>
  <r>
    <n v="3426"/>
    <x v="21"/>
    <x v="1"/>
    <x v="19"/>
    <x v="3"/>
    <x v="36"/>
    <x v="49"/>
    <s v="M"/>
    <s v="Blue"/>
    <s v="Summer"/>
    <n v="4.3"/>
    <x v="1"/>
    <x v="2"/>
    <x v="1"/>
    <x v="1"/>
    <n v="3"/>
    <x v="5"/>
    <x v="4"/>
    <x v="4"/>
  </r>
  <r>
    <n v="3427"/>
    <x v="36"/>
    <x v="1"/>
    <x v="20"/>
    <x v="0"/>
    <x v="59"/>
    <x v="4"/>
    <s v="XL"/>
    <s v="Magenta"/>
    <s v="Fall"/>
    <n v="4.8"/>
    <x v="1"/>
    <x v="4"/>
    <x v="1"/>
    <x v="1"/>
    <n v="31"/>
    <x v="2"/>
    <x v="2"/>
    <x v="2"/>
  </r>
  <r>
    <n v="3428"/>
    <x v="31"/>
    <x v="1"/>
    <x v="17"/>
    <x v="0"/>
    <x v="15"/>
    <x v="49"/>
    <s v="XL"/>
    <s v="Turquoise"/>
    <s v="Winter"/>
    <n v="2.5"/>
    <x v="1"/>
    <x v="5"/>
    <x v="1"/>
    <x v="1"/>
    <n v="44"/>
    <x v="1"/>
    <x v="2"/>
    <x v="2"/>
  </r>
  <r>
    <n v="3429"/>
    <x v="45"/>
    <x v="1"/>
    <x v="16"/>
    <x v="3"/>
    <x v="28"/>
    <x v="47"/>
    <s v="M"/>
    <s v="Gray"/>
    <s v="Fall"/>
    <n v="2.5"/>
    <x v="1"/>
    <x v="2"/>
    <x v="1"/>
    <x v="1"/>
    <n v="20"/>
    <x v="0"/>
    <x v="5"/>
    <x v="5"/>
  </r>
  <r>
    <n v="3430"/>
    <x v="7"/>
    <x v="1"/>
    <x v="11"/>
    <x v="0"/>
    <x v="48"/>
    <x v="29"/>
    <s v="S"/>
    <s v="Purple"/>
    <s v="Winter"/>
    <n v="4.5999999999999996"/>
    <x v="1"/>
    <x v="0"/>
    <x v="1"/>
    <x v="1"/>
    <n v="34"/>
    <x v="5"/>
    <x v="1"/>
    <x v="1"/>
  </r>
  <r>
    <n v="3431"/>
    <x v="29"/>
    <x v="1"/>
    <x v="20"/>
    <x v="0"/>
    <x v="2"/>
    <x v="6"/>
    <s v="M"/>
    <s v="Lavender"/>
    <s v="Winter"/>
    <n v="4.2"/>
    <x v="1"/>
    <x v="2"/>
    <x v="1"/>
    <x v="1"/>
    <n v="17"/>
    <x v="4"/>
    <x v="6"/>
    <x v="3"/>
  </r>
  <r>
    <n v="3432"/>
    <x v="5"/>
    <x v="1"/>
    <x v="22"/>
    <x v="3"/>
    <x v="4"/>
    <x v="35"/>
    <s v="S"/>
    <s v="Green"/>
    <s v="Summer"/>
    <n v="4.2"/>
    <x v="1"/>
    <x v="0"/>
    <x v="1"/>
    <x v="1"/>
    <n v="20"/>
    <x v="0"/>
    <x v="2"/>
    <x v="2"/>
  </r>
  <r>
    <n v="3433"/>
    <x v="24"/>
    <x v="1"/>
    <x v="23"/>
    <x v="1"/>
    <x v="77"/>
    <x v="39"/>
    <s v="M"/>
    <s v="Gray"/>
    <s v="Summer"/>
    <n v="4.8"/>
    <x v="1"/>
    <x v="4"/>
    <x v="1"/>
    <x v="1"/>
    <n v="46"/>
    <x v="3"/>
    <x v="6"/>
    <x v="3"/>
  </r>
  <r>
    <n v="3434"/>
    <x v="46"/>
    <x v="1"/>
    <x v="20"/>
    <x v="0"/>
    <x v="73"/>
    <x v="29"/>
    <s v="M"/>
    <s v="Yellow"/>
    <s v="Spring"/>
    <n v="4.5"/>
    <x v="1"/>
    <x v="1"/>
    <x v="1"/>
    <x v="1"/>
    <n v="28"/>
    <x v="3"/>
    <x v="2"/>
    <x v="2"/>
  </r>
  <r>
    <n v="3435"/>
    <x v="18"/>
    <x v="1"/>
    <x v="13"/>
    <x v="0"/>
    <x v="11"/>
    <x v="31"/>
    <s v="S"/>
    <s v="Orange"/>
    <s v="Summer"/>
    <n v="3.3"/>
    <x v="1"/>
    <x v="4"/>
    <x v="1"/>
    <x v="1"/>
    <n v="6"/>
    <x v="0"/>
    <x v="0"/>
    <x v="0"/>
  </r>
  <r>
    <n v="3436"/>
    <x v="33"/>
    <x v="1"/>
    <x v="20"/>
    <x v="0"/>
    <x v="26"/>
    <x v="6"/>
    <s v="M"/>
    <s v="Beige"/>
    <s v="Summer"/>
    <n v="2.7"/>
    <x v="1"/>
    <x v="4"/>
    <x v="1"/>
    <x v="1"/>
    <n v="50"/>
    <x v="5"/>
    <x v="4"/>
    <x v="4"/>
  </r>
  <r>
    <n v="3437"/>
    <x v="9"/>
    <x v="1"/>
    <x v="22"/>
    <x v="3"/>
    <x v="42"/>
    <x v="43"/>
    <s v="L"/>
    <s v="Peach"/>
    <s v="Winter"/>
    <n v="2.8"/>
    <x v="1"/>
    <x v="4"/>
    <x v="1"/>
    <x v="1"/>
    <n v="41"/>
    <x v="4"/>
    <x v="5"/>
    <x v="5"/>
  </r>
  <r>
    <n v="3438"/>
    <x v="40"/>
    <x v="1"/>
    <x v="14"/>
    <x v="2"/>
    <x v="17"/>
    <x v="19"/>
    <s v="S"/>
    <s v="Green"/>
    <s v="Winter"/>
    <n v="3.5"/>
    <x v="1"/>
    <x v="4"/>
    <x v="1"/>
    <x v="1"/>
    <n v="50"/>
    <x v="3"/>
    <x v="2"/>
    <x v="2"/>
  </r>
  <r>
    <n v="3439"/>
    <x v="8"/>
    <x v="1"/>
    <x v="5"/>
    <x v="0"/>
    <x v="79"/>
    <x v="0"/>
    <s v="M"/>
    <s v="Violet"/>
    <s v="Fall"/>
    <n v="3"/>
    <x v="1"/>
    <x v="5"/>
    <x v="1"/>
    <x v="1"/>
    <n v="33"/>
    <x v="2"/>
    <x v="5"/>
    <x v="5"/>
  </r>
  <r>
    <n v="3440"/>
    <x v="49"/>
    <x v="1"/>
    <x v="24"/>
    <x v="3"/>
    <x v="73"/>
    <x v="37"/>
    <s v="M"/>
    <s v="Gray"/>
    <s v="Summer"/>
    <n v="4.5"/>
    <x v="1"/>
    <x v="0"/>
    <x v="1"/>
    <x v="1"/>
    <n v="25"/>
    <x v="0"/>
    <x v="3"/>
    <x v="3"/>
  </r>
  <r>
    <n v="3441"/>
    <x v="4"/>
    <x v="1"/>
    <x v="8"/>
    <x v="3"/>
    <x v="80"/>
    <x v="33"/>
    <s v="L"/>
    <s v="Magenta"/>
    <s v="Fall"/>
    <n v="4.3"/>
    <x v="1"/>
    <x v="4"/>
    <x v="1"/>
    <x v="1"/>
    <n v="2"/>
    <x v="3"/>
    <x v="1"/>
    <x v="1"/>
  </r>
  <r>
    <n v="3442"/>
    <x v="14"/>
    <x v="1"/>
    <x v="1"/>
    <x v="0"/>
    <x v="48"/>
    <x v="30"/>
    <s v="XL"/>
    <s v="Charcoal"/>
    <s v="Fall"/>
    <n v="4.0999999999999996"/>
    <x v="1"/>
    <x v="3"/>
    <x v="1"/>
    <x v="1"/>
    <n v="15"/>
    <x v="2"/>
    <x v="2"/>
    <x v="2"/>
  </r>
  <r>
    <n v="3443"/>
    <x v="48"/>
    <x v="1"/>
    <x v="11"/>
    <x v="0"/>
    <x v="72"/>
    <x v="49"/>
    <s v="M"/>
    <s v="Violet"/>
    <s v="Spring"/>
    <n v="4.3"/>
    <x v="1"/>
    <x v="2"/>
    <x v="1"/>
    <x v="1"/>
    <n v="12"/>
    <x v="3"/>
    <x v="1"/>
    <x v="1"/>
  </r>
  <r>
    <n v="3444"/>
    <x v="36"/>
    <x v="1"/>
    <x v="10"/>
    <x v="0"/>
    <x v="41"/>
    <x v="30"/>
    <s v="L"/>
    <s v="Silver"/>
    <s v="Summer"/>
    <n v="5"/>
    <x v="1"/>
    <x v="1"/>
    <x v="1"/>
    <x v="1"/>
    <n v="28"/>
    <x v="1"/>
    <x v="4"/>
    <x v="4"/>
  </r>
  <r>
    <n v="3445"/>
    <x v="10"/>
    <x v="1"/>
    <x v="13"/>
    <x v="0"/>
    <x v="80"/>
    <x v="3"/>
    <s v="S"/>
    <s v="Green"/>
    <s v="Summer"/>
    <n v="3.8"/>
    <x v="1"/>
    <x v="4"/>
    <x v="1"/>
    <x v="1"/>
    <n v="12"/>
    <x v="4"/>
    <x v="4"/>
    <x v="4"/>
  </r>
  <r>
    <n v="3446"/>
    <x v="32"/>
    <x v="1"/>
    <x v="19"/>
    <x v="3"/>
    <x v="47"/>
    <x v="20"/>
    <s v="M"/>
    <s v="Magenta"/>
    <s v="Fall"/>
    <n v="4.9000000000000004"/>
    <x v="1"/>
    <x v="3"/>
    <x v="1"/>
    <x v="1"/>
    <n v="3"/>
    <x v="5"/>
    <x v="2"/>
    <x v="2"/>
  </r>
  <r>
    <n v="3447"/>
    <x v="47"/>
    <x v="1"/>
    <x v="23"/>
    <x v="1"/>
    <x v="37"/>
    <x v="7"/>
    <s v="S"/>
    <s v="Purple"/>
    <s v="Spring"/>
    <n v="5"/>
    <x v="1"/>
    <x v="4"/>
    <x v="1"/>
    <x v="1"/>
    <n v="20"/>
    <x v="1"/>
    <x v="1"/>
    <x v="1"/>
  </r>
  <r>
    <n v="3448"/>
    <x v="46"/>
    <x v="1"/>
    <x v="3"/>
    <x v="1"/>
    <x v="47"/>
    <x v="10"/>
    <s v="M"/>
    <s v="Blue"/>
    <s v="Fall"/>
    <n v="4.3"/>
    <x v="1"/>
    <x v="0"/>
    <x v="1"/>
    <x v="1"/>
    <n v="3"/>
    <x v="4"/>
    <x v="4"/>
    <x v="4"/>
  </r>
  <r>
    <n v="3449"/>
    <x v="20"/>
    <x v="1"/>
    <x v="7"/>
    <x v="2"/>
    <x v="39"/>
    <x v="0"/>
    <s v="S"/>
    <s v="Yellow"/>
    <s v="Winter"/>
    <n v="4.0999999999999996"/>
    <x v="1"/>
    <x v="0"/>
    <x v="1"/>
    <x v="1"/>
    <n v="32"/>
    <x v="4"/>
    <x v="0"/>
    <x v="0"/>
  </r>
  <r>
    <n v="3450"/>
    <x v="39"/>
    <x v="1"/>
    <x v="0"/>
    <x v="0"/>
    <x v="18"/>
    <x v="23"/>
    <s v="M"/>
    <s v="Brown"/>
    <s v="Spring"/>
    <n v="4.5"/>
    <x v="1"/>
    <x v="3"/>
    <x v="1"/>
    <x v="1"/>
    <n v="35"/>
    <x v="1"/>
    <x v="5"/>
    <x v="5"/>
  </r>
  <r>
    <n v="3451"/>
    <x v="30"/>
    <x v="1"/>
    <x v="6"/>
    <x v="0"/>
    <x v="72"/>
    <x v="34"/>
    <s v="M"/>
    <s v="Pink"/>
    <s v="Spring"/>
    <n v="3.6"/>
    <x v="1"/>
    <x v="5"/>
    <x v="1"/>
    <x v="1"/>
    <n v="31"/>
    <x v="3"/>
    <x v="5"/>
    <x v="5"/>
  </r>
  <r>
    <n v="3452"/>
    <x v="45"/>
    <x v="1"/>
    <x v="0"/>
    <x v="0"/>
    <x v="2"/>
    <x v="22"/>
    <s v="XL"/>
    <s v="Silver"/>
    <s v="Fall"/>
    <n v="3"/>
    <x v="1"/>
    <x v="1"/>
    <x v="1"/>
    <x v="1"/>
    <n v="13"/>
    <x v="2"/>
    <x v="2"/>
    <x v="2"/>
  </r>
  <r>
    <n v="3453"/>
    <x v="8"/>
    <x v="1"/>
    <x v="14"/>
    <x v="2"/>
    <x v="5"/>
    <x v="19"/>
    <s v="M"/>
    <s v="Indigo"/>
    <s v="Spring"/>
    <n v="3.7"/>
    <x v="1"/>
    <x v="2"/>
    <x v="1"/>
    <x v="1"/>
    <n v="3"/>
    <x v="0"/>
    <x v="0"/>
    <x v="0"/>
  </r>
  <r>
    <n v="3454"/>
    <x v="18"/>
    <x v="1"/>
    <x v="5"/>
    <x v="0"/>
    <x v="30"/>
    <x v="15"/>
    <s v="L"/>
    <s v="Pink"/>
    <s v="Winter"/>
    <n v="4.3"/>
    <x v="1"/>
    <x v="3"/>
    <x v="1"/>
    <x v="1"/>
    <n v="48"/>
    <x v="0"/>
    <x v="4"/>
    <x v="4"/>
  </r>
  <r>
    <n v="3455"/>
    <x v="0"/>
    <x v="1"/>
    <x v="8"/>
    <x v="3"/>
    <x v="79"/>
    <x v="7"/>
    <s v="S"/>
    <s v="Lavender"/>
    <s v="Fall"/>
    <n v="4.5999999999999996"/>
    <x v="1"/>
    <x v="5"/>
    <x v="1"/>
    <x v="1"/>
    <n v="15"/>
    <x v="3"/>
    <x v="4"/>
    <x v="4"/>
  </r>
  <r>
    <n v="3456"/>
    <x v="34"/>
    <x v="1"/>
    <x v="17"/>
    <x v="0"/>
    <x v="58"/>
    <x v="31"/>
    <s v="M"/>
    <s v="Orange"/>
    <s v="Fall"/>
    <n v="4.7"/>
    <x v="1"/>
    <x v="3"/>
    <x v="1"/>
    <x v="1"/>
    <n v="13"/>
    <x v="0"/>
    <x v="2"/>
    <x v="2"/>
  </r>
  <r>
    <n v="3457"/>
    <x v="32"/>
    <x v="1"/>
    <x v="15"/>
    <x v="0"/>
    <x v="0"/>
    <x v="21"/>
    <s v="M"/>
    <s v="Red"/>
    <s v="Fall"/>
    <n v="4.5999999999999996"/>
    <x v="1"/>
    <x v="0"/>
    <x v="1"/>
    <x v="1"/>
    <n v="21"/>
    <x v="0"/>
    <x v="5"/>
    <x v="5"/>
  </r>
  <r>
    <n v="3458"/>
    <x v="14"/>
    <x v="1"/>
    <x v="16"/>
    <x v="3"/>
    <x v="55"/>
    <x v="33"/>
    <s v="M"/>
    <s v="Gray"/>
    <s v="Summer"/>
    <n v="3"/>
    <x v="1"/>
    <x v="0"/>
    <x v="1"/>
    <x v="1"/>
    <n v="29"/>
    <x v="1"/>
    <x v="0"/>
    <x v="0"/>
  </r>
  <r>
    <n v="3459"/>
    <x v="33"/>
    <x v="1"/>
    <x v="16"/>
    <x v="3"/>
    <x v="18"/>
    <x v="8"/>
    <s v="L"/>
    <s v="Violet"/>
    <s v="Spring"/>
    <n v="3.4"/>
    <x v="1"/>
    <x v="3"/>
    <x v="1"/>
    <x v="1"/>
    <n v="24"/>
    <x v="0"/>
    <x v="3"/>
    <x v="3"/>
  </r>
  <r>
    <n v="3460"/>
    <x v="33"/>
    <x v="1"/>
    <x v="15"/>
    <x v="0"/>
    <x v="18"/>
    <x v="31"/>
    <s v="L"/>
    <s v="Green"/>
    <s v="Fall"/>
    <n v="3.8"/>
    <x v="1"/>
    <x v="0"/>
    <x v="1"/>
    <x v="1"/>
    <n v="21"/>
    <x v="3"/>
    <x v="2"/>
    <x v="2"/>
  </r>
  <r>
    <n v="3461"/>
    <x v="38"/>
    <x v="1"/>
    <x v="18"/>
    <x v="3"/>
    <x v="72"/>
    <x v="27"/>
    <s v="M"/>
    <s v="Gold"/>
    <s v="Spring"/>
    <n v="3.1"/>
    <x v="1"/>
    <x v="0"/>
    <x v="1"/>
    <x v="1"/>
    <n v="5"/>
    <x v="4"/>
    <x v="4"/>
    <x v="4"/>
  </r>
  <r>
    <n v="3462"/>
    <x v="47"/>
    <x v="1"/>
    <x v="9"/>
    <x v="1"/>
    <x v="66"/>
    <x v="5"/>
    <s v="S"/>
    <s v="Maroon"/>
    <s v="Spring"/>
    <n v="4.4000000000000004"/>
    <x v="1"/>
    <x v="3"/>
    <x v="1"/>
    <x v="1"/>
    <n v="47"/>
    <x v="1"/>
    <x v="3"/>
    <x v="3"/>
  </r>
  <r>
    <n v="3463"/>
    <x v="42"/>
    <x v="1"/>
    <x v="2"/>
    <x v="0"/>
    <x v="2"/>
    <x v="49"/>
    <s v="L"/>
    <s v="Olive"/>
    <s v="Spring"/>
    <n v="4.5"/>
    <x v="1"/>
    <x v="3"/>
    <x v="1"/>
    <x v="1"/>
    <n v="34"/>
    <x v="2"/>
    <x v="6"/>
    <x v="3"/>
  </r>
  <r>
    <n v="3464"/>
    <x v="7"/>
    <x v="1"/>
    <x v="16"/>
    <x v="3"/>
    <x v="65"/>
    <x v="1"/>
    <s v="M"/>
    <s v="Yellow"/>
    <s v="Fall"/>
    <n v="2.8"/>
    <x v="1"/>
    <x v="4"/>
    <x v="1"/>
    <x v="1"/>
    <n v="45"/>
    <x v="3"/>
    <x v="0"/>
    <x v="0"/>
  </r>
  <r>
    <n v="3465"/>
    <x v="24"/>
    <x v="1"/>
    <x v="7"/>
    <x v="2"/>
    <x v="40"/>
    <x v="40"/>
    <s v="S"/>
    <s v="Peach"/>
    <s v="Winter"/>
    <n v="2.7"/>
    <x v="1"/>
    <x v="2"/>
    <x v="1"/>
    <x v="1"/>
    <n v="12"/>
    <x v="3"/>
    <x v="2"/>
    <x v="2"/>
  </r>
  <r>
    <n v="3466"/>
    <x v="1"/>
    <x v="1"/>
    <x v="21"/>
    <x v="3"/>
    <x v="0"/>
    <x v="44"/>
    <s v="M"/>
    <s v="Gold"/>
    <s v="Spring"/>
    <n v="3.4"/>
    <x v="1"/>
    <x v="3"/>
    <x v="1"/>
    <x v="1"/>
    <n v="31"/>
    <x v="5"/>
    <x v="1"/>
    <x v="1"/>
  </r>
  <r>
    <n v="3467"/>
    <x v="34"/>
    <x v="1"/>
    <x v="20"/>
    <x v="0"/>
    <x v="69"/>
    <x v="33"/>
    <s v="S"/>
    <s v="Purple"/>
    <s v="Summer"/>
    <n v="4.5999999999999996"/>
    <x v="1"/>
    <x v="3"/>
    <x v="1"/>
    <x v="1"/>
    <n v="43"/>
    <x v="4"/>
    <x v="2"/>
    <x v="2"/>
  </r>
  <r>
    <n v="3468"/>
    <x v="20"/>
    <x v="1"/>
    <x v="18"/>
    <x v="3"/>
    <x v="29"/>
    <x v="21"/>
    <s v="M"/>
    <s v="Charcoal"/>
    <s v="Fall"/>
    <n v="5"/>
    <x v="1"/>
    <x v="2"/>
    <x v="1"/>
    <x v="1"/>
    <n v="5"/>
    <x v="2"/>
    <x v="2"/>
    <x v="2"/>
  </r>
  <r>
    <n v="3469"/>
    <x v="24"/>
    <x v="1"/>
    <x v="12"/>
    <x v="3"/>
    <x v="58"/>
    <x v="31"/>
    <s v="S"/>
    <s v="Indigo"/>
    <s v="Winter"/>
    <n v="3.5"/>
    <x v="1"/>
    <x v="3"/>
    <x v="1"/>
    <x v="1"/>
    <n v="36"/>
    <x v="5"/>
    <x v="3"/>
    <x v="3"/>
  </r>
  <r>
    <n v="3470"/>
    <x v="24"/>
    <x v="1"/>
    <x v="20"/>
    <x v="0"/>
    <x v="6"/>
    <x v="25"/>
    <s v="L"/>
    <s v="Magenta"/>
    <s v="Fall"/>
    <n v="3.3"/>
    <x v="1"/>
    <x v="5"/>
    <x v="1"/>
    <x v="1"/>
    <n v="12"/>
    <x v="1"/>
    <x v="2"/>
    <x v="2"/>
  </r>
  <r>
    <n v="3471"/>
    <x v="1"/>
    <x v="1"/>
    <x v="7"/>
    <x v="2"/>
    <x v="28"/>
    <x v="8"/>
    <s v="S"/>
    <s v="Olive"/>
    <s v="Summer"/>
    <n v="4.5"/>
    <x v="1"/>
    <x v="1"/>
    <x v="1"/>
    <x v="1"/>
    <n v="31"/>
    <x v="1"/>
    <x v="4"/>
    <x v="4"/>
  </r>
  <r>
    <n v="3472"/>
    <x v="49"/>
    <x v="1"/>
    <x v="3"/>
    <x v="1"/>
    <x v="76"/>
    <x v="17"/>
    <s v="S"/>
    <s v="Blue"/>
    <s v="Spring"/>
    <n v="3.1"/>
    <x v="1"/>
    <x v="5"/>
    <x v="1"/>
    <x v="1"/>
    <n v="31"/>
    <x v="1"/>
    <x v="4"/>
    <x v="4"/>
  </r>
  <r>
    <n v="3473"/>
    <x v="18"/>
    <x v="1"/>
    <x v="0"/>
    <x v="0"/>
    <x v="69"/>
    <x v="42"/>
    <s v="S"/>
    <s v="White"/>
    <s v="Summer"/>
    <n v="4"/>
    <x v="1"/>
    <x v="1"/>
    <x v="1"/>
    <x v="1"/>
    <n v="15"/>
    <x v="5"/>
    <x v="1"/>
    <x v="1"/>
  </r>
  <r>
    <n v="3474"/>
    <x v="6"/>
    <x v="1"/>
    <x v="10"/>
    <x v="0"/>
    <x v="49"/>
    <x v="23"/>
    <s v="M"/>
    <s v="Cyan"/>
    <s v="Spring"/>
    <n v="2.5"/>
    <x v="1"/>
    <x v="0"/>
    <x v="1"/>
    <x v="1"/>
    <n v="11"/>
    <x v="1"/>
    <x v="1"/>
    <x v="1"/>
  </r>
  <r>
    <n v="3475"/>
    <x v="38"/>
    <x v="1"/>
    <x v="13"/>
    <x v="0"/>
    <x v="71"/>
    <x v="1"/>
    <s v="M"/>
    <s v="Cyan"/>
    <s v="Winter"/>
    <n v="4.4000000000000004"/>
    <x v="1"/>
    <x v="5"/>
    <x v="1"/>
    <x v="1"/>
    <n v="18"/>
    <x v="0"/>
    <x v="5"/>
    <x v="5"/>
  </r>
  <r>
    <n v="3476"/>
    <x v="39"/>
    <x v="1"/>
    <x v="4"/>
    <x v="1"/>
    <x v="19"/>
    <x v="36"/>
    <s v="M"/>
    <s v="Orange"/>
    <s v="Spring"/>
    <n v="4.4000000000000004"/>
    <x v="1"/>
    <x v="0"/>
    <x v="1"/>
    <x v="1"/>
    <n v="9"/>
    <x v="1"/>
    <x v="3"/>
    <x v="3"/>
  </r>
  <r>
    <n v="3477"/>
    <x v="33"/>
    <x v="1"/>
    <x v="23"/>
    <x v="1"/>
    <x v="54"/>
    <x v="36"/>
    <s v="XL"/>
    <s v="Orange"/>
    <s v="Summer"/>
    <n v="3.2"/>
    <x v="1"/>
    <x v="1"/>
    <x v="1"/>
    <x v="1"/>
    <n v="11"/>
    <x v="1"/>
    <x v="1"/>
    <x v="1"/>
  </r>
  <r>
    <n v="3478"/>
    <x v="10"/>
    <x v="1"/>
    <x v="8"/>
    <x v="3"/>
    <x v="6"/>
    <x v="0"/>
    <s v="S"/>
    <s v="Teal"/>
    <s v="Spring"/>
    <n v="3.8"/>
    <x v="1"/>
    <x v="5"/>
    <x v="1"/>
    <x v="1"/>
    <n v="38"/>
    <x v="5"/>
    <x v="4"/>
    <x v="4"/>
  </r>
  <r>
    <n v="3479"/>
    <x v="24"/>
    <x v="1"/>
    <x v="8"/>
    <x v="3"/>
    <x v="75"/>
    <x v="28"/>
    <s v="M"/>
    <s v="Magenta"/>
    <s v="Fall"/>
    <n v="4.5999999999999996"/>
    <x v="1"/>
    <x v="5"/>
    <x v="1"/>
    <x v="1"/>
    <n v="42"/>
    <x v="3"/>
    <x v="3"/>
    <x v="3"/>
  </r>
  <r>
    <n v="3480"/>
    <x v="5"/>
    <x v="1"/>
    <x v="1"/>
    <x v="0"/>
    <x v="22"/>
    <x v="14"/>
    <s v="S"/>
    <s v="Orange"/>
    <s v="Summer"/>
    <n v="4.9000000000000004"/>
    <x v="1"/>
    <x v="3"/>
    <x v="1"/>
    <x v="1"/>
    <n v="41"/>
    <x v="1"/>
    <x v="5"/>
    <x v="5"/>
  </r>
  <r>
    <n v="3481"/>
    <x v="3"/>
    <x v="1"/>
    <x v="3"/>
    <x v="1"/>
    <x v="24"/>
    <x v="13"/>
    <s v="L"/>
    <s v="Peach"/>
    <s v="Winter"/>
    <n v="3.5"/>
    <x v="1"/>
    <x v="1"/>
    <x v="1"/>
    <x v="1"/>
    <n v="45"/>
    <x v="3"/>
    <x v="5"/>
    <x v="5"/>
  </r>
  <r>
    <n v="3482"/>
    <x v="16"/>
    <x v="1"/>
    <x v="20"/>
    <x v="0"/>
    <x v="25"/>
    <x v="31"/>
    <s v="S"/>
    <s v="Maroon"/>
    <s v="Summer"/>
    <n v="3.4"/>
    <x v="1"/>
    <x v="5"/>
    <x v="1"/>
    <x v="1"/>
    <n v="41"/>
    <x v="5"/>
    <x v="4"/>
    <x v="4"/>
  </r>
  <r>
    <n v="3483"/>
    <x v="17"/>
    <x v="1"/>
    <x v="24"/>
    <x v="3"/>
    <x v="70"/>
    <x v="11"/>
    <s v="M"/>
    <s v="Gold"/>
    <s v="Winter"/>
    <n v="3.9"/>
    <x v="1"/>
    <x v="2"/>
    <x v="1"/>
    <x v="1"/>
    <n v="35"/>
    <x v="5"/>
    <x v="1"/>
    <x v="1"/>
  </r>
  <r>
    <n v="3484"/>
    <x v="1"/>
    <x v="1"/>
    <x v="15"/>
    <x v="0"/>
    <x v="18"/>
    <x v="21"/>
    <s v="L"/>
    <s v="White"/>
    <s v="Winter"/>
    <n v="3.9"/>
    <x v="1"/>
    <x v="0"/>
    <x v="1"/>
    <x v="1"/>
    <n v="21"/>
    <x v="2"/>
    <x v="6"/>
    <x v="3"/>
  </r>
  <r>
    <n v="3485"/>
    <x v="42"/>
    <x v="1"/>
    <x v="10"/>
    <x v="0"/>
    <x v="60"/>
    <x v="26"/>
    <s v="L"/>
    <s v="Gray"/>
    <s v="Fall"/>
    <n v="4.2"/>
    <x v="1"/>
    <x v="1"/>
    <x v="1"/>
    <x v="1"/>
    <n v="13"/>
    <x v="2"/>
    <x v="4"/>
    <x v="4"/>
  </r>
  <r>
    <n v="3486"/>
    <x v="2"/>
    <x v="1"/>
    <x v="5"/>
    <x v="0"/>
    <x v="34"/>
    <x v="2"/>
    <s v="XL"/>
    <s v="Brown"/>
    <s v="Winter"/>
    <n v="3.4"/>
    <x v="1"/>
    <x v="3"/>
    <x v="1"/>
    <x v="1"/>
    <n v="23"/>
    <x v="5"/>
    <x v="0"/>
    <x v="0"/>
  </r>
  <r>
    <n v="3487"/>
    <x v="47"/>
    <x v="1"/>
    <x v="6"/>
    <x v="0"/>
    <x v="58"/>
    <x v="17"/>
    <s v="L"/>
    <s v="Charcoal"/>
    <s v="Winter"/>
    <n v="4.9000000000000004"/>
    <x v="1"/>
    <x v="3"/>
    <x v="1"/>
    <x v="1"/>
    <n v="6"/>
    <x v="3"/>
    <x v="1"/>
    <x v="1"/>
  </r>
  <r>
    <n v="3488"/>
    <x v="15"/>
    <x v="1"/>
    <x v="3"/>
    <x v="1"/>
    <x v="41"/>
    <x v="8"/>
    <s v="L"/>
    <s v="Beige"/>
    <s v="Fall"/>
    <n v="2.9"/>
    <x v="1"/>
    <x v="5"/>
    <x v="1"/>
    <x v="1"/>
    <n v="39"/>
    <x v="4"/>
    <x v="2"/>
    <x v="2"/>
  </r>
  <r>
    <n v="3489"/>
    <x v="46"/>
    <x v="1"/>
    <x v="1"/>
    <x v="0"/>
    <x v="65"/>
    <x v="12"/>
    <s v="XL"/>
    <s v="Teal"/>
    <s v="Spring"/>
    <n v="4.9000000000000004"/>
    <x v="1"/>
    <x v="5"/>
    <x v="1"/>
    <x v="1"/>
    <n v="7"/>
    <x v="1"/>
    <x v="3"/>
    <x v="3"/>
  </r>
  <r>
    <n v="3490"/>
    <x v="39"/>
    <x v="1"/>
    <x v="10"/>
    <x v="0"/>
    <x v="46"/>
    <x v="37"/>
    <s v="L"/>
    <s v="Black"/>
    <s v="Summer"/>
    <n v="4.5999999999999996"/>
    <x v="1"/>
    <x v="4"/>
    <x v="1"/>
    <x v="1"/>
    <n v="32"/>
    <x v="3"/>
    <x v="6"/>
    <x v="3"/>
  </r>
  <r>
    <n v="3491"/>
    <x v="46"/>
    <x v="1"/>
    <x v="23"/>
    <x v="1"/>
    <x v="71"/>
    <x v="4"/>
    <s v="M"/>
    <s v="Violet"/>
    <s v="Spring"/>
    <n v="3.6"/>
    <x v="1"/>
    <x v="5"/>
    <x v="1"/>
    <x v="1"/>
    <n v="43"/>
    <x v="2"/>
    <x v="3"/>
    <x v="3"/>
  </r>
  <r>
    <n v="3492"/>
    <x v="40"/>
    <x v="1"/>
    <x v="13"/>
    <x v="0"/>
    <x v="39"/>
    <x v="1"/>
    <s v="M"/>
    <s v="Orange"/>
    <s v="Winter"/>
    <n v="4.3"/>
    <x v="1"/>
    <x v="0"/>
    <x v="1"/>
    <x v="1"/>
    <n v="15"/>
    <x v="1"/>
    <x v="5"/>
    <x v="5"/>
  </r>
  <r>
    <n v="3493"/>
    <x v="39"/>
    <x v="1"/>
    <x v="24"/>
    <x v="3"/>
    <x v="61"/>
    <x v="45"/>
    <s v="M"/>
    <s v="Turquoise"/>
    <s v="Fall"/>
    <n v="4.5999999999999996"/>
    <x v="1"/>
    <x v="3"/>
    <x v="1"/>
    <x v="1"/>
    <n v="48"/>
    <x v="4"/>
    <x v="2"/>
    <x v="2"/>
  </r>
  <r>
    <n v="3494"/>
    <x v="39"/>
    <x v="1"/>
    <x v="13"/>
    <x v="0"/>
    <x v="71"/>
    <x v="35"/>
    <s v="XL"/>
    <s v="Black"/>
    <s v="Winter"/>
    <n v="4.7"/>
    <x v="1"/>
    <x v="5"/>
    <x v="1"/>
    <x v="1"/>
    <n v="35"/>
    <x v="2"/>
    <x v="1"/>
    <x v="1"/>
  </r>
  <r>
    <n v="3495"/>
    <x v="46"/>
    <x v="1"/>
    <x v="18"/>
    <x v="3"/>
    <x v="15"/>
    <x v="47"/>
    <s v="M"/>
    <s v="Silver"/>
    <s v="Winter"/>
    <n v="3.5"/>
    <x v="1"/>
    <x v="1"/>
    <x v="1"/>
    <x v="1"/>
    <n v="41"/>
    <x v="3"/>
    <x v="3"/>
    <x v="3"/>
  </r>
  <r>
    <n v="3496"/>
    <x v="41"/>
    <x v="1"/>
    <x v="6"/>
    <x v="0"/>
    <x v="27"/>
    <x v="42"/>
    <s v="XL"/>
    <s v="Gray"/>
    <s v="Spring"/>
    <n v="2.8"/>
    <x v="1"/>
    <x v="1"/>
    <x v="1"/>
    <x v="1"/>
    <n v="14"/>
    <x v="1"/>
    <x v="1"/>
    <x v="1"/>
  </r>
  <r>
    <n v="3497"/>
    <x v="31"/>
    <x v="1"/>
    <x v="9"/>
    <x v="1"/>
    <x v="15"/>
    <x v="37"/>
    <s v="M"/>
    <s v="Pink"/>
    <s v="Summer"/>
    <n v="4"/>
    <x v="1"/>
    <x v="1"/>
    <x v="1"/>
    <x v="1"/>
    <n v="22"/>
    <x v="3"/>
    <x v="5"/>
    <x v="5"/>
  </r>
  <r>
    <n v="3498"/>
    <x v="25"/>
    <x v="1"/>
    <x v="8"/>
    <x v="3"/>
    <x v="16"/>
    <x v="24"/>
    <s v="M"/>
    <s v="Red"/>
    <s v="Spring"/>
    <n v="4.3"/>
    <x v="1"/>
    <x v="5"/>
    <x v="1"/>
    <x v="1"/>
    <n v="16"/>
    <x v="0"/>
    <x v="6"/>
    <x v="3"/>
  </r>
  <r>
    <n v="3499"/>
    <x v="36"/>
    <x v="1"/>
    <x v="3"/>
    <x v="1"/>
    <x v="59"/>
    <x v="0"/>
    <s v="M"/>
    <s v="Lavender"/>
    <s v="Summer"/>
    <n v="3.8"/>
    <x v="1"/>
    <x v="3"/>
    <x v="1"/>
    <x v="1"/>
    <n v="2"/>
    <x v="4"/>
    <x v="4"/>
    <x v="4"/>
  </r>
  <r>
    <n v="3500"/>
    <x v="40"/>
    <x v="1"/>
    <x v="20"/>
    <x v="0"/>
    <x v="45"/>
    <x v="32"/>
    <s v="L"/>
    <s v="Indigo"/>
    <s v="Fall"/>
    <n v="3"/>
    <x v="1"/>
    <x v="2"/>
    <x v="1"/>
    <x v="1"/>
    <n v="13"/>
    <x v="3"/>
    <x v="6"/>
    <x v="3"/>
  </r>
  <r>
    <n v="3501"/>
    <x v="21"/>
    <x v="1"/>
    <x v="5"/>
    <x v="0"/>
    <x v="16"/>
    <x v="4"/>
    <s v="S"/>
    <s v="Silver"/>
    <s v="Fall"/>
    <n v="4.5999999999999996"/>
    <x v="1"/>
    <x v="2"/>
    <x v="1"/>
    <x v="1"/>
    <n v="38"/>
    <x v="5"/>
    <x v="0"/>
    <x v="0"/>
  </r>
  <r>
    <n v="3502"/>
    <x v="10"/>
    <x v="1"/>
    <x v="9"/>
    <x v="1"/>
    <x v="55"/>
    <x v="43"/>
    <s v="M"/>
    <s v="Silver"/>
    <s v="Fall"/>
    <n v="4.8"/>
    <x v="1"/>
    <x v="3"/>
    <x v="1"/>
    <x v="1"/>
    <n v="43"/>
    <x v="4"/>
    <x v="1"/>
    <x v="1"/>
  </r>
  <r>
    <n v="3503"/>
    <x v="18"/>
    <x v="1"/>
    <x v="21"/>
    <x v="3"/>
    <x v="17"/>
    <x v="2"/>
    <s v="M"/>
    <s v="Green"/>
    <s v="Fall"/>
    <n v="4.7"/>
    <x v="1"/>
    <x v="2"/>
    <x v="1"/>
    <x v="1"/>
    <n v="26"/>
    <x v="4"/>
    <x v="3"/>
    <x v="3"/>
  </r>
  <r>
    <n v="3504"/>
    <x v="18"/>
    <x v="1"/>
    <x v="5"/>
    <x v="0"/>
    <x v="48"/>
    <x v="43"/>
    <s v="M"/>
    <s v="Pink"/>
    <s v="Spring"/>
    <n v="3.9"/>
    <x v="1"/>
    <x v="1"/>
    <x v="1"/>
    <x v="1"/>
    <n v="39"/>
    <x v="1"/>
    <x v="1"/>
    <x v="1"/>
  </r>
  <r>
    <n v="3505"/>
    <x v="13"/>
    <x v="1"/>
    <x v="8"/>
    <x v="3"/>
    <x v="52"/>
    <x v="11"/>
    <s v="S"/>
    <s v="Violet"/>
    <s v="Fall"/>
    <n v="4"/>
    <x v="1"/>
    <x v="2"/>
    <x v="1"/>
    <x v="1"/>
    <n v="50"/>
    <x v="0"/>
    <x v="5"/>
    <x v="5"/>
  </r>
  <r>
    <n v="3506"/>
    <x v="39"/>
    <x v="1"/>
    <x v="16"/>
    <x v="3"/>
    <x v="69"/>
    <x v="27"/>
    <s v="L"/>
    <s v="Red"/>
    <s v="Winter"/>
    <n v="3.7"/>
    <x v="1"/>
    <x v="4"/>
    <x v="1"/>
    <x v="1"/>
    <n v="40"/>
    <x v="4"/>
    <x v="6"/>
    <x v="3"/>
  </r>
  <r>
    <n v="3507"/>
    <x v="20"/>
    <x v="1"/>
    <x v="5"/>
    <x v="0"/>
    <x v="75"/>
    <x v="26"/>
    <s v="L"/>
    <s v="Olive"/>
    <s v="Winter"/>
    <n v="3.7"/>
    <x v="1"/>
    <x v="4"/>
    <x v="1"/>
    <x v="1"/>
    <n v="12"/>
    <x v="1"/>
    <x v="0"/>
    <x v="0"/>
  </r>
  <r>
    <n v="3508"/>
    <x v="5"/>
    <x v="1"/>
    <x v="8"/>
    <x v="3"/>
    <x v="61"/>
    <x v="24"/>
    <s v="S"/>
    <s v="Purple"/>
    <s v="Spring"/>
    <n v="4.2"/>
    <x v="1"/>
    <x v="5"/>
    <x v="1"/>
    <x v="1"/>
    <n v="33"/>
    <x v="2"/>
    <x v="6"/>
    <x v="3"/>
  </r>
  <r>
    <n v="3509"/>
    <x v="16"/>
    <x v="1"/>
    <x v="13"/>
    <x v="0"/>
    <x v="36"/>
    <x v="38"/>
    <s v="M"/>
    <s v="Gray"/>
    <s v="Fall"/>
    <n v="4.7"/>
    <x v="1"/>
    <x v="3"/>
    <x v="1"/>
    <x v="1"/>
    <n v="49"/>
    <x v="4"/>
    <x v="1"/>
    <x v="1"/>
  </r>
  <r>
    <n v="3510"/>
    <x v="2"/>
    <x v="1"/>
    <x v="17"/>
    <x v="0"/>
    <x v="20"/>
    <x v="31"/>
    <s v="L"/>
    <s v="Brown"/>
    <s v="Winter"/>
    <n v="4.3"/>
    <x v="1"/>
    <x v="2"/>
    <x v="1"/>
    <x v="1"/>
    <n v="43"/>
    <x v="0"/>
    <x v="4"/>
    <x v="4"/>
  </r>
  <r>
    <n v="3511"/>
    <x v="34"/>
    <x v="1"/>
    <x v="4"/>
    <x v="1"/>
    <x v="48"/>
    <x v="38"/>
    <s v="S"/>
    <s v="Orange"/>
    <s v="Fall"/>
    <n v="4.9000000000000004"/>
    <x v="1"/>
    <x v="4"/>
    <x v="1"/>
    <x v="1"/>
    <n v="14"/>
    <x v="0"/>
    <x v="5"/>
    <x v="5"/>
  </r>
  <r>
    <n v="3512"/>
    <x v="28"/>
    <x v="1"/>
    <x v="16"/>
    <x v="3"/>
    <x v="13"/>
    <x v="16"/>
    <s v="M"/>
    <s v="Blue"/>
    <s v="Summer"/>
    <n v="3.9"/>
    <x v="1"/>
    <x v="4"/>
    <x v="1"/>
    <x v="1"/>
    <n v="21"/>
    <x v="2"/>
    <x v="6"/>
    <x v="3"/>
  </r>
  <r>
    <n v="3513"/>
    <x v="24"/>
    <x v="1"/>
    <x v="5"/>
    <x v="0"/>
    <x v="43"/>
    <x v="0"/>
    <s v="M"/>
    <s v="White"/>
    <s v="Fall"/>
    <n v="3.4"/>
    <x v="1"/>
    <x v="1"/>
    <x v="1"/>
    <x v="1"/>
    <n v="31"/>
    <x v="5"/>
    <x v="3"/>
    <x v="3"/>
  </r>
  <r>
    <n v="3514"/>
    <x v="11"/>
    <x v="1"/>
    <x v="0"/>
    <x v="0"/>
    <x v="67"/>
    <x v="29"/>
    <s v="XL"/>
    <s v="Charcoal"/>
    <s v="Spring"/>
    <n v="4.2"/>
    <x v="1"/>
    <x v="5"/>
    <x v="1"/>
    <x v="1"/>
    <n v="29"/>
    <x v="2"/>
    <x v="0"/>
    <x v="0"/>
  </r>
  <r>
    <n v="3515"/>
    <x v="15"/>
    <x v="1"/>
    <x v="4"/>
    <x v="1"/>
    <x v="74"/>
    <x v="42"/>
    <s v="XL"/>
    <s v="Gray"/>
    <s v="Winter"/>
    <n v="4.7"/>
    <x v="1"/>
    <x v="0"/>
    <x v="1"/>
    <x v="1"/>
    <n v="32"/>
    <x v="1"/>
    <x v="5"/>
    <x v="5"/>
  </r>
  <r>
    <n v="3516"/>
    <x v="1"/>
    <x v="1"/>
    <x v="10"/>
    <x v="0"/>
    <x v="68"/>
    <x v="45"/>
    <s v="XL"/>
    <s v="Charcoal"/>
    <s v="Winter"/>
    <n v="4"/>
    <x v="1"/>
    <x v="2"/>
    <x v="1"/>
    <x v="1"/>
    <n v="16"/>
    <x v="5"/>
    <x v="4"/>
    <x v="4"/>
  </r>
  <r>
    <n v="3517"/>
    <x v="50"/>
    <x v="1"/>
    <x v="23"/>
    <x v="1"/>
    <x v="22"/>
    <x v="36"/>
    <s v="S"/>
    <s v="White"/>
    <s v="Summer"/>
    <n v="4"/>
    <x v="1"/>
    <x v="1"/>
    <x v="1"/>
    <x v="1"/>
    <n v="38"/>
    <x v="3"/>
    <x v="4"/>
    <x v="4"/>
  </r>
  <r>
    <n v="3518"/>
    <x v="26"/>
    <x v="1"/>
    <x v="11"/>
    <x v="0"/>
    <x v="28"/>
    <x v="30"/>
    <s v="M"/>
    <s v="Orange"/>
    <s v="Winter"/>
    <n v="3.1"/>
    <x v="1"/>
    <x v="2"/>
    <x v="1"/>
    <x v="1"/>
    <n v="34"/>
    <x v="5"/>
    <x v="6"/>
    <x v="3"/>
  </r>
  <r>
    <n v="3519"/>
    <x v="2"/>
    <x v="1"/>
    <x v="5"/>
    <x v="0"/>
    <x v="8"/>
    <x v="24"/>
    <s v="M"/>
    <s v="Black"/>
    <s v="Spring"/>
    <n v="4.2"/>
    <x v="1"/>
    <x v="3"/>
    <x v="1"/>
    <x v="1"/>
    <n v="30"/>
    <x v="3"/>
    <x v="3"/>
    <x v="3"/>
  </r>
  <r>
    <n v="3520"/>
    <x v="18"/>
    <x v="1"/>
    <x v="6"/>
    <x v="0"/>
    <x v="76"/>
    <x v="48"/>
    <s v="M"/>
    <s v="White"/>
    <s v="Winter"/>
    <n v="3.7"/>
    <x v="1"/>
    <x v="2"/>
    <x v="1"/>
    <x v="1"/>
    <n v="14"/>
    <x v="4"/>
    <x v="0"/>
    <x v="0"/>
  </r>
  <r>
    <n v="3521"/>
    <x v="38"/>
    <x v="1"/>
    <x v="19"/>
    <x v="3"/>
    <x v="44"/>
    <x v="42"/>
    <s v="S"/>
    <s v="Brown"/>
    <s v="Spring"/>
    <n v="3.1"/>
    <x v="1"/>
    <x v="0"/>
    <x v="1"/>
    <x v="1"/>
    <n v="33"/>
    <x v="4"/>
    <x v="5"/>
    <x v="5"/>
  </r>
  <r>
    <n v="3522"/>
    <x v="16"/>
    <x v="1"/>
    <x v="9"/>
    <x v="1"/>
    <x v="74"/>
    <x v="33"/>
    <s v="M"/>
    <s v="Pink"/>
    <s v="Winter"/>
    <n v="3.7"/>
    <x v="1"/>
    <x v="5"/>
    <x v="1"/>
    <x v="1"/>
    <n v="35"/>
    <x v="0"/>
    <x v="1"/>
    <x v="1"/>
  </r>
  <r>
    <n v="3523"/>
    <x v="7"/>
    <x v="1"/>
    <x v="13"/>
    <x v="0"/>
    <x v="6"/>
    <x v="32"/>
    <s v="M"/>
    <s v="Yellow"/>
    <s v="Spring"/>
    <n v="3.2"/>
    <x v="1"/>
    <x v="5"/>
    <x v="1"/>
    <x v="1"/>
    <n v="13"/>
    <x v="1"/>
    <x v="3"/>
    <x v="3"/>
  </r>
  <r>
    <n v="3524"/>
    <x v="34"/>
    <x v="1"/>
    <x v="21"/>
    <x v="3"/>
    <x v="40"/>
    <x v="22"/>
    <s v="M"/>
    <s v="Cyan"/>
    <s v="Summer"/>
    <n v="2.8"/>
    <x v="1"/>
    <x v="3"/>
    <x v="1"/>
    <x v="1"/>
    <n v="30"/>
    <x v="1"/>
    <x v="0"/>
    <x v="0"/>
  </r>
  <r>
    <n v="3525"/>
    <x v="28"/>
    <x v="1"/>
    <x v="13"/>
    <x v="0"/>
    <x v="67"/>
    <x v="49"/>
    <s v="L"/>
    <s v="Silver"/>
    <s v="Summer"/>
    <n v="2.9"/>
    <x v="1"/>
    <x v="1"/>
    <x v="1"/>
    <x v="1"/>
    <n v="30"/>
    <x v="2"/>
    <x v="5"/>
    <x v="5"/>
  </r>
  <r>
    <n v="3526"/>
    <x v="4"/>
    <x v="1"/>
    <x v="12"/>
    <x v="3"/>
    <x v="15"/>
    <x v="5"/>
    <s v="L"/>
    <s v="Olive"/>
    <s v="Winter"/>
    <n v="3.5"/>
    <x v="1"/>
    <x v="3"/>
    <x v="1"/>
    <x v="1"/>
    <n v="47"/>
    <x v="4"/>
    <x v="2"/>
    <x v="2"/>
  </r>
  <r>
    <n v="3527"/>
    <x v="30"/>
    <x v="1"/>
    <x v="1"/>
    <x v="0"/>
    <x v="54"/>
    <x v="2"/>
    <s v="M"/>
    <s v="Olive"/>
    <s v="Spring"/>
    <n v="3.8"/>
    <x v="1"/>
    <x v="0"/>
    <x v="1"/>
    <x v="1"/>
    <n v="1"/>
    <x v="3"/>
    <x v="6"/>
    <x v="3"/>
  </r>
  <r>
    <n v="3528"/>
    <x v="15"/>
    <x v="1"/>
    <x v="0"/>
    <x v="0"/>
    <x v="8"/>
    <x v="47"/>
    <s v="S"/>
    <s v="Charcoal"/>
    <s v="Spring"/>
    <n v="4.7"/>
    <x v="1"/>
    <x v="1"/>
    <x v="1"/>
    <x v="1"/>
    <n v="1"/>
    <x v="1"/>
    <x v="1"/>
    <x v="1"/>
  </r>
  <r>
    <n v="3529"/>
    <x v="21"/>
    <x v="1"/>
    <x v="18"/>
    <x v="3"/>
    <x v="25"/>
    <x v="1"/>
    <s v="L"/>
    <s v="Gray"/>
    <s v="Summer"/>
    <n v="4.5"/>
    <x v="1"/>
    <x v="1"/>
    <x v="1"/>
    <x v="1"/>
    <n v="33"/>
    <x v="3"/>
    <x v="2"/>
    <x v="2"/>
  </r>
  <r>
    <n v="3530"/>
    <x v="0"/>
    <x v="1"/>
    <x v="17"/>
    <x v="0"/>
    <x v="5"/>
    <x v="6"/>
    <s v="S"/>
    <s v="Maroon"/>
    <s v="Winter"/>
    <n v="3.9"/>
    <x v="1"/>
    <x v="2"/>
    <x v="1"/>
    <x v="1"/>
    <n v="43"/>
    <x v="4"/>
    <x v="1"/>
    <x v="1"/>
  </r>
  <r>
    <n v="3531"/>
    <x v="46"/>
    <x v="1"/>
    <x v="12"/>
    <x v="3"/>
    <x v="29"/>
    <x v="19"/>
    <s v="L"/>
    <s v="Black"/>
    <s v="Spring"/>
    <n v="3.4"/>
    <x v="1"/>
    <x v="0"/>
    <x v="1"/>
    <x v="1"/>
    <n v="37"/>
    <x v="3"/>
    <x v="1"/>
    <x v="1"/>
  </r>
  <r>
    <n v="3532"/>
    <x v="22"/>
    <x v="1"/>
    <x v="9"/>
    <x v="1"/>
    <x v="78"/>
    <x v="25"/>
    <s v="XL"/>
    <s v="Violet"/>
    <s v="Winter"/>
    <n v="4.5999999999999996"/>
    <x v="1"/>
    <x v="4"/>
    <x v="1"/>
    <x v="1"/>
    <n v="23"/>
    <x v="1"/>
    <x v="3"/>
    <x v="3"/>
  </r>
  <r>
    <n v="3533"/>
    <x v="12"/>
    <x v="1"/>
    <x v="13"/>
    <x v="0"/>
    <x v="10"/>
    <x v="39"/>
    <s v="L"/>
    <s v="Indigo"/>
    <s v="Fall"/>
    <n v="4.5999999999999996"/>
    <x v="1"/>
    <x v="3"/>
    <x v="1"/>
    <x v="1"/>
    <n v="12"/>
    <x v="2"/>
    <x v="2"/>
    <x v="2"/>
  </r>
  <r>
    <n v="3534"/>
    <x v="2"/>
    <x v="1"/>
    <x v="4"/>
    <x v="1"/>
    <x v="57"/>
    <x v="21"/>
    <s v="L"/>
    <s v="Yellow"/>
    <s v="Fall"/>
    <n v="4.7"/>
    <x v="1"/>
    <x v="3"/>
    <x v="1"/>
    <x v="1"/>
    <n v="30"/>
    <x v="0"/>
    <x v="0"/>
    <x v="0"/>
  </r>
  <r>
    <n v="3535"/>
    <x v="13"/>
    <x v="1"/>
    <x v="9"/>
    <x v="1"/>
    <x v="42"/>
    <x v="12"/>
    <s v="M"/>
    <s v="Gray"/>
    <s v="Fall"/>
    <n v="3.2"/>
    <x v="1"/>
    <x v="0"/>
    <x v="1"/>
    <x v="1"/>
    <n v="7"/>
    <x v="1"/>
    <x v="1"/>
    <x v="1"/>
  </r>
  <r>
    <n v="3536"/>
    <x v="33"/>
    <x v="1"/>
    <x v="6"/>
    <x v="0"/>
    <x v="12"/>
    <x v="16"/>
    <s v="M"/>
    <s v="Red"/>
    <s v="Summer"/>
    <n v="5"/>
    <x v="1"/>
    <x v="0"/>
    <x v="1"/>
    <x v="1"/>
    <n v="20"/>
    <x v="5"/>
    <x v="5"/>
    <x v="5"/>
  </r>
  <r>
    <n v="3537"/>
    <x v="0"/>
    <x v="1"/>
    <x v="8"/>
    <x v="3"/>
    <x v="34"/>
    <x v="46"/>
    <s v="L"/>
    <s v="Peach"/>
    <s v="Spring"/>
    <n v="4.5"/>
    <x v="1"/>
    <x v="0"/>
    <x v="1"/>
    <x v="1"/>
    <n v="10"/>
    <x v="0"/>
    <x v="5"/>
    <x v="5"/>
  </r>
  <r>
    <n v="3538"/>
    <x v="9"/>
    <x v="1"/>
    <x v="8"/>
    <x v="3"/>
    <x v="56"/>
    <x v="42"/>
    <s v="M"/>
    <s v="Gray"/>
    <s v="Spring"/>
    <n v="3.5"/>
    <x v="1"/>
    <x v="3"/>
    <x v="1"/>
    <x v="1"/>
    <n v="40"/>
    <x v="2"/>
    <x v="6"/>
    <x v="3"/>
  </r>
  <r>
    <n v="3539"/>
    <x v="19"/>
    <x v="1"/>
    <x v="9"/>
    <x v="1"/>
    <x v="80"/>
    <x v="44"/>
    <s v="S"/>
    <s v="White"/>
    <s v="Spring"/>
    <n v="4.5"/>
    <x v="1"/>
    <x v="5"/>
    <x v="1"/>
    <x v="1"/>
    <n v="21"/>
    <x v="0"/>
    <x v="5"/>
    <x v="5"/>
  </r>
  <r>
    <n v="3540"/>
    <x v="26"/>
    <x v="1"/>
    <x v="16"/>
    <x v="3"/>
    <x v="22"/>
    <x v="14"/>
    <s v="S"/>
    <s v="Green"/>
    <s v="Spring"/>
    <n v="3.2"/>
    <x v="1"/>
    <x v="0"/>
    <x v="1"/>
    <x v="1"/>
    <n v="17"/>
    <x v="2"/>
    <x v="4"/>
    <x v="4"/>
  </r>
  <r>
    <n v="3541"/>
    <x v="41"/>
    <x v="1"/>
    <x v="6"/>
    <x v="0"/>
    <x v="51"/>
    <x v="22"/>
    <s v="M"/>
    <s v="Magenta"/>
    <s v="Spring"/>
    <n v="4.5999999999999996"/>
    <x v="1"/>
    <x v="1"/>
    <x v="1"/>
    <x v="1"/>
    <n v="5"/>
    <x v="4"/>
    <x v="1"/>
    <x v="1"/>
  </r>
  <r>
    <n v="3542"/>
    <x v="35"/>
    <x v="1"/>
    <x v="0"/>
    <x v="0"/>
    <x v="76"/>
    <x v="41"/>
    <s v="M"/>
    <s v="Olive"/>
    <s v="Winter"/>
    <n v="4"/>
    <x v="1"/>
    <x v="2"/>
    <x v="1"/>
    <x v="1"/>
    <n v="22"/>
    <x v="3"/>
    <x v="2"/>
    <x v="2"/>
  </r>
  <r>
    <n v="3543"/>
    <x v="46"/>
    <x v="1"/>
    <x v="7"/>
    <x v="2"/>
    <x v="39"/>
    <x v="37"/>
    <s v="S"/>
    <s v="Olive"/>
    <s v="Spring"/>
    <n v="4.2"/>
    <x v="1"/>
    <x v="0"/>
    <x v="1"/>
    <x v="1"/>
    <n v="5"/>
    <x v="0"/>
    <x v="1"/>
    <x v="1"/>
  </r>
  <r>
    <n v="3544"/>
    <x v="44"/>
    <x v="1"/>
    <x v="19"/>
    <x v="3"/>
    <x v="42"/>
    <x v="24"/>
    <s v="M"/>
    <s v="Blue"/>
    <s v="Winter"/>
    <n v="4.0999999999999996"/>
    <x v="1"/>
    <x v="3"/>
    <x v="1"/>
    <x v="1"/>
    <n v="18"/>
    <x v="3"/>
    <x v="6"/>
    <x v="3"/>
  </r>
  <r>
    <n v="3545"/>
    <x v="14"/>
    <x v="1"/>
    <x v="20"/>
    <x v="0"/>
    <x v="37"/>
    <x v="48"/>
    <s v="XL"/>
    <s v="Charcoal"/>
    <s v="Fall"/>
    <n v="3.6"/>
    <x v="1"/>
    <x v="4"/>
    <x v="1"/>
    <x v="1"/>
    <n v="42"/>
    <x v="1"/>
    <x v="6"/>
    <x v="3"/>
  </r>
  <r>
    <n v="3546"/>
    <x v="39"/>
    <x v="1"/>
    <x v="3"/>
    <x v="1"/>
    <x v="39"/>
    <x v="39"/>
    <s v="M"/>
    <s v="Yellow"/>
    <s v="Spring"/>
    <n v="3.7"/>
    <x v="1"/>
    <x v="4"/>
    <x v="1"/>
    <x v="1"/>
    <n v="22"/>
    <x v="5"/>
    <x v="2"/>
    <x v="2"/>
  </r>
  <r>
    <n v="3547"/>
    <x v="52"/>
    <x v="1"/>
    <x v="18"/>
    <x v="3"/>
    <x v="24"/>
    <x v="23"/>
    <s v="M"/>
    <s v="Violet"/>
    <s v="Summer"/>
    <n v="3.6"/>
    <x v="1"/>
    <x v="1"/>
    <x v="1"/>
    <x v="1"/>
    <n v="37"/>
    <x v="4"/>
    <x v="4"/>
    <x v="4"/>
  </r>
  <r>
    <n v="3548"/>
    <x v="16"/>
    <x v="1"/>
    <x v="18"/>
    <x v="3"/>
    <x v="9"/>
    <x v="38"/>
    <s v="L"/>
    <s v="Magenta"/>
    <s v="Summer"/>
    <n v="3.8"/>
    <x v="1"/>
    <x v="3"/>
    <x v="1"/>
    <x v="1"/>
    <n v="23"/>
    <x v="2"/>
    <x v="2"/>
    <x v="2"/>
  </r>
  <r>
    <n v="3549"/>
    <x v="6"/>
    <x v="1"/>
    <x v="0"/>
    <x v="0"/>
    <x v="18"/>
    <x v="40"/>
    <s v="M"/>
    <s v="Red"/>
    <s v="Fall"/>
    <n v="3"/>
    <x v="1"/>
    <x v="3"/>
    <x v="1"/>
    <x v="1"/>
    <n v="47"/>
    <x v="5"/>
    <x v="0"/>
    <x v="0"/>
  </r>
  <r>
    <n v="3550"/>
    <x v="42"/>
    <x v="1"/>
    <x v="17"/>
    <x v="0"/>
    <x v="7"/>
    <x v="4"/>
    <s v="M"/>
    <s v="Cyan"/>
    <s v="Summer"/>
    <n v="3.4"/>
    <x v="1"/>
    <x v="4"/>
    <x v="1"/>
    <x v="1"/>
    <n v="11"/>
    <x v="4"/>
    <x v="0"/>
    <x v="0"/>
  </r>
  <r>
    <n v="3551"/>
    <x v="6"/>
    <x v="1"/>
    <x v="9"/>
    <x v="1"/>
    <x v="67"/>
    <x v="8"/>
    <s v="S"/>
    <s v="Orange"/>
    <s v="Winter"/>
    <n v="4.8"/>
    <x v="1"/>
    <x v="3"/>
    <x v="1"/>
    <x v="1"/>
    <n v="32"/>
    <x v="1"/>
    <x v="1"/>
    <x v="1"/>
  </r>
  <r>
    <n v="3552"/>
    <x v="17"/>
    <x v="1"/>
    <x v="24"/>
    <x v="3"/>
    <x v="9"/>
    <x v="6"/>
    <s v="L"/>
    <s v="Black"/>
    <s v="Spring"/>
    <n v="2.6"/>
    <x v="1"/>
    <x v="5"/>
    <x v="1"/>
    <x v="1"/>
    <n v="20"/>
    <x v="0"/>
    <x v="1"/>
    <x v="1"/>
  </r>
  <r>
    <n v="3553"/>
    <x v="40"/>
    <x v="1"/>
    <x v="12"/>
    <x v="3"/>
    <x v="76"/>
    <x v="0"/>
    <s v="M"/>
    <s v="Blue"/>
    <s v="Winter"/>
    <n v="2.9"/>
    <x v="1"/>
    <x v="2"/>
    <x v="1"/>
    <x v="1"/>
    <n v="3"/>
    <x v="3"/>
    <x v="3"/>
    <x v="3"/>
  </r>
  <r>
    <n v="3554"/>
    <x v="46"/>
    <x v="1"/>
    <x v="9"/>
    <x v="1"/>
    <x v="54"/>
    <x v="46"/>
    <s v="M"/>
    <s v="Charcoal"/>
    <s v="Spring"/>
    <n v="4.9000000000000004"/>
    <x v="1"/>
    <x v="1"/>
    <x v="1"/>
    <x v="1"/>
    <n v="32"/>
    <x v="4"/>
    <x v="1"/>
    <x v="1"/>
  </r>
  <r>
    <n v="3555"/>
    <x v="31"/>
    <x v="1"/>
    <x v="10"/>
    <x v="0"/>
    <x v="37"/>
    <x v="7"/>
    <s v="M"/>
    <s v="Indigo"/>
    <s v="Spring"/>
    <n v="5"/>
    <x v="1"/>
    <x v="1"/>
    <x v="1"/>
    <x v="1"/>
    <n v="5"/>
    <x v="2"/>
    <x v="0"/>
    <x v="0"/>
  </r>
  <r>
    <n v="3556"/>
    <x v="15"/>
    <x v="1"/>
    <x v="0"/>
    <x v="0"/>
    <x v="66"/>
    <x v="12"/>
    <s v="L"/>
    <s v="Silver"/>
    <s v="Spring"/>
    <n v="4.5999999999999996"/>
    <x v="1"/>
    <x v="2"/>
    <x v="1"/>
    <x v="1"/>
    <n v="45"/>
    <x v="1"/>
    <x v="3"/>
    <x v="3"/>
  </r>
  <r>
    <n v="3557"/>
    <x v="27"/>
    <x v="1"/>
    <x v="1"/>
    <x v="0"/>
    <x v="19"/>
    <x v="28"/>
    <s v="M"/>
    <s v="Brown"/>
    <s v="Fall"/>
    <n v="4.2"/>
    <x v="1"/>
    <x v="0"/>
    <x v="1"/>
    <x v="1"/>
    <n v="43"/>
    <x v="1"/>
    <x v="4"/>
    <x v="4"/>
  </r>
  <r>
    <n v="3558"/>
    <x v="16"/>
    <x v="1"/>
    <x v="14"/>
    <x v="2"/>
    <x v="46"/>
    <x v="22"/>
    <s v="M"/>
    <s v="Peach"/>
    <s v="Summer"/>
    <n v="4.9000000000000004"/>
    <x v="1"/>
    <x v="2"/>
    <x v="1"/>
    <x v="1"/>
    <n v="1"/>
    <x v="3"/>
    <x v="6"/>
    <x v="3"/>
  </r>
  <r>
    <n v="3559"/>
    <x v="33"/>
    <x v="1"/>
    <x v="21"/>
    <x v="3"/>
    <x v="23"/>
    <x v="29"/>
    <s v="L"/>
    <s v="Magenta"/>
    <s v="Summer"/>
    <n v="4.8"/>
    <x v="1"/>
    <x v="3"/>
    <x v="1"/>
    <x v="1"/>
    <n v="9"/>
    <x v="0"/>
    <x v="3"/>
    <x v="3"/>
  </r>
  <r>
    <n v="3560"/>
    <x v="20"/>
    <x v="1"/>
    <x v="6"/>
    <x v="0"/>
    <x v="21"/>
    <x v="40"/>
    <s v="M"/>
    <s v="Beige"/>
    <s v="Fall"/>
    <n v="3"/>
    <x v="1"/>
    <x v="2"/>
    <x v="1"/>
    <x v="1"/>
    <n v="13"/>
    <x v="0"/>
    <x v="6"/>
    <x v="3"/>
  </r>
  <r>
    <n v="3561"/>
    <x v="20"/>
    <x v="1"/>
    <x v="20"/>
    <x v="0"/>
    <x v="48"/>
    <x v="23"/>
    <s v="XL"/>
    <s v="Violet"/>
    <s v="Fall"/>
    <n v="3.5"/>
    <x v="1"/>
    <x v="0"/>
    <x v="1"/>
    <x v="1"/>
    <n v="5"/>
    <x v="2"/>
    <x v="2"/>
    <x v="2"/>
  </r>
  <r>
    <n v="3562"/>
    <x v="6"/>
    <x v="1"/>
    <x v="4"/>
    <x v="1"/>
    <x v="45"/>
    <x v="17"/>
    <s v="L"/>
    <s v="Black"/>
    <s v="Spring"/>
    <n v="3.4"/>
    <x v="1"/>
    <x v="3"/>
    <x v="1"/>
    <x v="1"/>
    <n v="39"/>
    <x v="2"/>
    <x v="0"/>
    <x v="0"/>
  </r>
  <r>
    <n v="3563"/>
    <x v="36"/>
    <x v="1"/>
    <x v="4"/>
    <x v="1"/>
    <x v="14"/>
    <x v="33"/>
    <s v="M"/>
    <s v="Cyan"/>
    <s v="Winter"/>
    <n v="3.4"/>
    <x v="1"/>
    <x v="1"/>
    <x v="1"/>
    <x v="1"/>
    <n v="7"/>
    <x v="4"/>
    <x v="1"/>
    <x v="1"/>
  </r>
  <r>
    <n v="3564"/>
    <x v="49"/>
    <x v="1"/>
    <x v="0"/>
    <x v="0"/>
    <x v="3"/>
    <x v="1"/>
    <s v="M"/>
    <s v="Green"/>
    <s v="Summer"/>
    <n v="4.9000000000000004"/>
    <x v="1"/>
    <x v="3"/>
    <x v="1"/>
    <x v="1"/>
    <n v="8"/>
    <x v="2"/>
    <x v="6"/>
    <x v="3"/>
  </r>
  <r>
    <n v="3565"/>
    <x v="52"/>
    <x v="1"/>
    <x v="24"/>
    <x v="3"/>
    <x v="15"/>
    <x v="26"/>
    <s v="S"/>
    <s v="Brown"/>
    <s v="Summer"/>
    <n v="4.4000000000000004"/>
    <x v="1"/>
    <x v="1"/>
    <x v="1"/>
    <x v="1"/>
    <n v="40"/>
    <x v="0"/>
    <x v="2"/>
    <x v="2"/>
  </r>
  <r>
    <n v="3566"/>
    <x v="34"/>
    <x v="1"/>
    <x v="8"/>
    <x v="3"/>
    <x v="78"/>
    <x v="38"/>
    <s v="S"/>
    <s v="Gray"/>
    <s v="Spring"/>
    <n v="4.2"/>
    <x v="1"/>
    <x v="5"/>
    <x v="1"/>
    <x v="1"/>
    <n v="35"/>
    <x v="3"/>
    <x v="5"/>
    <x v="5"/>
  </r>
  <r>
    <n v="3567"/>
    <x v="48"/>
    <x v="1"/>
    <x v="2"/>
    <x v="0"/>
    <x v="19"/>
    <x v="29"/>
    <s v="S"/>
    <s v="Orange"/>
    <s v="Spring"/>
    <n v="3.1"/>
    <x v="1"/>
    <x v="2"/>
    <x v="1"/>
    <x v="1"/>
    <n v="14"/>
    <x v="0"/>
    <x v="5"/>
    <x v="5"/>
  </r>
  <r>
    <n v="3568"/>
    <x v="45"/>
    <x v="1"/>
    <x v="18"/>
    <x v="3"/>
    <x v="22"/>
    <x v="35"/>
    <s v="S"/>
    <s v="Silver"/>
    <s v="Summer"/>
    <n v="4"/>
    <x v="1"/>
    <x v="2"/>
    <x v="1"/>
    <x v="1"/>
    <n v="26"/>
    <x v="2"/>
    <x v="5"/>
    <x v="5"/>
  </r>
  <r>
    <n v="3569"/>
    <x v="26"/>
    <x v="1"/>
    <x v="3"/>
    <x v="1"/>
    <x v="79"/>
    <x v="10"/>
    <s v="M"/>
    <s v="Purple"/>
    <s v="Spring"/>
    <n v="4.8"/>
    <x v="1"/>
    <x v="2"/>
    <x v="1"/>
    <x v="1"/>
    <n v="14"/>
    <x v="3"/>
    <x v="3"/>
    <x v="3"/>
  </r>
  <r>
    <n v="3570"/>
    <x v="25"/>
    <x v="1"/>
    <x v="3"/>
    <x v="1"/>
    <x v="23"/>
    <x v="29"/>
    <s v="M"/>
    <s v="Olive"/>
    <s v="Fall"/>
    <n v="3.3"/>
    <x v="1"/>
    <x v="0"/>
    <x v="1"/>
    <x v="1"/>
    <n v="9"/>
    <x v="4"/>
    <x v="0"/>
    <x v="0"/>
  </r>
  <r>
    <n v="3571"/>
    <x v="51"/>
    <x v="1"/>
    <x v="10"/>
    <x v="0"/>
    <x v="8"/>
    <x v="7"/>
    <s v="XL"/>
    <s v="Teal"/>
    <s v="Winter"/>
    <n v="4.7"/>
    <x v="1"/>
    <x v="3"/>
    <x v="1"/>
    <x v="1"/>
    <n v="32"/>
    <x v="5"/>
    <x v="2"/>
    <x v="2"/>
  </r>
  <r>
    <n v="3572"/>
    <x v="27"/>
    <x v="1"/>
    <x v="11"/>
    <x v="0"/>
    <x v="65"/>
    <x v="25"/>
    <s v="M"/>
    <s v="White"/>
    <s v="Summer"/>
    <n v="3.2"/>
    <x v="1"/>
    <x v="3"/>
    <x v="1"/>
    <x v="1"/>
    <n v="15"/>
    <x v="4"/>
    <x v="6"/>
    <x v="3"/>
  </r>
  <r>
    <n v="3573"/>
    <x v="51"/>
    <x v="1"/>
    <x v="6"/>
    <x v="0"/>
    <x v="39"/>
    <x v="3"/>
    <s v="M"/>
    <s v="Black"/>
    <s v="Spring"/>
    <n v="5"/>
    <x v="1"/>
    <x v="3"/>
    <x v="1"/>
    <x v="1"/>
    <n v="25"/>
    <x v="2"/>
    <x v="5"/>
    <x v="5"/>
  </r>
  <r>
    <n v="3574"/>
    <x v="49"/>
    <x v="1"/>
    <x v="2"/>
    <x v="0"/>
    <x v="25"/>
    <x v="39"/>
    <s v="L"/>
    <s v="Maroon"/>
    <s v="Fall"/>
    <n v="4.9000000000000004"/>
    <x v="1"/>
    <x v="1"/>
    <x v="1"/>
    <x v="1"/>
    <n v="27"/>
    <x v="3"/>
    <x v="5"/>
    <x v="5"/>
  </r>
  <r>
    <n v="3575"/>
    <x v="26"/>
    <x v="1"/>
    <x v="20"/>
    <x v="0"/>
    <x v="44"/>
    <x v="14"/>
    <s v="M"/>
    <s v="Cyan"/>
    <s v="Fall"/>
    <n v="4.9000000000000004"/>
    <x v="1"/>
    <x v="0"/>
    <x v="1"/>
    <x v="1"/>
    <n v="39"/>
    <x v="4"/>
    <x v="3"/>
    <x v="3"/>
  </r>
  <r>
    <n v="3576"/>
    <x v="12"/>
    <x v="1"/>
    <x v="7"/>
    <x v="2"/>
    <x v="51"/>
    <x v="0"/>
    <s v="M"/>
    <s v="Violet"/>
    <s v="Fall"/>
    <n v="3.7"/>
    <x v="1"/>
    <x v="0"/>
    <x v="1"/>
    <x v="1"/>
    <n v="49"/>
    <x v="0"/>
    <x v="4"/>
    <x v="4"/>
  </r>
  <r>
    <n v="3577"/>
    <x v="26"/>
    <x v="1"/>
    <x v="23"/>
    <x v="1"/>
    <x v="41"/>
    <x v="1"/>
    <s v="L"/>
    <s v="Yellow"/>
    <s v="Spring"/>
    <n v="3"/>
    <x v="1"/>
    <x v="0"/>
    <x v="1"/>
    <x v="1"/>
    <n v="12"/>
    <x v="0"/>
    <x v="4"/>
    <x v="4"/>
  </r>
  <r>
    <n v="3578"/>
    <x v="17"/>
    <x v="1"/>
    <x v="22"/>
    <x v="3"/>
    <x v="59"/>
    <x v="9"/>
    <s v="S"/>
    <s v="Yellow"/>
    <s v="Winter"/>
    <n v="2.6"/>
    <x v="1"/>
    <x v="3"/>
    <x v="1"/>
    <x v="1"/>
    <n v="13"/>
    <x v="4"/>
    <x v="1"/>
    <x v="1"/>
  </r>
  <r>
    <n v="3579"/>
    <x v="5"/>
    <x v="1"/>
    <x v="9"/>
    <x v="1"/>
    <x v="20"/>
    <x v="42"/>
    <s v="L"/>
    <s v="Olive"/>
    <s v="Winter"/>
    <n v="2.6"/>
    <x v="1"/>
    <x v="3"/>
    <x v="1"/>
    <x v="1"/>
    <n v="22"/>
    <x v="4"/>
    <x v="3"/>
    <x v="3"/>
  </r>
  <r>
    <n v="3580"/>
    <x v="50"/>
    <x v="1"/>
    <x v="18"/>
    <x v="3"/>
    <x v="76"/>
    <x v="28"/>
    <s v="L"/>
    <s v="Olive"/>
    <s v="Fall"/>
    <n v="4.8"/>
    <x v="1"/>
    <x v="3"/>
    <x v="1"/>
    <x v="1"/>
    <n v="19"/>
    <x v="2"/>
    <x v="6"/>
    <x v="3"/>
  </r>
  <r>
    <n v="3581"/>
    <x v="47"/>
    <x v="1"/>
    <x v="0"/>
    <x v="0"/>
    <x v="42"/>
    <x v="13"/>
    <s v="M"/>
    <s v="Magenta"/>
    <s v="Summer"/>
    <n v="3.2"/>
    <x v="1"/>
    <x v="4"/>
    <x v="1"/>
    <x v="1"/>
    <n v="3"/>
    <x v="1"/>
    <x v="4"/>
    <x v="4"/>
  </r>
  <r>
    <n v="3582"/>
    <x v="8"/>
    <x v="1"/>
    <x v="10"/>
    <x v="0"/>
    <x v="51"/>
    <x v="42"/>
    <s v="M"/>
    <s v="Orange"/>
    <s v="Fall"/>
    <n v="4.9000000000000004"/>
    <x v="1"/>
    <x v="2"/>
    <x v="1"/>
    <x v="1"/>
    <n v="50"/>
    <x v="2"/>
    <x v="1"/>
    <x v="1"/>
  </r>
  <r>
    <n v="3583"/>
    <x v="51"/>
    <x v="1"/>
    <x v="6"/>
    <x v="0"/>
    <x v="52"/>
    <x v="18"/>
    <s v="S"/>
    <s v="Beige"/>
    <s v="Summer"/>
    <n v="3.4"/>
    <x v="1"/>
    <x v="4"/>
    <x v="1"/>
    <x v="1"/>
    <n v="15"/>
    <x v="3"/>
    <x v="2"/>
    <x v="2"/>
  </r>
  <r>
    <n v="3584"/>
    <x v="16"/>
    <x v="1"/>
    <x v="0"/>
    <x v="0"/>
    <x v="64"/>
    <x v="28"/>
    <s v="L"/>
    <s v="Brown"/>
    <s v="Summer"/>
    <n v="2.7"/>
    <x v="1"/>
    <x v="5"/>
    <x v="1"/>
    <x v="1"/>
    <n v="44"/>
    <x v="2"/>
    <x v="6"/>
    <x v="3"/>
  </r>
  <r>
    <n v="3585"/>
    <x v="31"/>
    <x v="1"/>
    <x v="4"/>
    <x v="1"/>
    <x v="78"/>
    <x v="20"/>
    <s v="L"/>
    <s v="Indigo"/>
    <s v="Fall"/>
    <n v="4.8"/>
    <x v="1"/>
    <x v="0"/>
    <x v="1"/>
    <x v="1"/>
    <n v="48"/>
    <x v="5"/>
    <x v="5"/>
    <x v="5"/>
  </r>
  <r>
    <n v="3586"/>
    <x v="31"/>
    <x v="1"/>
    <x v="24"/>
    <x v="3"/>
    <x v="52"/>
    <x v="14"/>
    <s v="XL"/>
    <s v="Gray"/>
    <s v="Winter"/>
    <n v="4.0999999999999996"/>
    <x v="1"/>
    <x v="3"/>
    <x v="1"/>
    <x v="1"/>
    <n v="4"/>
    <x v="0"/>
    <x v="4"/>
    <x v="4"/>
  </r>
  <r>
    <n v="3587"/>
    <x v="23"/>
    <x v="1"/>
    <x v="15"/>
    <x v="0"/>
    <x v="39"/>
    <x v="37"/>
    <s v="M"/>
    <s v="Yellow"/>
    <s v="Winter"/>
    <n v="4.5999999999999996"/>
    <x v="1"/>
    <x v="5"/>
    <x v="1"/>
    <x v="1"/>
    <n v="12"/>
    <x v="3"/>
    <x v="4"/>
    <x v="4"/>
  </r>
  <r>
    <n v="3588"/>
    <x v="23"/>
    <x v="1"/>
    <x v="1"/>
    <x v="0"/>
    <x v="3"/>
    <x v="41"/>
    <s v="S"/>
    <s v="Violet"/>
    <s v="Summer"/>
    <n v="4.4000000000000004"/>
    <x v="1"/>
    <x v="3"/>
    <x v="1"/>
    <x v="1"/>
    <n v="33"/>
    <x v="5"/>
    <x v="2"/>
    <x v="2"/>
  </r>
  <r>
    <n v="3589"/>
    <x v="51"/>
    <x v="1"/>
    <x v="12"/>
    <x v="3"/>
    <x v="37"/>
    <x v="49"/>
    <s v="M"/>
    <s v="Magenta"/>
    <s v="Spring"/>
    <n v="3.5"/>
    <x v="1"/>
    <x v="4"/>
    <x v="1"/>
    <x v="1"/>
    <n v="40"/>
    <x v="1"/>
    <x v="2"/>
    <x v="2"/>
  </r>
  <r>
    <n v="3590"/>
    <x v="18"/>
    <x v="1"/>
    <x v="22"/>
    <x v="3"/>
    <x v="2"/>
    <x v="13"/>
    <s v="M"/>
    <s v="Blue"/>
    <s v="Spring"/>
    <n v="4.8"/>
    <x v="1"/>
    <x v="2"/>
    <x v="1"/>
    <x v="1"/>
    <n v="38"/>
    <x v="1"/>
    <x v="6"/>
    <x v="3"/>
  </r>
  <r>
    <n v="3591"/>
    <x v="7"/>
    <x v="1"/>
    <x v="10"/>
    <x v="0"/>
    <x v="55"/>
    <x v="45"/>
    <s v="M"/>
    <s v="Gray"/>
    <s v="Fall"/>
    <n v="2.9"/>
    <x v="1"/>
    <x v="4"/>
    <x v="1"/>
    <x v="1"/>
    <n v="19"/>
    <x v="0"/>
    <x v="6"/>
    <x v="3"/>
  </r>
  <r>
    <n v="3592"/>
    <x v="39"/>
    <x v="1"/>
    <x v="14"/>
    <x v="2"/>
    <x v="58"/>
    <x v="45"/>
    <s v="M"/>
    <s v="Gold"/>
    <s v="Winter"/>
    <n v="3.2"/>
    <x v="1"/>
    <x v="4"/>
    <x v="1"/>
    <x v="1"/>
    <n v="38"/>
    <x v="4"/>
    <x v="3"/>
    <x v="3"/>
  </r>
  <r>
    <n v="3593"/>
    <x v="12"/>
    <x v="1"/>
    <x v="23"/>
    <x v="1"/>
    <x v="71"/>
    <x v="32"/>
    <s v="L"/>
    <s v="Lavender"/>
    <s v="Spring"/>
    <n v="4.4000000000000004"/>
    <x v="1"/>
    <x v="4"/>
    <x v="1"/>
    <x v="1"/>
    <n v="18"/>
    <x v="0"/>
    <x v="0"/>
    <x v="0"/>
  </r>
  <r>
    <n v="3594"/>
    <x v="6"/>
    <x v="1"/>
    <x v="3"/>
    <x v="1"/>
    <x v="68"/>
    <x v="5"/>
    <s v="M"/>
    <s v="Black"/>
    <s v="Spring"/>
    <n v="4.5999999999999996"/>
    <x v="1"/>
    <x v="2"/>
    <x v="1"/>
    <x v="1"/>
    <n v="24"/>
    <x v="3"/>
    <x v="5"/>
    <x v="5"/>
  </r>
  <r>
    <n v="3595"/>
    <x v="1"/>
    <x v="1"/>
    <x v="18"/>
    <x v="3"/>
    <x v="55"/>
    <x v="15"/>
    <s v="L"/>
    <s v="Charcoal"/>
    <s v="Summer"/>
    <n v="2.6"/>
    <x v="1"/>
    <x v="4"/>
    <x v="1"/>
    <x v="1"/>
    <n v="29"/>
    <x v="0"/>
    <x v="3"/>
    <x v="3"/>
  </r>
  <r>
    <n v="3596"/>
    <x v="3"/>
    <x v="1"/>
    <x v="0"/>
    <x v="0"/>
    <x v="52"/>
    <x v="45"/>
    <s v="M"/>
    <s v="Violet"/>
    <s v="Spring"/>
    <n v="3.1"/>
    <x v="1"/>
    <x v="5"/>
    <x v="1"/>
    <x v="1"/>
    <n v="14"/>
    <x v="3"/>
    <x v="2"/>
    <x v="2"/>
  </r>
  <r>
    <n v="3597"/>
    <x v="48"/>
    <x v="1"/>
    <x v="15"/>
    <x v="0"/>
    <x v="42"/>
    <x v="36"/>
    <s v="M"/>
    <s v="Charcoal"/>
    <s v="Spring"/>
    <n v="4.3"/>
    <x v="1"/>
    <x v="3"/>
    <x v="1"/>
    <x v="1"/>
    <n v="44"/>
    <x v="1"/>
    <x v="0"/>
    <x v="0"/>
  </r>
  <r>
    <n v="3598"/>
    <x v="26"/>
    <x v="1"/>
    <x v="12"/>
    <x v="3"/>
    <x v="79"/>
    <x v="35"/>
    <s v="M"/>
    <s v="Maroon"/>
    <s v="Summer"/>
    <n v="3.1"/>
    <x v="1"/>
    <x v="3"/>
    <x v="1"/>
    <x v="1"/>
    <n v="18"/>
    <x v="4"/>
    <x v="3"/>
    <x v="3"/>
  </r>
  <r>
    <n v="3599"/>
    <x v="51"/>
    <x v="1"/>
    <x v="15"/>
    <x v="0"/>
    <x v="31"/>
    <x v="39"/>
    <s v="XL"/>
    <s v="Purple"/>
    <s v="Spring"/>
    <n v="4.5999999999999996"/>
    <x v="1"/>
    <x v="5"/>
    <x v="1"/>
    <x v="1"/>
    <n v="19"/>
    <x v="4"/>
    <x v="4"/>
    <x v="4"/>
  </r>
  <r>
    <n v="3600"/>
    <x v="43"/>
    <x v="1"/>
    <x v="18"/>
    <x v="3"/>
    <x v="7"/>
    <x v="23"/>
    <s v="S"/>
    <s v="Peach"/>
    <s v="Spring"/>
    <n v="4.5999999999999996"/>
    <x v="1"/>
    <x v="0"/>
    <x v="1"/>
    <x v="1"/>
    <n v="4"/>
    <x v="1"/>
    <x v="1"/>
    <x v="1"/>
  </r>
  <r>
    <n v="3601"/>
    <x v="29"/>
    <x v="1"/>
    <x v="10"/>
    <x v="0"/>
    <x v="13"/>
    <x v="36"/>
    <s v="XL"/>
    <s v="Olive"/>
    <s v="Spring"/>
    <n v="2.7"/>
    <x v="1"/>
    <x v="1"/>
    <x v="1"/>
    <x v="1"/>
    <n v="25"/>
    <x v="1"/>
    <x v="4"/>
    <x v="4"/>
  </r>
  <r>
    <n v="3602"/>
    <x v="50"/>
    <x v="1"/>
    <x v="17"/>
    <x v="0"/>
    <x v="53"/>
    <x v="17"/>
    <s v="M"/>
    <s v="Indigo"/>
    <s v="Summer"/>
    <n v="3"/>
    <x v="1"/>
    <x v="2"/>
    <x v="1"/>
    <x v="1"/>
    <n v="3"/>
    <x v="3"/>
    <x v="5"/>
    <x v="5"/>
  </r>
  <r>
    <n v="3603"/>
    <x v="44"/>
    <x v="1"/>
    <x v="11"/>
    <x v="0"/>
    <x v="14"/>
    <x v="5"/>
    <s v="S"/>
    <s v="Magenta"/>
    <s v="Summer"/>
    <n v="3.3"/>
    <x v="1"/>
    <x v="5"/>
    <x v="1"/>
    <x v="1"/>
    <n v="40"/>
    <x v="5"/>
    <x v="3"/>
    <x v="3"/>
  </r>
  <r>
    <n v="3604"/>
    <x v="4"/>
    <x v="1"/>
    <x v="2"/>
    <x v="0"/>
    <x v="12"/>
    <x v="7"/>
    <s v="M"/>
    <s v="Gold"/>
    <s v="Spring"/>
    <n v="2.7"/>
    <x v="1"/>
    <x v="1"/>
    <x v="1"/>
    <x v="1"/>
    <n v="5"/>
    <x v="1"/>
    <x v="1"/>
    <x v="1"/>
  </r>
  <r>
    <n v="3605"/>
    <x v="6"/>
    <x v="1"/>
    <x v="15"/>
    <x v="0"/>
    <x v="62"/>
    <x v="7"/>
    <s v="M"/>
    <s v="Orange"/>
    <s v="Fall"/>
    <n v="3.3"/>
    <x v="1"/>
    <x v="3"/>
    <x v="1"/>
    <x v="1"/>
    <n v="17"/>
    <x v="5"/>
    <x v="2"/>
    <x v="2"/>
  </r>
  <r>
    <n v="3606"/>
    <x v="33"/>
    <x v="1"/>
    <x v="2"/>
    <x v="0"/>
    <x v="52"/>
    <x v="15"/>
    <s v="M"/>
    <s v="Gold"/>
    <s v="Fall"/>
    <n v="4.3"/>
    <x v="1"/>
    <x v="5"/>
    <x v="1"/>
    <x v="1"/>
    <n v="36"/>
    <x v="4"/>
    <x v="6"/>
    <x v="3"/>
  </r>
  <r>
    <n v="3607"/>
    <x v="38"/>
    <x v="1"/>
    <x v="3"/>
    <x v="1"/>
    <x v="3"/>
    <x v="46"/>
    <s v="XL"/>
    <s v="Purple"/>
    <s v="Fall"/>
    <n v="4.8"/>
    <x v="1"/>
    <x v="0"/>
    <x v="1"/>
    <x v="1"/>
    <n v="41"/>
    <x v="0"/>
    <x v="2"/>
    <x v="2"/>
  </r>
  <r>
    <n v="3608"/>
    <x v="2"/>
    <x v="1"/>
    <x v="19"/>
    <x v="3"/>
    <x v="73"/>
    <x v="35"/>
    <s v="L"/>
    <s v="Charcoal"/>
    <s v="Fall"/>
    <n v="3.3"/>
    <x v="1"/>
    <x v="3"/>
    <x v="1"/>
    <x v="1"/>
    <n v="20"/>
    <x v="0"/>
    <x v="4"/>
    <x v="4"/>
  </r>
  <r>
    <n v="3609"/>
    <x v="41"/>
    <x v="1"/>
    <x v="24"/>
    <x v="3"/>
    <x v="22"/>
    <x v="30"/>
    <s v="M"/>
    <s v="Cyan"/>
    <s v="Fall"/>
    <n v="4.3"/>
    <x v="1"/>
    <x v="2"/>
    <x v="1"/>
    <x v="1"/>
    <n v="2"/>
    <x v="1"/>
    <x v="6"/>
    <x v="3"/>
  </r>
  <r>
    <n v="3610"/>
    <x v="3"/>
    <x v="1"/>
    <x v="20"/>
    <x v="0"/>
    <x v="32"/>
    <x v="35"/>
    <s v="M"/>
    <s v="Cyan"/>
    <s v="Summer"/>
    <n v="3"/>
    <x v="1"/>
    <x v="4"/>
    <x v="1"/>
    <x v="1"/>
    <n v="31"/>
    <x v="5"/>
    <x v="5"/>
    <x v="5"/>
  </r>
  <r>
    <n v="3611"/>
    <x v="20"/>
    <x v="1"/>
    <x v="14"/>
    <x v="2"/>
    <x v="62"/>
    <x v="21"/>
    <s v="XL"/>
    <s v="Green"/>
    <s v="Fall"/>
    <n v="4.8"/>
    <x v="1"/>
    <x v="4"/>
    <x v="1"/>
    <x v="1"/>
    <n v="23"/>
    <x v="4"/>
    <x v="0"/>
    <x v="0"/>
  </r>
  <r>
    <n v="3612"/>
    <x v="6"/>
    <x v="1"/>
    <x v="17"/>
    <x v="0"/>
    <x v="71"/>
    <x v="47"/>
    <s v="M"/>
    <s v="Silver"/>
    <s v="Spring"/>
    <n v="2.9"/>
    <x v="1"/>
    <x v="3"/>
    <x v="1"/>
    <x v="1"/>
    <n v="30"/>
    <x v="2"/>
    <x v="2"/>
    <x v="2"/>
  </r>
  <r>
    <n v="3613"/>
    <x v="36"/>
    <x v="1"/>
    <x v="3"/>
    <x v="1"/>
    <x v="45"/>
    <x v="49"/>
    <s v="M"/>
    <s v="Teal"/>
    <s v="Summer"/>
    <n v="3.6"/>
    <x v="1"/>
    <x v="3"/>
    <x v="1"/>
    <x v="1"/>
    <n v="26"/>
    <x v="1"/>
    <x v="6"/>
    <x v="3"/>
  </r>
  <r>
    <n v="3614"/>
    <x v="44"/>
    <x v="1"/>
    <x v="19"/>
    <x v="3"/>
    <x v="65"/>
    <x v="46"/>
    <s v="M"/>
    <s v="Magenta"/>
    <s v="Fall"/>
    <n v="3.5"/>
    <x v="1"/>
    <x v="5"/>
    <x v="1"/>
    <x v="1"/>
    <n v="40"/>
    <x v="0"/>
    <x v="2"/>
    <x v="2"/>
  </r>
  <r>
    <n v="3615"/>
    <x v="5"/>
    <x v="1"/>
    <x v="24"/>
    <x v="3"/>
    <x v="21"/>
    <x v="12"/>
    <s v="L"/>
    <s v="Maroon"/>
    <s v="Spring"/>
    <n v="4.7"/>
    <x v="1"/>
    <x v="4"/>
    <x v="1"/>
    <x v="1"/>
    <n v="19"/>
    <x v="4"/>
    <x v="2"/>
    <x v="2"/>
  </r>
  <r>
    <n v="3616"/>
    <x v="25"/>
    <x v="1"/>
    <x v="10"/>
    <x v="0"/>
    <x v="9"/>
    <x v="18"/>
    <s v="M"/>
    <s v="Gold"/>
    <s v="Winter"/>
    <n v="4.4000000000000004"/>
    <x v="1"/>
    <x v="1"/>
    <x v="1"/>
    <x v="1"/>
    <n v="4"/>
    <x v="2"/>
    <x v="5"/>
    <x v="5"/>
  </r>
  <r>
    <n v="3617"/>
    <x v="32"/>
    <x v="1"/>
    <x v="15"/>
    <x v="0"/>
    <x v="66"/>
    <x v="48"/>
    <s v="L"/>
    <s v="Purple"/>
    <s v="Winter"/>
    <n v="3.3"/>
    <x v="1"/>
    <x v="5"/>
    <x v="1"/>
    <x v="1"/>
    <n v="33"/>
    <x v="5"/>
    <x v="0"/>
    <x v="0"/>
  </r>
  <r>
    <n v="3618"/>
    <x v="39"/>
    <x v="1"/>
    <x v="22"/>
    <x v="3"/>
    <x v="53"/>
    <x v="0"/>
    <s v="M"/>
    <s v="Lavender"/>
    <s v="Fall"/>
    <n v="4.3"/>
    <x v="1"/>
    <x v="0"/>
    <x v="1"/>
    <x v="1"/>
    <n v="29"/>
    <x v="5"/>
    <x v="5"/>
    <x v="5"/>
  </r>
  <r>
    <n v="3619"/>
    <x v="48"/>
    <x v="1"/>
    <x v="24"/>
    <x v="3"/>
    <x v="25"/>
    <x v="22"/>
    <s v="M"/>
    <s v="Maroon"/>
    <s v="Fall"/>
    <n v="4"/>
    <x v="1"/>
    <x v="4"/>
    <x v="1"/>
    <x v="1"/>
    <n v="47"/>
    <x v="3"/>
    <x v="4"/>
    <x v="4"/>
  </r>
  <r>
    <n v="3620"/>
    <x v="42"/>
    <x v="1"/>
    <x v="18"/>
    <x v="3"/>
    <x v="60"/>
    <x v="17"/>
    <s v="S"/>
    <s v="Magenta"/>
    <s v="Winter"/>
    <n v="4.9000000000000004"/>
    <x v="1"/>
    <x v="4"/>
    <x v="1"/>
    <x v="1"/>
    <n v="50"/>
    <x v="0"/>
    <x v="1"/>
    <x v="1"/>
  </r>
  <r>
    <n v="3621"/>
    <x v="52"/>
    <x v="1"/>
    <x v="3"/>
    <x v="1"/>
    <x v="71"/>
    <x v="7"/>
    <s v="M"/>
    <s v="Turquoise"/>
    <s v="Summer"/>
    <n v="2.9"/>
    <x v="1"/>
    <x v="0"/>
    <x v="1"/>
    <x v="1"/>
    <n v="28"/>
    <x v="2"/>
    <x v="0"/>
    <x v="0"/>
  </r>
  <r>
    <n v="3622"/>
    <x v="21"/>
    <x v="1"/>
    <x v="4"/>
    <x v="1"/>
    <x v="50"/>
    <x v="32"/>
    <s v="XL"/>
    <s v="Silver"/>
    <s v="Summer"/>
    <n v="4"/>
    <x v="1"/>
    <x v="4"/>
    <x v="1"/>
    <x v="1"/>
    <n v="5"/>
    <x v="1"/>
    <x v="0"/>
    <x v="0"/>
  </r>
  <r>
    <n v="3623"/>
    <x v="5"/>
    <x v="1"/>
    <x v="10"/>
    <x v="0"/>
    <x v="52"/>
    <x v="48"/>
    <s v="M"/>
    <s v="Purple"/>
    <s v="Fall"/>
    <n v="4.3"/>
    <x v="1"/>
    <x v="5"/>
    <x v="1"/>
    <x v="1"/>
    <n v="12"/>
    <x v="2"/>
    <x v="2"/>
    <x v="2"/>
  </r>
  <r>
    <n v="3624"/>
    <x v="31"/>
    <x v="1"/>
    <x v="16"/>
    <x v="3"/>
    <x v="58"/>
    <x v="10"/>
    <s v="M"/>
    <s v="Violet"/>
    <s v="Winter"/>
    <n v="2.7"/>
    <x v="1"/>
    <x v="4"/>
    <x v="1"/>
    <x v="1"/>
    <n v="4"/>
    <x v="3"/>
    <x v="1"/>
    <x v="1"/>
  </r>
  <r>
    <n v="3625"/>
    <x v="40"/>
    <x v="1"/>
    <x v="19"/>
    <x v="3"/>
    <x v="71"/>
    <x v="21"/>
    <s v="XL"/>
    <s v="Peach"/>
    <s v="Fall"/>
    <n v="5"/>
    <x v="1"/>
    <x v="5"/>
    <x v="1"/>
    <x v="1"/>
    <n v="22"/>
    <x v="4"/>
    <x v="4"/>
    <x v="4"/>
  </r>
  <r>
    <n v="3626"/>
    <x v="42"/>
    <x v="1"/>
    <x v="18"/>
    <x v="3"/>
    <x v="54"/>
    <x v="26"/>
    <s v="L"/>
    <s v="Green"/>
    <s v="Winter"/>
    <n v="4.4000000000000004"/>
    <x v="1"/>
    <x v="0"/>
    <x v="1"/>
    <x v="1"/>
    <n v="32"/>
    <x v="3"/>
    <x v="1"/>
    <x v="1"/>
  </r>
  <r>
    <n v="3627"/>
    <x v="28"/>
    <x v="1"/>
    <x v="0"/>
    <x v="0"/>
    <x v="57"/>
    <x v="16"/>
    <s v="L"/>
    <s v="Teal"/>
    <s v="Fall"/>
    <n v="3.5"/>
    <x v="1"/>
    <x v="0"/>
    <x v="1"/>
    <x v="1"/>
    <n v="32"/>
    <x v="0"/>
    <x v="3"/>
    <x v="3"/>
  </r>
  <r>
    <n v="3628"/>
    <x v="31"/>
    <x v="1"/>
    <x v="22"/>
    <x v="3"/>
    <x v="36"/>
    <x v="12"/>
    <s v="M"/>
    <s v="Silver"/>
    <s v="Winter"/>
    <n v="3.3"/>
    <x v="1"/>
    <x v="2"/>
    <x v="1"/>
    <x v="1"/>
    <n v="48"/>
    <x v="1"/>
    <x v="6"/>
    <x v="3"/>
  </r>
  <r>
    <n v="3629"/>
    <x v="10"/>
    <x v="1"/>
    <x v="0"/>
    <x v="0"/>
    <x v="19"/>
    <x v="42"/>
    <s v="L"/>
    <s v="Purple"/>
    <s v="Summer"/>
    <n v="3.8"/>
    <x v="1"/>
    <x v="1"/>
    <x v="1"/>
    <x v="1"/>
    <n v="35"/>
    <x v="2"/>
    <x v="5"/>
    <x v="5"/>
  </r>
  <r>
    <n v="3630"/>
    <x v="16"/>
    <x v="1"/>
    <x v="17"/>
    <x v="0"/>
    <x v="35"/>
    <x v="23"/>
    <s v="L"/>
    <s v="Lavender"/>
    <s v="Summer"/>
    <n v="4.5"/>
    <x v="1"/>
    <x v="3"/>
    <x v="1"/>
    <x v="1"/>
    <n v="44"/>
    <x v="5"/>
    <x v="0"/>
    <x v="0"/>
  </r>
  <r>
    <n v="3631"/>
    <x v="13"/>
    <x v="1"/>
    <x v="19"/>
    <x v="3"/>
    <x v="2"/>
    <x v="19"/>
    <s v="M"/>
    <s v="Lavender"/>
    <s v="Winter"/>
    <n v="4.8"/>
    <x v="1"/>
    <x v="5"/>
    <x v="1"/>
    <x v="1"/>
    <n v="29"/>
    <x v="1"/>
    <x v="1"/>
    <x v="1"/>
  </r>
  <r>
    <n v="3632"/>
    <x v="39"/>
    <x v="1"/>
    <x v="19"/>
    <x v="3"/>
    <x v="74"/>
    <x v="32"/>
    <s v="M"/>
    <s v="Peach"/>
    <s v="Fall"/>
    <n v="2.9"/>
    <x v="1"/>
    <x v="5"/>
    <x v="1"/>
    <x v="1"/>
    <n v="26"/>
    <x v="2"/>
    <x v="5"/>
    <x v="5"/>
  </r>
  <r>
    <n v="3633"/>
    <x v="7"/>
    <x v="1"/>
    <x v="4"/>
    <x v="1"/>
    <x v="2"/>
    <x v="40"/>
    <s v="L"/>
    <s v="Green"/>
    <s v="Spring"/>
    <n v="3.2"/>
    <x v="1"/>
    <x v="0"/>
    <x v="1"/>
    <x v="1"/>
    <n v="3"/>
    <x v="5"/>
    <x v="3"/>
    <x v="3"/>
  </r>
  <r>
    <n v="3634"/>
    <x v="31"/>
    <x v="1"/>
    <x v="24"/>
    <x v="3"/>
    <x v="12"/>
    <x v="6"/>
    <s v="M"/>
    <s v="Orange"/>
    <s v="Spring"/>
    <n v="2.8"/>
    <x v="1"/>
    <x v="1"/>
    <x v="1"/>
    <x v="1"/>
    <n v="1"/>
    <x v="4"/>
    <x v="4"/>
    <x v="4"/>
  </r>
  <r>
    <n v="3635"/>
    <x v="35"/>
    <x v="1"/>
    <x v="20"/>
    <x v="0"/>
    <x v="20"/>
    <x v="31"/>
    <s v="M"/>
    <s v="Pink"/>
    <s v="Winter"/>
    <n v="3.3"/>
    <x v="1"/>
    <x v="3"/>
    <x v="1"/>
    <x v="1"/>
    <n v="17"/>
    <x v="3"/>
    <x v="2"/>
    <x v="2"/>
  </r>
  <r>
    <n v="3636"/>
    <x v="16"/>
    <x v="1"/>
    <x v="3"/>
    <x v="1"/>
    <x v="50"/>
    <x v="24"/>
    <s v="L"/>
    <s v="Cyan"/>
    <s v="Fall"/>
    <n v="3.3"/>
    <x v="1"/>
    <x v="1"/>
    <x v="1"/>
    <x v="1"/>
    <n v="17"/>
    <x v="2"/>
    <x v="0"/>
    <x v="0"/>
  </r>
  <r>
    <n v="3637"/>
    <x v="2"/>
    <x v="1"/>
    <x v="3"/>
    <x v="1"/>
    <x v="15"/>
    <x v="18"/>
    <s v="L"/>
    <s v="Lavender"/>
    <s v="Summer"/>
    <n v="4.2"/>
    <x v="1"/>
    <x v="4"/>
    <x v="1"/>
    <x v="1"/>
    <n v="36"/>
    <x v="1"/>
    <x v="1"/>
    <x v="1"/>
  </r>
  <r>
    <n v="3638"/>
    <x v="45"/>
    <x v="1"/>
    <x v="23"/>
    <x v="1"/>
    <x v="76"/>
    <x v="40"/>
    <s v="L"/>
    <s v="Yellow"/>
    <s v="Winter"/>
    <n v="3.6"/>
    <x v="1"/>
    <x v="0"/>
    <x v="1"/>
    <x v="1"/>
    <n v="32"/>
    <x v="2"/>
    <x v="0"/>
    <x v="0"/>
  </r>
  <r>
    <n v="3639"/>
    <x v="37"/>
    <x v="1"/>
    <x v="21"/>
    <x v="3"/>
    <x v="5"/>
    <x v="23"/>
    <s v="M"/>
    <s v="Olive"/>
    <s v="Spring"/>
    <n v="4.5999999999999996"/>
    <x v="1"/>
    <x v="0"/>
    <x v="1"/>
    <x v="1"/>
    <n v="50"/>
    <x v="3"/>
    <x v="4"/>
    <x v="4"/>
  </r>
  <r>
    <n v="3640"/>
    <x v="8"/>
    <x v="1"/>
    <x v="7"/>
    <x v="2"/>
    <x v="77"/>
    <x v="26"/>
    <s v="M"/>
    <s v="Brown"/>
    <s v="Summer"/>
    <n v="3.6"/>
    <x v="1"/>
    <x v="4"/>
    <x v="1"/>
    <x v="1"/>
    <n v="39"/>
    <x v="0"/>
    <x v="2"/>
    <x v="2"/>
  </r>
  <r>
    <n v="3641"/>
    <x v="36"/>
    <x v="1"/>
    <x v="12"/>
    <x v="3"/>
    <x v="9"/>
    <x v="46"/>
    <s v="L"/>
    <s v="Pink"/>
    <s v="Spring"/>
    <n v="4"/>
    <x v="1"/>
    <x v="2"/>
    <x v="1"/>
    <x v="1"/>
    <n v="17"/>
    <x v="3"/>
    <x v="5"/>
    <x v="5"/>
  </r>
  <r>
    <n v="3642"/>
    <x v="47"/>
    <x v="1"/>
    <x v="14"/>
    <x v="2"/>
    <x v="29"/>
    <x v="14"/>
    <s v="M"/>
    <s v="Cyan"/>
    <s v="Fall"/>
    <n v="2.7"/>
    <x v="1"/>
    <x v="1"/>
    <x v="1"/>
    <x v="1"/>
    <n v="39"/>
    <x v="4"/>
    <x v="6"/>
    <x v="3"/>
  </r>
  <r>
    <n v="3643"/>
    <x v="36"/>
    <x v="1"/>
    <x v="10"/>
    <x v="0"/>
    <x v="79"/>
    <x v="28"/>
    <s v="L"/>
    <s v="Maroon"/>
    <s v="Summer"/>
    <n v="4.4000000000000004"/>
    <x v="1"/>
    <x v="5"/>
    <x v="1"/>
    <x v="1"/>
    <n v="5"/>
    <x v="3"/>
    <x v="2"/>
    <x v="2"/>
  </r>
  <r>
    <n v="3644"/>
    <x v="10"/>
    <x v="1"/>
    <x v="18"/>
    <x v="3"/>
    <x v="48"/>
    <x v="30"/>
    <s v="XL"/>
    <s v="Magenta"/>
    <s v="Fall"/>
    <n v="3.2"/>
    <x v="1"/>
    <x v="3"/>
    <x v="1"/>
    <x v="1"/>
    <n v="47"/>
    <x v="5"/>
    <x v="2"/>
    <x v="2"/>
  </r>
  <r>
    <n v="3645"/>
    <x v="25"/>
    <x v="1"/>
    <x v="0"/>
    <x v="0"/>
    <x v="50"/>
    <x v="10"/>
    <s v="M"/>
    <s v="Violet"/>
    <s v="Winter"/>
    <n v="2.6"/>
    <x v="1"/>
    <x v="2"/>
    <x v="1"/>
    <x v="1"/>
    <n v="18"/>
    <x v="0"/>
    <x v="1"/>
    <x v="1"/>
  </r>
  <r>
    <n v="3646"/>
    <x v="21"/>
    <x v="1"/>
    <x v="21"/>
    <x v="3"/>
    <x v="3"/>
    <x v="24"/>
    <s v="L"/>
    <s v="Silver"/>
    <s v="Summer"/>
    <n v="3.4"/>
    <x v="1"/>
    <x v="1"/>
    <x v="1"/>
    <x v="1"/>
    <n v="31"/>
    <x v="2"/>
    <x v="6"/>
    <x v="3"/>
  </r>
  <r>
    <n v="3647"/>
    <x v="28"/>
    <x v="1"/>
    <x v="16"/>
    <x v="3"/>
    <x v="10"/>
    <x v="22"/>
    <s v="M"/>
    <s v="Maroon"/>
    <s v="Spring"/>
    <n v="5"/>
    <x v="1"/>
    <x v="4"/>
    <x v="1"/>
    <x v="1"/>
    <n v="39"/>
    <x v="5"/>
    <x v="0"/>
    <x v="0"/>
  </r>
  <r>
    <n v="3648"/>
    <x v="36"/>
    <x v="1"/>
    <x v="6"/>
    <x v="0"/>
    <x v="29"/>
    <x v="23"/>
    <s v="M"/>
    <s v="Gray"/>
    <s v="Winter"/>
    <n v="2.9"/>
    <x v="1"/>
    <x v="5"/>
    <x v="1"/>
    <x v="1"/>
    <n v="12"/>
    <x v="4"/>
    <x v="1"/>
    <x v="1"/>
  </r>
  <r>
    <n v="3649"/>
    <x v="18"/>
    <x v="1"/>
    <x v="11"/>
    <x v="0"/>
    <x v="25"/>
    <x v="14"/>
    <s v="M"/>
    <s v="White"/>
    <s v="Winter"/>
    <n v="5"/>
    <x v="1"/>
    <x v="1"/>
    <x v="1"/>
    <x v="1"/>
    <n v="45"/>
    <x v="1"/>
    <x v="4"/>
    <x v="4"/>
  </r>
  <r>
    <n v="3650"/>
    <x v="33"/>
    <x v="1"/>
    <x v="11"/>
    <x v="0"/>
    <x v="75"/>
    <x v="46"/>
    <s v="M"/>
    <s v="Brown"/>
    <s v="Fall"/>
    <n v="4.4000000000000004"/>
    <x v="1"/>
    <x v="3"/>
    <x v="1"/>
    <x v="1"/>
    <n v="33"/>
    <x v="2"/>
    <x v="0"/>
    <x v="0"/>
  </r>
  <r>
    <n v="3651"/>
    <x v="47"/>
    <x v="1"/>
    <x v="2"/>
    <x v="0"/>
    <x v="30"/>
    <x v="31"/>
    <s v="M"/>
    <s v="Silver"/>
    <s v="Summer"/>
    <n v="3.5"/>
    <x v="1"/>
    <x v="4"/>
    <x v="1"/>
    <x v="1"/>
    <n v="3"/>
    <x v="3"/>
    <x v="2"/>
    <x v="2"/>
  </r>
  <r>
    <n v="3652"/>
    <x v="30"/>
    <x v="1"/>
    <x v="8"/>
    <x v="3"/>
    <x v="50"/>
    <x v="28"/>
    <s v="M"/>
    <s v="Yellow"/>
    <s v="Spring"/>
    <n v="3.8"/>
    <x v="1"/>
    <x v="0"/>
    <x v="1"/>
    <x v="1"/>
    <n v="5"/>
    <x v="0"/>
    <x v="6"/>
    <x v="3"/>
  </r>
  <r>
    <n v="3653"/>
    <x v="7"/>
    <x v="1"/>
    <x v="8"/>
    <x v="3"/>
    <x v="45"/>
    <x v="0"/>
    <s v="S"/>
    <s v="Magenta"/>
    <s v="Fall"/>
    <n v="3.8"/>
    <x v="1"/>
    <x v="5"/>
    <x v="1"/>
    <x v="1"/>
    <n v="23"/>
    <x v="5"/>
    <x v="5"/>
    <x v="5"/>
  </r>
  <r>
    <n v="3654"/>
    <x v="29"/>
    <x v="1"/>
    <x v="7"/>
    <x v="2"/>
    <x v="5"/>
    <x v="46"/>
    <s v="M"/>
    <s v="Blue"/>
    <s v="Spring"/>
    <n v="3.9"/>
    <x v="1"/>
    <x v="2"/>
    <x v="1"/>
    <x v="1"/>
    <n v="39"/>
    <x v="2"/>
    <x v="0"/>
    <x v="0"/>
  </r>
  <r>
    <n v="3655"/>
    <x v="3"/>
    <x v="1"/>
    <x v="16"/>
    <x v="3"/>
    <x v="57"/>
    <x v="10"/>
    <s v="M"/>
    <s v="Green"/>
    <s v="Winter"/>
    <n v="3.3"/>
    <x v="1"/>
    <x v="2"/>
    <x v="1"/>
    <x v="1"/>
    <n v="10"/>
    <x v="2"/>
    <x v="2"/>
    <x v="2"/>
  </r>
  <r>
    <n v="3656"/>
    <x v="30"/>
    <x v="1"/>
    <x v="1"/>
    <x v="0"/>
    <x v="65"/>
    <x v="5"/>
    <s v="M"/>
    <s v="Yellow"/>
    <s v="Fall"/>
    <n v="2.9"/>
    <x v="1"/>
    <x v="2"/>
    <x v="1"/>
    <x v="1"/>
    <n v="4"/>
    <x v="2"/>
    <x v="4"/>
    <x v="4"/>
  </r>
  <r>
    <n v="3657"/>
    <x v="25"/>
    <x v="1"/>
    <x v="14"/>
    <x v="2"/>
    <x v="25"/>
    <x v="25"/>
    <s v="XL"/>
    <s v="Cyan"/>
    <s v="Spring"/>
    <n v="3.7"/>
    <x v="1"/>
    <x v="4"/>
    <x v="1"/>
    <x v="1"/>
    <n v="18"/>
    <x v="2"/>
    <x v="5"/>
    <x v="5"/>
  </r>
  <r>
    <n v="3658"/>
    <x v="44"/>
    <x v="1"/>
    <x v="9"/>
    <x v="1"/>
    <x v="71"/>
    <x v="15"/>
    <s v="L"/>
    <s v="Gold"/>
    <s v="Winter"/>
    <n v="3.7"/>
    <x v="1"/>
    <x v="0"/>
    <x v="1"/>
    <x v="1"/>
    <n v="1"/>
    <x v="5"/>
    <x v="6"/>
    <x v="3"/>
  </r>
  <r>
    <n v="3659"/>
    <x v="48"/>
    <x v="1"/>
    <x v="17"/>
    <x v="0"/>
    <x v="11"/>
    <x v="16"/>
    <s v="M"/>
    <s v="Magenta"/>
    <s v="Fall"/>
    <n v="4.5999999999999996"/>
    <x v="1"/>
    <x v="3"/>
    <x v="1"/>
    <x v="1"/>
    <n v="18"/>
    <x v="3"/>
    <x v="0"/>
    <x v="0"/>
  </r>
  <r>
    <n v="3660"/>
    <x v="7"/>
    <x v="1"/>
    <x v="3"/>
    <x v="1"/>
    <x v="64"/>
    <x v="26"/>
    <s v="S"/>
    <s v="Gray"/>
    <s v="Fall"/>
    <n v="4.9000000000000004"/>
    <x v="1"/>
    <x v="5"/>
    <x v="1"/>
    <x v="1"/>
    <n v="46"/>
    <x v="4"/>
    <x v="2"/>
    <x v="2"/>
  </r>
  <r>
    <n v="3661"/>
    <x v="1"/>
    <x v="1"/>
    <x v="9"/>
    <x v="1"/>
    <x v="67"/>
    <x v="10"/>
    <s v="L"/>
    <s v="Indigo"/>
    <s v="Winter"/>
    <n v="3.1"/>
    <x v="1"/>
    <x v="4"/>
    <x v="1"/>
    <x v="1"/>
    <n v="13"/>
    <x v="4"/>
    <x v="0"/>
    <x v="0"/>
  </r>
  <r>
    <n v="3662"/>
    <x v="6"/>
    <x v="1"/>
    <x v="3"/>
    <x v="1"/>
    <x v="32"/>
    <x v="23"/>
    <s v="S"/>
    <s v="White"/>
    <s v="Winter"/>
    <n v="3.5"/>
    <x v="1"/>
    <x v="2"/>
    <x v="1"/>
    <x v="1"/>
    <n v="5"/>
    <x v="2"/>
    <x v="0"/>
    <x v="0"/>
  </r>
  <r>
    <n v="3663"/>
    <x v="28"/>
    <x v="1"/>
    <x v="6"/>
    <x v="0"/>
    <x v="68"/>
    <x v="3"/>
    <s v="M"/>
    <s v="Indigo"/>
    <s v="Spring"/>
    <n v="4.9000000000000004"/>
    <x v="1"/>
    <x v="2"/>
    <x v="1"/>
    <x v="1"/>
    <n v="11"/>
    <x v="5"/>
    <x v="1"/>
    <x v="1"/>
  </r>
  <r>
    <n v="3664"/>
    <x v="13"/>
    <x v="1"/>
    <x v="21"/>
    <x v="3"/>
    <x v="40"/>
    <x v="20"/>
    <s v="M"/>
    <s v="Green"/>
    <s v="Summer"/>
    <n v="4.4000000000000004"/>
    <x v="1"/>
    <x v="0"/>
    <x v="1"/>
    <x v="1"/>
    <n v="49"/>
    <x v="2"/>
    <x v="1"/>
    <x v="1"/>
  </r>
  <r>
    <n v="3665"/>
    <x v="6"/>
    <x v="1"/>
    <x v="14"/>
    <x v="2"/>
    <x v="10"/>
    <x v="9"/>
    <s v="M"/>
    <s v="Turquoise"/>
    <s v="Fall"/>
    <n v="4.4000000000000004"/>
    <x v="1"/>
    <x v="5"/>
    <x v="1"/>
    <x v="1"/>
    <n v="1"/>
    <x v="5"/>
    <x v="0"/>
    <x v="0"/>
  </r>
  <r>
    <n v="3666"/>
    <x v="48"/>
    <x v="1"/>
    <x v="20"/>
    <x v="0"/>
    <x v="64"/>
    <x v="17"/>
    <s v="M"/>
    <s v="Peach"/>
    <s v="Fall"/>
    <n v="3.4"/>
    <x v="1"/>
    <x v="2"/>
    <x v="1"/>
    <x v="1"/>
    <n v="11"/>
    <x v="2"/>
    <x v="3"/>
    <x v="3"/>
  </r>
  <r>
    <n v="3667"/>
    <x v="29"/>
    <x v="1"/>
    <x v="16"/>
    <x v="3"/>
    <x v="74"/>
    <x v="15"/>
    <s v="M"/>
    <s v="Olive"/>
    <s v="Winter"/>
    <n v="3"/>
    <x v="1"/>
    <x v="4"/>
    <x v="1"/>
    <x v="1"/>
    <n v="47"/>
    <x v="1"/>
    <x v="6"/>
    <x v="3"/>
  </r>
  <r>
    <n v="3668"/>
    <x v="47"/>
    <x v="1"/>
    <x v="13"/>
    <x v="0"/>
    <x v="29"/>
    <x v="47"/>
    <s v="L"/>
    <s v="Cyan"/>
    <s v="Fall"/>
    <n v="2.6"/>
    <x v="1"/>
    <x v="2"/>
    <x v="1"/>
    <x v="1"/>
    <n v="20"/>
    <x v="0"/>
    <x v="5"/>
    <x v="5"/>
  </r>
  <r>
    <n v="3669"/>
    <x v="35"/>
    <x v="1"/>
    <x v="0"/>
    <x v="0"/>
    <x v="79"/>
    <x v="49"/>
    <s v="XL"/>
    <s v="Magenta"/>
    <s v="Summer"/>
    <n v="3.2"/>
    <x v="1"/>
    <x v="5"/>
    <x v="1"/>
    <x v="1"/>
    <n v="18"/>
    <x v="0"/>
    <x v="2"/>
    <x v="2"/>
  </r>
  <r>
    <n v="3670"/>
    <x v="15"/>
    <x v="1"/>
    <x v="20"/>
    <x v="0"/>
    <x v="78"/>
    <x v="47"/>
    <s v="S"/>
    <s v="Silver"/>
    <s v="Fall"/>
    <n v="4.5999999999999996"/>
    <x v="1"/>
    <x v="5"/>
    <x v="1"/>
    <x v="1"/>
    <n v="43"/>
    <x v="3"/>
    <x v="3"/>
    <x v="3"/>
  </r>
  <r>
    <n v="3671"/>
    <x v="18"/>
    <x v="1"/>
    <x v="9"/>
    <x v="1"/>
    <x v="74"/>
    <x v="34"/>
    <s v="S"/>
    <s v="White"/>
    <s v="Winter"/>
    <n v="3.8"/>
    <x v="1"/>
    <x v="1"/>
    <x v="1"/>
    <x v="1"/>
    <n v="4"/>
    <x v="3"/>
    <x v="6"/>
    <x v="3"/>
  </r>
  <r>
    <n v="3672"/>
    <x v="46"/>
    <x v="1"/>
    <x v="8"/>
    <x v="3"/>
    <x v="76"/>
    <x v="26"/>
    <s v="L"/>
    <s v="Pink"/>
    <s v="Summer"/>
    <n v="4.8"/>
    <x v="1"/>
    <x v="4"/>
    <x v="1"/>
    <x v="1"/>
    <n v="20"/>
    <x v="0"/>
    <x v="3"/>
    <x v="3"/>
  </r>
  <r>
    <n v="3673"/>
    <x v="47"/>
    <x v="1"/>
    <x v="3"/>
    <x v="1"/>
    <x v="13"/>
    <x v="14"/>
    <s v="S"/>
    <s v="Pink"/>
    <s v="Fall"/>
    <n v="4.5"/>
    <x v="1"/>
    <x v="1"/>
    <x v="1"/>
    <x v="1"/>
    <n v="7"/>
    <x v="3"/>
    <x v="5"/>
    <x v="5"/>
  </r>
  <r>
    <n v="3674"/>
    <x v="45"/>
    <x v="1"/>
    <x v="20"/>
    <x v="0"/>
    <x v="39"/>
    <x v="3"/>
    <s v="M"/>
    <s v="Pink"/>
    <s v="Summer"/>
    <n v="4.2"/>
    <x v="1"/>
    <x v="4"/>
    <x v="1"/>
    <x v="1"/>
    <n v="31"/>
    <x v="4"/>
    <x v="0"/>
    <x v="0"/>
  </r>
  <r>
    <n v="3675"/>
    <x v="25"/>
    <x v="1"/>
    <x v="8"/>
    <x v="3"/>
    <x v="61"/>
    <x v="47"/>
    <s v="M"/>
    <s v="Blue"/>
    <s v="Winter"/>
    <n v="2.7"/>
    <x v="1"/>
    <x v="4"/>
    <x v="1"/>
    <x v="1"/>
    <n v="41"/>
    <x v="0"/>
    <x v="0"/>
    <x v="0"/>
  </r>
  <r>
    <n v="3676"/>
    <x v="27"/>
    <x v="1"/>
    <x v="19"/>
    <x v="3"/>
    <x v="68"/>
    <x v="41"/>
    <s v="M"/>
    <s v="White"/>
    <s v="Winter"/>
    <n v="4.5"/>
    <x v="1"/>
    <x v="0"/>
    <x v="1"/>
    <x v="1"/>
    <n v="3"/>
    <x v="4"/>
    <x v="5"/>
    <x v="5"/>
  </r>
  <r>
    <n v="3677"/>
    <x v="1"/>
    <x v="1"/>
    <x v="16"/>
    <x v="3"/>
    <x v="23"/>
    <x v="48"/>
    <s v="S"/>
    <s v="Teal"/>
    <s v="Spring"/>
    <n v="4.9000000000000004"/>
    <x v="1"/>
    <x v="1"/>
    <x v="1"/>
    <x v="1"/>
    <n v="16"/>
    <x v="3"/>
    <x v="5"/>
    <x v="5"/>
  </r>
  <r>
    <n v="3678"/>
    <x v="45"/>
    <x v="1"/>
    <x v="21"/>
    <x v="3"/>
    <x v="38"/>
    <x v="49"/>
    <s v="M"/>
    <s v="Gray"/>
    <s v="Fall"/>
    <n v="2.8"/>
    <x v="1"/>
    <x v="3"/>
    <x v="1"/>
    <x v="1"/>
    <n v="43"/>
    <x v="1"/>
    <x v="2"/>
    <x v="2"/>
  </r>
  <r>
    <n v="3679"/>
    <x v="19"/>
    <x v="1"/>
    <x v="5"/>
    <x v="0"/>
    <x v="29"/>
    <x v="21"/>
    <s v="S"/>
    <s v="Beige"/>
    <s v="Fall"/>
    <n v="3.5"/>
    <x v="1"/>
    <x v="3"/>
    <x v="1"/>
    <x v="1"/>
    <n v="29"/>
    <x v="4"/>
    <x v="0"/>
    <x v="0"/>
  </r>
  <r>
    <n v="3680"/>
    <x v="10"/>
    <x v="1"/>
    <x v="7"/>
    <x v="2"/>
    <x v="26"/>
    <x v="37"/>
    <s v="M"/>
    <s v="Violet"/>
    <s v="Summer"/>
    <n v="2.5"/>
    <x v="1"/>
    <x v="5"/>
    <x v="1"/>
    <x v="1"/>
    <n v="5"/>
    <x v="1"/>
    <x v="4"/>
    <x v="4"/>
  </r>
  <r>
    <n v="3681"/>
    <x v="40"/>
    <x v="1"/>
    <x v="12"/>
    <x v="3"/>
    <x v="14"/>
    <x v="44"/>
    <s v="S"/>
    <s v="Blue"/>
    <s v="Winter"/>
    <n v="2.9"/>
    <x v="1"/>
    <x v="3"/>
    <x v="1"/>
    <x v="1"/>
    <n v="30"/>
    <x v="5"/>
    <x v="3"/>
    <x v="3"/>
  </r>
  <r>
    <n v="3682"/>
    <x v="8"/>
    <x v="1"/>
    <x v="24"/>
    <x v="3"/>
    <x v="2"/>
    <x v="39"/>
    <s v="XL"/>
    <s v="Magenta"/>
    <s v="Fall"/>
    <n v="4.2"/>
    <x v="1"/>
    <x v="2"/>
    <x v="1"/>
    <x v="1"/>
    <n v="33"/>
    <x v="5"/>
    <x v="5"/>
    <x v="5"/>
  </r>
  <r>
    <n v="3683"/>
    <x v="32"/>
    <x v="1"/>
    <x v="5"/>
    <x v="0"/>
    <x v="30"/>
    <x v="5"/>
    <s v="M"/>
    <s v="Maroon"/>
    <s v="Fall"/>
    <n v="4.5999999999999996"/>
    <x v="1"/>
    <x v="5"/>
    <x v="1"/>
    <x v="1"/>
    <n v="46"/>
    <x v="0"/>
    <x v="4"/>
    <x v="4"/>
  </r>
  <r>
    <n v="3684"/>
    <x v="11"/>
    <x v="1"/>
    <x v="20"/>
    <x v="0"/>
    <x v="64"/>
    <x v="16"/>
    <s v="M"/>
    <s v="Purple"/>
    <s v="Winter"/>
    <n v="3"/>
    <x v="1"/>
    <x v="1"/>
    <x v="1"/>
    <x v="1"/>
    <n v="17"/>
    <x v="0"/>
    <x v="0"/>
    <x v="0"/>
  </r>
  <r>
    <n v="3685"/>
    <x v="26"/>
    <x v="1"/>
    <x v="11"/>
    <x v="0"/>
    <x v="62"/>
    <x v="38"/>
    <s v="L"/>
    <s v="Charcoal"/>
    <s v="Spring"/>
    <n v="4.4000000000000004"/>
    <x v="1"/>
    <x v="1"/>
    <x v="1"/>
    <x v="1"/>
    <n v="47"/>
    <x v="2"/>
    <x v="4"/>
    <x v="4"/>
  </r>
  <r>
    <n v="3686"/>
    <x v="36"/>
    <x v="1"/>
    <x v="6"/>
    <x v="0"/>
    <x v="69"/>
    <x v="30"/>
    <s v="L"/>
    <s v="Red"/>
    <s v="Summer"/>
    <n v="2.6"/>
    <x v="1"/>
    <x v="3"/>
    <x v="1"/>
    <x v="1"/>
    <n v="17"/>
    <x v="1"/>
    <x v="4"/>
    <x v="4"/>
  </r>
  <r>
    <n v="3687"/>
    <x v="35"/>
    <x v="1"/>
    <x v="3"/>
    <x v="1"/>
    <x v="44"/>
    <x v="7"/>
    <s v="M"/>
    <s v="Charcoal"/>
    <s v="Spring"/>
    <n v="4.8"/>
    <x v="1"/>
    <x v="1"/>
    <x v="1"/>
    <x v="1"/>
    <n v="17"/>
    <x v="1"/>
    <x v="4"/>
    <x v="4"/>
  </r>
  <r>
    <n v="3688"/>
    <x v="50"/>
    <x v="1"/>
    <x v="5"/>
    <x v="0"/>
    <x v="77"/>
    <x v="10"/>
    <s v="L"/>
    <s v="Lavender"/>
    <s v="Summer"/>
    <n v="2.9"/>
    <x v="1"/>
    <x v="2"/>
    <x v="1"/>
    <x v="1"/>
    <n v="28"/>
    <x v="4"/>
    <x v="6"/>
    <x v="3"/>
  </r>
  <r>
    <n v="3689"/>
    <x v="16"/>
    <x v="1"/>
    <x v="12"/>
    <x v="3"/>
    <x v="26"/>
    <x v="8"/>
    <s v="L"/>
    <s v="White"/>
    <s v="Spring"/>
    <n v="3"/>
    <x v="1"/>
    <x v="2"/>
    <x v="1"/>
    <x v="1"/>
    <n v="8"/>
    <x v="1"/>
    <x v="5"/>
    <x v="5"/>
  </r>
  <r>
    <n v="3690"/>
    <x v="36"/>
    <x v="1"/>
    <x v="16"/>
    <x v="3"/>
    <x v="38"/>
    <x v="36"/>
    <s v="L"/>
    <s v="Red"/>
    <s v="Fall"/>
    <n v="4.5"/>
    <x v="1"/>
    <x v="3"/>
    <x v="1"/>
    <x v="1"/>
    <n v="8"/>
    <x v="4"/>
    <x v="3"/>
    <x v="3"/>
  </r>
  <r>
    <n v="3691"/>
    <x v="41"/>
    <x v="1"/>
    <x v="0"/>
    <x v="0"/>
    <x v="66"/>
    <x v="23"/>
    <s v="S"/>
    <s v="Violet"/>
    <s v="Fall"/>
    <n v="3.7"/>
    <x v="1"/>
    <x v="5"/>
    <x v="1"/>
    <x v="1"/>
    <n v="4"/>
    <x v="4"/>
    <x v="4"/>
    <x v="4"/>
  </r>
  <r>
    <n v="3692"/>
    <x v="6"/>
    <x v="1"/>
    <x v="3"/>
    <x v="1"/>
    <x v="34"/>
    <x v="49"/>
    <s v="XL"/>
    <s v="Orange"/>
    <s v="Summer"/>
    <n v="4.8"/>
    <x v="1"/>
    <x v="2"/>
    <x v="1"/>
    <x v="1"/>
    <n v="24"/>
    <x v="3"/>
    <x v="1"/>
    <x v="1"/>
  </r>
  <r>
    <n v="3693"/>
    <x v="35"/>
    <x v="1"/>
    <x v="7"/>
    <x v="2"/>
    <x v="7"/>
    <x v="15"/>
    <s v="L"/>
    <s v="Turquoise"/>
    <s v="Spring"/>
    <n v="4.8"/>
    <x v="1"/>
    <x v="1"/>
    <x v="1"/>
    <x v="1"/>
    <n v="29"/>
    <x v="1"/>
    <x v="0"/>
    <x v="0"/>
  </r>
  <r>
    <n v="3694"/>
    <x v="17"/>
    <x v="1"/>
    <x v="0"/>
    <x v="0"/>
    <x v="43"/>
    <x v="45"/>
    <s v="M"/>
    <s v="Violet"/>
    <s v="Summer"/>
    <n v="4.7"/>
    <x v="1"/>
    <x v="4"/>
    <x v="1"/>
    <x v="1"/>
    <n v="10"/>
    <x v="0"/>
    <x v="1"/>
    <x v="1"/>
  </r>
  <r>
    <n v="3695"/>
    <x v="4"/>
    <x v="1"/>
    <x v="1"/>
    <x v="0"/>
    <x v="52"/>
    <x v="3"/>
    <s v="M"/>
    <s v="Blue"/>
    <s v="Winter"/>
    <n v="2.6"/>
    <x v="1"/>
    <x v="0"/>
    <x v="1"/>
    <x v="1"/>
    <n v="11"/>
    <x v="3"/>
    <x v="4"/>
    <x v="4"/>
  </r>
  <r>
    <n v="3696"/>
    <x v="21"/>
    <x v="1"/>
    <x v="11"/>
    <x v="0"/>
    <x v="27"/>
    <x v="20"/>
    <s v="M"/>
    <s v="White"/>
    <s v="Fall"/>
    <n v="4.5999999999999996"/>
    <x v="1"/>
    <x v="3"/>
    <x v="1"/>
    <x v="1"/>
    <n v="18"/>
    <x v="4"/>
    <x v="0"/>
    <x v="0"/>
  </r>
  <r>
    <n v="3697"/>
    <x v="6"/>
    <x v="1"/>
    <x v="0"/>
    <x v="0"/>
    <x v="16"/>
    <x v="39"/>
    <s v="L"/>
    <s v="Turquoise"/>
    <s v="Fall"/>
    <n v="3.4"/>
    <x v="1"/>
    <x v="2"/>
    <x v="1"/>
    <x v="1"/>
    <n v="26"/>
    <x v="4"/>
    <x v="2"/>
    <x v="2"/>
  </r>
  <r>
    <n v="3698"/>
    <x v="0"/>
    <x v="1"/>
    <x v="15"/>
    <x v="0"/>
    <x v="76"/>
    <x v="38"/>
    <s v="L"/>
    <s v="Pink"/>
    <s v="Winter"/>
    <n v="3"/>
    <x v="1"/>
    <x v="3"/>
    <x v="1"/>
    <x v="1"/>
    <n v="39"/>
    <x v="1"/>
    <x v="1"/>
    <x v="1"/>
  </r>
  <r>
    <n v="3699"/>
    <x v="15"/>
    <x v="1"/>
    <x v="11"/>
    <x v="0"/>
    <x v="36"/>
    <x v="18"/>
    <s v="XL"/>
    <s v="Maroon"/>
    <s v="Spring"/>
    <n v="4"/>
    <x v="1"/>
    <x v="4"/>
    <x v="1"/>
    <x v="1"/>
    <n v="4"/>
    <x v="0"/>
    <x v="2"/>
    <x v="2"/>
  </r>
  <r>
    <n v="3700"/>
    <x v="47"/>
    <x v="1"/>
    <x v="21"/>
    <x v="3"/>
    <x v="37"/>
    <x v="19"/>
    <s v="M"/>
    <s v="Olive"/>
    <s v="Fall"/>
    <n v="2.6"/>
    <x v="1"/>
    <x v="5"/>
    <x v="1"/>
    <x v="1"/>
    <n v="24"/>
    <x v="4"/>
    <x v="1"/>
    <x v="1"/>
  </r>
  <r>
    <n v="3701"/>
    <x v="48"/>
    <x v="1"/>
    <x v="8"/>
    <x v="3"/>
    <x v="63"/>
    <x v="25"/>
    <s v="XL"/>
    <s v="Charcoal"/>
    <s v="Summer"/>
    <n v="3.4"/>
    <x v="1"/>
    <x v="5"/>
    <x v="1"/>
    <x v="1"/>
    <n v="2"/>
    <x v="4"/>
    <x v="6"/>
    <x v="3"/>
  </r>
  <r>
    <n v="3702"/>
    <x v="5"/>
    <x v="1"/>
    <x v="3"/>
    <x v="1"/>
    <x v="76"/>
    <x v="35"/>
    <s v="M"/>
    <s v="Charcoal"/>
    <s v="Spring"/>
    <n v="4.5"/>
    <x v="1"/>
    <x v="5"/>
    <x v="1"/>
    <x v="1"/>
    <n v="36"/>
    <x v="1"/>
    <x v="2"/>
    <x v="2"/>
  </r>
  <r>
    <n v="3703"/>
    <x v="44"/>
    <x v="1"/>
    <x v="9"/>
    <x v="1"/>
    <x v="61"/>
    <x v="36"/>
    <s v="M"/>
    <s v="Indigo"/>
    <s v="Spring"/>
    <n v="2.7"/>
    <x v="1"/>
    <x v="5"/>
    <x v="1"/>
    <x v="1"/>
    <n v="36"/>
    <x v="0"/>
    <x v="1"/>
    <x v="1"/>
  </r>
  <r>
    <n v="3704"/>
    <x v="11"/>
    <x v="1"/>
    <x v="3"/>
    <x v="1"/>
    <x v="42"/>
    <x v="49"/>
    <s v="S"/>
    <s v="Teal"/>
    <s v="Fall"/>
    <n v="2.9"/>
    <x v="1"/>
    <x v="3"/>
    <x v="1"/>
    <x v="1"/>
    <n v="23"/>
    <x v="3"/>
    <x v="6"/>
    <x v="3"/>
  </r>
  <r>
    <n v="3705"/>
    <x v="33"/>
    <x v="1"/>
    <x v="12"/>
    <x v="3"/>
    <x v="70"/>
    <x v="9"/>
    <s v="L"/>
    <s v="Black"/>
    <s v="Winter"/>
    <n v="4"/>
    <x v="1"/>
    <x v="5"/>
    <x v="1"/>
    <x v="1"/>
    <n v="36"/>
    <x v="2"/>
    <x v="3"/>
    <x v="3"/>
  </r>
  <r>
    <n v="3706"/>
    <x v="48"/>
    <x v="1"/>
    <x v="11"/>
    <x v="0"/>
    <x v="61"/>
    <x v="24"/>
    <s v="L"/>
    <s v="Teal"/>
    <s v="Summer"/>
    <n v="3.2"/>
    <x v="1"/>
    <x v="1"/>
    <x v="1"/>
    <x v="1"/>
    <n v="2"/>
    <x v="5"/>
    <x v="2"/>
    <x v="2"/>
  </r>
  <r>
    <n v="3707"/>
    <x v="8"/>
    <x v="1"/>
    <x v="3"/>
    <x v="1"/>
    <x v="37"/>
    <x v="23"/>
    <s v="M"/>
    <s v="Green"/>
    <s v="Spring"/>
    <n v="4"/>
    <x v="1"/>
    <x v="5"/>
    <x v="1"/>
    <x v="1"/>
    <n v="17"/>
    <x v="1"/>
    <x v="4"/>
    <x v="4"/>
  </r>
  <r>
    <n v="3708"/>
    <x v="25"/>
    <x v="1"/>
    <x v="24"/>
    <x v="3"/>
    <x v="24"/>
    <x v="26"/>
    <s v="M"/>
    <s v="Gold"/>
    <s v="Fall"/>
    <n v="3.4"/>
    <x v="1"/>
    <x v="4"/>
    <x v="1"/>
    <x v="1"/>
    <n v="19"/>
    <x v="0"/>
    <x v="1"/>
    <x v="1"/>
  </r>
  <r>
    <n v="3709"/>
    <x v="37"/>
    <x v="1"/>
    <x v="15"/>
    <x v="0"/>
    <x v="48"/>
    <x v="36"/>
    <s v="M"/>
    <s v="Red"/>
    <s v="Fall"/>
    <n v="4.9000000000000004"/>
    <x v="1"/>
    <x v="0"/>
    <x v="1"/>
    <x v="1"/>
    <n v="41"/>
    <x v="3"/>
    <x v="5"/>
    <x v="5"/>
  </r>
  <r>
    <n v="3710"/>
    <x v="18"/>
    <x v="1"/>
    <x v="20"/>
    <x v="0"/>
    <x v="35"/>
    <x v="40"/>
    <s v="M"/>
    <s v="Silver"/>
    <s v="Fall"/>
    <n v="3.6"/>
    <x v="1"/>
    <x v="1"/>
    <x v="1"/>
    <x v="1"/>
    <n v="27"/>
    <x v="3"/>
    <x v="3"/>
    <x v="3"/>
  </r>
  <r>
    <n v="3711"/>
    <x v="52"/>
    <x v="1"/>
    <x v="16"/>
    <x v="3"/>
    <x v="49"/>
    <x v="11"/>
    <s v="M"/>
    <s v="Yellow"/>
    <s v="Summer"/>
    <n v="3.6"/>
    <x v="1"/>
    <x v="4"/>
    <x v="1"/>
    <x v="1"/>
    <n v="32"/>
    <x v="4"/>
    <x v="0"/>
    <x v="0"/>
  </r>
  <r>
    <n v="3712"/>
    <x v="28"/>
    <x v="1"/>
    <x v="19"/>
    <x v="3"/>
    <x v="17"/>
    <x v="21"/>
    <s v="XL"/>
    <s v="Peach"/>
    <s v="Fall"/>
    <n v="3.2"/>
    <x v="1"/>
    <x v="1"/>
    <x v="1"/>
    <x v="1"/>
    <n v="33"/>
    <x v="1"/>
    <x v="2"/>
    <x v="2"/>
  </r>
  <r>
    <n v="3713"/>
    <x v="47"/>
    <x v="1"/>
    <x v="0"/>
    <x v="0"/>
    <x v="11"/>
    <x v="4"/>
    <s v="M"/>
    <s v="Turquoise"/>
    <s v="Spring"/>
    <n v="3.7"/>
    <x v="1"/>
    <x v="4"/>
    <x v="1"/>
    <x v="1"/>
    <n v="24"/>
    <x v="3"/>
    <x v="3"/>
    <x v="3"/>
  </r>
  <r>
    <n v="3714"/>
    <x v="34"/>
    <x v="1"/>
    <x v="9"/>
    <x v="1"/>
    <x v="55"/>
    <x v="28"/>
    <s v="M"/>
    <s v="Peach"/>
    <s v="Spring"/>
    <n v="2.6"/>
    <x v="1"/>
    <x v="0"/>
    <x v="1"/>
    <x v="1"/>
    <n v="31"/>
    <x v="5"/>
    <x v="6"/>
    <x v="3"/>
  </r>
  <r>
    <n v="3715"/>
    <x v="20"/>
    <x v="1"/>
    <x v="19"/>
    <x v="3"/>
    <x v="9"/>
    <x v="14"/>
    <s v="S"/>
    <s v="Peach"/>
    <s v="Winter"/>
    <n v="3.9"/>
    <x v="1"/>
    <x v="0"/>
    <x v="1"/>
    <x v="1"/>
    <n v="35"/>
    <x v="2"/>
    <x v="1"/>
    <x v="1"/>
  </r>
  <r>
    <n v="3716"/>
    <x v="6"/>
    <x v="1"/>
    <x v="12"/>
    <x v="3"/>
    <x v="7"/>
    <x v="43"/>
    <s v="S"/>
    <s v="Orange"/>
    <s v="Fall"/>
    <n v="3.4"/>
    <x v="1"/>
    <x v="1"/>
    <x v="1"/>
    <x v="1"/>
    <n v="2"/>
    <x v="4"/>
    <x v="5"/>
    <x v="5"/>
  </r>
  <r>
    <n v="3717"/>
    <x v="9"/>
    <x v="1"/>
    <x v="5"/>
    <x v="0"/>
    <x v="0"/>
    <x v="34"/>
    <s v="M"/>
    <s v="Charcoal"/>
    <s v="Fall"/>
    <n v="3.4"/>
    <x v="1"/>
    <x v="2"/>
    <x v="1"/>
    <x v="1"/>
    <n v="42"/>
    <x v="5"/>
    <x v="6"/>
    <x v="3"/>
  </r>
  <r>
    <n v="3718"/>
    <x v="4"/>
    <x v="1"/>
    <x v="17"/>
    <x v="0"/>
    <x v="6"/>
    <x v="33"/>
    <s v="XL"/>
    <s v="White"/>
    <s v="Summer"/>
    <n v="4.2"/>
    <x v="1"/>
    <x v="0"/>
    <x v="1"/>
    <x v="1"/>
    <n v="47"/>
    <x v="4"/>
    <x v="6"/>
    <x v="3"/>
  </r>
  <r>
    <n v="3719"/>
    <x v="24"/>
    <x v="1"/>
    <x v="13"/>
    <x v="0"/>
    <x v="74"/>
    <x v="30"/>
    <s v="L"/>
    <s v="Turquoise"/>
    <s v="Fall"/>
    <n v="2.9"/>
    <x v="1"/>
    <x v="3"/>
    <x v="1"/>
    <x v="1"/>
    <n v="44"/>
    <x v="4"/>
    <x v="4"/>
    <x v="4"/>
  </r>
  <r>
    <n v="3720"/>
    <x v="30"/>
    <x v="1"/>
    <x v="13"/>
    <x v="0"/>
    <x v="26"/>
    <x v="38"/>
    <s v="M"/>
    <s v="Red"/>
    <s v="Summer"/>
    <n v="4.0999999999999996"/>
    <x v="1"/>
    <x v="1"/>
    <x v="1"/>
    <x v="1"/>
    <n v="8"/>
    <x v="4"/>
    <x v="6"/>
    <x v="3"/>
  </r>
  <r>
    <n v="3721"/>
    <x v="3"/>
    <x v="1"/>
    <x v="19"/>
    <x v="3"/>
    <x v="22"/>
    <x v="36"/>
    <s v="M"/>
    <s v="Peach"/>
    <s v="Fall"/>
    <n v="3.6"/>
    <x v="1"/>
    <x v="1"/>
    <x v="1"/>
    <x v="1"/>
    <n v="13"/>
    <x v="2"/>
    <x v="3"/>
    <x v="3"/>
  </r>
  <r>
    <n v="3722"/>
    <x v="46"/>
    <x v="1"/>
    <x v="7"/>
    <x v="2"/>
    <x v="30"/>
    <x v="39"/>
    <s v="L"/>
    <s v="Pink"/>
    <s v="Fall"/>
    <n v="4"/>
    <x v="1"/>
    <x v="2"/>
    <x v="1"/>
    <x v="1"/>
    <n v="10"/>
    <x v="1"/>
    <x v="2"/>
    <x v="2"/>
  </r>
  <r>
    <n v="3723"/>
    <x v="51"/>
    <x v="1"/>
    <x v="14"/>
    <x v="2"/>
    <x v="7"/>
    <x v="0"/>
    <s v="XL"/>
    <s v="Yellow"/>
    <s v="Fall"/>
    <n v="4"/>
    <x v="1"/>
    <x v="3"/>
    <x v="1"/>
    <x v="1"/>
    <n v="1"/>
    <x v="2"/>
    <x v="0"/>
    <x v="0"/>
  </r>
  <r>
    <n v="3724"/>
    <x v="8"/>
    <x v="1"/>
    <x v="3"/>
    <x v="1"/>
    <x v="38"/>
    <x v="3"/>
    <s v="M"/>
    <s v="Beige"/>
    <s v="Spring"/>
    <n v="3.6"/>
    <x v="1"/>
    <x v="1"/>
    <x v="1"/>
    <x v="1"/>
    <n v="1"/>
    <x v="5"/>
    <x v="5"/>
    <x v="5"/>
  </r>
  <r>
    <n v="3725"/>
    <x v="11"/>
    <x v="1"/>
    <x v="24"/>
    <x v="3"/>
    <x v="79"/>
    <x v="24"/>
    <s v="L"/>
    <s v="Green"/>
    <s v="Winter"/>
    <n v="3.1"/>
    <x v="1"/>
    <x v="0"/>
    <x v="1"/>
    <x v="1"/>
    <n v="18"/>
    <x v="4"/>
    <x v="2"/>
    <x v="2"/>
  </r>
  <r>
    <n v="3726"/>
    <x v="20"/>
    <x v="1"/>
    <x v="10"/>
    <x v="0"/>
    <x v="33"/>
    <x v="19"/>
    <s v="S"/>
    <s v="Turquoise"/>
    <s v="Winter"/>
    <n v="4.4000000000000004"/>
    <x v="1"/>
    <x v="2"/>
    <x v="1"/>
    <x v="1"/>
    <n v="2"/>
    <x v="3"/>
    <x v="2"/>
    <x v="2"/>
  </r>
  <r>
    <n v="3727"/>
    <x v="36"/>
    <x v="1"/>
    <x v="22"/>
    <x v="3"/>
    <x v="6"/>
    <x v="37"/>
    <s v="XL"/>
    <s v="Orange"/>
    <s v="Fall"/>
    <n v="4.3"/>
    <x v="1"/>
    <x v="2"/>
    <x v="1"/>
    <x v="1"/>
    <n v="36"/>
    <x v="5"/>
    <x v="6"/>
    <x v="3"/>
  </r>
  <r>
    <n v="3728"/>
    <x v="38"/>
    <x v="1"/>
    <x v="20"/>
    <x v="0"/>
    <x v="42"/>
    <x v="1"/>
    <s v="M"/>
    <s v="Gold"/>
    <s v="Summer"/>
    <n v="3.5"/>
    <x v="1"/>
    <x v="2"/>
    <x v="1"/>
    <x v="1"/>
    <n v="17"/>
    <x v="5"/>
    <x v="4"/>
    <x v="4"/>
  </r>
  <r>
    <n v="3729"/>
    <x v="46"/>
    <x v="1"/>
    <x v="14"/>
    <x v="2"/>
    <x v="9"/>
    <x v="34"/>
    <s v="L"/>
    <s v="Red"/>
    <s v="Winter"/>
    <n v="3"/>
    <x v="1"/>
    <x v="3"/>
    <x v="1"/>
    <x v="1"/>
    <n v="1"/>
    <x v="5"/>
    <x v="2"/>
    <x v="2"/>
  </r>
  <r>
    <n v="3730"/>
    <x v="48"/>
    <x v="1"/>
    <x v="23"/>
    <x v="1"/>
    <x v="71"/>
    <x v="3"/>
    <s v="M"/>
    <s v="Teal"/>
    <s v="Spring"/>
    <n v="4.7"/>
    <x v="1"/>
    <x v="4"/>
    <x v="1"/>
    <x v="1"/>
    <n v="50"/>
    <x v="1"/>
    <x v="3"/>
    <x v="3"/>
  </r>
  <r>
    <n v="3731"/>
    <x v="5"/>
    <x v="1"/>
    <x v="5"/>
    <x v="0"/>
    <x v="24"/>
    <x v="20"/>
    <s v="M"/>
    <s v="Teal"/>
    <s v="Summer"/>
    <n v="2.5"/>
    <x v="1"/>
    <x v="4"/>
    <x v="1"/>
    <x v="1"/>
    <n v="3"/>
    <x v="2"/>
    <x v="4"/>
    <x v="4"/>
  </r>
  <r>
    <n v="3732"/>
    <x v="22"/>
    <x v="1"/>
    <x v="19"/>
    <x v="3"/>
    <x v="17"/>
    <x v="8"/>
    <s v="M"/>
    <s v="Lavender"/>
    <s v="Spring"/>
    <n v="3.1"/>
    <x v="1"/>
    <x v="4"/>
    <x v="1"/>
    <x v="1"/>
    <n v="45"/>
    <x v="3"/>
    <x v="3"/>
    <x v="3"/>
  </r>
  <r>
    <n v="3733"/>
    <x v="24"/>
    <x v="1"/>
    <x v="9"/>
    <x v="1"/>
    <x v="56"/>
    <x v="27"/>
    <s v="L"/>
    <s v="Pink"/>
    <s v="Spring"/>
    <n v="3.3"/>
    <x v="1"/>
    <x v="1"/>
    <x v="1"/>
    <x v="1"/>
    <n v="28"/>
    <x v="3"/>
    <x v="2"/>
    <x v="2"/>
  </r>
  <r>
    <n v="3734"/>
    <x v="15"/>
    <x v="1"/>
    <x v="20"/>
    <x v="0"/>
    <x v="47"/>
    <x v="26"/>
    <s v="M"/>
    <s v="Maroon"/>
    <s v="Fall"/>
    <n v="4.7"/>
    <x v="1"/>
    <x v="2"/>
    <x v="1"/>
    <x v="1"/>
    <n v="6"/>
    <x v="5"/>
    <x v="6"/>
    <x v="3"/>
  </r>
  <r>
    <n v="3735"/>
    <x v="21"/>
    <x v="1"/>
    <x v="15"/>
    <x v="0"/>
    <x v="19"/>
    <x v="18"/>
    <s v="M"/>
    <s v="Beige"/>
    <s v="Spring"/>
    <n v="3.4"/>
    <x v="1"/>
    <x v="2"/>
    <x v="1"/>
    <x v="1"/>
    <n v="33"/>
    <x v="5"/>
    <x v="6"/>
    <x v="3"/>
  </r>
  <r>
    <n v="3736"/>
    <x v="21"/>
    <x v="1"/>
    <x v="3"/>
    <x v="1"/>
    <x v="77"/>
    <x v="2"/>
    <s v="L"/>
    <s v="Orange"/>
    <s v="Spring"/>
    <n v="3.1"/>
    <x v="1"/>
    <x v="4"/>
    <x v="1"/>
    <x v="1"/>
    <n v="29"/>
    <x v="3"/>
    <x v="2"/>
    <x v="2"/>
  </r>
  <r>
    <n v="3737"/>
    <x v="32"/>
    <x v="1"/>
    <x v="2"/>
    <x v="0"/>
    <x v="22"/>
    <x v="37"/>
    <s v="M"/>
    <s v="Red"/>
    <s v="Spring"/>
    <n v="4.5999999999999996"/>
    <x v="1"/>
    <x v="5"/>
    <x v="1"/>
    <x v="1"/>
    <n v="2"/>
    <x v="3"/>
    <x v="6"/>
    <x v="3"/>
  </r>
  <r>
    <n v="3738"/>
    <x v="1"/>
    <x v="1"/>
    <x v="16"/>
    <x v="3"/>
    <x v="66"/>
    <x v="0"/>
    <s v="S"/>
    <s v="Maroon"/>
    <s v="Winter"/>
    <n v="4.9000000000000004"/>
    <x v="1"/>
    <x v="1"/>
    <x v="1"/>
    <x v="1"/>
    <n v="43"/>
    <x v="3"/>
    <x v="4"/>
    <x v="4"/>
  </r>
  <r>
    <n v="3739"/>
    <x v="50"/>
    <x v="1"/>
    <x v="6"/>
    <x v="0"/>
    <x v="29"/>
    <x v="12"/>
    <s v="M"/>
    <s v="Brown"/>
    <s v="Spring"/>
    <n v="2.7"/>
    <x v="1"/>
    <x v="1"/>
    <x v="1"/>
    <x v="1"/>
    <n v="48"/>
    <x v="1"/>
    <x v="0"/>
    <x v="0"/>
  </r>
  <r>
    <n v="3740"/>
    <x v="21"/>
    <x v="1"/>
    <x v="12"/>
    <x v="3"/>
    <x v="9"/>
    <x v="37"/>
    <s v="M"/>
    <s v="Olive"/>
    <s v="Fall"/>
    <n v="4.2"/>
    <x v="1"/>
    <x v="1"/>
    <x v="1"/>
    <x v="1"/>
    <n v="43"/>
    <x v="2"/>
    <x v="1"/>
    <x v="1"/>
  </r>
  <r>
    <n v="3741"/>
    <x v="32"/>
    <x v="1"/>
    <x v="13"/>
    <x v="0"/>
    <x v="48"/>
    <x v="41"/>
    <s v="M"/>
    <s v="Silver"/>
    <s v="Summer"/>
    <n v="2.6"/>
    <x v="1"/>
    <x v="5"/>
    <x v="1"/>
    <x v="1"/>
    <n v="26"/>
    <x v="5"/>
    <x v="4"/>
    <x v="4"/>
  </r>
  <r>
    <n v="3742"/>
    <x v="44"/>
    <x v="1"/>
    <x v="5"/>
    <x v="0"/>
    <x v="48"/>
    <x v="28"/>
    <s v="M"/>
    <s v="Purple"/>
    <s v="Spring"/>
    <n v="3.2"/>
    <x v="1"/>
    <x v="4"/>
    <x v="1"/>
    <x v="1"/>
    <n v="26"/>
    <x v="5"/>
    <x v="4"/>
    <x v="4"/>
  </r>
  <r>
    <n v="3743"/>
    <x v="19"/>
    <x v="1"/>
    <x v="5"/>
    <x v="0"/>
    <x v="68"/>
    <x v="33"/>
    <s v="M"/>
    <s v="Gray"/>
    <s v="Fall"/>
    <n v="4.4000000000000004"/>
    <x v="1"/>
    <x v="3"/>
    <x v="1"/>
    <x v="1"/>
    <n v="50"/>
    <x v="2"/>
    <x v="4"/>
    <x v="4"/>
  </r>
  <r>
    <n v="3744"/>
    <x v="46"/>
    <x v="1"/>
    <x v="13"/>
    <x v="0"/>
    <x v="39"/>
    <x v="37"/>
    <s v="L"/>
    <s v="Cyan"/>
    <s v="Fall"/>
    <n v="3.6"/>
    <x v="1"/>
    <x v="1"/>
    <x v="1"/>
    <x v="1"/>
    <n v="36"/>
    <x v="5"/>
    <x v="3"/>
    <x v="3"/>
  </r>
  <r>
    <n v="3745"/>
    <x v="41"/>
    <x v="1"/>
    <x v="15"/>
    <x v="0"/>
    <x v="12"/>
    <x v="32"/>
    <s v="M"/>
    <s v="Gray"/>
    <s v="Summer"/>
    <n v="2.7"/>
    <x v="1"/>
    <x v="2"/>
    <x v="1"/>
    <x v="1"/>
    <n v="26"/>
    <x v="4"/>
    <x v="0"/>
    <x v="0"/>
  </r>
  <r>
    <n v="3746"/>
    <x v="52"/>
    <x v="1"/>
    <x v="20"/>
    <x v="0"/>
    <x v="52"/>
    <x v="47"/>
    <s v="L"/>
    <s v="Gold"/>
    <s v="Spring"/>
    <n v="4.3"/>
    <x v="1"/>
    <x v="0"/>
    <x v="1"/>
    <x v="1"/>
    <n v="2"/>
    <x v="5"/>
    <x v="5"/>
    <x v="5"/>
  </r>
  <r>
    <n v="3747"/>
    <x v="10"/>
    <x v="1"/>
    <x v="7"/>
    <x v="2"/>
    <x v="54"/>
    <x v="37"/>
    <s v="XL"/>
    <s v="Cyan"/>
    <s v="Summer"/>
    <n v="2.6"/>
    <x v="1"/>
    <x v="2"/>
    <x v="1"/>
    <x v="1"/>
    <n v="49"/>
    <x v="3"/>
    <x v="5"/>
    <x v="5"/>
  </r>
  <r>
    <n v="3748"/>
    <x v="8"/>
    <x v="1"/>
    <x v="1"/>
    <x v="0"/>
    <x v="0"/>
    <x v="3"/>
    <s v="L"/>
    <s v="Olive"/>
    <s v="Spring"/>
    <n v="4.3"/>
    <x v="1"/>
    <x v="5"/>
    <x v="1"/>
    <x v="1"/>
    <n v="32"/>
    <x v="4"/>
    <x v="4"/>
    <x v="4"/>
  </r>
  <r>
    <n v="3749"/>
    <x v="50"/>
    <x v="1"/>
    <x v="21"/>
    <x v="3"/>
    <x v="21"/>
    <x v="12"/>
    <s v="M"/>
    <s v="Violet"/>
    <s v="Fall"/>
    <n v="3.9"/>
    <x v="1"/>
    <x v="4"/>
    <x v="1"/>
    <x v="1"/>
    <n v="3"/>
    <x v="0"/>
    <x v="2"/>
    <x v="2"/>
  </r>
  <r>
    <n v="3750"/>
    <x v="41"/>
    <x v="1"/>
    <x v="0"/>
    <x v="0"/>
    <x v="51"/>
    <x v="29"/>
    <s v="L"/>
    <s v="Yellow"/>
    <s v="Winter"/>
    <n v="2.9"/>
    <x v="1"/>
    <x v="4"/>
    <x v="1"/>
    <x v="1"/>
    <n v="38"/>
    <x v="0"/>
    <x v="6"/>
    <x v="3"/>
  </r>
  <r>
    <n v="3751"/>
    <x v="32"/>
    <x v="1"/>
    <x v="15"/>
    <x v="0"/>
    <x v="19"/>
    <x v="28"/>
    <s v="M"/>
    <s v="Gold"/>
    <s v="Fall"/>
    <n v="3.1"/>
    <x v="1"/>
    <x v="1"/>
    <x v="1"/>
    <x v="1"/>
    <n v="5"/>
    <x v="3"/>
    <x v="5"/>
    <x v="5"/>
  </r>
  <r>
    <n v="3752"/>
    <x v="24"/>
    <x v="1"/>
    <x v="16"/>
    <x v="3"/>
    <x v="8"/>
    <x v="15"/>
    <s v="S"/>
    <s v="Silver"/>
    <s v="Fall"/>
    <n v="4.2"/>
    <x v="1"/>
    <x v="1"/>
    <x v="1"/>
    <x v="1"/>
    <n v="8"/>
    <x v="2"/>
    <x v="6"/>
    <x v="3"/>
  </r>
  <r>
    <n v="3753"/>
    <x v="41"/>
    <x v="1"/>
    <x v="7"/>
    <x v="2"/>
    <x v="13"/>
    <x v="47"/>
    <s v="L"/>
    <s v="Pink"/>
    <s v="Winter"/>
    <n v="4.0999999999999996"/>
    <x v="1"/>
    <x v="4"/>
    <x v="1"/>
    <x v="1"/>
    <n v="43"/>
    <x v="0"/>
    <x v="1"/>
    <x v="1"/>
  </r>
  <r>
    <n v="3754"/>
    <x v="31"/>
    <x v="1"/>
    <x v="12"/>
    <x v="3"/>
    <x v="46"/>
    <x v="7"/>
    <s v="S"/>
    <s v="Turquoise"/>
    <s v="Winter"/>
    <n v="4.2"/>
    <x v="1"/>
    <x v="2"/>
    <x v="1"/>
    <x v="1"/>
    <n v="22"/>
    <x v="4"/>
    <x v="0"/>
    <x v="0"/>
  </r>
  <r>
    <n v="3755"/>
    <x v="5"/>
    <x v="1"/>
    <x v="9"/>
    <x v="1"/>
    <x v="52"/>
    <x v="43"/>
    <s v="M"/>
    <s v="Turquoise"/>
    <s v="Summer"/>
    <n v="4.4000000000000004"/>
    <x v="1"/>
    <x v="0"/>
    <x v="1"/>
    <x v="1"/>
    <n v="10"/>
    <x v="1"/>
    <x v="6"/>
    <x v="3"/>
  </r>
  <r>
    <n v="3756"/>
    <x v="14"/>
    <x v="1"/>
    <x v="11"/>
    <x v="0"/>
    <x v="73"/>
    <x v="38"/>
    <s v="M"/>
    <s v="Peach"/>
    <s v="Fall"/>
    <n v="3.4"/>
    <x v="1"/>
    <x v="1"/>
    <x v="1"/>
    <x v="1"/>
    <n v="26"/>
    <x v="2"/>
    <x v="5"/>
    <x v="5"/>
  </r>
  <r>
    <n v="3757"/>
    <x v="14"/>
    <x v="1"/>
    <x v="11"/>
    <x v="0"/>
    <x v="28"/>
    <x v="36"/>
    <s v="L"/>
    <s v="Teal"/>
    <s v="Spring"/>
    <n v="4.8"/>
    <x v="1"/>
    <x v="0"/>
    <x v="1"/>
    <x v="1"/>
    <n v="42"/>
    <x v="5"/>
    <x v="4"/>
    <x v="4"/>
  </r>
  <r>
    <n v="3758"/>
    <x v="12"/>
    <x v="1"/>
    <x v="11"/>
    <x v="0"/>
    <x v="77"/>
    <x v="18"/>
    <s v="L"/>
    <s v="Red"/>
    <s v="Fall"/>
    <n v="4.5"/>
    <x v="1"/>
    <x v="4"/>
    <x v="1"/>
    <x v="1"/>
    <n v="33"/>
    <x v="1"/>
    <x v="1"/>
    <x v="1"/>
  </r>
  <r>
    <n v="3759"/>
    <x v="12"/>
    <x v="1"/>
    <x v="3"/>
    <x v="1"/>
    <x v="36"/>
    <x v="27"/>
    <s v="S"/>
    <s v="Black"/>
    <s v="Spring"/>
    <n v="2.7"/>
    <x v="1"/>
    <x v="5"/>
    <x v="1"/>
    <x v="1"/>
    <n v="23"/>
    <x v="4"/>
    <x v="3"/>
    <x v="3"/>
  </r>
  <r>
    <n v="3760"/>
    <x v="42"/>
    <x v="1"/>
    <x v="4"/>
    <x v="1"/>
    <x v="70"/>
    <x v="9"/>
    <s v="M"/>
    <s v="Pink"/>
    <s v="Spring"/>
    <n v="3.5"/>
    <x v="1"/>
    <x v="5"/>
    <x v="1"/>
    <x v="1"/>
    <n v="30"/>
    <x v="0"/>
    <x v="3"/>
    <x v="3"/>
  </r>
  <r>
    <n v="3761"/>
    <x v="13"/>
    <x v="1"/>
    <x v="20"/>
    <x v="0"/>
    <x v="68"/>
    <x v="39"/>
    <s v="M"/>
    <s v="Peach"/>
    <s v="Fall"/>
    <n v="3.1"/>
    <x v="1"/>
    <x v="2"/>
    <x v="1"/>
    <x v="1"/>
    <n v="36"/>
    <x v="3"/>
    <x v="1"/>
    <x v="1"/>
  </r>
  <r>
    <n v="3762"/>
    <x v="52"/>
    <x v="1"/>
    <x v="21"/>
    <x v="3"/>
    <x v="38"/>
    <x v="22"/>
    <s v="M"/>
    <s v="Green"/>
    <s v="Summer"/>
    <n v="2.8"/>
    <x v="1"/>
    <x v="2"/>
    <x v="1"/>
    <x v="1"/>
    <n v="3"/>
    <x v="0"/>
    <x v="6"/>
    <x v="3"/>
  </r>
  <r>
    <n v="3763"/>
    <x v="13"/>
    <x v="1"/>
    <x v="6"/>
    <x v="0"/>
    <x v="23"/>
    <x v="14"/>
    <s v="L"/>
    <s v="Green"/>
    <s v="Fall"/>
    <n v="2.9"/>
    <x v="1"/>
    <x v="5"/>
    <x v="1"/>
    <x v="1"/>
    <n v="13"/>
    <x v="3"/>
    <x v="2"/>
    <x v="2"/>
  </r>
  <r>
    <n v="3764"/>
    <x v="7"/>
    <x v="1"/>
    <x v="5"/>
    <x v="0"/>
    <x v="41"/>
    <x v="19"/>
    <s v="XL"/>
    <s v="Red"/>
    <s v="Winter"/>
    <n v="4.5"/>
    <x v="1"/>
    <x v="3"/>
    <x v="1"/>
    <x v="1"/>
    <n v="38"/>
    <x v="1"/>
    <x v="6"/>
    <x v="3"/>
  </r>
  <r>
    <n v="3765"/>
    <x v="24"/>
    <x v="1"/>
    <x v="20"/>
    <x v="0"/>
    <x v="34"/>
    <x v="45"/>
    <s v="M"/>
    <s v="Maroon"/>
    <s v="Fall"/>
    <n v="3.5"/>
    <x v="1"/>
    <x v="2"/>
    <x v="1"/>
    <x v="1"/>
    <n v="19"/>
    <x v="0"/>
    <x v="5"/>
    <x v="5"/>
  </r>
  <r>
    <n v="3766"/>
    <x v="40"/>
    <x v="1"/>
    <x v="16"/>
    <x v="3"/>
    <x v="78"/>
    <x v="9"/>
    <s v="M"/>
    <s v="Green"/>
    <s v="Summer"/>
    <n v="4.3"/>
    <x v="1"/>
    <x v="3"/>
    <x v="1"/>
    <x v="1"/>
    <n v="14"/>
    <x v="4"/>
    <x v="4"/>
    <x v="4"/>
  </r>
  <r>
    <n v="3767"/>
    <x v="46"/>
    <x v="1"/>
    <x v="8"/>
    <x v="3"/>
    <x v="40"/>
    <x v="21"/>
    <s v="M"/>
    <s v="Black"/>
    <s v="Fall"/>
    <n v="4.9000000000000004"/>
    <x v="1"/>
    <x v="2"/>
    <x v="1"/>
    <x v="1"/>
    <n v="43"/>
    <x v="5"/>
    <x v="2"/>
    <x v="2"/>
  </r>
  <r>
    <n v="3768"/>
    <x v="35"/>
    <x v="1"/>
    <x v="6"/>
    <x v="0"/>
    <x v="12"/>
    <x v="14"/>
    <s v="XL"/>
    <s v="Black"/>
    <s v="Summer"/>
    <n v="3.1"/>
    <x v="1"/>
    <x v="1"/>
    <x v="1"/>
    <x v="1"/>
    <n v="10"/>
    <x v="4"/>
    <x v="0"/>
    <x v="0"/>
  </r>
  <r>
    <n v="3769"/>
    <x v="2"/>
    <x v="1"/>
    <x v="1"/>
    <x v="0"/>
    <x v="59"/>
    <x v="34"/>
    <s v="M"/>
    <s v="Yellow"/>
    <s v="Winter"/>
    <n v="4"/>
    <x v="1"/>
    <x v="1"/>
    <x v="1"/>
    <x v="1"/>
    <n v="34"/>
    <x v="4"/>
    <x v="3"/>
    <x v="3"/>
  </r>
  <r>
    <n v="3770"/>
    <x v="47"/>
    <x v="1"/>
    <x v="24"/>
    <x v="3"/>
    <x v="55"/>
    <x v="28"/>
    <s v="L"/>
    <s v="Green"/>
    <s v="Summer"/>
    <n v="3.6"/>
    <x v="1"/>
    <x v="3"/>
    <x v="1"/>
    <x v="1"/>
    <n v="31"/>
    <x v="0"/>
    <x v="2"/>
    <x v="2"/>
  </r>
  <r>
    <n v="3771"/>
    <x v="51"/>
    <x v="1"/>
    <x v="13"/>
    <x v="0"/>
    <x v="69"/>
    <x v="6"/>
    <s v="L"/>
    <s v="Black"/>
    <s v="Summer"/>
    <n v="4"/>
    <x v="1"/>
    <x v="5"/>
    <x v="1"/>
    <x v="1"/>
    <n v="34"/>
    <x v="4"/>
    <x v="1"/>
    <x v="1"/>
  </r>
  <r>
    <n v="3772"/>
    <x v="3"/>
    <x v="1"/>
    <x v="17"/>
    <x v="0"/>
    <x v="62"/>
    <x v="19"/>
    <s v="M"/>
    <s v="Red"/>
    <s v="Winter"/>
    <n v="2.6"/>
    <x v="1"/>
    <x v="0"/>
    <x v="1"/>
    <x v="1"/>
    <n v="28"/>
    <x v="0"/>
    <x v="4"/>
    <x v="4"/>
  </r>
  <r>
    <n v="3773"/>
    <x v="42"/>
    <x v="1"/>
    <x v="13"/>
    <x v="0"/>
    <x v="46"/>
    <x v="13"/>
    <s v="L"/>
    <s v="Yellow"/>
    <s v="Fall"/>
    <n v="3.1"/>
    <x v="1"/>
    <x v="2"/>
    <x v="1"/>
    <x v="1"/>
    <n v="35"/>
    <x v="1"/>
    <x v="2"/>
    <x v="2"/>
  </r>
  <r>
    <n v="3774"/>
    <x v="15"/>
    <x v="1"/>
    <x v="1"/>
    <x v="0"/>
    <x v="30"/>
    <x v="48"/>
    <s v="M"/>
    <s v="Violet"/>
    <s v="Summer"/>
    <n v="3.5"/>
    <x v="1"/>
    <x v="5"/>
    <x v="1"/>
    <x v="1"/>
    <n v="41"/>
    <x v="1"/>
    <x v="3"/>
    <x v="3"/>
  </r>
  <r>
    <n v="3775"/>
    <x v="9"/>
    <x v="1"/>
    <x v="24"/>
    <x v="3"/>
    <x v="42"/>
    <x v="29"/>
    <s v="S"/>
    <s v="Cyan"/>
    <s v="Winter"/>
    <n v="3.9"/>
    <x v="1"/>
    <x v="3"/>
    <x v="1"/>
    <x v="1"/>
    <n v="48"/>
    <x v="3"/>
    <x v="0"/>
    <x v="0"/>
  </r>
  <r>
    <n v="3776"/>
    <x v="38"/>
    <x v="1"/>
    <x v="22"/>
    <x v="3"/>
    <x v="80"/>
    <x v="45"/>
    <s v="S"/>
    <s v="Pink"/>
    <s v="Spring"/>
    <n v="2.7"/>
    <x v="1"/>
    <x v="4"/>
    <x v="1"/>
    <x v="1"/>
    <n v="45"/>
    <x v="1"/>
    <x v="3"/>
    <x v="3"/>
  </r>
  <r>
    <n v="3777"/>
    <x v="1"/>
    <x v="1"/>
    <x v="4"/>
    <x v="1"/>
    <x v="21"/>
    <x v="29"/>
    <s v="L"/>
    <s v="Olive"/>
    <s v="Spring"/>
    <n v="4.0999999999999996"/>
    <x v="1"/>
    <x v="3"/>
    <x v="1"/>
    <x v="1"/>
    <n v="10"/>
    <x v="2"/>
    <x v="0"/>
    <x v="0"/>
  </r>
  <r>
    <n v="3778"/>
    <x v="49"/>
    <x v="1"/>
    <x v="6"/>
    <x v="0"/>
    <x v="61"/>
    <x v="40"/>
    <s v="M"/>
    <s v="Maroon"/>
    <s v="Fall"/>
    <n v="4.3"/>
    <x v="1"/>
    <x v="0"/>
    <x v="1"/>
    <x v="1"/>
    <n v="9"/>
    <x v="1"/>
    <x v="1"/>
    <x v="1"/>
  </r>
  <r>
    <n v="3779"/>
    <x v="15"/>
    <x v="1"/>
    <x v="4"/>
    <x v="1"/>
    <x v="30"/>
    <x v="45"/>
    <s v="M"/>
    <s v="Cyan"/>
    <s v="Fall"/>
    <n v="2.9"/>
    <x v="1"/>
    <x v="1"/>
    <x v="1"/>
    <x v="1"/>
    <n v="30"/>
    <x v="5"/>
    <x v="2"/>
    <x v="2"/>
  </r>
  <r>
    <n v="3780"/>
    <x v="52"/>
    <x v="1"/>
    <x v="2"/>
    <x v="0"/>
    <x v="60"/>
    <x v="18"/>
    <s v="XL"/>
    <s v="Lavender"/>
    <s v="Spring"/>
    <n v="4"/>
    <x v="1"/>
    <x v="0"/>
    <x v="1"/>
    <x v="1"/>
    <n v="45"/>
    <x v="3"/>
    <x v="2"/>
    <x v="2"/>
  </r>
  <r>
    <n v="3781"/>
    <x v="22"/>
    <x v="1"/>
    <x v="4"/>
    <x v="1"/>
    <x v="75"/>
    <x v="16"/>
    <s v="L"/>
    <s v="Yellow"/>
    <s v="Fall"/>
    <n v="4.0999999999999996"/>
    <x v="1"/>
    <x v="1"/>
    <x v="1"/>
    <x v="1"/>
    <n v="41"/>
    <x v="0"/>
    <x v="3"/>
    <x v="3"/>
  </r>
  <r>
    <n v="3782"/>
    <x v="16"/>
    <x v="1"/>
    <x v="23"/>
    <x v="1"/>
    <x v="54"/>
    <x v="30"/>
    <s v="M"/>
    <s v="Pink"/>
    <s v="Winter"/>
    <n v="3.7"/>
    <x v="1"/>
    <x v="3"/>
    <x v="1"/>
    <x v="1"/>
    <n v="40"/>
    <x v="3"/>
    <x v="0"/>
    <x v="0"/>
  </r>
  <r>
    <n v="3783"/>
    <x v="37"/>
    <x v="1"/>
    <x v="14"/>
    <x v="2"/>
    <x v="29"/>
    <x v="15"/>
    <s v="L"/>
    <s v="Orange"/>
    <s v="Spring"/>
    <n v="2.8"/>
    <x v="1"/>
    <x v="1"/>
    <x v="1"/>
    <x v="1"/>
    <n v="42"/>
    <x v="3"/>
    <x v="0"/>
    <x v="0"/>
  </r>
  <r>
    <n v="3784"/>
    <x v="31"/>
    <x v="1"/>
    <x v="24"/>
    <x v="3"/>
    <x v="76"/>
    <x v="1"/>
    <s v="XL"/>
    <s v="Orange"/>
    <s v="Summer"/>
    <n v="3.2"/>
    <x v="1"/>
    <x v="1"/>
    <x v="1"/>
    <x v="1"/>
    <n v="17"/>
    <x v="5"/>
    <x v="0"/>
    <x v="0"/>
  </r>
  <r>
    <n v="3785"/>
    <x v="22"/>
    <x v="1"/>
    <x v="20"/>
    <x v="0"/>
    <x v="0"/>
    <x v="41"/>
    <s v="M"/>
    <s v="Violet"/>
    <s v="Winter"/>
    <n v="4.5"/>
    <x v="1"/>
    <x v="2"/>
    <x v="1"/>
    <x v="1"/>
    <n v="4"/>
    <x v="0"/>
    <x v="2"/>
    <x v="2"/>
  </r>
  <r>
    <n v="3786"/>
    <x v="14"/>
    <x v="1"/>
    <x v="2"/>
    <x v="0"/>
    <x v="23"/>
    <x v="13"/>
    <s v="L"/>
    <s v="Lavender"/>
    <s v="Winter"/>
    <n v="3.8"/>
    <x v="1"/>
    <x v="3"/>
    <x v="1"/>
    <x v="1"/>
    <n v="6"/>
    <x v="1"/>
    <x v="5"/>
    <x v="5"/>
  </r>
  <r>
    <n v="3787"/>
    <x v="18"/>
    <x v="1"/>
    <x v="23"/>
    <x v="1"/>
    <x v="53"/>
    <x v="30"/>
    <s v="L"/>
    <s v="Yellow"/>
    <s v="Fall"/>
    <n v="3.6"/>
    <x v="1"/>
    <x v="4"/>
    <x v="1"/>
    <x v="1"/>
    <n v="22"/>
    <x v="0"/>
    <x v="1"/>
    <x v="1"/>
  </r>
  <r>
    <n v="3788"/>
    <x v="43"/>
    <x v="1"/>
    <x v="0"/>
    <x v="0"/>
    <x v="68"/>
    <x v="14"/>
    <s v="M"/>
    <s v="Pink"/>
    <s v="Fall"/>
    <n v="3.6"/>
    <x v="1"/>
    <x v="4"/>
    <x v="1"/>
    <x v="1"/>
    <n v="46"/>
    <x v="3"/>
    <x v="6"/>
    <x v="3"/>
  </r>
  <r>
    <n v="3789"/>
    <x v="49"/>
    <x v="1"/>
    <x v="19"/>
    <x v="3"/>
    <x v="61"/>
    <x v="23"/>
    <s v="XL"/>
    <s v="Teal"/>
    <s v="Spring"/>
    <n v="3.2"/>
    <x v="1"/>
    <x v="2"/>
    <x v="1"/>
    <x v="1"/>
    <n v="27"/>
    <x v="5"/>
    <x v="5"/>
    <x v="5"/>
  </r>
  <r>
    <n v="3790"/>
    <x v="19"/>
    <x v="1"/>
    <x v="5"/>
    <x v="0"/>
    <x v="60"/>
    <x v="25"/>
    <s v="M"/>
    <s v="Magenta"/>
    <s v="Summer"/>
    <n v="3.8"/>
    <x v="1"/>
    <x v="0"/>
    <x v="1"/>
    <x v="1"/>
    <n v="18"/>
    <x v="4"/>
    <x v="6"/>
    <x v="3"/>
  </r>
  <r>
    <n v="3791"/>
    <x v="7"/>
    <x v="1"/>
    <x v="8"/>
    <x v="3"/>
    <x v="29"/>
    <x v="29"/>
    <s v="XL"/>
    <s v="Beige"/>
    <s v="Summer"/>
    <n v="4.4000000000000004"/>
    <x v="1"/>
    <x v="3"/>
    <x v="1"/>
    <x v="1"/>
    <n v="31"/>
    <x v="2"/>
    <x v="1"/>
    <x v="1"/>
  </r>
  <r>
    <n v="3792"/>
    <x v="37"/>
    <x v="1"/>
    <x v="12"/>
    <x v="3"/>
    <x v="12"/>
    <x v="21"/>
    <s v="M"/>
    <s v="Gray"/>
    <s v="Spring"/>
    <n v="3.7"/>
    <x v="1"/>
    <x v="5"/>
    <x v="1"/>
    <x v="1"/>
    <n v="1"/>
    <x v="0"/>
    <x v="1"/>
    <x v="1"/>
  </r>
  <r>
    <n v="3793"/>
    <x v="49"/>
    <x v="1"/>
    <x v="18"/>
    <x v="3"/>
    <x v="47"/>
    <x v="2"/>
    <s v="S"/>
    <s v="Turquoise"/>
    <s v="Summer"/>
    <n v="2.6"/>
    <x v="1"/>
    <x v="0"/>
    <x v="1"/>
    <x v="1"/>
    <n v="2"/>
    <x v="3"/>
    <x v="0"/>
    <x v="0"/>
  </r>
  <r>
    <n v="3794"/>
    <x v="46"/>
    <x v="1"/>
    <x v="12"/>
    <x v="3"/>
    <x v="5"/>
    <x v="12"/>
    <s v="M"/>
    <s v="Pink"/>
    <s v="Fall"/>
    <n v="4"/>
    <x v="1"/>
    <x v="3"/>
    <x v="1"/>
    <x v="1"/>
    <n v="46"/>
    <x v="4"/>
    <x v="2"/>
    <x v="2"/>
  </r>
  <r>
    <n v="3795"/>
    <x v="42"/>
    <x v="1"/>
    <x v="18"/>
    <x v="3"/>
    <x v="71"/>
    <x v="45"/>
    <s v="M"/>
    <s v="Violet"/>
    <s v="Summer"/>
    <n v="3.6"/>
    <x v="1"/>
    <x v="4"/>
    <x v="1"/>
    <x v="1"/>
    <n v="27"/>
    <x v="0"/>
    <x v="1"/>
    <x v="1"/>
  </r>
  <r>
    <n v="3796"/>
    <x v="4"/>
    <x v="1"/>
    <x v="24"/>
    <x v="3"/>
    <x v="56"/>
    <x v="10"/>
    <s v="M"/>
    <s v="Charcoal"/>
    <s v="Spring"/>
    <n v="2.5"/>
    <x v="1"/>
    <x v="0"/>
    <x v="1"/>
    <x v="1"/>
    <n v="3"/>
    <x v="1"/>
    <x v="1"/>
    <x v="1"/>
  </r>
  <r>
    <n v="3797"/>
    <x v="37"/>
    <x v="1"/>
    <x v="6"/>
    <x v="0"/>
    <x v="13"/>
    <x v="40"/>
    <s v="M"/>
    <s v="Lavender"/>
    <s v="Fall"/>
    <n v="3.2"/>
    <x v="1"/>
    <x v="1"/>
    <x v="1"/>
    <x v="1"/>
    <n v="47"/>
    <x v="4"/>
    <x v="3"/>
    <x v="3"/>
  </r>
  <r>
    <n v="3798"/>
    <x v="33"/>
    <x v="1"/>
    <x v="12"/>
    <x v="3"/>
    <x v="77"/>
    <x v="18"/>
    <s v="M"/>
    <s v="Gray"/>
    <s v="Summer"/>
    <n v="2.5"/>
    <x v="1"/>
    <x v="2"/>
    <x v="1"/>
    <x v="1"/>
    <n v="20"/>
    <x v="1"/>
    <x v="3"/>
    <x v="3"/>
  </r>
  <r>
    <n v="3799"/>
    <x v="6"/>
    <x v="1"/>
    <x v="16"/>
    <x v="3"/>
    <x v="11"/>
    <x v="3"/>
    <s v="S"/>
    <s v="Brown"/>
    <s v="Winter"/>
    <n v="3.2"/>
    <x v="1"/>
    <x v="2"/>
    <x v="1"/>
    <x v="1"/>
    <n v="23"/>
    <x v="2"/>
    <x v="2"/>
    <x v="2"/>
  </r>
  <r>
    <n v="3800"/>
    <x v="52"/>
    <x v="1"/>
    <x v="14"/>
    <x v="2"/>
    <x v="46"/>
    <x v="19"/>
    <s v="L"/>
    <s v="Violet"/>
    <s v="Winter"/>
    <n v="2.6"/>
    <x v="1"/>
    <x v="5"/>
    <x v="1"/>
    <x v="1"/>
    <n v="13"/>
    <x v="2"/>
    <x v="5"/>
    <x v="5"/>
  </r>
  <r>
    <n v="3801"/>
    <x v="1"/>
    <x v="1"/>
    <x v="1"/>
    <x v="0"/>
    <x v="46"/>
    <x v="34"/>
    <s v="M"/>
    <s v="Turquoise"/>
    <s v="Fall"/>
    <n v="4.8"/>
    <x v="1"/>
    <x v="2"/>
    <x v="1"/>
    <x v="1"/>
    <n v="12"/>
    <x v="0"/>
    <x v="4"/>
    <x v="4"/>
  </r>
  <r>
    <n v="3802"/>
    <x v="8"/>
    <x v="1"/>
    <x v="0"/>
    <x v="0"/>
    <x v="63"/>
    <x v="0"/>
    <s v="M"/>
    <s v="Peach"/>
    <s v="Spring"/>
    <n v="5"/>
    <x v="1"/>
    <x v="5"/>
    <x v="1"/>
    <x v="1"/>
    <n v="36"/>
    <x v="3"/>
    <x v="0"/>
    <x v="0"/>
  </r>
  <r>
    <n v="3803"/>
    <x v="27"/>
    <x v="1"/>
    <x v="18"/>
    <x v="3"/>
    <x v="11"/>
    <x v="26"/>
    <s v="S"/>
    <s v="Turquoise"/>
    <s v="Spring"/>
    <n v="3.2"/>
    <x v="1"/>
    <x v="4"/>
    <x v="1"/>
    <x v="1"/>
    <n v="1"/>
    <x v="4"/>
    <x v="5"/>
    <x v="5"/>
  </r>
  <r>
    <n v="3804"/>
    <x v="39"/>
    <x v="1"/>
    <x v="8"/>
    <x v="3"/>
    <x v="37"/>
    <x v="39"/>
    <s v="M"/>
    <s v="Violet"/>
    <s v="Spring"/>
    <n v="3.6"/>
    <x v="1"/>
    <x v="3"/>
    <x v="1"/>
    <x v="1"/>
    <n v="14"/>
    <x v="5"/>
    <x v="1"/>
    <x v="1"/>
  </r>
  <r>
    <n v="3805"/>
    <x v="43"/>
    <x v="1"/>
    <x v="19"/>
    <x v="3"/>
    <x v="64"/>
    <x v="20"/>
    <s v="M"/>
    <s v="Olive"/>
    <s v="Fall"/>
    <n v="2.7"/>
    <x v="1"/>
    <x v="4"/>
    <x v="1"/>
    <x v="1"/>
    <n v="45"/>
    <x v="1"/>
    <x v="2"/>
    <x v="2"/>
  </r>
  <r>
    <n v="3806"/>
    <x v="39"/>
    <x v="1"/>
    <x v="18"/>
    <x v="3"/>
    <x v="75"/>
    <x v="32"/>
    <s v="M"/>
    <s v="Green"/>
    <s v="Fall"/>
    <n v="3.1"/>
    <x v="1"/>
    <x v="3"/>
    <x v="1"/>
    <x v="1"/>
    <n v="31"/>
    <x v="2"/>
    <x v="3"/>
    <x v="3"/>
  </r>
  <r>
    <n v="3807"/>
    <x v="20"/>
    <x v="1"/>
    <x v="23"/>
    <x v="1"/>
    <x v="79"/>
    <x v="9"/>
    <s v="M"/>
    <s v="Teal"/>
    <s v="Spring"/>
    <n v="3"/>
    <x v="1"/>
    <x v="3"/>
    <x v="1"/>
    <x v="1"/>
    <n v="41"/>
    <x v="3"/>
    <x v="1"/>
    <x v="1"/>
  </r>
  <r>
    <n v="3808"/>
    <x v="21"/>
    <x v="1"/>
    <x v="0"/>
    <x v="0"/>
    <x v="32"/>
    <x v="49"/>
    <s v="L"/>
    <s v="Peach"/>
    <s v="Spring"/>
    <n v="2.9"/>
    <x v="1"/>
    <x v="2"/>
    <x v="1"/>
    <x v="1"/>
    <n v="36"/>
    <x v="3"/>
    <x v="2"/>
    <x v="2"/>
  </r>
  <r>
    <n v="3809"/>
    <x v="23"/>
    <x v="1"/>
    <x v="20"/>
    <x v="0"/>
    <x v="39"/>
    <x v="47"/>
    <s v="M"/>
    <s v="Pink"/>
    <s v="Winter"/>
    <n v="4.7"/>
    <x v="1"/>
    <x v="0"/>
    <x v="1"/>
    <x v="1"/>
    <n v="6"/>
    <x v="5"/>
    <x v="4"/>
    <x v="4"/>
  </r>
  <r>
    <n v="3810"/>
    <x v="9"/>
    <x v="1"/>
    <x v="9"/>
    <x v="1"/>
    <x v="27"/>
    <x v="14"/>
    <s v="S"/>
    <s v="Maroon"/>
    <s v="Winter"/>
    <n v="3.7"/>
    <x v="1"/>
    <x v="3"/>
    <x v="1"/>
    <x v="1"/>
    <n v="28"/>
    <x v="2"/>
    <x v="2"/>
    <x v="2"/>
  </r>
  <r>
    <n v="3811"/>
    <x v="5"/>
    <x v="1"/>
    <x v="11"/>
    <x v="0"/>
    <x v="24"/>
    <x v="48"/>
    <s v="L"/>
    <s v="Peach"/>
    <s v="Fall"/>
    <n v="3.9"/>
    <x v="1"/>
    <x v="1"/>
    <x v="1"/>
    <x v="1"/>
    <n v="29"/>
    <x v="0"/>
    <x v="5"/>
    <x v="5"/>
  </r>
  <r>
    <n v="3812"/>
    <x v="5"/>
    <x v="1"/>
    <x v="22"/>
    <x v="3"/>
    <x v="38"/>
    <x v="37"/>
    <s v="M"/>
    <s v="Maroon"/>
    <s v="Winter"/>
    <n v="4"/>
    <x v="1"/>
    <x v="3"/>
    <x v="1"/>
    <x v="1"/>
    <n v="14"/>
    <x v="1"/>
    <x v="5"/>
    <x v="5"/>
  </r>
  <r>
    <n v="3813"/>
    <x v="2"/>
    <x v="1"/>
    <x v="11"/>
    <x v="0"/>
    <x v="60"/>
    <x v="49"/>
    <s v="M"/>
    <s v="Pink"/>
    <s v="Spring"/>
    <n v="2.8"/>
    <x v="1"/>
    <x v="2"/>
    <x v="1"/>
    <x v="1"/>
    <n v="7"/>
    <x v="4"/>
    <x v="6"/>
    <x v="3"/>
  </r>
  <r>
    <n v="3814"/>
    <x v="12"/>
    <x v="1"/>
    <x v="13"/>
    <x v="0"/>
    <x v="58"/>
    <x v="42"/>
    <s v="M"/>
    <s v="Orange"/>
    <s v="Summer"/>
    <n v="4.0999999999999996"/>
    <x v="1"/>
    <x v="0"/>
    <x v="1"/>
    <x v="1"/>
    <n v="31"/>
    <x v="0"/>
    <x v="4"/>
    <x v="4"/>
  </r>
  <r>
    <n v="3815"/>
    <x v="4"/>
    <x v="1"/>
    <x v="10"/>
    <x v="0"/>
    <x v="51"/>
    <x v="49"/>
    <s v="M"/>
    <s v="Orange"/>
    <s v="Winter"/>
    <n v="4.2"/>
    <x v="1"/>
    <x v="1"/>
    <x v="1"/>
    <x v="1"/>
    <n v="26"/>
    <x v="4"/>
    <x v="6"/>
    <x v="3"/>
  </r>
  <r>
    <n v="3816"/>
    <x v="45"/>
    <x v="1"/>
    <x v="19"/>
    <x v="3"/>
    <x v="77"/>
    <x v="1"/>
    <s v="M"/>
    <s v="Brown"/>
    <s v="Fall"/>
    <n v="4.3"/>
    <x v="1"/>
    <x v="0"/>
    <x v="1"/>
    <x v="1"/>
    <n v="12"/>
    <x v="0"/>
    <x v="0"/>
    <x v="0"/>
  </r>
  <r>
    <n v="3817"/>
    <x v="26"/>
    <x v="1"/>
    <x v="7"/>
    <x v="2"/>
    <x v="62"/>
    <x v="33"/>
    <s v="S"/>
    <s v="Silver"/>
    <s v="Summer"/>
    <n v="4.3"/>
    <x v="1"/>
    <x v="5"/>
    <x v="1"/>
    <x v="1"/>
    <n v="45"/>
    <x v="2"/>
    <x v="0"/>
    <x v="0"/>
  </r>
  <r>
    <n v="3818"/>
    <x v="17"/>
    <x v="1"/>
    <x v="18"/>
    <x v="3"/>
    <x v="26"/>
    <x v="9"/>
    <s v="M"/>
    <s v="Magenta"/>
    <s v="Fall"/>
    <n v="2.6"/>
    <x v="1"/>
    <x v="0"/>
    <x v="1"/>
    <x v="1"/>
    <n v="40"/>
    <x v="3"/>
    <x v="2"/>
    <x v="2"/>
  </r>
  <r>
    <n v="3819"/>
    <x v="27"/>
    <x v="1"/>
    <x v="4"/>
    <x v="1"/>
    <x v="52"/>
    <x v="4"/>
    <s v="XL"/>
    <s v="Indigo"/>
    <s v="Winter"/>
    <n v="3.8"/>
    <x v="1"/>
    <x v="1"/>
    <x v="1"/>
    <x v="1"/>
    <n v="42"/>
    <x v="1"/>
    <x v="5"/>
    <x v="5"/>
  </r>
  <r>
    <n v="3820"/>
    <x v="24"/>
    <x v="1"/>
    <x v="13"/>
    <x v="0"/>
    <x v="54"/>
    <x v="10"/>
    <s v="S"/>
    <s v="Gold"/>
    <s v="Spring"/>
    <n v="2.9"/>
    <x v="1"/>
    <x v="0"/>
    <x v="1"/>
    <x v="1"/>
    <n v="45"/>
    <x v="1"/>
    <x v="3"/>
    <x v="3"/>
  </r>
  <r>
    <n v="3821"/>
    <x v="50"/>
    <x v="1"/>
    <x v="22"/>
    <x v="3"/>
    <x v="61"/>
    <x v="13"/>
    <s v="M"/>
    <s v="Purple"/>
    <s v="Winter"/>
    <n v="5"/>
    <x v="1"/>
    <x v="3"/>
    <x v="1"/>
    <x v="1"/>
    <n v="34"/>
    <x v="5"/>
    <x v="3"/>
    <x v="3"/>
  </r>
  <r>
    <n v="3822"/>
    <x v="30"/>
    <x v="1"/>
    <x v="4"/>
    <x v="1"/>
    <x v="16"/>
    <x v="4"/>
    <s v="M"/>
    <s v="Gold"/>
    <s v="Summer"/>
    <n v="4.5999999999999996"/>
    <x v="1"/>
    <x v="1"/>
    <x v="1"/>
    <x v="1"/>
    <n v="34"/>
    <x v="2"/>
    <x v="6"/>
    <x v="3"/>
  </r>
  <r>
    <n v="3823"/>
    <x v="27"/>
    <x v="1"/>
    <x v="19"/>
    <x v="3"/>
    <x v="52"/>
    <x v="23"/>
    <s v="S"/>
    <s v="Gold"/>
    <s v="Spring"/>
    <n v="3.2"/>
    <x v="1"/>
    <x v="1"/>
    <x v="1"/>
    <x v="1"/>
    <n v="17"/>
    <x v="3"/>
    <x v="6"/>
    <x v="3"/>
  </r>
  <r>
    <n v="3824"/>
    <x v="2"/>
    <x v="1"/>
    <x v="5"/>
    <x v="0"/>
    <x v="69"/>
    <x v="18"/>
    <s v="M"/>
    <s v="Gold"/>
    <s v="Summer"/>
    <n v="3"/>
    <x v="1"/>
    <x v="3"/>
    <x v="1"/>
    <x v="1"/>
    <n v="27"/>
    <x v="4"/>
    <x v="1"/>
    <x v="1"/>
  </r>
  <r>
    <n v="3825"/>
    <x v="22"/>
    <x v="1"/>
    <x v="6"/>
    <x v="0"/>
    <x v="46"/>
    <x v="42"/>
    <s v="M"/>
    <s v="Olive"/>
    <s v="Summer"/>
    <n v="4"/>
    <x v="1"/>
    <x v="1"/>
    <x v="1"/>
    <x v="1"/>
    <n v="31"/>
    <x v="2"/>
    <x v="3"/>
    <x v="3"/>
  </r>
  <r>
    <n v="3826"/>
    <x v="34"/>
    <x v="1"/>
    <x v="6"/>
    <x v="0"/>
    <x v="59"/>
    <x v="11"/>
    <s v="L"/>
    <s v="Green"/>
    <s v="Fall"/>
    <n v="4.0999999999999996"/>
    <x v="1"/>
    <x v="0"/>
    <x v="1"/>
    <x v="1"/>
    <n v="47"/>
    <x v="5"/>
    <x v="0"/>
    <x v="0"/>
  </r>
  <r>
    <n v="3827"/>
    <x v="2"/>
    <x v="1"/>
    <x v="14"/>
    <x v="2"/>
    <x v="9"/>
    <x v="6"/>
    <s v="M"/>
    <s v="Gray"/>
    <s v="Summer"/>
    <n v="4"/>
    <x v="1"/>
    <x v="0"/>
    <x v="1"/>
    <x v="1"/>
    <n v="25"/>
    <x v="4"/>
    <x v="2"/>
    <x v="2"/>
  </r>
  <r>
    <n v="3828"/>
    <x v="46"/>
    <x v="1"/>
    <x v="16"/>
    <x v="3"/>
    <x v="2"/>
    <x v="6"/>
    <s v="M"/>
    <s v="Red"/>
    <s v="Summer"/>
    <n v="4.0999999999999996"/>
    <x v="1"/>
    <x v="3"/>
    <x v="1"/>
    <x v="1"/>
    <n v="47"/>
    <x v="1"/>
    <x v="0"/>
    <x v="0"/>
  </r>
  <r>
    <n v="3829"/>
    <x v="32"/>
    <x v="1"/>
    <x v="0"/>
    <x v="0"/>
    <x v="71"/>
    <x v="16"/>
    <s v="M"/>
    <s v="Charcoal"/>
    <s v="Spring"/>
    <n v="3.4"/>
    <x v="1"/>
    <x v="1"/>
    <x v="1"/>
    <x v="1"/>
    <n v="8"/>
    <x v="1"/>
    <x v="1"/>
    <x v="1"/>
  </r>
  <r>
    <n v="3830"/>
    <x v="28"/>
    <x v="1"/>
    <x v="13"/>
    <x v="0"/>
    <x v="50"/>
    <x v="47"/>
    <s v="M"/>
    <s v="Indigo"/>
    <s v="Spring"/>
    <n v="2.9"/>
    <x v="1"/>
    <x v="1"/>
    <x v="1"/>
    <x v="1"/>
    <n v="32"/>
    <x v="5"/>
    <x v="0"/>
    <x v="0"/>
  </r>
  <r>
    <n v="3831"/>
    <x v="40"/>
    <x v="1"/>
    <x v="19"/>
    <x v="3"/>
    <x v="65"/>
    <x v="38"/>
    <s v="M"/>
    <s v="Indigo"/>
    <s v="Summer"/>
    <n v="3"/>
    <x v="1"/>
    <x v="4"/>
    <x v="1"/>
    <x v="1"/>
    <n v="33"/>
    <x v="4"/>
    <x v="6"/>
    <x v="3"/>
  </r>
  <r>
    <n v="3832"/>
    <x v="24"/>
    <x v="1"/>
    <x v="21"/>
    <x v="3"/>
    <x v="62"/>
    <x v="22"/>
    <s v="L"/>
    <s v="Silver"/>
    <s v="Spring"/>
    <n v="4"/>
    <x v="1"/>
    <x v="2"/>
    <x v="1"/>
    <x v="1"/>
    <n v="16"/>
    <x v="5"/>
    <x v="6"/>
    <x v="3"/>
  </r>
  <r>
    <n v="3833"/>
    <x v="14"/>
    <x v="1"/>
    <x v="23"/>
    <x v="1"/>
    <x v="15"/>
    <x v="23"/>
    <s v="XL"/>
    <s v="Purple"/>
    <s v="Winter"/>
    <n v="4.8"/>
    <x v="1"/>
    <x v="4"/>
    <x v="1"/>
    <x v="1"/>
    <n v="27"/>
    <x v="1"/>
    <x v="1"/>
    <x v="1"/>
  </r>
  <r>
    <n v="3834"/>
    <x v="42"/>
    <x v="1"/>
    <x v="14"/>
    <x v="2"/>
    <x v="73"/>
    <x v="28"/>
    <s v="L"/>
    <s v="Gray"/>
    <s v="Summer"/>
    <n v="4.5999999999999996"/>
    <x v="1"/>
    <x v="1"/>
    <x v="1"/>
    <x v="1"/>
    <n v="17"/>
    <x v="3"/>
    <x v="6"/>
    <x v="3"/>
  </r>
  <r>
    <n v="3835"/>
    <x v="49"/>
    <x v="1"/>
    <x v="15"/>
    <x v="0"/>
    <x v="40"/>
    <x v="30"/>
    <s v="M"/>
    <s v="Magenta"/>
    <s v="Winter"/>
    <n v="4.0999999999999996"/>
    <x v="1"/>
    <x v="4"/>
    <x v="1"/>
    <x v="1"/>
    <n v="17"/>
    <x v="1"/>
    <x v="3"/>
    <x v="3"/>
  </r>
  <r>
    <n v="3836"/>
    <x v="44"/>
    <x v="1"/>
    <x v="3"/>
    <x v="1"/>
    <x v="47"/>
    <x v="38"/>
    <s v="L"/>
    <s v="Silver"/>
    <s v="Winter"/>
    <n v="2.6"/>
    <x v="1"/>
    <x v="0"/>
    <x v="1"/>
    <x v="1"/>
    <n v="28"/>
    <x v="3"/>
    <x v="4"/>
    <x v="4"/>
  </r>
  <r>
    <n v="3837"/>
    <x v="46"/>
    <x v="1"/>
    <x v="11"/>
    <x v="0"/>
    <x v="63"/>
    <x v="29"/>
    <s v="M"/>
    <s v="Violet"/>
    <s v="Spring"/>
    <n v="2.5"/>
    <x v="1"/>
    <x v="1"/>
    <x v="1"/>
    <x v="1"/>
    <n v="38"/>
    <x v="3"/>
    <x v="0"/>
    <x v="0"/>
  </r>
  <r>
    <n v="3838"/>
    <x v="4"/>
    <x v="1"/>
    <x v="15"/>
    <x v="0"/>
    <x v="33"/>
    <x v="35"/>
    <s v="M"/>
    <s v="Green"/>
    <s v="Spring"/>
    <n v="4.8"/>
    <x v="1"/>
    <x v="1"/>
    <x v="1"/>
    <x v="1"/>
    <n v="33"/>
    <x v="4"/>
    <x v="0"/>
    <x v="0"/>
  </r>
  <r>
    <n v="3839"/>
    <x v="36"/>
    <x v="1"/>
    <x v="10"/>
    <x v="0"/>
    <x v="21"/>
    <x v="3"/>
    <s v="L"/>
    <s v="Green"/>
    <s v="Summer"/>
    <n v="4.2"/>
    <x v="1"/>
    <x v="0"/>
    <x v="1"/>
    <x v="1"/>
    <n v="24"/>
    <x v="0"/>
    <x v="6"/>
    <x v="3"/>
  </r>
  <r>
    <n v="3840"/>
    <x v="17"/>
    <x v="1"/>
    <x v="3"/>
    <x v="1"/>
    <x v="45"/>
    <x v="39"/>
    <s v="M"/>
    <s v="Peach"/>
    <s v="Spring"/>
    <n v="3.9"/>
    <x v="1"/>
    <x v="1"/>
    <x v="1"/>
    <x v="1"/>
    <n v="14"/>
    <x v="0"/>
    <x v="3"/>
    <x v="3"/>
  </r>
  <r>
    <n v="3841"/>
    <x v="11"/>
    <x v="1"/>
    <x v="2"/>
    <x v="0"/>
    <x v="69"/>
    <x v="37"/>
    <s v="M"/>
    <s v="Turquoise"/>
    <s v="Spring"/>
    <n v="3.7"/>
    <x v="1"/>
    <x v="0"/>
    <x v="1"/>
    <x v="1"/>
    <n v="5"/>
    <x v="0"/>
    <x v="0"/>
    <x v="0"/>
  </r>
  <r>
    <n v="3842"/>
    <x v="33"/>
    <x v="1"/>
    <x v="2"/>
    <x v="0"/>
    <x v="75"/>
    <x v="16"/>
    <s v="L"/>
    <s v="Pink"/>
    <s v="Fall"/>
    <n v="4.2"/>
    <x v="1"/>
    <x v="4"/>
    <x v="1"/>
    <x v="1"/>
    <n v="8"/>
    <x v="4"/>
    <x v="5"/>
    <x v="5"/>
  </r>
  <r>
    <n v="3843"/>
    <x v="25"/>
    <x v="1"/>
    <x v="14"/>
    <x v="2"/>
    <x v="63"/>
    <x v="24"/>
    <s v="L"/>
    <s v="Lavender"/>
    <s v="Winter"/>
    <n v="4.2"/>
    <x v="1"/>
    <x v="2"/>
    <x v="1"/>
    <x v="1"/>
    <n v="42"/>
    <x v="5"/>
    <x v="5"/>
    <x v="5"/>
  </r>
  <r>
    <n v="3844"/>
    <x v="14"/>
    <x v="1"/>
    <x v="19"/>
    <x v="3"/>
    <x v="79"/>
    <x v="42"/>
    <s v="L"/>
    <s v="Silver"/>
    <s v="Winter"/>
    <n v="4"/>
    <x v="1"/>
    <x v="1"/>
    <x v="1"/>
    <x v="1"/>
    <n v="48"/>
    <x v="0"/>
    <x v="6"/>
    <x v="3"/>
  </r>
  <r>
    <n v="3845"/>
    <x v="11"/>
    <x v="1"/>
    <x v="6"/>
    <x v="0"/>
    <x v="55"/>
    <x v="6"/>
    <s v="S"/>
    <s v="Cyan"/>
    <s v="Fall"/>
    <n v="5"/>
    <x v="1"/>
    <x v="2"/>
    <x v="1"/>
    <x v="1"/>
    <n v="40"/>
    <x v="0"/>
    <x v="3"/>
    <x v="3"/>
  </r>
  <r>
    <n v="3846"/>
    <x v="44"/>
    <x v="1"/>
    <x v="1"/>
    <x v="0"/>
    <x v="78"/>
    <x v="18"/>
    <s v="M"/>
    <s v="Green"/>
    <s v="Winter"/>
    <n v="4.9000000000000004"/>
    <x v="1"/>
    <x v="3"/>
    <x v="1"/>
    <x v="1"/>
    <n v="46"/>
    <x v="0"/>
    <x v="2"/>
    <x v="2"/>
  </r>
  <r>
    <n v="3847"/>
    <x v="9"/>
    <x v="1"/>
    <x v="0"/>
    <x v="0"/>
    <x v="47"/>
    <x v="38"/>
    <s v="L"/>
    <s v="Orange"/>
    <s v="Summer"/>
    <n v="4"/>
    <x v="1"/>
    <x v="0"/>
    <x v="1"/>
    <x v="1"/>
    <n v="40"/>
    <x v="3"/>
    <x v="6"/>
    <x v="3"/>
  </r>
  <r>
    <n v="3848"/>
    <x v="52"/>
    <x v="1"/>
    <x v="1"/>
    <x v="0"/>
    <x v="7"/>
    <x v="12"/>
    <s v="S"/>
    <s v="Blue"/>
    <s v="Fall"/>
    <n v="3.2"/>
    <x v="1"/>
    <x v="4"/>
    <x v="1"/>
    <x v="1"/>
    <n v="31"/>
    <x v="3"/>
    <x v="0"/>
    <x v="0"/>
  </r>
  <r>
    <n v="3849"/>
    <x v="40"/>
    <x v="1"/>
    <x v="16"/>
    <x v="3"/>
    <x v="30"/>
    <x v="13"/>
    <s v="M"/>
    <s v="Magenta"/>
    <s v="Winter"/>
    <n v="3"/>
    <x v="1"/>
    <x v="2"/>
    <x v="1"/>
    <x v="1"/>
    <n v="39"/>
    <x v="1"/>
    <x v="6"/>
    <x v="3"/>
  </r>
  <r>
    <n v="3850"/>
    <x v="5"/>
    <x v="1"/>
    <x v="15"/>
    <x v="0"/>
    <x v="10"/>
    <x v="20"/>
    <s v="S"/>
    <s v="Cyan"/>
    <s v="Winter"/>
    <n v="2.6"/>
    <x v="1"/>
    <x v="0"/>
    <x v="1"/>
    <x v="1"/>
    <n v="36"/>
    <x v="3"/>
    <x v="0"/>
    <x v="0"/>
  </r>
  <r>
    <n v="3851"/>
    <x v="7"/>
    <x v="1"/>
    <x v="16"/>
    <x v="3"/>
    <x v="67"/>
    <x v="16"/>
    <s v="L"/>
    <s v="Indigo"/>
    <s v="Summer"/>
    <n v="4.4000000000000004"/>
    <x v="1"/>
    <x v="4"/>
    <x v="1"/>
    <x v="1"/>
    <n v="25"/>
    <x v="5"/>
    <x v="6"/>
    <x v="3"/>
  </r>
  <r>
    <n v="3852"/>
    <x v="2"/>
    <x v="1"/>
    <x v="18"/>
    <x v="3"/>
    <x v="42"/>
    <x v="6"/>
    <s v="M"/>
    <s v="Pink"/>
    <s v="Summer"/>
    <n v="3.9"/>
    <x v="1"/>
    <x v="1"/>
    <x v="1"/>
    <x v="1"/>
    <n v="24"/>
    <x v="5"/>
    <x v="2"/>
    <x v="2"/>
  </r>
  <r>
    <n v="3853"/>
    <x v="13"/>
    <x v="1"/>
    <x v="19"/>
    <x v="3"/>
    <x v="24"/>
    <x v="16"/>
    <s v="M"/>
    <s v="Peach"/>
    <s v="Fall"/>
    <n v="4"/>
    <x v="1"/>
    <x v="4"/>
    <x v="1"/>
    <x v="1"/>
    <n v="19"/>
    <x v="3"/>
    <x v="1"/>
    <x v="1"/>
  </r>
  <r>
    <n v="3854"/>
    <x v="12"/>
    <x v="1"/>
    <x v="12"/>
    <x v="3"/>
    <x v="31"/>
    <x v="30"/>
    <s v="M"/>
    <s v="Lavender"/>
    <s v="Fall"/>
    <n v="4"/>
    <x v="1"/>
    <x v="5"/>
    <x v="1"/>
    <x v="1"/>
    <n v="49"/>
    <x v="5"/>
    <x v="4"/>
    <x v="4"/>
  </r>
  <r>
    <n v="3855"/>
    <x v="9"/>
    <x v="1"/>
    <x v="17"/>
    <x v="0"/>
    <x v="5"/>
    <x v="20"/>
    <s v="M"/>
    <s v="Black"/>
    <s v="Spring"/>
    <n v="4.2"/>
    <x v="1"/>
    <x v="1"/>
    <x v="1"/>
    <x v="1"/>
    <n v="4"/>
    <x v="0"/>
    <x v="2"/>
    <x v="2"/>
  </r>
  <r>
    <n v="3856"/>
    <x v="37"/>
    <x v="1"/>
    <x v="5"/>
    <x v="0"/>
    <x v="70"/>
    <x v="26"/>
    <s v="XL"/>
    <s v="Lavender"/>
    <s v="Summer"/>
    <n v="4.4000000000000004"/>
    <x v="1"/>
    <x v="2"/>
    <x v="1"/>
    <x v="1"/>
    <n v="36"/>
    <x v="1"/>
    <x v="3"/>
    <x v="3"/>
  </r>
  <r>
    <n v="3857"/>
    <x v="31"/>
    <x v="1"/>
    <x v="3"/>
    <x v="1"/>
    <x v="72"/>
    <x v="41"/>
    <s v="S"/>
    <s v="Brown"/>
    <s v="Summer"/>
    <n v="2.5"/>
    <x v="1"/>
    <x v="1"/>
    <x v="1"/>
    <x v="1"/>
    <n v="8"/>
    <x v="5"/>
    <x v="3"/>
    <x v="3"/>
  </r>
  <r>
    <n v="3858"/>
    <x v="32"/>
    <x v="1"/>
    <x v="19"/>
    <x v="3"/>
    <x v="34"/>
    <x v="21"/>
    <s v="S"/>
    <s v="Yellow"/>
    <s v="Summer"/>
    <n v="3.1"/>
    <x v="1"/>
    <x v="5"/>
    <x v="1"/>
    <x v="1"/>
    <n v="29"/>
    <x v="2"/>
    <x v="6"/>
    <x v="3"/>
  </r>
  <r>
    <n v="3859"/>
    <x v="11"/>
    <x v="1"/>
    <x v="17"/>
    <x v="0"/>
    <x v="64"/>
    <x v="9"/>
    <s v="M"/>
    <s v="Olive"/>
    <s v="Winter"/>
    <n v="3.5"/>
    <x v="1"/>
    <x v="5"/>
    <x v="1"/>
    <x v="1"/>
    <n v="26"/>
    <x v="2"/>
    <x v="3"/>
    <x v="3"/>
  </r>
  <r>
    <n v="3860"/>
    <x v="13"/>
    <x v="1"/>
    <x v="6"/>
    <x v="0"/>
    <x v="19"/>
    <x v="16"/>
    <s v="S"/>
    <s v="Blue"/>
    <s v="Fall"/>
    <n v="3"/>
    <x v="1"/>
    <x v="4"/>
    <x v="1"/>
    <x v="1"/>
    <n v="47"/>
    <x v="4"/>
    <x v="4"/>
    <x v="4"/>
  </r>
  <r>
    <n v="3861"/>
    <x v="9"/>
    <x v="1"/>
    <x v="12"/>
    <x v="3"/>
    <x v="1"/>
    <x v="38"/>
    <s v="M"/>
    <s v="Turquoise"/>
    <s v="Summer"/>
    <n v="4.4000000000000004"/>
    <x v="1"/>
    <x v="2"/>
    <x v="1"/>
    <x v="1"/>
    <n v="44"/>
    <x v="1"/>
    <x v="2"/>
    <x v="2"/>
  </r>
  <r>
    <n v="3862"/>
    <x v="14"/>
    <x v="1"/>
    <x v="14"/>
    <x v="2"/>
    <x v="75"/>
    <x v="5"/>
    <s v="M"/>
    <s v="Yellow"/>
    <s v="Spring"/>
    <n v="4.9000000000000004"/>
    <x v="1"/>
    <x v="3"/>
    <x v="1"/>
    <x v="1"/>
    <n v="49"/>
    <x v="2"/>
    <x v="5"/>
    <x v="5"/>
  </r>
  <r>
    <n v="3863"/>
    <x v="19"/>
    <x v="1"/>
    <x v="5"/>
    <x v="0"/>
    <x v="4"/>
    <x v="37"/>
    <s v="L"/>
    <s v="Turquoise"/>
    <s v="Winter"/>
    <n v="2.8"/>
    <x v="1"/>
    <x v="2"/>
    <x v="1"/>
    <x v="1"/>
    <n v="9"/>
    <x v="0"/>
    <x v="5"/>
    <x v="5"/>
  </r>
  <r>
    <n v="3864"/>
    <x v="37"/>
    <x v="1"/>
    <x v="18"/>
    <x v="3"/>
    <x v="59"/>
    <x v="13"/>
    <s v="M"/>
    <s v="Orange"/>
    <s v="Summer"/>
    <n v="3.3"/>
    <x v="1"/>
    <x v="1"/>
    <x v="1"/>
    <x v="1"/>
    <n v="28"/>
    <x v="1"/>
    <x v="0"/>
    <x v="0"/>
  </r>
  <r>
    <n v="3865"/>
    <x v="0"/>
    <x v="1"/>
    <x v="17"/>
    <x v="0"/>
    <x v="54"/>
    <x v="5"/>
    <s v="S"/>
    <s v="Blue"/>
    <s v="Winter"/>
    <n v="4.9000000000000004"/>
    <x v="1"/>
    <x v="0"/>
    <x v="1"/>
    <x v="1"/>
    <n v="1"/>
    <x v="5"/>
    <x v="0"/>
    <x v="0"/>
  </r>
  <r>
    <n v="3866"/>
    <x v="15"/>
    <x v="1"/>
    <x v="6"/>
    <x v="0"/>
    <x v="69"/>
    <x v="43"/>
    <s v="M"/>
    <s v="Olive"/>
    <s v="Spring"/>
    <n v="4.2"/>
    <x v="1"/>
    <x v="5"/>
    <x v="1"/>
    <x v="1"/>
    <n v="28"/>
    <x v="1"/>
    <x v="6"/>
    <x v="3"/>
  </r>
  <r>
    <n v="3867"/>
    <x v="44"/>
    <x v="1"/>
    <x v="19"/>
    <x v="3"/>
    <x v="50"/>
    <x v="29"/>
    <s v="M"/>
    <s v="Beige"/>
    <s v="Winter"/>
    <n v="3.3"/>
    <x v="1"/>
    <x v="4"/>
    <x v="1"/>
    <x v="1"/>
    <n v="33"/>
    <x v="2"/>
    <x v="0"/>
    <x v="0"/>
  </r>
  <r>
    <n v="3868"/>
    <x v="5"/>
    <x v="1"/>
    <x v="14"/>
    <x v="2"/>
    <x v="34"/>
    <x v="33"/>
    <s v="L"/>
    <s v="Lavender"/>
    <s v="Summer"/>
    <n v="2.7"/>
    <x v="1"/>
    <x v="3"/>
    <x v="1"/>
    <x v="1"/>
    <n v="28"/>
    <x v="2"/>
    <x v="5"/>
    <x v="5"/>
  </r>
  <r>
    <n v="3869"/>
    <x v="20"/>
    <x v="1"/>
    <x v="10"/>
    <x v="0"/>
    <x v="45"/>
    <x v="33"/>
    <s v="XL"/>
    <s v="Magenta"/>
    <s v="Winter"/>
    <n v="3.3"/>
    <x v="1"/>
    <x v="4"/>
    <x v="1"/>
    <x v="1"/>
    <n v="9"/>
    <x v="1"/>
    <x v="2"/>
    <x v="2"/>
  </r>
  <r>
    <n v="3870"/>
    <x v="8"/>
    <x v="1"/>
    <x v="7"/>
    <x v="2"/>
    <x v="1"/>
    <x v="28"/>
    <s v="L"/>
    <s v="Cyan"/>
    <s v="Spring"/>
    <n v="3.8"/>
    <x v="1"/>
    <x v="1"/>
    <x v="1"/>
    <x v="1"/>
    <n v="28"/>
    <x v="4"/>
    <x v="2"/>
    <x v="2"/>
  </r>
  <r>
    <n v="3871"/>
    <x v="12"/>
    <x v="1"/>
    <x v="3"/>
    <x v="1"/>
    <x v="43"/>
    <x v="31"/>
    <s v="L"/>
    <s v="Lavender"/>
    <s v="Fall"/>
    <n v="3.2"/>
    <x v="1"/>
    <x v="2"/>
    <x v="1"/>
    <x v="1"/>
    <n v="19"/>
    <x v="1"/>
    <x v="6"/>
    <x v="3"/>
  </r>
  <r>
    <n v="3872"/>
    <x v="0"/>
    <x v="1"/>
    <x v="17"/>
    <x v="0"/>
    <x v="8"/>
    <x v="46"/>
    <s v="M"/>
    <s v="Black"/>
    <s v="Fall"/>
    <n v="4.0999999999999996"/>
    <x v="1"/>
    <x v="4"/>
    <x v="1"/>
    <x v="1"/>
    <n v="20"/>
    <x v="4"/>
    <x v="6"/>
    <x v="3"/>
  </r>
  <r>
    <n v="3873"/>
    <x v="38"/>
    <x v="1"/>
    <x v="14"/>
    <x v="2"/>
    <x v="23"/>
    <x v="13"/>
    <s v="M"/>
    <s v="Green"/>
    <s v="Spring"/>
    <n v="4.3"/>
    <x v="1"/>
    <x v="3"/>
    <x v="1"/>
    <x v="1"/>
    <n v="3"/>
    <x v="1"/>
    <x v="5"/>
    <x v="5"/>
  </r>
  <r>
    <n v="3874"/>
    <x v="32"/>
    <x v="1"/>
    <x v="3"/>
    <x v="1"/>
    <x v="35"/>
    <x v="7"/>
    <s v="L"/>
    <s v="Silver"/>
    <s v="Summer"/>
    <n v="4"/>
    <x v="1"/>
    <x v="3"/>
    <x v="1"/>
    <x v="1"/>
    <n v="22"/>
    <x v="2"/>
    <x v="1"/>
    <x v="1"/>
  </r>
  <r>
    <n v="3875"/>
    <x v="27"/>
    <x v="1"/>
    <x v="1"/>
    <x v="0"/>
    <x v="36"/>
    <x v="22"/>
    <s v="XL"/>
    <s v="Beige"/>
    <s v="Summer"/>
    <n v="3.9"/>
    <x v="1"/>
    <x v="4"/>
    <x v="1"/>
    <x v="1"/>
    <n v="33"/>
    <x v="2"/>
    <x v="4"/>
    <x v="4"/>
  </r>
  <r>
    <n v="3876"/>
    <x v="6"/>
    <x v="1"/>
    <x v="19"/>
    <x v="3"/>
    <x v="12"/>
    <x v="13"/>
    <s v="M"/>
    <s v="Pink"/>
    <s v="Winter"/>
    <n v="3.3"/>
    <x v="1"/>
    <x v="4"/>
    <x v="1"/>
    <x v="1"/>
    <n v="21"/>
    <x v="2"/>
    <x v="2"/>
    <x v="2"/>
  </r>
  <r>
    <n v="3877"/>
    <x v="52"/>
    <x v="1"/>
    <x v="9"/>
    <x v="1"/>
    <x v="6"/>
    <x v="48"/>
    <s v="S"/>
    <s v="Cyan"/>
    <s v="Fall"/>
    <n v="2.6"/>
    <x v="1"/>
    <x v="4"/>
    <x v="1"/>
    <x v="1"/>
    <n v="7"/>
    <x v="1"/>
    <x v="2"/>
    <x v="2"/>
  </r>
  <r>
    <n v="3878"/>
    <x v="48"/>
    <x v="1"/>
    <x v="15"/>
    <x v="0"/>
    <x v="48"/>
    <x v="22"/>
    <s v="M"/>
    <s v="Olive"/>
    <s v="Spring"/>
    <n v="4.2"/>
    <x v="1"/>
    <x v="2"/>
    <x v="1"/>
    <x v="1"/>
    <n v="46"/>
    <x v="5"/>
    <x v="5"/>
    <x v="5"/>
  </r>
  <r>
    <n v="3879"/>
    <x v="52"/>
    <x v="1"/>
    <x v="19"/>
    <x v="3"/>
    <x v="69"/>
    <x v="36"/>
    <s v="M"/>
    <s v="Pink"/>
    <s v="Summer"/>
    <n v="3.4"/>
    <x v="1"/>
    <x v="4"/>
    <x v="1"/>
    <x v="1"/>
    <n v="24"/>
    <x v="2"/>
    <x v="2"/>
    <x v="2"/>
  </r>
  <r>
    <n v="3880"/>
    <x v="8"/>
    <x v="1"/>
    <x v="11"/>
    <x v="0"/>
    <x v="80"/>
    <x v="20"/>
    <s v="L"/>
    <s v="Maroon"/>
    <s v="Winter"/>
    <n v="4.0999999999999996"/>
    <x v="1"/>
    <x v="1"/>
    <x v="1"/>
    <x v="1"/>
    <n v="6"/>
    <x v="5"/>
    <x v="3"/>
    <x v="3"/>
  </r>
  <r>
    <n v="3881"/>
    <x v="32"/>
    <x v="1"/>
    <x v="5"/>
    <x v="0"/>
    <x v="5"/>
    <x v="2"/>
    <s v="M"/>
    <s v="Red"/>
    <s v="Winter"/>
    <n v="3.9"/>
    <x v="1"/>
    <x v="1"/>
    <x v="1"/>
    <x v="1"/>
    <n v="40"/>
    <x v="3"/>
    <x v="5"/>
    <x v="5"/>
  </r>
  <r>
    <n v="3882"/>
    <x v="19"/>
    <x v="1"/>
    <x v="18"/>
    <x v="3"/>
    <x v="21"/>
    <x v="42"/>
    <s v="L"/>
    <s v="Silver"/>
    <s v="Spring"/>
    <n v="2.8"/>
    <x v="1"/>
    <x v="4"/>
    <x v="1"/>
    <x v="1"/>
    <n v="17"/>
    <x v="5"/>
    <x v="1"/>
    <x v="1"/>
  </r>
  <r>
    <n v="3883"/>
    <x v="25"/>
    <x v="1"/>
    <x v="13"/>
    <x v="0"/>
    <x v="51"/>
    <x v="25"/>
    <s v="L"/>
    <s v="Blue"/>
    <s v="Fall"/>
    <n v="2.6"/>
    <x v="1"/>
    <x v="1"/>
    <x v="1"/>
    <x v="1"/>
    <n v="24"/>
    <x v="1"/>
    <x v="0"/>
    <x v="0"/>
  </r>
  <r>
    <n v="3884"/>
    <x v="50"/>
    <x v="1"/>
    <x v="19"/>
    <x v="3"/>
    <x v="15"/>
    <x v="25"/>
    <s v="XL"/>
    <s v="Purple"/>
    <s v="Fall"/>
    <n v="4"/>
    <x v="1"/>
    <x v="2"/>
    <x v="1"/>
    <x v="1"/>
    <n v="22"/>
    <x v="1"/>
    <x v="0"/>
    <x v="0"/>
  </r>
  <r>
    <n v="3885"/>
    <x v="36"/>
    <x v="1"/>
    <x v="3"/>
    <x v="1"/>
    <x v="45"/>
    <x v="33"/>
    <s v="M"/>
    <s v="Brown"/>
    <s v="Fall"/>
    <n v="4.9000000000000004"/>
    <x v="1"/>
    <x v="0"/>
    <x v="1"/>
    <x v="1"/>
    <n v="3"/>
    <x v="3"/>
    <x v="1"/>
    <x v="1"/>
  </r>
  <r>
    <n v="3886"/>
    <x v="34"/>
    <x v="1"/>
    <x v="20"/>
    <x v="0"/>
    <x v="1"/>
    <x v="35"/>
    <s v="L"/>
    <s v="Purple"/>
    <s v="Winter"/>
    <n v="3.2"/>
    <x v="1"/>
    <x v="1"/>
    <x v="1"/>
    <x v="1"/>
    <n v="39"/>
    <x v="1"/>
    <x v="3"/>
    <x v="3"/>
  </r>
  <r>
    <n v="3887"/>
    <x v="43"/>
    <x v="1"/>
    <x v="16"/>
    <x v="3"/>
    <x v="56"/>
    <x v="44"/>
    <s v="S"/>
    <s v="Brown"/>
    <s v="Summer"/>
    <n v="3.9"/>
    <x v="1"/>
    <x v="0"/>
    <x v="1"/>
    <x v="1"/>
    <n v="40"/>
    <x v="5"/>
    <x v="3"/>
    <x v="3"/>
  </r>
  <r>
    <n v="3888"/>
    <x v="37"/>
    <x v="1"/>
    <x v="5"/>
    <x v="0"/>
    <x v="7"/>
    <x v="23"/>
    <s v="M"/>
    <s v="Charcoal"/>
    <s v="Spring"/>
    <n v="2.7"/>
    <x v="1"/>
    <x v="0"/>
    <x v="1"/>
    <x v="1"/>
    <n v="1"/>
    <x v="2"/>
    <x v="3"/>
    <x v="3"/>
  </r>
  <r>
    <n v="3889"/>
    <x v="4"/>
    <x v="1"/>
    <x v="4"/>
    <x v="1"/>
    <x v="28"/>
    <x v="41"/>
    <s v="M"/>
    <s v="Violet"/>
    <s v="Spring"/>
    <n v="3.4"/>
    <x v="1"/>
    <x v="3"/>
    <x v="1"/>
    <x v="1"/>
    <n v="14"/>
    <x v="0"/>
    <x v="4"/>
    <x v="4"/>
  </r>
  <r>
    <n v="3890"/>
    <x v="9"/>
    <x v="1"/>
    <x v="10"/>
    <x v="0"/>
    <x v="61"/>
    <x v="29"/>
    <s v="S"/>
    <s v="Yellow"/>
    <s v="Spring"/>
    <n v="3.5"/>
    <x v="1"/>
    <x v="0"/>
    <x v="1"/>
    <x v="1"/>
    <n v="49"/>
    <x v="4"/>
    <x v="2"/>
    <x v="2"/>
  </r>
  <r>
    <n v="3891"/>
    <x v="25"/>
    <x v="1"/>
    <x v="5"/>
    <x v="0"/>
    <x v="13"/>
    <x v="43"/>
    <s v="XL"/>
    <s v="Green"/>
    <s v="Winter"/>
    <n v="2.6"/>
    <x v="1"/>
    <x v="3"/>
    <x v="1"/>
    <x v="1"/>
    <n v="33"/>
    <x v="5"/>
    <x v="2"/>
    <x v="2"/>
  </r>
  <r>
    <n v="3892"/>
    <x v="24"/>
    <x v="1"/>
    <x v="10"/>
    <x v="0"/>
    <x v="38"/>
    <x v="24"/>
    <s v="L"/>
    <s v="Peach"/>
    <s v="Winter"/>
    <n v="4.7"/>
    <x v="1"/>
    <x v="1"/>
    <x v="1"/>
    <x v="1"/>
    <n v="6"/>
    <x v="4"/>
    <x v="3"/>
    <x v="3"/>
  </r>
  <r>
    <n v="3893"/>
    <x v="25"/>
    <x v="1"/>
    <x v="16"/>
    <x v="3"/>
    <x v="62"/>
    <x v="49"/>
    <s v="L"/>
    <s v="Indigo"/>
    <s v="Summer"/>
    <n v="3.5"/>
    <x v="1"/>
    <x v="3"/>
    <x v="1"/>
    <x v="1"/>
    <n v="5"/>
    <x v="3"/>
    <x v="0"/>
    <x v="0"/>
  </r>
  <r>
    <n v="3894"/>
    <x v="3"/>
    <x v="1"/>
    <x v="19"/>
    <x v="3"/>
    <x v="1"/>
    <x v="2"/>
    <s v="L"/>
    <s v="White"/>
    <s v="Fall"/>
    <n v="3.3"/>
    <x v="1"/>
    <x v="5"/>
    <x v="1"/>
    <x v="1"/>
    <n v="29"/>
    <x v="4"/>
    <x v="4"/>
    <x v="4"/>
  </r>
  <r>
    <n v="3895"/>
    <x v="17"/>
    <x v="1"/>
    <x v="11"/>
    <x v="0"/>
    <x v="72"/>
    <x v="39"/>
    <s v="L"/>
    <s v="White"/>
    <s v="Spring"/>
    <n v="3.9"/>
    <x v="1"/>
    <x v="4"/>
    <x v="1"/>
    <x v="1"/>
    <n v="44"/>
    <x v="2"/>
    <x v="6"/>
    <x v="3"/>
  </r>
  <r>
    <n v="3896"/>
    <x v="37"/>
    <x v="1"/>
    <x v="15"/>
    <x v="0"/>
    <x v="39"/>
    <x v="41"/>
    <s v="L"/>
    <s v="Turquoise"/>
    <s v="Summer"/>
    <n v="4.2"/>
    <x v="1"/>
    <x v="4"/>
    <x v="1"/>
    <x v="1"/>
    <n v="32"/>
    <x v="0"/>
    <x v="1"/>
    <x v="1"/>
  </r>
  <r>
    <n v="3897"/>
    <x v="16"/>
    <x v="1"/>
    <x v="21"/>
    <x v="3"/>
    <x v="4"/>
    <x v="44"/>
    <s v="L"/>
    <s v="White"/>
    <s v="Spring"/>
    <n v="4.5"/>
    <x v="1"/>
    <x v="5"/>
    <x v="1"/>
    <x v="1"/>
    <n v="41"/>
    <x v="4"/>
    <x v="4"/>
    <x v="4"/>
  </r>
  <r>
    <n v="3898"/>
    <x v="5"/>
    <x v="1"/>
    <x v="22"/>
    <x v="3"/>
    <x v="27"/>
    <x v="32"/>
    <s v="L"/>
    <s v="Green"/>
    <s v="Spring"/>
    <n v="2.9"/>
    <x v="1"/>
    <x v="3"/>
    <x v="1"/>
    <x v="1"/>
    <n v="24"/>
    <x v="0"/>
    <x v="3"/>
    <x v="3"/>
  </r>
  <r>
    <n v="3899"/>
    <x v="42"/>
    <x v="1"/>
    <x v="9"/>
    <x v="1"/>
    <x v="64"/>
    <x v="46"/>
    <s v="S"/>
    <s v="Brown"/>
    <s v="Summer"/>
    <n v="3.8"/>
    <x v="1"/>
    <x v="0"/>
    <x v="1"/>
    <x v="1"/>
    <n v="24"/>
    <x v="0"/>
    <x v="1"/>
    <x v="1"/>
  </r>
  <r>
    <n v="3900"/>
    <x v="16"/>
    <x v="1"/>
    <x v="8"/>
    <x v="3"/>
    <x v="13"/>
    <x v="18"/>
    <s v="M"/>
    <s v="Beige"/>
    <s v="Spring"/>
    <n v="3.1"/>
    <x v="1"/>
    <x v="5"/>
    <x v="1"/>
    <x v="1"/>
    <n v="33"/>
    <x v="0"/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x v="0"/>
    <n v="55"/>
    <x v="0"/>
    <s v="Blouse"/>
    <x v="0"/>
    <n v="53"/>
    <x v="0"/>
    <s v="L"/>
    <s v="Gray"/>
    <s v="Winter"/>
    <n v="3.1"/>
    <s v="Yes"/>
    <s v="Express"/>
    <s v="Yes"/>
    <s v="Yes"/>
    <n v="14"/>
    <s v="Venmo"/>
    <s v="Fortnightly"/>
    <s v="Fortnightly"/>
    <n v="3"/>
  </r>
  <r>
    <x v="1"/>
    <n v="19"/>
    <x v="0"/>
    <s v="Sweater"/>
    <x v="0"/>
    <n v="64"/>
    <x v="1"/>
    <s v="L"/>
    <s v="Maroon"/>
    <s v="Winter"/>
    <n v="3.1"/>
    <s v="Yes"/>
    <s v="Express"/>
    <s v="Yes"/>
    <s v="Yes"/>
    <n v="2"/>
    <s v="Cash"/>
    <s v="Fortnightly"/>
    <s v="Fortnightly"/>
    <n v="3"/>
  </r>
  <r>
    <x v="2"/>
    <n v="50"/>
    <x v="0"/>
    <s v="Jeans"/>
    <x v="0"/>
    <n v="73"/>
    <x v="2"/>
    <s v="S"/>
    <s v="Maroon"/>
    <s v="Spring"/>
    <n v="3.1"/>
    <s v="Yes"/>
    <s v="Free Shipping"/>
    <s v="Yes"/>
    <s v="Yes"/>
    <n v="23"/>
    <s v="Credit Card"/>
    <s v="Weekly"/>
    <s v="Weekly"/>
    <n v="1"/>
  </r>
  <r>
    <x v="3"/>
    <n v="21"/>
    <x v="0"/>
    <s v="Sandals"/>
    <x v="1"/>
    <n v="90"/>
    <x v="3"/>
    <s v="M"/>
    <s v="Maroon"/>
    <s v="Spring"/>
    <n v="3.5"/>
    <s v="Yes"/>
    <s v="Next Day Air"/>
    <s v="Yes"/>
    <s v="Yes"/>
    <n v="49"/>
    <s v="PayPal"/>
    <s v="Weekly"/>
    <s v="Weekly"/>
    <n v="1"/>
  </r>
  <r>
    <x v="4"/>
    <n v="45"/>
    <x v="0"/>
    <s v="Blouse"/>
    <x v="0"/>
    <n v="49"/>
    <x v="4"/>
    <s v="M"/>
    <s v="Turquoise"/>
    <s v="Spring"/>
    <n v="2.7"/>
    <s v="Yes"/>
    <s v="Free Shipping"/>
    <s v="Yes"/>
    <s v="Yes"/>
    <n v="31"/>
    <s v="PayPal"/>
    <s v="Annually"/>
    <s v="Annually"/>
    <n v="6"/>
  </r>
  <r>
    <x v="5"/>
    <n v="46"/>
    <x v="0"/>
    <s v="Sneakers"/>
    <x v="1"/>
    <n v="20"/>
    <x v="5"/>
    <s v="M"/>
    <s v="White"/>
    <s v="Summer"/>
    <n v="2.9"/>
    <s v="Yes"/>
    <s v="Standard"/>
    <s v="Yes"/>
    <s v="Yes"/>
    <n v="14"/>
    <s v="Venmo"/>
    <s v="Weekly"/>
    <s v="Weekly"/>
    <n v="1"/>
  </r>
  <r>
    <x v="6"/>
    <n v="63"/>
    <x v="0"/>
    <s v="Shirt"/>
    <x v="0"/>
    <n v="85"/>
    <x v="6"/>
    <s v="M"/>
    <s v="Gray"/>
    <s v="Fall"/>
    <n v="3.2"/>
    <s v="Yes"/>
    <s v="Free Shipping"/>
    <s v="Yes"/>
    <s v="Yes"/>
    <n v="49"/>
    <s v="Cash"/>
    <s v="Quarterly"/>
    <s v="Quarterly"/>
    <n v="5"/>
  </r>
  <r>
    <x v="7"/>
    <n v="27"/>
    <x v="0"/>
    <s v="Shorts"/>
    <x v="0"/>
    <n v="34"/>
    <x v="7"/>
    <s v="L"/>
    <s v="Charcoal"/>
    <s v="Winter"/>
    <n v="3.2"/>
    <s v="Yes"/>
    <s v="Free Shipping"/>
    <s v="Yes"/>
    <s v="Yes"/>
    <n v="19"/>
    <s v="Credit Card"/>
    <s v="Weekly"/>
    <s v="Weekly"/>
    <n v="1"/>
  </r>
  <r>
    <x v="8"/>
    <n v="26"/>
    <x v="0"/>
    <s v="Coat"/>
    <x v="2"/>
    <n v="97"/>
    <x v="8"/>
    <s v="L"/>
    <s v="Silver"/>
    <s v="Summer"/>
    <n v="2.6"/>
    <s v="Yes"/>
    <s v="Express"/>
    <s v="Yes"/>
    <s v="Yes"/>
    <n v="8"/>
    <s v="Venmo"/>
    <s v="Annually"/>
    <s v="Annually"/>
    <n v="6"/>
  </r>
  <r>
    <x v="9"/>
    <n v="57"/>
    <x v="0"/>
    <s v="Handbag"/>
    <x v="3"/>
    <n v="31"/>
    <x v="9"/>
    <s v="M"/>
    <s v="Pink"/>
    <s v="Spring"/>
    <n v="4.8"/>
    <s v="Yes"/>
    <s v="2-Day Shipping"/>
    <s v="Yes"/>
    <s v="Yes"/>
    <n v="4"/>
    <s v="Cash"/>
    <s v="Quarterly"/>
    <s v="Quarterly"/>
    <n v="5"/>
  </r>
  <r>
    <x v="10"/>
    <n v="53"/>
    <x v="0"/>
    <s v="Shoes"/>
    <x v="1"/>
    <n v="34"/>
    <x v="10"/>
    <s v="L"/>
    <s v="Purple"/>
    <s v="Fall"/>
    <n v="4.0999999999999996"/>
    <s v="Yes"/>
    <s v="Store Pickup"/>
    <s v="Yes"/>
    <s v="Yes"/>
    <n v="26"/>
    <s v="Bank Transfer"/>
    <s v="Bi-Weekly"/>
    <s v="Bi-Weekly"/>
    <n v="2"/>
  </r>
  <r>
    <x v="11"/>
    <n v="30"/>
    <x v="0"/>
    <s v="Shorts"/>
    <x v="0"/>
    <n v="68"/>
    <x v="11"/>
    <s v="S"/>
    <s v="Olive"/>
    <s v="Winter"/>
    <n v="4.9000000000000004"/>
    <s v="Yes"/>
    <s v="Store Pickup"/>
    <s v="Yes"/>
    <s v="Yes"/>
    <n v="10"/>
    <s v="Bank Transfer"/>
    <s v="Fortnightly"/>
    <s v="Fortnightly"/>
    <n v="3"/>
  </r>
  <r>
    <x v="12"/>
    <n v="61"/>
    <x v="0"/>
    <s v="Coat"/>
    <x v="2"/>
    <n v="72"/>
    <x v="12"/>
    <s v="M"/>
    <s v="Gold"/>
    <s v="Winter"/>
    <n v="4.5"/>
    <s v="Yes"/>
    <s v="Express"/>
    <s v="Yes"/>
    <s v="Yes"/>
    <n v="37"/>
    <s v="Venmo"/>
    <s v="Fortnightly"/>
    <s v="Fortnightly"/>
    <n v="3"/>
  </r>
  <r>
    <x v="13"/>
    <n v="65"/>
    <x v="0"/>
    <s v="Dress"/>
    <x v="0"/>
    <n v="51"/>
    <x v="13"/>
    <s v="M"/>
    <s v="Violet"/>
    <s v="Spring"/>
    <n v="4.7"/>
    <s v="Yes"/>
    <s v="Express"/>
    <s v="Yes"/>
    <s v="Yes"/>
    <n v="31"/>
    <s v="PayPal"/>
    <s v="Weekly"/>
    <s v="Weekly"/>
    <n v="1"/>
  </r>
  <r>
    <x v="14"/>
    <n v="64"/>
    <x v="0"/>
    <s v="Coat"/>
    <x v="2"/>
    <n v="53"/>
    <x v="14"/>
    <s v="L"/>
    <s v="Teal"/>
    <s v="Winter"/>
    <n v="4.7"/>
    <s v="Yes"/>
    <s v="Free Shipping"/>
    <s v="Yes"/>
    <s v="Yes"/>
    <n v="34"/>
    <s v="Debit Card"/>
    <s v="Weekly"/>
    <s v="Weekly"/>
    <n v="1"/>
  </r>
  <r>
    <x v="15"/>
    <n v="64"/>
    <x v="0"/>
    <s v="Skirt"/>
    <x v="0"/>
    <n v="81"/>
    <x v="3"/>
    <s v="M"/>
    <s v="Teal"/>
    <s v="Winter"/>
    <n v="2.8"/>
    <s v="Yes"/>
    <s v="Store Pickup"/>
    <s v="Yes"/>
    <s v="Yes"/>
    <n v="8"/>
    <s v="PayPal"/>
    <s v="Monthly"/>
    <s v="Monthly"/>
    <n v="4"/>
  </r>
  <r>
    <x v="16"/>
    <n v="25"/>
    <x v="0"/>
    <s v="Sunglasses"/>
    <x v="3"/>
    <n v="36"/>
    <x v="15"/>
    <s v="S"/>
    <s v="Gray"/>
    <s v="Spring"/>
    <n v="4.0999999999999996"/>
    <s v="Yes"/>
    <s v="Next Day Air"/>
    <s v="Yes"/>
    <s v="Yes"/>
    <n v="44"/>
    <s v="Debit Card"/>
    <s v="Bi-Weekly"/>
    <s v="Bi-Weekly"/>
    <n v="2"/>
  </r>
  <r>
    <x v="17"/>
    <n v="53"/>
    <x v="0"/>
    <s v="Dress"/>
    <x v="0"/>
    <n v="38"/>
    <x v="16"/>
    <s v="XL"/>
    <s v="Lavender"/>
    <s v="Winter"/>
    <n v="4.7"/>
    <s v="Yes"/>
    <s v="2-Day Shipping"/>
    <s v="Yes"/>
    <s v="Yes"/>
    <n v="36"/>
    <s v="Venmo"/>
    <s v="Quarterly"/>
    <s v="Quarterly"/>
    <n v="5"/>
  </r>
  <r>
    <x v="18"/>
    <n v="52"/>
    <x v="0"/>
    <s v="Sweater"/>
    <x v="0"/>
    <n v="48"/>
    <x v="6"/>
    <s v="S"/>
    <s v="Black"/>
    <s v="Summer"/>
    <n v="4.5999999999999996"/>
    <s v="Yes"/>
    <s v="Free Shipping"/>
    <s v="Yes"/>
    <s v="Yes"/>
    <n v="17"/>
    <s v="Cash"/>
    <s v="Weekly"/>
    <s v="Weekly"/>
    <n v="1"/>
  </r>
  <r>
    <x v="19"/>
    <n v="66"/>
    <x v="0"/>
    <s v="Pants"/>
    <x v="0"/>
    <n v="90"/>
    <x v="3"/>
    <s v="M"/>
    <s v="Green"/>
    <s v="Summer"/>
    <n v="3.3"/>
    <s v="Yes"/>
    <s v="Standard"/>
    <s v="Yes"/>
    <s v="Yes"/>
    <n v="46"/>
    <s v="Debit Card"/>
    <s v="Bi-Weekly"/>
    <s v="Bi-Weekly"/>
    <n v="2"/>
  </r>
  <r>
    <x v="20"/>
    <n v="21"/>
    <x v="0"/>
    <s v="Pants"/>
    <x v="0"/>
    <n v="51"/>
    <x v="7"/>
    <s v="M"/>
    <s v="Black"/>
    <s v="Winter"/>
    <n v="2.8"/>
    <s v="Yes"/>
    <s v="Express"/>
    <s v="Yes"/>
    <s v="Yes"/>
    <n v="50"/>
    <s v="Cash"/>
    <s v="Every 3 Months"/>
    <s v="Quarterly"/>
    <n v="5"/>
  </r>
  <r>
    <x v="21"/>
    <n v="31"/>
    <x v="0"/>
    <s v="Pants"/>
    <x v="0"/>
    <n v="62"/>
    <x v="17"/>
    <s v="M"/>
    <s v="Charcoal"/>
    <s v="Winter"/>
    <n v="4.0999999999999996"/>
    <s v="Yes"/>
    <s v="Store Pickup"/>
    <s v="Yes"/>
    <s v="Yes"/>
    <n v="22"/>
    <s v="Debit Card"/>
    <s v="Quarterly"/>
    <s v="Quarterly"/>
    <n v="5"/>
  </r>
  <r>
    <x v="22"/>
    <n v="56"/>
    <x v="0"/>
    <s v="Pants"/>
    <x v="0"/>
    <n v="37"/>
    <x v="18"/>
    <s v="M"/>
    <s v="Peach"/>
    <s v="Summer"/>
    <n v="3.2"/>
    <s v="Yes"/>
    <s v="Store Pickup"/>
    <s v="Yes"/>
    <s v="Yes"/>
    <n v="32"/>
    <s v="Debit Card"/>
    <s v="Annually"/>
    <s v="Annually"/>
    <n v="6"/>
  </r>
  <r>
    <x v="23"/>
    <n v="31"/>
    <x v="0"/>
    <s v="Pants"/>
    <x v="0"/>
    <n v="88"/>
    <x v="19"/>
    <s v="XL"/>
    <s v="White"/>
    <s v="Winter"/>
    <n v="4.4000000000000004"/>
    <s v="Yes"/>
    <s v="Express"/>
    <s v="Yes"/>
    <s v="Yes"/>
    <n v="40"/>
    <s v="Credit Card"/>
    <s v="Weekly"/>
    <s v="Weekly"/>
    <n v="1"/>
  </r>
  <r>
    <x v="24"/>
    <n v="18"/>
    <x v="0"/>
    <s v="Jacket"/>
    <x v="2"/>
    <n v="22"/>
    <x v="20"/>
    <s v="M"/>
    <s v="Green"/>
    <s v="Fall"/>
    <n v="2.9"/>
    <s v="Yes"/>
    <s v="Store Pickup"/>
    <s v="Yes"/>
    <s v="Yes"/>
    <n v="16"/>
    <s v="Debit Card"/>
    <s v="Weekly"/>
    <s v="Weekly"/>
    <n v="1"/>
  </r>
  <r>
    <x v="25"/>
    <n v="18"/>
    <x v="0"/>
    <s v="Hoodie"/>
    <x v="0"/>
    <n v="25"/>
    <x v="21"/>
    <s v="M"/>
    <s v="Silver"/>
    <s v="Summer"/>
    <n v="3.6"/>
    <s v="Yes"/>
    <s v="Express"/>
    <s v="Yes"/>
    <s v="Yes"/>
    <n v="14"/>
    <s v="PayPal"/>
    <s v="Annually"/>
    <s v="Annually"/>
    <n v="6"/>
  </r>
  <r>
    <x v="26"/>
    <n v="38"/>
    <x v="0"/>
    <s v="Jewelry"/>
    <x v="3"/>
    <n v="20"/>
    <x v="22"/>
    <s v="M"/>
    <s v="Red"/>
    <s v="Spring"/>
    <n v="3.6"/>
    <s v="Yes"/>
    <s v="Next Day Air"/>
    <s v="Yes"/>
    <s v="Yes"/>
    <n v="13"/>
    <s v="Credit Card"/>
    <s v="Annually"/>
    <s v="Annually"/>
    <n v="6"/>
  </r>
  <r>
    <x v="27"/>
    <n v="56"/>
    <x v="0"/>
    <s v="Shorts"/>
    <x v="0"/>
    <n v="56"/>
    <x v="0"/>
    <s v="L"/>
    <s v="Cyan"/>
    <s v="Summer"/>
    <n v="5"/>
    <s v="Yes"/>
    <s v="Next Day Air"/>
    <s v="Yes"/>
    <s v="Yes"/>
    <n v="7"/>
    <s v="Bank Transfer"/>
    <s v="Every 3 Months"/>
    <s v="Quarterly"/>
    <n v="5"/>
  </r>
  <r>
    <x v="28"/>
    <n v="54"/>
    <x v="0"/>
    <s v="Handbag"/>
    <x v="3"/>
    <n v="94"/>
    <x v="17"/>
    <s v="M"/>
    <s v="Gray"/>
    <s v="Fall"/>
    <n v="4.4000000000000004"/>
    <s v="Yes"/>
    <s v="Free Shipping"/>
    <s v="Yes"/>
    <s v="Yes"/>
    <n v="41"/>
    <s v="PayPal"/>
    <s v="Every 3 Months"/>
    <s v="Quarterly"/>
    <n v="5"/>
  </r>
  <r>
    <x v="29"/>
    <n v="31"/>
    <x v="0"/>
    <s v="Dress"/>
    <x v="0"/>
    <n v="48"/>
    <x v="5"/>
    <s v="S"/>
    <s v="Black"/>
    <s v="Fall"/>
    <n v="4.0999999999999996"/>
    <s v="Yes"/>
    <s v="Store Pickup"/>
    <s v="Yes"/>
    <s v="Yes"/>
    <n v="14"/>
    <s v="Credit Card"/>
    <s v="Weekly"/>
    <s v="Weekly"/>
    <n v="1"/>
  </r>
  <r>
    <x v="30"/>
    <n v="57"/>
    <x v="0"/>
    <s v="Jewelry"/>
    <x v="3"/>
    <n v="31"/>
    <x v="17"/>
    <s v="L"/>
    <s v="Black"/>
    <s v="Winter"/>
    <n v="4.7"/>
    <s v="Yes"/>
    <s v="Standard"/>
    <s v="Yes"/>
    <s v="Yes"/>
    <n v="16"/>
    <s v="Credit Card"/>
    <s v="Monthly"/>
    <s v="Monthly"/>
    <n v="4"/>
  </r>
  <r>
    <x v="31"/>
    <n v="33"/>
    <x v="0"/>
    <s v="Dress"/>
    <x v="0"/>
    <n v="79"/>
    <x v="8"/>
    <s v="L"/>
    <s v="Brown"/>
    <s v="Winter"/>
    <n v="4.7"/>
    <s v="Yes"/>
    <s v="Store Pickup"/>
    <s v="Yes"/>
    <s v="Yes"/>
    <n v="45"/>
    <s v="Venmo"/>
    <s v="Monthly"/>
    <s v="Monthly"/>
    <n v="4"/>
  </r>
  <r>
    <x v="32"/>
    <n v="36"/>
    <x v="0"/>
    <s v="Jacket"/>
    <x v="2"/>
    <n v="67"/>
    <x v="23"/>
    <s v="M"/>
    <s v="Silver"/>
    <s v="Summer"/>
    <n v="4.9000000000000004"/>
    <s v="Yes"/>
    <s v="Free Shipping"/>
    <s v="Yes"/>
    <s v="Yes"/>
    <n v="37"/>
    <s v="Venmo"/>
    <s v="Annually"/>
    <s v="Annually"/>
    <n v="6"/>
  </r>
  <r>
    <x v="33"/>
    <n v="54"/>
    <x v="0"/>
    <s v="Pants"/>
    <x v="0"/>
    <n v="38"/>
    <x v="24"/>
    <s v="L"/>
    <s v="Green"/>
    <s v="Summer"/>
    <n v="3.3"/>
    <s v="Yes"/>
    <s v="Store Pickup"/>
    <s v="Yes"/>
    <s v="Yes"/>
    <n v="45"/>
    <s v="Cash"/>
    <s v="Quarterly"/>
    <s v="Quarterly"/>
    <n v="5"/>
  </r>
  <r>
    <x v="34"/>
    <n v="36"/>
    <x v="0"/>
    <s v="T-shirt"/>
    <x v="0"/>
    <n v="91"/>
    <x v="25"/>
    <s v="L"/>
    <s v="Violet"/>
    <s v="Spring"/>
    <n v="4.5999999999999996"/>
    <s v="Yes"/>
    <s v="2-Day Shipping"/>
    <s v="Yes"/>
    <s v="Yes"/>
    <n v="38"/>
    <s v="PayPal"/>
    <s v="Quarterly"/>
    <s v="Quarterly"/>
    <n v="5"/>
  </r>
  <r>
    <x v="35"/>
    <n v="54"/>
    <x v="0"/>
    <s v="Blouse"/>
    <x v="0"/>
    <n v="33"/>
    <x v="2"/>
    <s v="M"/>
    <s v="Cyan"/>
    <s v="Summer"/>
    <n v="4"/>
    <s v="Yes"/>
    <s v="2-Day Shipping"/>
    <s v="Yes"/>
    <s v="Yes"/>
    <n v="48"/>
    <s v="Credit Card"/>
    <s v="Bi-Weekly"/>
    <s v="Bi-Weekly"/>
    <n v="2"/>
  </r>
  <r>
    <x v="36"/>
    <n v="35"/>
    <x v="0"/>
    <s v="T-shirt"/>
    <x v="0"/>
    <n v="69"/>
    <x v="26"/>
    <s v="M"/>
    <s v="Maroon"/>
    <s v="Winter"/>
    <n v="4.5999999999999996"/>
    <s v="Yes"/>
    <s v="Free Shipping"/>
    <s v="Yes"/>
    <s v="Yes"/>
    <n v="44"/>
    <s v="PayPal"/>
    <s v="Fortnightly"/>
    <s v="Fortnightly"/>
    <n v="3"/>
  </r>
  <r>
    <x v="37"/>
    <n v="35"/>
    <x v="0"/>
    <s v="Jeans"/>
    <x v="0"/>
    <n v="45"/>
    <x v="27"/>
    <s v="S"/>
    <s v="Cyan"/>
    <s v="Summer"/>
    <n v="2.8"/>
    <s v="Yes"/>
    <s v="Store Pickup"/>
    <s v="Yes"/>
    <s v="Yes"/>
    <n v="10"/>
    <s v="PayPal"/>
    <s v="Weekly"/>
    <s v="Weekly"/>
    <n v="1"/>
  </r>
  <r>
    <x v="38"/>
    <n v="29"/>
    <x v="0"/>
    <s v="Dress"/>
    <x v="0"/>
    <n v="37"/>
    <x v="20"/>
    <s v="M"/>
    <s v="Red"/>
    <s v="Winter"/>
    <n v="3.7"/>
    <s v="Yes"/>
    <s v="2-Day Shipping"/>
    <s v="Yes"/>
    <s v="Yes"/>
    <n v="44"/>
    <s v="Venmo"/>
    <s v="Every 3 Months"/>
    <s v="Quarterly"/>
    <n v="5"/>
  </r>
  <r>
    <x v="39"/>
    <n v="70"/>
    <x v="0"/>
    <s v="Pants"/>
    <x v="0"/>
    <n v="60"/>
    <x v="28"/>
    <s v="S"/>
    <s v="Turquoise"/>
    <s v="Summer"/>
    <n v="4.2"/>
    <s v="Yes"/>
    <s v="Express"/>
    <s v="Yes"/>
    <s v="Yes"/>
    <n v="18"/>
    <s v="Credit Card"/>
    <s v="Monthly"/>
    <s v="Monthly"/>
    <n v="4"/>
  </r>
  <r>
    <x v="40"/>
    <n v="69"/>
    <x v="0"/>
    <s v="Handbag"/>
    <x v="3"/>
    <n v="76"/>
    <x v="7"/>
    <s v="L"/>
    <s v="Beige"/>
    <s v="Winter"/>
    <n v="4.5999999999999996"/>
    <s v="Yes"/>
    <s v="Next Day Air"/>
    <s v="Yes"/>
    <s v="Yes"/>
    <n v="31"/>
    <s v="Debit Card"/>
    <s v="Quarterly"/>
    <s v="Quarterly"/>
    <n v="5"/>
  </r>
  <r>
    <x v="41"/>
    <n v="67"/>
    <x v="0"/>
    <s v="Scarf"/>
    <x v="3"/>
    <n v="39"/>
    <x v="29"/>
    <s v="M"/>
    <s v="Orange"/>
    <s v="Spring"/>
    <n v="4.5"/>
    <s v="Yes"/>
    <s v="Standard"/>
    <s v="Yes"/>
    <s v="Yes"/>
    <n v="40"/>
    <s v="Venmo"/>
    <s v="Annually"/>
    <s v="Annually"/>
    <n v="6"/>
  </r>
  <r>
    <x v="42"/>
    <n v="20"/>
    <x v="0"/>
    <s v="Coat"/>
    <x v="2"/>
    <n v="100"/>
    <x v="30"/>
    <s v="M"/>
    <s v="Beige"/>
    <s v="Spring"/>
    <n v="4.0999999999999996"/>
    <s v="Yes"/>
    <s v="Free Shipping"/>
    <s v="Yes"/>
    <s v="Yes"/>
    <n v="15"/>
    <s v="PayPal"/>
    <s v="Annually"/>
    <s v="Annually"/>
    <n v="6"/>
  </r>
  <r>
    <x v="43"/>
    <n v="25"/>
    <x v="0"/>
    <s v="Scarf"/>
    <x v="3"/>
    <n v="69"/>
    <x v="31"/>
    <s v="L"/>
    <s v="Lavender"/>
    <s v="Fall"/>
    <n v="3.7"/>
    <s v="Yes"/>
    <s v="Store Pickup"/>
    <s v="Yes"/>
    <s v="Yes"/>
    <n v="19"/>
    <s v="PayPal"/>
    <s v="Fortnightly"/>
    <s v="Fortnightly"/>
    <n v="3"/>
  </r>
  <r>
    <x v="44"/>
    <n v="39"/>
    <x v="0"/>
    <s v="Hat"/>
    <x v="3"/>
    <n v="53"/>
    <x v="0"/>
    <s v="S"/>
    <s v="Silver"/>
    <s v="Summer"/>
    <n v="4.5999999999999996"/>
    <s v="Yes"/>
    <s v="Free Shipping"/>
    <s v="Yes"/>
    <s v="Yes"/>
    <n v="45"/>
    <s v="PayPal"/>
    <s v="Weekly"/>
    <s v="Weekly"/>
    <n v="1"/>
  </r>
  <r>
    <x v="45"/>
    <n v="50"/>
    <x v="0"/>
    <s v="Socks"/>
    <x v="0"/>
    <n v="21"/>
    <x v="30"/>
    <s v="XL"/>
    <s v="Indigo"/>
    <s v="Fall"/>
    <n v="2.9"/>
    <s v="Yes"/>
    <s v="2-Day Shipping"/>
    <s v="Yes"/>
    <s v="Yes"/>
    <n v="25"/>
    <s v="PayPal"/>
    <s v="Annually"/>
    <s v="Annually"/>
    <n v="6"/>
  </r>
  <r>
    <x v="46"/>
    <n v="57"/>
    <x v="0"/>
    <s v="Shirt"/>
    <x v="0"/>
    <n v="43"/>
    <x v="18"/>
    <s v="L"/>
    <s v="White"/>
    <s v="Summer"/>
    <n v="2.9"/>
    <s v="Yes"/>
    <s v="Store Pickup"/>
    <s v="Yes"/>
    <s v="Yes"/>
    <n v="45"/>
    <s v="Cash"/>
    <s v="Quarterly"/>
    <s v="Quarterly"/>
    <n v="5"/>
  </r>
  <r>
    <x v="47"/>
    <n v="55"/>
    <x v="0"/>
    <s v="Jewelry"/>
    <x v="3"/>
    <n v="54"/>
    <x v="6"/>
    <s v="M"/>
    <s v="Charcoal"/>
    <s v="Winter"/>
    <n v="4.5"/>
    <s v="Yes"/>
    <s v="Free Shipping"/>
    <s v="Yes"/>
    <s v="Yes"/>
    <n v="36"/>
    <s v="Cash"/>
    <s v="Weekly"/>
    <s v="Weekly"/>
    <n v="1"/>
  </r>
  <r>
    <x v="48"/>
    <n v="42"/>
    <x v="0"/>
    <s v="Shirt"/>
    <x v="0"/>
    <n v="55"/>
    <x v="22"/>
    <s v="M"/>
    <s v="Orange"/>
    <s v="Summer"/>
    <n v="2.7"/>
    <s v="Yes"/>
    <s v="Store Pickup"/>
    <s v="Yes"/>
    <s v="Yes"/>
    <n v="38"/>
    <s v="Cash"/>
    <s v="Monthly"/>
    <s v="Monthly"/>
    <n v="4"/>
  </r>
  <r>
    <x v="49"/>
    <n v="68"/>
    <x v="0"/>
    <s v="Hoodie"/>
    <x v="0"/>
    <n v="30"/>
    <x v="32"/>
    <s v="S"/>
    <s v="Indigo"/>
    <s v="Spring"/>
    <n v="4.5999999999999996"/>
    <s v="Yes"/>
    <s v="Next Day Air"/>
    <s v="Yes"/>
    <s v="Yes"/>
    <n v="34"/>
    <s v="Debit Card"/>
    <s v="Bi-Weekly"/>
    <s v="Bi-Weekly"/>
    <n v="2"/>
  </r>
  <r>
    <x v="50"/>
    <n v="49"/>
    <x v="0"/>
    <s v="Blouse"/>
    <x v="0"/>
    <n v="28"/>
    <x v="33"/>
    <s v="M"/>
    <s v="Red"/>
    <s v="Spring"/>
    <n v="3.7"/>
    <s v="Yes"/>
    <s v="Store Pickup"/>
    <s v="Yes"/>
    <s v="Yes"/>
    <n v="39"/>
    <s v="Debit Card"/>
    <s v="Bi-Weekly"/>
    <s v="Bi-Weekly"/>
    <n v="2"/>
  </r>
  <r>
    <x v="51"/>
    <n v="59"/>
    <x v="0"/>
    <s v="Skirt"/>
    <x v="0"/>
    <n v="59"/>
    <x v="34"/>
    <s v="XL"/>
    <s v="Gray"/>
    <s v="Winter"/>
    <n v="4.7"/>
    <s v="Yes"/>
    <s v="2-Day Shipping"/>
    <s v="Yes"/>
    <s v="Yes"/>
    <n v="7"/>
    <s v="Credit Card"/>
    <s v="Quarterly"/>
    <s v="Quarterly"/>
    <n v="5"/>
  </r>
  <r>
    <x v="52"/>
    <n v="42"/>
    <x v="0"/>
    <s v="T-shirt"/>
    <x v="0"/>
    <n v="20"/>
    <x v="29"/>
    <s v="M"/>
    <s v="Green"/>
    <s v="Summer"/>
    <n v="2.6"/>
    <s v="Yes"/>
    <s v="Free Shipping"/>
    <s v="Yes"/>
    <s v="Yes"/>
    <n v="26"/>
    <s v="Credit Card"/>
    <s v="Weekly"/>
    <s v="Weekly"/>
    <n v="1"/>
  </r>
  <r>
    <x v="53"/>
    <n v="29"/>
    <x v="0"/>
    <s v="Skirt"/>
    <x v="0"/>
    <n v="24"/>
    <x v="16"/>
    <s v="S"/>
    <s v="Peach"/>
    <s v="Winter"/>
    <n v="3.9"/>
    <s v="Yes"/>
    <s v="Next Day Air"/>
    <s v="Yes"/>
    <s v="Yes"/>
    <n v="35"/>
    <s v="Credit Card"/>
    <s v="Weekly"/>
    <s v="Weekly"/>
    <n v="1"/>
  </r>
  <r>
    <x v="54"/>
    <n v="47"/>
    <x v="0"/>
    <s v="Coat"/>
    <x v="2"/>
    <n v="94"/>
    <x v="35"/>
    <s v="M"/>
    <s v="Brown"/>
    <s v="Summer"/>
    <n v="4.2"/>
    <s v="Yes"/>
    <s v="Next Day Air"/>
    <s v="Yes"/>
    <s v="Yes"/>
    <n v="35"/>
    <s v="Debit Card"/>
    <s v="Bi-Weekly"/>
    <s v="Bi-Weekly"/>
    <n v="2"/>
  </r>
  <r>
    <x v="55"/>
    <n v="40"/>
    <x v="0"/>
    <s v="Jacket"/>
    <x v="2"/>
    <n v="28"/>
    <x v="36"/>
    <s v="M"/>
    <s v="Lavender"/>
    <s v="Winter"/>
    <n v="3"/>
    <s v="Yes"/>
    <s v="2-Day Shipping"/>
    <s v="Yes"/>
    <s v="Yes"/>
    <n v="49"/>
    <s v="Credit Card"/>
    <s v="Annually"/>
    <s v="Annually"/>
    <n v="6"/>
  </r>
  <r>
    <x v="56"/>
    <n v="41"/>
    <x v="0"/>
    <s v="Backpack"/>
    <x v="3"/>
    <n v="73"/>
    <x v="16"/>
    <s v="XL"/>
    <s v="Brown"/>
    <s v="Summer"/>
    <n v="4.7"/>
    <s v="Yes"/>
    <s v="Store Pickup"/>
    <s v="Yes"/>
    <s v="Yes"/>
    <n v="46"/>
    <s v="Credit Card"/>
    <s v="Weekly"/>
    <s v="Weekly"/>
    <n v="1"/>
  </r>
  <r>
    <x v="57"/>
    <n v="21"/>
    <x v="0"/>
    <s v="Coat"/>
    <x v="2"/>
    <n v="64"/>
    <x v="8"/>
    <s v="M"/>
    <s v="White"/>
    <s v="Summer"/>
    <n v="4.4000000000000004"/>
    <s v="Yes"/>
    <s v="Store Pickup"/>
    <s v="Yes"/>
    <s v="Yes"/>
    <n v="17"/>
    <s v="Debit Card"/>
    <s v="Fortnightly"/>
    <s v="Fortnightly"/>
    <n v="3"/>
  </r>
  <r>
    <x v="58"/>
    <n v="69"/>
    <x v="0"/>
    <s v="Hoodie"/>
    <x v="0"/>
    <n v="54"/>
    <x v="9"/>
    <s v="M"/>
    <s v="Charcoal"/>
    <s v="Summer"/>
    <n v="4.2"/>
    <s v="Yes"/>
    <s v="Free Shipping"/>
    <s v="Yes"/>
    <s v="Yes"/>
    <n v="29"/>
    <s v="Venmo"/>
    <s v="Monthly"/>
    <s v="Monthly"/>
    <n v="4"/>
  </r>
  <r>
    <x v="59"/>
    <n v="63"/>
    <x v="0"/>
    <s v="Belt"/>
    <x v="3"/>
    <n v="79"/>
    <x v="7"/>
    <s v="L"/>
    <s v="Yellow"/>
    <s v="Spring"/>
    <n v="4.5999999999999996"/>
    <s v="Yes"/>
    <s v="Standard"/>
    <s v="Yes"/>
    <s v="Yes"/>
    <n v="4"/>
    <s v="Debit Card"/>
    <s v="Weekly"/>
    <s v="Weekly"/>
    <n v="1"/>
  </r>
  <r>
    <x v="60"/>
    <n v="50"/>
    <x v="0"/>
    <s v="Sweater"/>
    <x v="0"/>
    <n v="37"/>
    <x v="37"/>
    <s v="L"/>
    <s v="Brown"/>
    <s v="Summer"/>
    <n v="4"/>
    <s v="Yes"/>
    <s v="Express"/>
    <s v="Yes"/>
    <s v="Yes"/>
    <n v="17"/>
    <s v="Cash"/>
    <s v="Weekly"/>
    <s v="Weekly"/>
    <n v="1"/>
  </r>
  <r>
    <x v="61"/>
    <n v="55"/>
    <x v="0"/>
    <s v="Scarf"/>
    <x v="3"/>
    <n v="68"/>
    <x v="21"/>
    <s v="M"/>
    <s v="Orange"/>
    <s v="Winter"/>
    <n v="4.7"/>
    <s v="Yes"/>
    <s v="Store Pickup"/>
    <s v="Yes"/>
    <s v="Yes"/>
    <n v="21"/>
    <s v="Credit Card"/>
    <s v="Every 3 Months"/>
    <s v="Quarterly"/>
    <n v="5"/>
  </r>
  <r>
    <x v="62"/>
    <n v="30"/>
    <x v="0"/>
    <s v="Sneakers"/>
    <x v="1"/>
    <n v="21"/>
    <x v="16"/>
    <s v="S"/>
    <s v="Magenta"/>
    <s v="Spring"/>
    <n v="3.8"/>
    <s v="Yes"/>
    <s v="Free Shipping"/>
    <s v="Yes"/>
    <s v="Yes"/>
    <n v="31"/>
    <s v="Credit Card"/>
    <s v="Fortnightly"/>
    <s v="Fortnightly"/>
    <n v="3"/>
  </r>
  <r>
    <x v="63"/>
    <n v="33"/>
    <x v="0"/>
    <s v="Sunglasses"/>
    <x v="3"/>
    <n v="79"/>
    <x v="28"/>
    <s v="L"/>
    <s v="Lavender"/>
    <s v="Winter"/>
    <n v="2.7"/>
    <s v="Yes"/>
    <s v="2-Day Shipping"/>
    <s v="Yes"/>
    <s v="Yes"/>
    <n v="43"/>
    <s v="Credit Card"/>
    <s v="Weekly"/>
    <s v="Weekly"/>
    <n v="1"/>
  </r>
  <r>
    <x v="64"/>
    <n v="65"/>
    <x v="0"/>
    <s v="Boots"/>
    <x v="1"/>
    <n v="83"/>
    <x v="15"/>
    <s v="S"/>
    <s v="Green"/>
    <s v="Fall"/>
    <n v="4.8"/>
    <s v="Yes"/>
    <s v="Standard"/>
    <s v="Yes"/>
    <s v="Yes"/>
    <n v="18"/>
    <s v="Debit Card"/>
    <s v="Fortnightly"/>
    <s v="Fortnightly"/>
    <n v="3"/>
  </r>
  <r>
    <x v="65"/>
    <n v="65"/>
    <x v="0"/>
    <s v="Backpack"/>
    <x v="3"/>
    <n v="36"/>
    <x v="32"/>
    <s v="M"/>
    <s v="Purple"/>
    <s v="Spring"/>
    <n v="4.8"/>
    <s v="Yes"/>
    <s v="2-Day Shipping"/>
    <s v="Yes"/>
    <s v="Yes"/>
    <n v="44"/>
    <s v="Venmo"/>
    <s v="Every 3 Months"/>
    <s v="Quarterly"/>
    <n v="5"/>
  </r>
  <r>
    <x v="66"/>
    <n v="31"/>
    <x v="0"/>
    <s v="Blouse"/>
    <x v="0"/>
    <n v="94"/>
    <x v="38"/>
    <s v="S"/>
    <s v="Magenta"/>
    <s v="Winter"/>
    <n v="4.7"/>
    <s v="Yes"/>
    <s v="2-Day Shipping"/>
    <s v="Yes"/>
    <s v="Yes"/>
    <n v="3"/>
    <s v="Venmo"/>
    <s v="Every 3 Months"/>
    <s v="Quarterly"/>
    <n v="5"/>
  </r>
  <r>
    <x v="67"/>
    <n v="45"/>
    <x v="0"/>
    <s v="Coat"/>
    <x v="2"/>
    <n v="33"/>
    <x v="39"/>
    <s v="L"/>
    <s v="Gray"/>
    <s v="Winter"/>
    <n v="4.4000000000000004"/>
    <s v="Yes"/>
    <s v="Store Pickup"/>
    <s v="Yes"/>
    <s v="Yes"/>
    <n v="49"/>
    <s v="Debit Card"/>
    <s v="Monthly"/>
    <s v="Monthly"/>
    <n v="4"/>
  </r>
  <r>
    <x v="68"/>
    <n v="57"/>
    <x v="0"/>
    <s v="Handbag"/>
    <x v="3"/>
    <n v="46"/>
    <x v="40"/>
    <s v="L"/>
    <s v="Silver"/>
    <s v="Summer"/>
    <n v="3.9"/>
    <s v="Yes"/>
    <s v="Next Day Air"/>
    <s v="Yes"/>
    <s v="Yes"/>
    <n v="21"/>
    <s v="Cash"/>
    <s v="Every 3 Months"/>
    <s v="Quarterly"/>
    <n v="5"/>
  </r>
  <r>
    <x v="69"/>
    <n v="48"/>
    <x v="0"/>
    <s v="Belt"/>
    <x v="3"/>
    <n v="70"/>
    <x v="30"/>
    <s v="S"/>
    <s v="Cyan"/>
    <s v="Summer"/>
    <n v="4.4000000000000004"/>
    <s v="Yes"/>
    <s v="Express"/>
    <s v="Yes"/>
    <s v="Yes"/>
    <n v="5"/>
    <s v="Cash"/>
    <s v="Weekly"/>
    <s v="Weekly"/>
    <n v="1"/>
  </r>
  <r>
    <x v="70"/>
    <n v="22"/>
    <x v="0"/>
    <s v="Belt"/>
    <x v="3"/>
    <n v="29"/>
    <x v="15"/>
    <s v="M"/>
    <s v="Magenta"/>
    <s v="Fall"/>
    <n v="4.2"/>
    <s v="Yes"/>
    <s v="Express"/>
    <s v="Yes"/>
    <s v="Yes"/>
    <n v="32"/>
    <s v="Debit Card"/>
    <s v="Every 3 Months"/>
    <s v="Quarterly"/>
    <n v="5"/>
  </r>
  <r>
    <x v="71"/>
    <n v="36"/>
    <x v="0"/>
    <s v="Dress"/>
    <x v="0"/>
    <n v="48"/>
    <x v="41"/>
    <s v="L"/>
    <s v="Gold"/>
    <s v="Summer"/>
    <n v="2.9"/>
    <s v="Yes"/>
    <s v="Express"/>
    <s v="Yes"/>
    <s v="Yes"/>
    <n v="34"/>
    <s v="Bank Transfer"/>
    <s v="Annually"/>
    <s v="Annually"/>
    <n v="6"/>
  </r>
  <r>
    <x v="72"/>
    <n v="18"/>
    <x v="0"/>
    <s v="Dress"/>
    <x v="0"/>
    <n v="26"/>
    <x v="42"/>
    <s v="M"/>
    <s v="Olive"/>
    <s v="Winter"/>
    <n v="2.9"/>
    <s v="Yes"/>
    <s v="Store Pickup"/>
    <s v="Yes"/>
    <s v="Yes"/>
    <n v="21"/>
    <s v="Bank Transfer"/>
    <s v="Every 3 Months"/>
    <s v="Quarterly"/>
    <n v="5"/>
  </r>
  <r>
    <x v="73"/>
    <n v="48"/>
    <x v="0"/>
    <s v="Pants"/>
    <x v="0"/>
    <n v="85"/>
    <x v="11"/>
    <s v="M"/>
    <s v="Teal"/>
    <s v="Spring"/>
    <n v="2.7"/>
    <s v="Yes"/>
    <s v="Free Shipping"/>
    <s v="Yes"/>
    <s v="Yes"/>
    <n v="43"/>
    <s v="Bank Transfer"/>
    <s v="Bi-Weekly"/>
    <s v="Bi-Weekly"/>
    <n v="2"/>
  </r>
  <r>
    <x v="74"/>
    <n v="49"/>
    <x v="0"/>
    <s v="Gloves"/>
    <x v="3"/>
    <n v="58"/>
    <x v="27"/>
    <s v="L"/>
    <s v="Violet"/>
    <s v="Spring"/>
    <n v="4.5"/>
    <s v="Yes"/>
    <s v="Express"/>
    <s v="Yes"/>
    <s v="Yes"/>
    <n v="3"/>
    <s v="Cash"/>
    <s v="Monthly"/>
    <s v="Monthly"/>
    <n v="4"/>
  </r>
  <r>
    <x v="75"/>
    <n v="64"/>
    <x v="0"/>
    <s v="Scarf"/>
    <x v="3"/>
    <n v="85"/>
    <x v="40"/>
    <s v="M"/>
    <s v="Blue"/>
    <s v="Summer"/>
    <n v="2.7"/>
    <s v="Yes"/>
    <s v="Free Shipping"/>
    <s v="Yes"/>
    <s v="Yes"/>
    <n v="21"/>
    <s v="Credit Card"/>
    <s v="Annually"/>
    <s v="Annually"/>
    <n v="6"/>
  </r>
  <r>
    <x v="76"/>
    <n v="50"/>
    <x v="0"/>
    <s v="Hat"/>
    <x v="3"/>
    <n v="43"/>
    <x v="12"/>
    <s v="S"/>
    <s v="Teal"/>
    <s v="Summer"/>
    <n v="4.2"/>
    <s v="Yes"/>
    <s v="Free Shipping"/>
    <s v="Yes"/>
    <s v="Yes"/>
    <n v="32"/>
    <s v="Venmo"/>
    <s v="Monthly"/>
    <s v="Monthly"/>
    <n v="4"/>
  </r>
  <r>
    <x v="77"/>
    <n v="22"/>
    <x v="0"/>
    <s v="Dress"/>
    <x v="0"/>
    <n v="53"/>
    <x v="12"/>
    <s v="L"/>
    <s v="Gold"/>
    <s v="Summer"/>
    <n v="3.3"/>
    <s v="Yes"/>
    <s v="Next Day Air"/>
    <s v="Yes"/>
    <s v="Yes"/>
    <n v="36"/>
    <s v="Debit Card"/>
    <s v="Fortnightly"/>
    <s v="Fortnightly"/>
    <n v="3"/>
  </r>
  <r>
    <x v="78"/>
    <n v="50"/>
    <x v="0"/>
    <s v="Skirt"/>
    <x v="0"/>
    <n v="91"/>
    <x v="43"/>
    <s v="M"/>
    <s v="Maroon"/>
    <s v="Spring"/>
    <n v="4.7"/>
    <s v="Yes"/>
    <s v="Free Shipping"/>
    <s v="Yes"/>
    <s v="Yes"/>
    <n v="50"/>
    <s v="Venmo"/>
    <s v="Fortnightly"/>
    <s v="Fortnightly"/>
    <n v="3"/>
  </r>
  <r>
    <x v="79"/>
    <n v="38"/>
    <x v="0"/>
    <s v="Jacket"/>
    <x v="2"/>
    <n v="96"/>
    <x v="44"/>
    <s v="M"/>
    <s v="Olive"/>
    <s v="Winter"/>
    <n v="2.6"/>
    <s v="Yes"/>
    <s v="2-Day Shipping"/>
    <s v="Yes"/>
    <s v="Yes"/>
    <n v="43"/>
    <s v="Bank Transfer"/>
    <s v="Every 3 Months"/>
    <s v="Quarterly"/>
    <n v="5"/>
  </r>
  <r>
    <x v="80"/>
    <n v="19"/>
    <x v="0"/>
    <s v="Sandals"/>
    <x v="1"/>
    <n v="72"/>
    <x v="14"/>
    <s v="XL"/>
    <s v="Blue"/>
    <s v="Summer"/>
    <n v="3.3"/>
    <s v="Yes"/>
    <s v="Store Pickup"/>
    <s v="Yes"/>
    <s v="Yes"/>
    <n v="24"/>
    <s v="Credit Card"/>
    <s v="Every 3 Months"/>
    <s v="Quarterly"/>
    <n v="5"/>
  </r>
  <r>
    <x v="81"/>
    <n v="67"/>
    <x v="0"/>
    <s v="Shoes"/>
    <x v="1"/>
    <n v="96"/>
    <x v="41"/>
    <s v="L"/>
    <s v="Maroon"/>
    <s v="Summer"/>
    <n v="2.6"/>
    <s v="Yes"/>
    <s v="Express"/>
    <s v="Yes"/>
    <s v="Yes"/>
    <n v="36"/>
    <s v="Credit Card"/>
    <s v="Every 3 Months"/>
    <s v="Quarterly"/>
    <n v="5"/>
  </r>
  <r>
    <x v="82"/>
    <n v="19"/>
    <x v="0"/>
    <s v="Pants"/>
    <x v="0"/>
    <n v="28"/>
    <x v="42"/>
    <s v="S"/>
    <s v="Olive"/>
    <s v="Spring"/>
    <n v="4"/>
    <s v="Yes"/>
    <s v="2-Day Shipping"/>
    <s v="Yes"/>
    <s v="Yes"/>
    <n v="21"/>
    <s v="Credit Card"/>
    <s v="Every 3 Months"/>
    <s v="Quarterly"/>
    <n v="5"/>
  </r>
  <r>
    <x v="83"/>
    <n v="36"/>
    <x v="0"/>
    <s v="Dress"/>
    <x v="0"/>
    <n v="40"/>
    <x v="21"/>
    <s v="M"/>
    <s v="Turquoise"/>
    <s v="Summer"/>
    <n v="4.0999999999999996"/>
    <s v="Yes"/>
    <s v="Standard"/>
    <s v="Yes"/>
    <s v="Yes"/>
    <n v="34"/>
    <s v="Bank Transfer"/>
    <s v="Weekly"/>
    <s v="Weekly"/>
    <n v="1"/>
  </r>
  <r>
    <x v="84"/>
    <n v="52"/>
    <x v="0"/>
    <s v="Coat"/>
    <x v="2"/>
    <n v="32"/>
    <x v="28"/>
    <s v="S"/>
    <s v="Peach"/>
    <s v="Spring"/>
    <n v="4.4000000000000004"/>
    <s v="Yes"/>
    <s v="Standard"/>
    <s v="Yes"/>
    <s v="Yes"/>
    <n v="42"/>
    <s v="Bank Transfer"/>
    <s v="Every 3 Months"/>
    <s v="Quarterly"/>
    <n v="5"/>
  </r>
  <r>
    <x v="85"/>
    <n v="53"/>
    <x v="0"/>
    <s v="Sunglasses"/>
    <x v="3"/>
    <n v="95"/>
    <x v="35"/>
    <s v="M"/>
    <s v="Charcoal"/>
    <s v="Winter"/>
    <n v="4.5"/>
    <s v="Yes"/>
    <s v="Next Day Air"/>
    <s v="Yes"/>
    <s v="Yes"/>
    <n v="2"/>
    <s v="Debit Card"/>
    <s v="Bi-Weekly"/>
    <s v="Bi-Weekly"/>
    <n v="2"/>
  </r>
  <r>
    <x v="86"/>
    <n v="24"/>
    <x v="0"/>
    <s v="Hoodie"/>
    <x v="0"/>
    <n v="41"/>
    <x v="22"/>
    <s v="L"/>
    <s v="Pink"/>
    <s v="Spring"/>
    <n v="3.7"/>
    <s v="Yes"/>
    <s v="2-Day Shipping"/>
    <s v="Yes"/>
    <s v="Yes"/>
    <n v="47"/>
    <s v="Cash"/>
    <s v="Bi-Weekly"/>
    <s v="Bi-Weekly"/>
    <n v="2"/>
  </r>
  <r>
    <x v="87"/>
    <n v="52"/>
    <x v="0"/>
    <s v="Shoes"/>
    <x v="1"/>
    <n v="53"/>
    <x v="31"/>
    <s v="M"/>
    <s v="Green"/>
    <s v="Fall"/>
    <n v="3.7"/>
    <s v="Yes"/>
    <s v="2-Day Shipping"/>
    <s v="Yes"/>
    <s v="Yes"/>
    <n v="44"/>
    <s v="Debit Card"/>
    <s v="Fortnightly"/>
    <s v="Fortnightly"/>
    <n v="3"/>
  </r>
  <r>
    <x v="88"/>
    <n v="33"/>
    <x v="0"/>
    <s v="T-shirt"/>
    <x v="0"/>
    <n v="47"/>
    <x v="5"/>
    <s v="M"/>
    <s v="Orange"/>
    <s v="Fall"/>
    <n v="3.5"/>
    <s v="Yes"/>
    <s v="Free Shipping"/>
    <s v="Yes"/>
    <s v="Yes"/>
    <n v="35"/>
    <s v="Credit Card"/>
    <s v="Monthly"/>
    <s v="Monthly"/>
    <n v="4"/>
  </r>
  <r>
    <x v="89"/>
    <n v="47"/>
    <x v="0"/>
    <s v="Jacket"/>
    <x v="2"/>
    <n v="83"/>
    <x v="18"/>
    <s v="XL"/>
    <s v="Pink"/>
    <s v="Fall"/>
    <n v="3.6"/>
    <s v="Yes"/>
    <s v="Next Day Air"/>
    <s v="Yes"/>
    <s v="Yes"/>
    <n v="15"/>
    <s v="Cash"/>
    <s v="Quarterly"/>
    <s v="Quarterly"/>
    <n v="5"/>
  </r>
  <r>
    <x v="90"/>
    <n v="25"/>
    <x v="0"/>
    <s v="Hat"/>
    <x v="3"/>
    <n v="48"/>
    <x v="36"/>
    <s v="L"/>
    <s v="Violet"/>
    <s v="Summer"/>
    <n v="2.9"/>
    <s v="Yes"/>
    <s v="Express"/>
    <s v="Yes"/>
    <s v="Yes"/>
    <n v="29"/>
    <s v="Credit Card"/>
    <s v="Monthly"/>
    <s v="Monthly"/>
    <n v="4"/>
  </r>
  <r>
    <x v="91"/>
    <n v="44"/>
    <x v="0"/>
    <s v="Scarf"/>
    <x v="3"/>
    <n v="99"/>
    <x v="36"/>
    <s v="S"/>
    <s v="Green"/>
    <s v="Winter"/>
    <n v="4.5999999999999996"/>
    <s v="Yes"/>
    <s v="Standard"/>
    <s v="Yes"/>
    <s v="Yes"/>
    <n v="18"/>
    <s v="Credit Card"/>
    <s v="Every 3 Months"/>
    <s v="Quarterly"/>
    <n v="5"/>
  </r>
  <r>
    <x v="92"/>
    <n v="61"/>
    <x v="0"/>
    <s v="Jacket"/>
    <x v="2"/>
    <n v="87"/>
    <x v="21"/>
    <s v="M"/>
    <s v="Olive"/>
    <s v="Winter"/>
    <n v="4.4000000000000004"/>
    <s v="Yes"/>
    <s v="2-Day Shipping"/>
    <s v="Yes"/>
    <s v="Yes"/>
    <n v="13"/>
    <s v="Venmo"/>
    <s v="Every 3 Months"/>
    <s v="Quarterly"/>
    <n v="5"/>
  </r>
  <r>
    <x v="93"/>
    <n v="37"/>
    <x v="0"/>
    <s v="Sweater"/>
    <x v="0"/>
    <n v="62"/>
    <x v="20"/>
    <s v="M"/>
    <s v="Purple"/>
    <s v="Fall"/>
    <n v="4.5"/>
    <s v="Yes"/>
    <s v="Standard"/>
    <s v="Yes"/>
    <s v="Yes"/>
    <n v="46"/>
    <s v="Credit Card"/>
    <s v="Weekly"/>
    <s v="Weekly"/>
    <n v="1"/>
  </r>
  <r>
    <x v="94"/>
    <n v="58"/>
    <x v="0"/>
    <s v="Skirt"/>
    <x v="0"/>
    <n v="76"/>
    <x v="22"/>
    <s v="S"/>
    <s v="Silver"/>
    <s v="Spring"/>
    <n v="4.5999999999999996"/>
    <s v="Yes"/>
    <s v="Free Shipping"/>
    <s v="Yes"/>
    <s v="Yes"/>
    <n v="28"/>
    <s v="Credit Card"/>
    <s v="Weekly"/>
    <s v="Weekly"/>
    <n v="1"/>
  </r>
  <r>
    <x v="95"/>
    <n v="37"/>
    <x v="0"/>
    <s v="Sneakers"/>
    <x v="1"/>
    <n v="100"/>
    <x v="9"/>
    <s v="L"/>
    <s v="Pink"/>
    <s v="Fall"/>
    <n v="3.8"/>
    <s v="Yes"/>
    <s v="Free Shipping"/>
    <s v="Yes"/>
    <s v="Yes"/>
    <n v="48"/>
    <s v="PayPal"/>
    <s v="Monthly"/>
    <s v="Monthly"/>
    <n v="4"/>
  </r>
  <r>
    <x v="96"/>
    <n v="32"/>
    <x v="0"/>
    <s v="Gloves"/>
    <x v="3"/>
    <n v="73"/>
    <x v="12"/>
    <s v="S"/>
    <s v="Gold"/>
    <s v="Spring"/>
    <n v="3.6"/>
    <s v="Yes"/>
    <s v="Express"/>
    <s v="Yes"/>
    <s v="Yes"/>
    <n v="43"/>
    <s v="Venmo"/>
    <s v="Every 3 Months"/>
    <s v="Quarterly"/>
    <n v="5"/>
  </r>
  <r>
    <x v="97"/>
    <n v="21"/>
    <x v="0"/>
    <s v="Shoes"/>
    <x v="1"/>
    <n v="92"/>
    <x v="41"/>
    <s v="M"/>
    <s v="Teal"/>
    <s v="Winter"/>
    <n v="4.8"/>
    <s v="Yes"/>
    <s v="Store Pickup"/>
    <s v="Yes"/>
    <s v="Yes"/>
    <n v="37"/>
    <s v="Cash"/>
    <s v="Annually"/>
    <s v="Annually"/>
    <n v="6"/>
  </r>
  <r>
    <x v="98"/>
    <n v="20"/>
    <x v="0"/>
    <s v="Jeans"/>
    <x v="0"/>
    <n v="67"/>
    <x v="14"/>
    <s v="XL"/>
    <s v="Teal"/>
    <s v="Spring"/>
    <n v="2.6"/>
    <s v="Yes"/>
    <s v="Next Day Air"/>
    <s v="Yes"/>
    <s v="Yes"/>
    <n v="20"/>
    <s v="Bank Transfer"/>
    <s v="Annually"/>
    <s v="Annually"/>
    <n v="6"/>
  </r>
  <r>
    <x v="99"/>
    <n v="26"/>
    <x v="0"/>
    <s v="Hoodie"/>
    <x v="0"/>
    <n v="40"/>
    <x v="9"/>
    <s v="XL"/>
    <s v="Indigo"/>
    <s v="Summer"/>
    <n v="3.7"/>
    <s v="Yes"/>
    <s v="Express"/>
    <s v="Yes"/>
    <s v="Yes"/>
    <n v="33"/>
    <s v="Debit Card"/>
    <s v="Quarterly"/>
    <s v="Quarterly"/>
    <n v="5"/>
  </r>
  <r>
    <x v="100"/>
    <n v="62"/>
    <x v="0"/>
    <s v="Sunglasses"/>
    <x v="3"/>
    <n v="98"/>
    <x v="45"/>
    <s v="M"/>
    <s v="Maroon"/>
    <s v="Fall"/>
    <n v="2.7"/>
    <s v="Yes"/>
    <s v="Express"/>
    <s v="Yes"/>
    <s v="Yes"/>
    <n v="31"/>
    <s v="Cash"/>
    <s v="Fortnightly"/>
    <s v="Fortnightly"/>
    <n v="3"/>
  </r>
  <r>
    <x v="101"/>
    <n v="27"/>
    <x v="0"/>
    <s v="Coat"/>
    <x v="2"/>
    <n v="85"/>
    <x v="25"/>
    <s v="XL"/>
    <s v="White"/>
    <s v="Spring"/>
    <n v="4.5999999999999996"/>
    <s v="Yes"/>
    <s v="Express"/>
    <s v="Yes"/>
    <s v="Yes"/>
    <n v="50"/>
    <s v="Credit Card"/>
    <s v="Bi-Weekly"/>
    <s v="Bi-Weekly"/>
    <n v="2"/>
  </r>
  <r>
    <x v="102"/>
    <n v="51"/>
    <x v="0"/>
    <s v="Socks"/>
    <x v="0"/>
    <n v="67"/>
    <x v="19"/>
    <s v="L"/>
    <s v="Violet"/>
    <s v="Winter"/>
    <n v="4.8"/>
    <s v="Yes"/>
    <s v="Next Day Air"/>
    <s v="Yes"/>
    <s v="Yes"/>
    <n v="35"/>
    <s v="Credit Card"/>
    <s v="Quarterly"/>
    <s v="Quarterly"/>
    <n v="5"/>
  </r>
  <r>
    <x v="103"/>
    <n v="54"/>
    <x v="0"/>
    <s v="Boots"/>
    <x v="1"/>
    <n v="89"/>
    <x v="8"/>
    <s v="L"/>
    <s v="Red"/>
    <s v="Winter"/>
    <n v="4"/>
    <s v="Yes"/>
    <s v="Next Day Air"/>
    <s v="Yes"/>
    <s v="Yes"/>
    <n v="22"/>
    <s v="Venmo"/>
    <s v="Bi-Weekly"/>
    <s v="Bi-Weekly"/>
    <n v="2"/>
  </r>
  <r>
    <x v="104"/>
    <n v="55"/>
    <x v="0"/>
    <s v="Sunglasses"/>
    <x v="3"/>
    <n v="24"/>
    <x v="13"/>
    <s v="L"/>
    <s v="Pink"/>
    <s v="Spring"/>
    <n v="4.4000000000000004"/>
    <s v="Yes"/>
    <s v="2-Day Shipping"/>
    <s v="Yes"/>
    <s v="Yes"/>
    <n v="1"/>
    <s v="PayPal"/>
    <s v="Monthly"/>
    <s v="Monthly"/>
    <n v="4"/>
  </r>
  <r>
    <x v="105"/>
    <n v="69"/>
    <x v="0"/>
    <s v="Backpack"/>
    <x v="3"/>
    <n v="96"/>
    <x v="14"/>
    <s v="M"/>
    <s v="Charcoal"/>
    <s v="Fall"/>
    <n v="3.6"/>
    <s v="Yes"/>
    <s v="Next Day Air"/>
    <s v="Yes"/>
    <s v="Yes"/>
    <n v="4"/>
    <s v="Bank Transfer"/>
    <s v="Annually"/>
    <s v="Annually"/>
    <n v="6"/>
  </r>
  <r>
    <x v="106"/>
    <n v="64"/>
    <x v="0"/>
    <s v="Jacket"/>
    <x v="2"/>
    <n v="35"/>
    <x v="46"/>
    <s v="L"/>
    <s v="White"/>
    <s v="Summer"/>
    <n v="3.7"/>
    <s v="Yes"/>
    <s v="Standard"/>
    <s v="Yes"/>
    <s v="Yes"/>
    <n v="31"/>
    <s v="Credit Card"/>
    <s v="Monthly"/>
    <s v="Monthly"/>
    <n v="4"/>
  </r>
  <r>
    <x v="107"/>
    <n v="28"/>
    <x v="0"/>
    <s v="Sneakers"/>
    <x v="1"/>
    <n v="67"/>
    <x v="33"/>
    <s v="L"/>
    <s v="Olive"/>
    <s v="Winter"/>
    <n v="3.1"/>
    <s v="Yes"/>
    <s v="Next Day Air"/>
    <s v="Yes"/>
    <s v="Yes"/>
    <n v="46"/>
    <s v="PayPal"/>
    <s v="Fortnightly"/>
    <s v="Fortnightly"/>
    <n v="3"/>
  </r>
  <r>
    <x v="108"/>
    <n v="70"/>
    <x v="0"/>
    <s v="Socks"/>
    <x v="0"/>
    <n v="79"/>
    <x v="6"/>
    <s v="L"/>
    <s v="Purple"/>
    <s v="Spring"/>
    <n v="3.4"/>
    <s v="Yes"/>
    <s v="Next Day Air"/>
    <s v="Yes"/>
    <s v="Yes"/>
    <n v="32"/>
    <s v="Bank Transfer"/>
    <s v="Bi-Weekly"/>
    <s v="Bi-Weekly"/>
    <n v="2"/>
  </r>
  <r>
    <x v="109"/>
    <n v="58"/>
    <x v="0"/>
    <s v="T-shirt"/>
    <x v="0"/>
    <n v="85"/>
    <x v="15"/>
    <s v="M"/>
    <s v="Violet"/>
    <s v="Spring"/>
    <n v="2.6"/>
    <s v="Yes"/>
    <s v="Next Day Air"/>
    <s v="Yes"/>
    <s v="Yes"/>
    <n v="43"/>
    <s v="Bank Transfer"/>
    <s v="Fortnightly"/>
    <s v="Fortnightly"/>
    <n v="3"/>
  </r>
  <r>
    <x v="110"/>
    <n v="56"/>
    <x v="0"/>
    <s v="Backpack"/>
    <x v="3"/>
    <n v="26"/>
    <x v="14"/>
    <s v="M"/>
    <s v="Black"/>
    <s v="Summer"/>
    <n v="4"/>
    <s v="Yes"/>
    <s v="Standard"/>
    <s v="Yes"/>
    <s v="Yes"/>
    <n v="26"/>
    <s v="Venmo"/>
    <s v="Fortnightly"/>
    <s v="Fortnightly"/>
    <n v="3"/>
  </r>
  <r>
    <x v="111"/>
    <n v="26"/>
    <x v="0"/>
    <s v="Belt"/>
    <x v="3"/>
    <n v="75"/>
    <x v="2"/>
    <s v="L"/>
    <s v="Purple"/>
    <s v="Summer"/>
    <n v="5"/>
    <s v="Yes"/>
    <s v="Free Shipping"/>
    <s v="Yes"/>
    <s v="Yes"/>
    <n v="9"/>
    <s v="Credit Card"/>
    <s v="Annually"/>
    <s v="Annually"/>
    <n v="6"/>
  </r>
  <r>
    <x v="112"/>
    <n v="37"/>
    <x v="0"/>
    <s v="Gloves"/>
    <x v="3"/>
    <n v="65"/>
    <x v="20"/>
    <s v="M"/>
    <s v="Red"/>
    <s v="Spring"/>
    <n v="4.3"/>
    <s v="Yes"/>
    <s v="Free Shipping"/>
    <s v="Yes"/>
    <s v="Yes"/>
    <n v="28"/>
    <s v="PayPal"/>
    <s v="Bi-Weekly"/>
    <s v="Bi-Weekly"/>
    <n v="2"/>
  </r>
  <r>
    <x v="113"/>
    <n v="44"/>
    <x v="0"/>
    <s v="Hat"/>
    <x v="3"/>
    <n v="54"/>
    <x v="32"/>
    <s v="L"/>
    <s v="Maroon"/>
    <s v="Winter"/>
    <n v="3.1"/>
    <s v="Yes"/>
    <s v="Next Day Air"/>
    <s v="Yes"/>
    <s v="Yes"/>
    <n v="20"/>
    <s v="PayPal"/>
    <s v="Quarterly"/>
    <s v="Quarterly"/>
    <n v="5"/>
  </r>
  <r>
    <x v="114"/>
    <n v="70"/>
    <x v="0"/>
    <s v="Coat"/>
    <x v="2"/>
    <n v="95"/>
    <x v="2"/>
    <s v="S"/>
    <s v="Blue"/>
    <s v="Summer"/>
    <n v="3.7"/>
    <s v="Yes"/>
    <s v="Store Pickup"/>
    <s v="Yes"/>
    <s v="Yes"/>
    <n v="9"/>
    <s v="Cash"/>
    <s v="Weekly"/>
    <s v="Weekly"/>
    <n v="1"/>
  </r>
  <r>
    <x v="115"/>
    <n v="53"/>
    <x v="0"/>
    <s v="Skirt"/>
    <x v="0"/>
    <n v="94"/>
    <x v="5"/>
    <s v="M"/>
    <s v="Gray"/>
    <s v="Spring"/>
    <n v="3.8"/>
    <s v="Yes"/>
    <s v="Standard"/>
    <s v="Yes"/>
    <s v="Yes"/>
    <n v="48"/>
    <s v="Debit Card"/>
    <s v="Every 3 Months"/>
    <s v="Quarterly"/>
    <n v="5"/>
  </r>
  <r>
    <x v="116"/>
    <n v="55"/>
    <x v="0"/>
    <s v="Shoes"/>
    <x v="1"/>
    <n v="86"/>
    <x v="41"/>
    <s v="S"/>
    <s v="Blue"/>
    <s v="Spring"/>
    <n v="3.4"/>
    <s v="Yes"/>
    <s v="Free Shipping"/>
    <s v="Yes"/>
    <s v="Yes"/>
    <n v="12"/>
    <s v="Venmo"/>
    <s v="Annually"/>
    <s v="Annually"/>
    <n v="6"/>
  </r>
  <r>
    <x v="117"/>
    <n v="50"/>
    <x v="0"/>
    <s v="Sandals"/>
    <x v="1"/>
    <n v="32"/>
    <x v="45"/>
    <s v="L"/>
    <s v="Yellow"/>
    <s v="Summer"/>
    <n v="4.5999999999999996"/>
    <s v="Yes"/>
    <s v="Express"/>
    <s v="Yes"/>
    <s v="Yes"/>
    <n v="29"/>
    <s v="Cash"/>
    <s v="Fortnightly"/>
    <s v="Fortnightly"/>
    <n v="3"/>
  </r>
  <r>
    <x v="118"/>
    <n v="50"/>
    <x v="0"/>
    <s v="Sweater"/>
    <x v="0"/>
    <n v="45"/>
    <x v="0"/>
    <s v="L"/>
    <s v="Orange"/>
    <s v="Fall"/>
    <n v="4.8"/>
    <s v="Yes"/>
    <s v="2-Day Shipping"/>
    <s v="Yes"/>
    <s v="Yes"/>
    <n v="27"/>
    <s v="Cash"/>
    <s v="Bi-Weekly"/>
    <s v="Bi-Weekly"/>
    <n v="2"/>
  </r>
  <r>
    <x v="119"/>
    <n v="38"/>
    <x v="0"/>
    <s v="Coat"/>
    <x v="2"/>
    <n v="76"/>
    <x v="5"/>
    <s v="M"/>
    <s v="Orange"/>
    <s v="Fall"/>
    <n v="4.3"/>
    <s v="Yes"/>
    <s v="Express"/>
    <s v="Yes"/>
    <s v="Yes"/>
    <n v="44"/>
    <s v="Cash"/>
    <s v="Annually"/>
    <s v="Annually"/>
    <n v="6"/>
  </r>
  <r>
    <x v="120"/>
    <n v="64"/>
    <x v="0"/>
    <s v="Hat"/>
    <x v="3"/>
    <n v="84"/>
    <x v="8"/>
    <s v="L"/>
    <s v="Red"/>
    <s v="Summer"/>
    <n v="4"/>
    <s v="Yes"/>
    <s v="Express"/>
    <s v="Yes"/>
    <s v="Yes"/>
    <n v="32"/>
    <s v="Bank Transfer"/>
    <s v="Annually"/>
    <s v="Annually"/>
    <n v="6"/>
  </r>
  <r>
    <x v="121"/>
    <n v="19"/>
    <x v="0"/>
    <s v="Shorts"/>
    <x v="0"/>
    <n v="72"/>
    <x v="41"/>
    <s v="M"/>
    <s v="Olive"/>
    <s v="Winter"/>
    <n v="4.2"/>
    <s v="Yes"/>
    <s v="Standard"/>
    <s v="Yes"/>
    <s v="Yes"/>
    <n v="11"/>
    <s v="Cash"/>
    <s v="Fortnightly"/>
    <s v="Fortnightly"/>
    <n v="3"/>
  </r>
  <r>
    <x v="122"/>
    <n v="40"/>
    <x v="0"/>
    <s v="Backpack"/>
    <x v="3"/>
    <n v="40"/>
    <x v="47"/>
    <s v="L"/>
    <s v="Brown"/>
    <s v="Spring"/>
    <n v="4.8"/>
    <s v="Yes"/>
    <s v="2-Day Shipping"/>
    <s v="Yes"/>
    <s v="Yes"/>
    <n v="44"/>
    <s v="Cash"/>
    <s v="Fortnightly"/>
    <s v="Fortnightly"/>
    <n v="3"/>
  </r>
  <r>
    <x v="123"/>
    <n v="57"/>
    <x v="0"/>
    <s v="Sweater"/>
    <x v="0"/>
    <n v="89"/>
    <x v="7"/>
    <s v="L"/>
    <s v="Brown"/>
    <s v="Fall"/>
    <n v="3.1"/>
    <s v="Yes"/>
    <s v="Free Shipping"/>
    <s v="Yes"/>
    <s v="Yes"/>
    <n v="46"/>
    <s v="Cash"/>
    <s v="Weekly"/>
    <s v="Weekly"/>
    <n v="1"/>
  </r>
  <r>
    <x v="124"/>
    <n v="44"/>
    <x v="0"/>
    <s v="Sweater"/>
    <x v="0"/>
    <n v="86"/>
    <x v="22"/>
    <s v="M"/>
    <s v="Gray"/>
    <s v="Spring"/>
    <n v="3.1"/>
    <s v="Yes"/>
    <s v="Next Day Air"/>
    <s v="Yes"/>
    <s v="Yes"/>
    <n v="50"/>
    <s v="PayPal"/>
    <s v="Annually"/>
    <s v="Annually"/>
    <n v="6"/>
  </r>
  <r>
    <x v="125"/>
    <n v="49"/>
    <x v="0"/>
    <s v="Shorts"/>
    <x v="0"/>
    <n v="54"/>
    <x v="18"/>
    <s v="M"/>
    <s v="Indigo"/>
    <s v="Winter"/>
    <n v="3.6"/>
    <s v="Yes"/>
    <s v="Next Day Air"/>
    <s v="Yes"/>
    <s v="Yes"/>
    <n v="45"/>
    <s v="Venmo"/>
    <s v="Every 3 Months"/>
    <s v="Quarterly"/>
    <n v="5"/>
  </r>
  <r>
    <x v="126"/>
    <n v="43"/>
    <x v="0"/>
    <s v="Shorts"/>
    <x v="0"/>
    <n v="36"/>
    <x v="16"/>
    <s v="L"/>
    <s v="Pink"/>
    <s v="Spring"/>
    <n v="3.9"/>
    <s v="Yes"/>
    <s v="Store Pickup"/>
    <s v="Yes"/>
    <s v="Yes"/>
    <n v="48"/>
    <s v="Cash"/>
    <s v="Every 3 Months"/>
    <s v="Quarterly"/>
    <n v="5"/>
  </r>
  <r>
    <x v="127"/>
    <n v="24"/>
    <x v="0"/>
    <s v="Sweater"/>
    <x v="0"/>
    <n v="89"/>
    <x v="16"/>
    <s v="M"/>
    <s v="Gray"/>
    <s v="Winter"/>
    <n v="4.8"/>
    <s v="Yes"/>
    <s v="Next Day Air"/>
    <s v="Yes"/>
    <s v="Yes"/>
    <n v="26"/>
    <s v="Credit Card"/>
    <s v="Weekly"/>
    <s v="Weekly"/>
    <n v="1"/>
  </r>
  <r>
    <x v="128"/>
    <n v="20"/>
    <x v="0"/>
    <s v="Scarf"/>
    <x v="3"/>
    <n v="32"/>
    <x v="18"/>
    <s v="M"/>
    <s v="Gold"/>
    <s v="Spring"/>
    <n v="4.7"/>
    <s v="Yes"/>
    <s v="Standard"/>
    <s v="Yes"/>
    <s v="Yes"/>
    <n v="21"/>
    <s v="Credit Card"/>
    <s v="Fortnightly"/>
    <s v="Fortnightly"/>
    <n v="3"/>
  </r>
  <r>
    <x v="129"/>
    <n v="24"/>
    <x v="0"/>
    <s v="Dress"/>
    <x v="0"/>
    <n v="67"/>
    <x v="38"/>
    <s v="XL"/>
    <s v="Olive"/>
    <s v="Summer"/>
    <n v="4.2"/>
    <s v="Yes"/>
    <s v="2-Day Shipping"/>
    <s v="Yes"/>
    <s v="Yes"/>
    <n v="49"/>
    <s v="PayPal"/>
    <s v="Bi-Weekly"/>
    <s v="Bi-Weekly"/>
    <n v="2"/>
  </r>
  <r>
    <x v="130"/>
    <n v="44"/>
    <x v="0"/>
    <s v="Scarf"/>
    <x v="3"/>
    <n v="39"/>
    <x v="0"/>
    <s v="L"/>
    <s v="Violet"/>
    <s v="Fall"/>
    <n v="3.7"/>
    <s v="Yes"/>
    <s v="Next Day Air"/>
    <s v="Yes"/>
    <s v="Yes"/>
    <n v="13"/>
    <s v="PayPal"/>
    <s v="Fortnightly"/>
    <s v="Fortnightly"/>
    <n v="3"/>
  </r>
  <r>
    <x v="131"/>
    <n v="28"/>
    <x v="0"/>
    <s v="Skirt"/>
    <x v="0"/>
    <n v="29"/>
    <x v="1"/>
    <s v="L"/>
    <s v="Indigo"/>
    <s v="Summer"/>
    <n v="3.9"/>
    <s v="Yes"/>
    <s v="Standard"/>
    <s v="Yes"/>
    <s v="Yes"/>
    <n v="46"/>
    <s v="Credit Card"/>
    <s v="Weekly"/>
    <s v="Weekly"/>
    <n v="1"/>
  </r>
  <r>
    <x v="132"/>
    <n v="30"/>
    <x v="0"/>
    <s v="Backpack"/>
    <x v="3"/>
    <n v="58"/>
    <x v="35"/>
    <s v="M"/>
    <s v="Orange"/>
    <s v="Fall"/>
    <n v="4.7"/>
    <s v="Yes"/>
    <s v="2-Day Shipping"/>
    <s v="Yes"/>
    <s v="Yes"/>
    <n v="42"/>
    <s v="PayPal"/>
    <s v="Weekly"/>
    <s v="Weekly"/>
    <n v="1"/>
  </r>
  <r>
    <x v="133"/>
    <n v="52"/>
    <x v="0"/>
    <s v="Sweater"/>
    <x v="0"/>
    <n v="65"/>
    <x v="6"/>
    <s v="M"/>
    <s v="Violet"/>
    <s v="Winter"/>
    <n v="2.5"/>
    <s v="Yes"/>
    <s v="Next Day Air"/>
    <s v="Yes"/>
    <s v="Yes"/>
    <n v="25"/>
    <s v="Venmo"/>
    <s v="Annually"/>
    <s v="Annually"/>
    <n v="6"/>
  </r>
  <r>
    <x v="134"/>
    <n v="43"/>
    <x v="0"/>
    <s v="Hat"/>
    <x v="3"/>
    <n v="94"/>
    <x v="21"/>
    <s v="L"/>
    <s v="Gray"/>
    <s v="Fall"/>
    <n v="4.9000000000000004"/>
    <s v="Yes"/>
    <s v="Store Pickup"/>
    <s v="Yes"/>
    <s v="Yes"/>
    <n v="25"/>
    <s v="Cash"/>
    <s v="Monthly"/>
    <s v="Monthly"/>
    <n v="4"/>
  </r>
  <r>
    <x v="135"/>
    <n v="43"/>
    <x v="0"/>
    <s v="Sandals"/>
    <x v="1"/>
    <n v="81"/>
    <x v="23"/>
    <s v="M"/>
    <s v="Purple"/>
    <s v="Fall"/>
    <n v="4.0999999999999996"/>
    <s v="Yes"/>
    <s v="Express"/>
    <s v="Yes"/>
    <s v="Yes"/>
    <n v="12"/>
    <s v="PayPal"/>
    <s v="Quarterly"/>
    <s v="Quarterly"/>
    <n v="5"/>
  </r>
  <r>
    <x v="136"/>
    <n v="39"/>
    <x v="0"/>
    <s v="Blouse"/>
    <x v="0"/>
    <n v="86"/>
    <x v="36"/>
    <s v="M"/>
    <s v="White"/>
    <s v="Winter"/>
    <n v="3.3"/>
    <s v="Yes"/>
    <s v="Free Shipping"/>
    <s v="Yes"/>
    <s v="Yes"/>
    <n v="4"/>
    <s v="Debit Card"/>
    <s v="Quarterly"/>
    <s v="Quarterly"/>
    <n v="5"/>
  </r>
  <r>
    <x v="137"/>
    <n v="68"/>
    <x v="0"/>
    <s v="Sneakers"/>
    <x v="1"/>
    <n v="43"/>
    <x v="24"/>
    <s v="M"/>
    <s v="Turquoise"/>
    <s v="Spring"/>
    <n v="4.7"/>
    <s v="Yes"/>
    <s v="Free Shipping"/>
    <s v="Yes"/>
    <s v="Yes"/>
    <n v="38"/>
    <s v="PayPal"/>
    <s v="Weekly"/>
    <s v="Weekly"/>
    <n v="1"/>
  </r>
  <r>
    <x v="138"/>
    <n v="68"/>
    <x v="0"/>
    <s v="Skirt"/>
    <x v="0"/>
    <n v="29"/>
    <x v="42"/>
    <s v="M"/>
    <s v="Maroon"/>
    <s v="Winter"/>
    <n v="4.4000000000000004"/>
    <s v="Yes"/>
    <s v="Store Pickup"/>
    <s v="Yes"/>
    <s v="Yes"/>
    <n v="42"/>
    <s v="Bank Transfer"/>
    <s v="Weekly"/>
    <s v="Weekly"/>
    <n v="1"/>
  </r>
  <r>
    <x v="139"/>
    <n v="49"/>
    <x v="0"/>
    <s v="Coat"/>
    <x v="2"/>
    <n v="95"/>
    <x v="20"/>
    <s v="M"/>
    <s v="White"/>
    <s v="Fall"/>
    <n v="3.8"/>
    <s v="Yes"/>
    <s v="Store Pickup"/>
    <s v="Yes"/>
    <s v="Yes"/>
    <n v="30"/>
    <s v="Venmo"/>
    <s v="Annually"/>
    <s v="Annually"/>
    <n v="6"/>
  </r>
  <r>
    <x v="140"/>
    <n v="63"/>
    <x v="0"/>
    <s v="Shirt"/>
    <x v="0"/>
    <n v="28"/>
    <x v="17"/>
    <s v="L"/>
    <s v="Yellow"/>
    <s v="Fall"/>
    <n v="3.9"/>
    <s v="Yes"/>
    <s v="2-Day Shipping"/>
    <s v="Yes"/>
    <s v="Yes"/>
    <n v="50"/>
    <s v="Credit Card"/>
    <s v="Weekly"/>
    <s v="Weekly"/>
    <n v="1"/>
  </r>
  <r>
    <x v="141"/>
    <n v="56"/>
    <x v="0"/>
    <s v="Gloves"/>
    <x v="3"/>
    <n v="46"/>
    <x v="41"/>
    <s v="M"/>
    <s v="Turquoise"/>
    <s v="Fall"/>
    <n v="4.9000000000000004"/>
    <s v="Yes"/>
    <s v="Free Shipping"/>
    <s v="Yes"/>
    <s v="Yes"/>
    <n v="45"/>
    <s v="PayPal"/>
    <s v="Weekly"/>
    <s v="Weekly"/>
    <n v="1"/>
  </r>
  <r>
    <x v="142"/>
    <n v="37"/>
    <x v="0"/>
    <s v="Jacket"/>
    <x v="2"/>
    <n v="58"/>
    <x v="43"/>
    <s v="L"/>
    <s v="Violet"/>
    <s v="Fall"/>
    <n v="3.1"/>
    <s v="Yes"/>
    <s v="Free Shipping"/>
    <s v="Yes"/>
    <s v="Yes"/>
    <n v="33"/>
    <s v="Credit Card"/>
    <s v="Fortnightly"/>
    <s v="Fortnightly"/>
    <n v="3"/>
  </r>
  <r>
    <x v="143"/>
    <n v="30"/>
    <x v="0"/>
    <s v="Coat"/>
    <x v="2"/>
    <n v="48"/>
    <x v="9"/>
    <s v="M"/>
    <s v="Beige"/>
    <s v="Fall"/>
    <n v="2.7"/>
    <s v="Yes"/>
    <s v="Store Pickup"/>
    <s v="Yes"/>
    <s v="Yes"/>
    <n v="25"/>
    <s v="PayPal"/>
    <s v="Quarterly"/>
    <s v="Quarterly"/>
    <n v="5"/>
  </r>
  <r>
    <x v="144"/>
    <n v="19"/>
    <x v="0"/>
    <s v="Shoes"/>
    <x v="1"/>
    <n v="43"/>
    <x v="32"/>
    <s v="M"/>
    <s v="Silver"/>
    <s v="Fall"/>
    <n v="3.2"/>
    <s v="Yes"/>
    <s v="Express"/>
    <s v="Yes"/>
    <s v="Yes"/>
    <n v="25"/>
    <s v="Cash"/>
    <s v="Monthly"/>
    <s v="Monthly"/>
    <n v="4"/>
  </r>
  <r>
    <x v="145"/>
    <n v="24"/>
    <x v="0"/>
    <s v="Jewelry"/>
    <x v="3"/>
    <n v="95"/>
    <x v="9"/>
    <s v="M"/>
    <s v="Teal"/>
    <s v="Fall"/>
    <n v="4.5"/>
    <s v="Yes"/>
    <s v="Standard"/>
    <s v="Yes"/>
    <s v="Yes"/>
    <n v="44"/>
    <s v="Debit Card"/>
    <s v="Quarterly"/>
    <s v="Quarterly"/>
    <n v="5"/>
  </r>
  <r>
    <x v="146"/>
    <n v="52"/>
    <x v="0"/>
    <s v="Skirt"/>
    <x v="0"/>
    <n v="30"/>
    <x v="24"/>
    <s v="S"/>
    <s v="Black"/>
    <s v="Fall"/>
    <n v="4"/>
    <s v="Yes"/>
    <s v="Standard"/>
    <s v="Yes"/>
    <s v="Yes"/>
    <n v="21"/>
    <s v="Venmo"/>
    <s v="Fortnightly"/>
    <s v="Fortnightly"/>
    <n v="3"/>
  </r>
  <r>
    <x v="147"/>
    <n v="63"/>
    <x v="0"/>
    <s v="Shoes"/>
    <x v="1"/>
    <n v="64"/>
    <x v="37"/>
    <s v="M"/>
    <s v="Purple"/>
    <s v="Summer"/>
    <n v="3.5"/>
    <s v="Yes"/>
    <s v="2-Day Shipping"/>
    <s v="Yes"/>
    <s v="Yes"/>
    <n v="31"/>
    <s v="Bank Transfer"/>
    <s v="Fortnightly"/>
    <s v="Fortnightly"/>
    <n v="3"/>
  </r>
  <r>
    <x v="148"/>
    <n v="37"/>
    <x v="0"/>
    <s v="Gloves"/>
    <x v="3"/>
    <n v="90"/>
    <x v="5"/>
    <s v="M"/>
    <s v="Gray"/>
    <s v="Fall"/>
    <n v="2.6"/>
    <s v="Yes"/>
    <s v="Store Pickup"/>
    <s v="Yes"/>
    <s v="Yes"/>
    <n v="47"/>
    <s v="Debit Card"/>
    <s v="Annually"/>
    <s v="Annually"/>
    <n v="6"/>
  </r>
  <r>
    <x v="149"/>
    <n v="38"/>
    <x v="0"/>
    <s v="Pants"/>
    <x v="0"/>
    <n v="76"/>
    <x v="12"/>
    <s v="M"/>
    <s v="White"/>
    <s v="Summer"/>
    <n v="3.2"/>
    <s v="Yes"/>
    <s v="Free Shipping"/>
    <s v="Yes"/>
    <s v="Yes"/>
    <n v="14"/>
    <s v="PayPal"/>
    <s v="Monthly"/>
    <s v="Monthly"/>
    <n v="4"/>
  </r>
  <r>
    <x v="150"/>
    <n v="35"/>
    <x v="0"/>
    <s v="Boots"/>
    <x v="1"/>
    <n v="96"/>
    <x v="18"/>
    <s v="L"/>
    <s v="Cyan"/>
    <s v="Fall"/>
    <n v="4.9000000000000004"/>
    <s v="Yes"/>
    <s v="Standard"/>
    <s v="Yes"/>
    <s v="Yes"/>
    <n v="17"/>
    <s v="Debit Card"/>
    <s v="Every 3 Months"/>
    <s v="Quarterly"/>
    <n v="5"/>
  </r>
  <r>
    <x v="151"/>
    <n v="28"/>
    <x v="0"/>
    <s v="Sunglasses"/>
    <x v="3"/>
    <n v="47"/>
    <x v="25"/>
    <s v="L"/>
    <s v="Turquoise"/>
    <s v="Fall"/>
    <n v="4.5"/>
    <s v="Yes"/>
    <s v="Next Day Air"/>
    <s v="Yes"/>
    <s v="Yes"/>
    <n v="3"/>
    <s v="Venmo"/>
    <s v="Annually"/>
    <s v="Annually"/>
    <n v="6"/>
  </r>
  <r>
    <x v="152"/>
    <n v="30"/>
    <x v="0"/>
    <s v="Shirt"/>
    <x v="0"/>
    <n v="85"/>
    <x v="36"/>
    <s v="S"/>
    <s v="Brown"/>
    <s v="Summer"/>
    <n v="4.3"/>
    <s v="Yes"/>
    <s v="Express"/>
    <s v="Yes"/>
    <s v="Yes"/>
    <n v="42"/>
    <s v="Venmo"/>
    <s v="Annually"/>
    <s v="Annually"/>
    <n v="6"/>
  </r>
  <r>
    <x v="153"/>
    <n v="69"/>
    <x v="0"/>
    <s v="Hoodie"/>
    <x v="0"/>
    <n v="55"/>
    <x v="17"/>
    <s v="M"/>
    <s v="Maroon"/>
    <s v="Winter"/>
    <n v="3.2"/>
    <s v="Yes"/>
    <s v="Standard"/>
    <s v="Yes"/>
    <s v="Yes"/>
    <n v="22"/>
    <s v="Debit Card"/>
    <s v="Annually"/>
    <s v="Annually"/>
    <n v="6"/>
  </r>
  <r>
    <x v="154"/>
    <n v="41"/>
    <x v="0"/>
    <s v="Dress"/>
    <x v="0"/>
    <n v="98"/>
    <x v="19"/>
    <s v="M"/>
    <s v="Charcoal"/>
    <s v="Fall"/>
    <n v="3.6"/>
    <s v="Yes"/>
    <s v="Next Day Air"/>
    <s v="Yes"/>
    <s v="Yes"/>
    <n v="21"/>
    <s v="Venmo"/>
    <s v="Quarterly"/>
    <s v="Quarterly"/>
    <n v="5"/>
  </r>
  <r>
    <x v="155"/>
    <n v="63"/>
    <x v="0"/>
    <s v="Socks"/>
    <x v="0"/>
    <n v="77"/>
    <x v="1"/>
    <s v="S"/>
    <s v="Olive"/>
    <s v="Spring"/>
    <n v="4.3"/>
    <s v="Yes"/>
    <s v="Free Shipping"/>
    <s v="Yes"/>
    <s v="Yes"/>
    <n v="21"/>
    <s v="Bank Transfer"/>
    <s v="Quarterly"/>
    <s v="Quarterly"/>
    <n v="5"/>
  </r>
  <r>
    <x v="156"/>
    <n v="35"/>
    <x v="0"/>
    <s v="Shorts"/>
    <x v="0"/>
    <n v="26"/>
    <x v="9"/>
    <s v="M"/>
    <s v="Lavender"/>
    <s v="Fall"/>
    <n v="4"/>
    <s v="Yes"/>
    <s v="Standard"/>
    <s v="Yes"/>
    <s v="Yes"/>
    <n v="40"/>
    <s v="Debit Card"/>
    <s v="Annually"/>
    <s v="Annually"/>
    <n v="6"/>
  </r>
  <r>
    <x v="157"/>
    <n v="36"/>
    <x v="0"/>
    <s v="Hat"/>
    <x v="3"/>
    <n v="68"/>
    <x v="34"/>
    <s v="S"/>
    <s v="Yellow"/>
    <s v="Fall"/>
    <n v="3"/>
    <s v="Yes"/>
    <s v="Next Day Air"/>
    <s v="Yes"/>
    <s v="Yes"/>
    <n v="1"/>
    <s v="Bank Transfer"/>
    <s v="Fortnightly"/>
    <s v="Fortnightly"/>
    <n v="3"/>
  </r>
  <r>
    <x v="158"/>
    <n v="25"/>
    <x v="0"/>
    <s v="Shirt"/>
    <x v="0"/>
    <n v="73"/>
    <x v="39"/>
    <s v="XL"/>
    <s v="Teal"/>
    <s v="Fall"/>
    <n v="4.0999999999999996"/>
    <s v="Yes"/>
    <s v="Standard"/>
    <s v="Yes"/>
    <s v="Yes"/>
    <n v="50"/>
    <s v="Bank Transfer"/>
    <s v="Monthly"/>
    <s v="Monthly"/>
    <n v="4"/>
  </r>
  <r>
    <x v="159"/>
    <n v="58"/>
    <x v="0"/>
    <s v="Gloves"/>
    <x v="3"/>
    <n v="27"/>
    <x v="13"/>
    <s v="M"/>
    <s v="Charcoal"/>
    <s v="Fall"/>
    <n v="3.8"/>
    <s v="Yes"/>
    <s v="Store Pickup"/>
    <s v="Yes"/>
    <s v="Yes"/>
    <n v="39"/>
    <s v="Bank Transfer"/>
    <s v="Every 3 Months"/>
    <s v="Quarterly"/>
    <n v="5"/>
  </r>
  <r>
    <x v="160"/>
    <n v="27"/>
    <x v="0"/>
    <s v="Gloves"/>
    <x v="3"/>
    <n v="23"/>
    <x v="21"/>
    <s v="M"/>
    <s v="Orange"/>
    <s v="Summer"/>
    <n v="4.5999999999999996"/>
    <s v="Yes"/>
    <s v="Free Shipping"/>
    <s v="Yes"/>
    <s v="Yes"/>
    <n v="34"/>
    <s v="Venmo"/>
    <s v="Monthly"/>
    <s v="Monthly"/>
    <n v="4"/>
  </r>
  <r>
    <x v="161"/>
    <n v="65"/>
    <x v="0"/>
    <s v="Backpack"/>
    <x v="3"/>
    <n v="49"/>
    <x v="25"/>
    <s v="M"/>
    <s v="Olive"/>
    <s v="Fall"/>
    <n v="3"/>
    <s v="Yes"/>
    <s v="Express"/>
    <s v="Yes"/>
    <s v="Yes"/>
    <n v="29"/>
    <s v="Venmo"/>
    <s v="Fortnightly"/>
    <s v="Fortnightly"/>
    <n v="3"/>
  </r>
  <r>
    <x v="162"/>
    <n v="54"/>
    <x v="0"/>
    <s v="Sunglasses"/>
    <x v="3"/>
    <n v="74"/>
    <x v="18"/>
    <s v="M"/>
    <s v="Turquoise"/>
    <s v="Summer"/>
    <n v="3"/>
    <s v="Yes"/>
    <s v="Store Pickup"/>
    <s v="Yes"/>
    <s v="Yes"/>
    <n v="31"/>
    <s v="PayPal"/>
    <s v="Bi-Weekly"/>
    <s v="Bi-Weekly"/>
    <n v="2"/>
  </r>
  <r>
    <x v="163"/>
    <n v="54"/>
    <x v="0"/>
    <s v="Skirt"/>
    <x v="0"/>
    <n v="67"/>
    <x v="41"/>
    <s v="M"/>
    <s v="Purple"/>
    <s v="Summer"/>
    <n v="3.4"/>
    <s v="Yes"/>
    <s v="Standard"/>
    <s v="Yes"/>
    <s v="Yes"/>
    <n v="8"/>
    <s v="Debit Card"/>
    <s v="Weekly"/>
    <s v="Weekly"/>
    <n v="1"/>
  </r>
  <r>
    <x v="164"/>
    <n v="59"/>
    <x v="0"/>
    <s v="Handbag"/>
    <x v="3"/>
    <n v="65"/>
    <x v="12"/>
    <s v="S"/>
    <s v="Purple"/>
    <s v="Spring"/>
    <n v="2.6"/>
    <s v="Yes"/>
    <s v="Free Shipping"/>
    <s v="Yes"/>
    <s v="Yes"/>
    <n v="5"/>
    <s v="Credit Card"/>
    <s v="Fortnightly"/>
    <s v="Fortnightly"/>
    <n v="3"/>
  </r>
  <r>
    <x v="165"/>
    <n v="42"/>
    <x v="0"/>
    <s v="Handbag"/>
    <x v="3"/>
    <n v="60"/>
    <x v="0"/>
    <s v="S"/>
    <s v="Yellow"/>
    <s v="Winter"/>
    <n v="2.8"/>
    <s v="Yes"/>
    <s v="Store Pickup"/>
    <s v="Yes"/>
    <s v="Yes"/>
    <n v="7"/>
    <s v="Cash"/>
    <s v="Monthly"/>
    <s v="Monthly"/>
    <n v="4"/>
  </r>
  <r>
    <x v="166"/>
    <n v="46"/>
    <x v="0"/>
    <s v="Sneakers"/>
    <x v="1"/>
    <n v="31"/>
    <x v="12"/>
    <s v="XL"/>
    <s v="Indigo"/>
    <s v="Fall"/>
    <n v="4"/>
    <s v="Yes"/>
    <s v="Store Pickup"/>
    <s v="Yes"/>
    <s v="Yes"/>
    <n v="30"/>
    <s v="Cash"/>
    <s v="Monthly"/>
    <s v="Monthly"/>
    <n v="4"/>
  </r>
  <r>
    <x v="167"/>
    <n v="33"/>
    <x v="0"/>
    <s v="Gloves"/>
    <x v="3"/>
    <n v="27"/>
    <x v="10"/>
    <s v="M"/>
    <s v="Green"/>
    <s v="Fall"/>
    <n v="4"/>
    <s v="Yes"/>
    <s v="Express"/>
    <s v="Yes"/>
    <s v="Yes"/>
    <n v="14"/>
    <s v="Credit Card"/>
    <s v="Every 3 Months"/>
    <s v="Quarterly"/>
    <n v="5"/>
  </r>
  <r>
    <x v="168"/>
    <n v="34"/>
    <x v="0"/>
    <s v="Shoes"/>
    <x v="1"/>
    <n v="80"/>
    <x v="7"/>
    <s v="M"/>
    <s v="Magenta"/>
    <s v="Summer"/>
    <n v="3"/>
    <s v="Yes"/>
    <s v="Express"/>
    <s v="Yes"/>
    <s v="Yes"/>
    <n v="5"/>
    <s v="Cash"/>
    <s v="Fortnightly"/>
    <s v="Fortnightly"/>
    <n v="3"/>
  </r>
  <r>
    <x v="169"/>
    <n v="27"/>
    <x v="0"/>
    <s v="Jacket"/>
    <x v="2"/>
    <n v="30"/>
    <x v="22"/>
    <s v="S"/>
    <s v="Gold"/>
    <s v="Summer"/>
    <n v="3.3"/>
    <s v="Yes"/>
    <s v="Standard"/>
    <s v="Yes"/>
    <s v="Yes"/>
    <n v="3"/>
    <s v="PayPal"/>
    <s v="Every 3 Months"/>
    <s v="Quarterly"/>
    <n v="5"/>
  </r>
  <r>
    <x v="170"/>
    <n v="52"/>
    <x v="0"/>
    <s v="Shirt"/>
    <x v="0"/>
    <n v="25"/>
    <x v="5"/>
    <s v="M"/>
    <s v="Maroon"/>
    <s v="Fall"/>
    <n v="2.6"/>
    <s v="Yes"/>
    <s v="Store Pickup"/>
    <s v="Yes"/>
    <s v="Yes"/>
    <n v="46"/>
    <s v="Venmo"/>
    <s v="Bi-Weekly"/>
    <s v="Bi-Weekly"/>
    <n v="2"/>
  </r>
  <r>
    <x v="171"/>
    <n v="29"/>
    <x v="0"/>
    <s v="Shorts"/>
    <x v="0"/>
    <n v="35"/>
    <x v="41"/>
    <s v="M"/>
    <s v="Blue"/>
    <s v="Summer"/>
    <n v="3.6"/>
    <s v="Yes"/>
    <s v="Store Pickup"/>
    <s v="Yes"/>
    <s v="Yes"/>
    <n v="4"/>
    <s v="Credit Card"/>
    <s v="Weekly"/>
    <s v="Weekly"/>
    <n v="1"/>
  </r>
  <r>
    <x v="172"/>
    <n v="54"/>
    <x v="0"/>
    <s v="Jewelry"/>
    <x v="3"/>
    <n v="67"/>
    <x v="43"/>
    <s v="M"/>
    <s v="Violet"/>
    <s v="Summer"/>
    <n v="3.9"/>
    <s v="Yes"/>
    <s v="Next Day Air"/>
    <s v="Yes"/>
    <s v="Yes"/>
    <n v="42"/>
    <s v="Credit Card"/>
    <s v="Bi-Weekly"/>
    <s v="Bi-Weekly"/>
    <n v="2"/>
  </r>
  <r>
    <x v="173"/>
    <n v="25"/>
    <x v="0"/>
    <s v="Hat"/>
    <x v="3"/>
    <n v="46"/>
    <x v="11"/>
    <s v="M"/>
    <s v="Turquoise"/>
    <s v="Fall"/>
    <n v="3.4"/>
    <s v="Yes"/>
    <s v="Standard"/>
    <s v="Yes"/>
    <s v="Yes"/>
    <n v="30"/>
    <s v="Cash"/>
    <s v="Annually"/>
    <s v="Annually"/>
    <n v="6"/>
  </r>
  <r>
    <x v="174"/>
    <n v="41"/>
    <x v="0"/>
    <s v="Shoes"/>
    <x v="1"/>
    <n v="35"/>
    <x v="34"/>
    <s v="L"/>
    <s v="Brown"/>
    <s v="Winter"/>
    <n v="3.5"/>
    <s v="Yes"/>
    <s v="Express"/>
    <s v="Yes"/>
    <s v="Yes"/>
    <n v="37"/>
    <s v="Venmo"/>
    <s v="Annually"/>
    <s v="Annually"/>
    <n v="6"/>
  </r>
  <r>
    <x v="175"/>
    <n v="53"/>
    <x v="0"/>
    <s v="Coat"/>
    <x v="2"/>
    <n v="86"/>
    <x v="19"/>
    <s v="L"/>
    <s v="Violet"/>
    <s v="Fall"/>
    <n v="2.8"/>
    <s v="Yes"/>
    <s v="Next Day Air"/>
    <s v="Yes"/>
    <s v="Yes"/>
    <n v="2"/>
    <s v="Bank Transfer"/>
    <s v="Annually"/>
    <s v="Annually"/>
    <n v="6"/>
  </r>
  <r>
    <x v="176"/>
    <n v="53"/>
    <x v="0"/>
    <s v="Backpack"/>
    <x v="3"/>
    <n v="81"/>
    <x v="13"/>
    <s v="L"/>
    <s v="Black"/>
    <s v="Spring"/>
    <n v="2.7"/>
    <s v="Yes"/>
    <s v="Next Day Air"/>
    <s v="Yes"/>
    <s v="Yes"/>
    <n v="30"/>
    <s v="Credit Card"/>
    <s v="Quarterly"/>
    <s v="Quarterly"/>
    <n v="5"/>
  </r>
  <r>
    <x v="177"/>
    <n v="21"/>
    <x v="0"/>
    <s v="Hoodie"/>
    <x v="0"/>
    <n v="42"/>
    <x v="23"/>
    <s v="L"/>
    <s v="Magenta"/>
    <s v="Fall"/>
    <n v="3.7"/>
    <s v="Yes"/>
    <s v="Next Day Air"/>
    <s v="Yes"/>
    <s v="Yes"/>
    <n v="47"/>
    <s v="Bank Transfer"/>
    <s v="Monthly"/>
    <s v="Monthly"/>
    <n v="4"/>
  </r>
  <r>
    <x v="178"/>
    <n v="61"/>
    <x v="0"/>
    <s v="Skirt"/>
    <x v="0"/>
    <n v="43"/>
    <x v="37"/>
    <s v="L"/>
    <s v="Lavender"/>
    <s v="Fall"/>
    <n v="4.3"/>
    <s v="Yes"/>
    <s v="2-Day Shipping"/>
    <s v="Yes"/>
    <s v="Yes"/>
    <n v="21"/>
    <s v="PayPal"/>
    <s v="Quarterly"/>
    <s v="Quarterly"/>
    <n v="5"/>
  </r>
  <r>
    <x v="179"/>
    <n v="64"/>
    <x v="0"/>
    <s v="Boots"/>
    <x v="1"/>
    <n v="31"/>
    <x v="26"/>
    <s v="M"/>
    <s v="Violet"/>
    <s v="Fall"/>
    <n v="4.9000000000000004"/>
    <s v="Yes"/>
    <s v="Store Pickup"/>
    <s v="Yes"/>
    <s v="Yes"/>
    <n v="9"/>
    <s v="Bank Transfer"/>
    <s v="Fortnightly"/>
    <s v="Fortnightly"/>
    <n v="3"/>
  </r>
  <r>
    <x v="180"/>
    <n v="51"/>
    <x v="0"/>
    <s v="Sandals"/>
    <x v="1"/>
    <n v="81"/>
    <x v="45"/>
    <s v="L"/>
    <s v="Green"/>
    <s v="Fall"/>
    <n v="3.3"/>
    <s v="Yes"/>
    <s v="Store Pickup"/>
    <s v="Yes"/>
    <s v="Yes"/>
    <n v="12"/>
    <s v="Debit Card"/>
    <s v="Fortnightly"/>
    <s v="Fortnightly"/>
    <n v="3"/>
  </r>
  <r>
    <x v="181"/>
    <n v="32"/>
    <x v="0"/>
    <s v="Pants"/>
    <x v="0"/>
    <n v="61"/>
    <x v="2"/>
    <s v="M"/>
    <s v="Beige"/>
    <s v="Summer"/>
    <n v="4.7"/>
    <s v="Yes"/>
    <s v="Next Day Air"/>
    <s v="Yes"/>
    <s v="Yes"/>
    <n v="4"/>
    <s v="Bank Transfer"/>
    <s v="Weekly"/>
    <s v="Weekly"/>
    <n v="1"/>
  </r>
  <r>
    <x v="182"/>
    <n v="38"/>
    <x v="0"/>
    <s v="Gloves"/>
    <x v="3"/>
    <n v="96"/>
    <x v="15"/>
    <s v="XL"/>
    <s v="Purple"/>
    <s v="Summer"/>
    <n v="2.8"/>
    <s v="Yes"/>
    <s v="Store Pickup"/>
    <s v="Yes"/>
    <s v="Yes"/>
    <n v="10"/>
    <s v="Debit Card"/>
    <s v="Annually"/>
    <s v="Annually"/>
    <n v="6"/>
  </r>
  <r>
    <x v="183"/>
    <n v="58"/>
    <x v="0"/>
    <s v="Skirt"/>
    <x v="0"/>
    <n v="29"/>
    <x v="31"/>
    <s v="XL"/>
    <s v="Beige"/>
    <s v="Spring"/>
    <n v="3.6"/>
    <s v="Yes"/>
    <s v="2-Day Shipping"/>
    <s v="Yes"/>
    <s v="Yes"/>
    <n v="26"/>
    <s v="Credit Card"/>
    <s v="Weekly"/>
    <s v="Weekly"/>
    <n v="1"/>
  </r>
  <r>
    <x v="184"/>
    <n v="32"/>
    <x v="0"/>
    <s v="Sneakers"/>
    <x v="1"/>
    <n v="33"/>
    <x v="11"/>
    <s v="L"/>
    <s v="Cyan"/>
    <s v="Spring"/>
    <n v="3"/>
    <s v="Yes"/>
    <s v="Express"/>
    <s v="Yes"/>
    <s v="Yes"/>
    <n v="40"/>
    <s v="Cash"/>
    <s v="Fortnightly"/>
    <s v="Fortnightly"/>
    <n v="3"/>
  </r>
  <r>
    <x v="185"/>
    <n v="46"/>
    <x v="0"/>
    <s v="T-shirt"/>
    <x v="0"/>
    <n v="32"/>
    <x v="48"/>
    <s v="XL"/>
    <s v="Silver"/>
    <s v="Summer"/>
    <n v="4.5"/>
    <s v="Yes"/>
    <s v="Store Pickup"/>
    <s v="Yes"/>
    <s v="Yes"/>
    <n v="34"/>
    <s v="Bank Transfer"/>
    <s v="Fortnightly"/>
    <s v="Fortnightly"/>
    <n v="3"/>
  </r>
  <r>
    <x v="186"/>
    <n v="39"/>
    <x v="0"/>
    <s v="Backpack"/>
    <x v="3"/>
    <n v="56"/>
    <x v="46"/>
    <s v="S"/>
    <s v="Lavender"/>
    <s v="Summer"/>
    <n v="2.9"/>
    <s v="Yes"/>
    <s v="Standard"/>
    <s v="Yes"/>
    <s v="Yes"/>
    <n v="31"/>
    <s v="Debit Card"/>
    <s v="Annually"/>
    <s v="Annually"/>
    <n v="6"/>
  </r>
  <r>
    <x v="187"/>
    <n v="19"/>
    <x v="0"/>
    <s v="Shoes"/>
    <x v="1"/>
    <n v="94"/>
    <x v="42"/>
    <s v="S"/>
    <s v="Purple"/>
    <s v="Spring"/>
    <n v="3.3"/>
    <s v="Yes"/>
    <s v="Store Pickup"/>
    <s v="Yes"/>
    <s v="Yes"/>
    <n v="1"/>
    <s v="Bank Transfer"/>
    <s v="Bi-Weekly"/>
    <s v="Bi-Weekly"/>
    <n v="2"/>
  </r>
  <r>
    <x v="188"/>
    <n v="50"/>
    <x v="0"/>
    <s v="Hoodie"/>
    <x v="0"/>
    <n v="53"/>
    <x v="10"/>
    <s v="M"/>
    <s v="Pink"/>
    <s v="Spring"/>
    <n v="3.1"/>
    <s v="Yes"/>
    <s v="Express"/>
    <s v="Yes"/>
    <s v="Yes"/>
    <n v="5"/>
    <s v="Bank Transfer"/>
    <s v="Bi-Weekly"/>
    <s v="Bi-Weekly"/>
    <n v="2"/>
  </r>
  <r>
    <x v="189"/>
    <n v="36"/>
    <x v="0"/>
    <s v="Blouse"/>
    <x v="0"/>
    <n v="82"/>
    <x v="8"/>
    <s v="M"/>
    <s v="Maroon"/>
    <s v="Fall"/>
    <n v="4.4000000000000004"/>
    <s v="Yes"/>
    <s v="Next Day Air"/>
    <s v="Yes"/>
    <s v="Yes"/>
    <n v="4"/>
    <s v="Credit Card"/>
    <s v="Weekly"/>
    <s v="Weekly"/>
    <n v="1"/>
  </r>
  <r>
    <x v="190"/>
    <n v="65"/>
    <x v="0"/>
    <s v="Coat"/>
    <x v="2"/>
    <n v="70"/>
    <x v="27"/>
    <s v="XL"/>
    <s v="Beige"/>
    <s v="Fall"/>
    <n v="3"/>
    <s v="Yes"/>
    <s v="Free Shipping"/>
    <s v="Yes"/>
    <s v="Yes"/>
    <n v="48"/>
    <s v="Venmo"/>
    <s v="Quarterly"/>
    <s v="Quarterly"/>
    <n v="5"/>
  </r>
  <r>
    <x v="191"/>
    <n v="64"/>
    <x v="0"/>
    <s v="Hat"/>
    <x v="3"/>
    <n v="76"/>
    <x v="40"/>
    <s v="M"/>
    <s v="Gray"/>
    <s v="Fall"/>
    <n v="3.9"/>
    <s v="Yes"/>
    <s v="Free Shipping"/>
    <s v="Yes"/>
    <s v="Yes"/>
    <n v="29"/>
    <s v="Cash"/>
    <s v="Every 3 Months"/>
    <s v="Quarterly"/>
    <n v="5"/>
  </r>
  <r>
    <x v="192"/>
    <n v="46"/>
    <x v="0"/>
    <s v="Shoes"/>
    <x v="1"/>
    <n v="29"/>
    <x v="43"/>
    <s v="L"/>
    <s v="Turquoise"/>
    <s v="Summer"/>
    <n v="2.9"/>
    <s v="Yes"/>
    <s v="Express"/>
    <s v="Yes"/>
    <s v="Yes"/>
    <n v="12"/>
    <s v="PayPal"/>
    <s v="Bi-Weekly"/>
    <s v="Bi-Weekly"/>
    <n v="2"/>
  </r>
  <r>
    <x v="193"/>
    <n v="36"/>
    <x v="0"/>
    <s v="Belt"/>
    <x v="3"/>
    <n v="100"/>
    <x v="25"/>
    <s v="S"/>
    <s v="Silver"/>
    <s v="Fall"/>
    <n v="3"/>
    <s v="Yes"/>
    <s v="Standard"/>
    <s v="Yes"/>
    <s v="Yes"/>
    <n v="29"/>
    <s v="Venmo"/>
    <s v="Annually"/>
    <s v="Annually"/>
    <n v="6"/>
  </r>
  <r>
    <x v="194"/>
    <n v="51"/>
    <x v="0"/>
    <s v="Backpack"/>
    <x v="3"/>
    <n v="94"/>
    <x v="9"/>
    <s v="M"/>
    <s v="Olive"/>
    <s v="Spring"/>
    <n v="3.1"/>
    <s v="Yes"/>
    <s v="Express"/>
    <s v="Yes"/>
    <s v="Yes"/>
    <n v="15"/>
    <s v="Debit Card"/>
    <s v="Quarterly"/>
    <s v="Quarterly"/>
    <n v="5"/>
  </r>
  <r>
    <x v="195"/>
    <n v="51"/>
    <x v="0"/>
    <s v="Jacket"/>
    <x v="2"/>
    <n v="25"/>
    <x v="14"/>
    <s v="M"/>
    <s v="Magenta"/>
    <s v="Fall"/>
    <n v="4.3"/>
    <s v="Yes"/>
    <s v="Free Shipping"/>
    <s v="Yes"/>
    <s v="Yes"/>
    <n v="34"/>
    <s v="Credit Card"/>
    <s v="Monthly"/>
    <s v="Monthly"/>
    <n v="4"/>
  </r>
  <r>
    <x v="196"/>
    <n v="38"/>
    <x v="0"/>
    <s v="Boots"/>
    <x v="1"/>
    <n v="88"/>
    <x v="47"/>
    <s v="M"/>
    <s v="Lavender"/>
    <s v="Summer"/>
    <n v="3.9"/>
    <s v="Yes"/>
    <s v="Next Day Air"/>
    <s v="Yes"/>
    <s v="Yes"/>
    <n v="41"/>
    <s v="Credit Card"/>
    <s v="Fortnightly"/>
    <s v="Fortnightly"/>
    <n v="3"/>
  </r>
  <r>
    <x v="197"/>
    <n v="59"/>
    <x v="0"/>
    <s v="Scarf"/>
    <x v="3"/>
    <n v="78"/>
    <x v="36"/>
    <s v="M"/>
    <s v="Black"/>
    <s v="Fall"/>
    <n v="3.2"/>
    <s v="Yes"/>
    <s v="2-Day Shipping"/>
    <s v="Yes"/>
    <s v="Yes"/>
    <n v="41"/>
    <s v="Credit Card"/>
    <s v="Monthly"/>
    <s v="Monthly"/>
    <n v="4"/>
  </r>
  <r>
    <x v="198"/>
    <n v="57"/>
    <x v="0"/>
    <s v="Jewelry"/>
    <x v="3"/>
    <n v="45"/>
    <x v="40"/>
    <s v="M"/>
    <s v="Turquoise"/>
    <s v="Winter"/>
    <n v="4.8"/>
    <s v="Yes"/>
    <s v="Standard"/>
    <s v="Yes"/>
    <s v="Yes"/>
    <n v="39"/>
    <s v="Credit Card"/>
    <s v="Fortnightly"/>
    <s v="Fortnightly"/>
    <n v="3"/>
  </r>
  <r>
    <x v="199"/>
    <n v="54"/>
    <x v="0"/>
    <s v="Hat"/>
    <x v="3"/>
    <n v="73"/>
    <x v="37"/>
    <s v="XL"/>
    <s v="Green"/>
    <s v="Summer"/>
    <n v="3.8"/>
    <s v="Yes"/>
    <s v="Express"/>
    <s v="Yes"/>
    <s v="Yes"/>
    <n v="32"/>
    <s v="Cash"/>
    <s v="Weekly"/>
    <s v="Weekly"/>
    <n v="1"/>
  </r>
  <r>
    <x v="200"/>
    <n v="25"/>
    <x v="0"/>
    <s v="Dress"/>
    <x v="0"/>
    <n v="61"/>
    <x v="38"/>
    <s v="S"/>
    <s v="Teal"/>
    <s v="Summer"/>
    <n v="3.3"/>
    <s v="Yes"/>
    <s v="Next Day Air"/>
    <s v="Yes"/>
    <s v="Yes"/>
    <n v="29"/>
    <s v="Venmo"/>
    <s v="Monthly"/>
    <s v="Monthly"/>
    <n v="4"/>
  </r>
  <r>
    <x v="201"/>
    <n v="69"/>
    <x v="0"/>
    <s v="Blouse"/>
    <x v="0"/>
    <n v="22"/>
    <x v="9"/>
    <s v="S"/>
    <s v="Beige"/>
    <s v="Fall"/>
    <n v="4.3"/>
    <s v="Yes"/>
    <s v="Free Shipping"/>
    <s v="Yes"/>
    <s v="Yes"/>
    <n v="15"/>
    <s v="Bank Transfer"/>
    <s v="Annually"/>
    <s v="Annually"/>
    <n v="6"/>
  </r>
  <r>
    <x v="202"/>
    <n v="57"/>
    <x v="0"/>
    <s v="Hat"/>
    <x v="3"/>
    <n v="38"/>
    <x v="43"/>
    <s v="L"/>
    <s v="Magenta"/>
    <s v="Spring"/>
    <n v="2.7"/>
    <s v="Yes"/>
    <s v="Express"/>
    <s v="Yes"/>
    <s v="Yes"/>
    <n v="33"/>
    <s v="Venmo"/>
    <s v="Annually"/>
    <s v="Annually"/>
    <n v="6"/>
  </r>
  <r>
    <x v="203"/>
    <n v="70"/>
    <x v="0"/>
    <s v="Scarf"/>
    <x v="3"/>
    <n v="38"/>
    <x v="27"/>
    <s v="S"/>
    <s v="Yellow"/>
    <s v="Fall"/>
    <n v="3.2"/>
    <s v="Yes"/>
    <s v="Next Day Air"/>
    <s v="Yes"/>
    <s v="Yes"/>
    <n v="18"/>
    <s v="Bank Transfer"/>
    <s v="Weekly"/>
    <s v="Weekly"/>
    <n v="1"/>
  </r>
  <r>
    <x v="204"/>
    <n v="24"/>
    <x v="0"/>
    <s v="Sneakers"/>
    <x v="1"/>
    <n v="100"/>
    <x v="28"/>
    <s v="M"/>
    <s v="Yellow"/>
    <s v="Fall"/>
    <n v="4"/>
    <s v="Yes"/>
    <s v="Store Pickup"/>
    <s v="Yes"/>
    <s v="Yes"/>
    <n v="35"/>
    <s v="Cash"/>
    <s v="Bi-Weekly"/>
    <s v="Bi-Weekly"/>
    <n v="2"/>
  </r>
  <r>
    <x v="205"/>
    <n v="67"/>
    <x v="0"/>
    <s v="Shirt"/>
    <x v="0"/>
    <n v="64"/>
    <x v="11"/>
    <s v="M"/>
    <s v="Silver"/>
    <s v="Winter"/>
    <n v="3"/>
    <s v="Yes"/>
    <s v="Standard"/>
    <s v="Yes"/>
    <s v="Yes"/>
    <n v="25"/>
    <s v="PayPal"/>
    <s v="Weekly"/>
    <s v="Weekly"/>
    <n v="1"/>
  </r>
  <r>
    <x v="206"/>
    <n v="24"/>
    <x v="0"/>
    <s v="T-shirt"/>
    <x v="0"/>
    <n v="55"/>
    <x v="48"/>
    <s v="L"/>
    <s v="Silver"/>
    <s v="Summer"/>
    <n v="4.2"/>
    <s v="Yes"/>
    <s v="Free Shipping"/>
    <s v="Yes"/>
    <s v="Yes"/>
    <n v="6"/>
    <s v="Venmo"/>
    <s v="Fortnightly"/>
    <s v="Fortnightly"/>
    <n v="3"/>
  </r>
  <r>
    <x v="207"/>
    <n v="62"/>
    <x v="0"/>
    <s v="Gloves"/>
    <x v="3"/>
    <n v="91"/>
    <x v="3"/>
    <s v="M"/>
    <s v="Silver"/>
    <s v="Summer"/>
    <n v="2.9"/>
    <s v="Yes"/>
    <s v="Express"/>
    <s v="Yes"/>
    <s v="Yes"/>
    <n v="17"/>
    <s v="Bank Transfer"/>
    <s v="Bi-Weekly"/>
    <s v="Bi-Weekly"/>
    <n v="2"/>
  </r>
  <r>
    <x v="208"/>
    <n v="57"/>
    <x v="0"/>
    <s v="Skirt"/>
    <x v="0"/>
    <n v="38"/>
    <x v="48"/>
    <s v="M"/>
    <s v="Gold"/>
    <s v="Spring"/>
    <n v="4.0999999999999996"/>
    <s v="Yes"/>
    <s v="Store Pickup"/>
    <s v="Yes"/>
    <s v="Yes"/>
    <n v="17"/>
    <s v="Credit Card"/>
    <s v="Monthly"/>
    <s v="Monthly"/>
    <n v="4"/>
  </r>
  <r>
    <x v="209"/>
    <n v="55"/>
    <x v="0"/>
    <s v="Sandals"/>
    <x v="1"/>
    <n v="97"/>
    <x v="46"/>
    <s v="S"/>
    <s v="Olive"/>
    <s v="Winter"/>
    <n v="3.2"/>
    <s v="Yes"/>
    <s v="Store Pickup"/>
    <s v="Yes"/>
    <s v="Yes"/>
    <n v="44"/>
    <s v="Cash"/>
    <s v="Every 3 Months"/>
    <s v="Quarterly"/>
    <n v="5"/>
  </r>
  <r>
    <x v="210"/>
    <n v="45"/>
    <x v="0"/>
    <s v="Jacket"/>
    <x v="2"/>
    <n v="22"/>
    <x v="34"/>
    <s v="L"/>
    <s v="Teal"/>
    <s v="Fall"/>
    <n v="3"/>
    <s v="Yes"/>
    <s v="2-Day Shipping"/>
    <s v="Yes"/>
    <s v="Yes"/>
    <n v="6"/>
    <s v="PayPal"/>
    <s v="Fortnightly"/>
    <s v="Fortnightly"/>
    <n v="3"/>
  </r>
  <r>
    <x v="211"/>
    <n v="69"/>
    <x v="0"/>
    <s v="Skirt"/>
    <x v="0"/>
    <n v="92"/>
    <x v="45"/>
    <s v="L"/>
    <s v="Maroon"/>
    <s v="Fall"/>
    <n v="4.2"/>
    <s v="Yes"/>
    <s v="2-Day Shipping"/>
    <s v="Yes"/>
    <s v="Yes"/>
    <n v="45"/>
    <s v="Debit Card"/>
    <s v="Fortnightly"/>
    <s v="Fortnightly"/>
    <n v="3"/>
  </r>
  <r>
    <x v="212"/>
    <n v="67"/>
    <x v="0"/>
    <s v="Handbag"/>
    <x v="3"/>
    <n v="84"/>
    <x v="41"/>
    <s v="L"/>
    <s v="Blue"/>
    <s v="Fall"/>
    <n v="4.2"/>
    <s v="Yes"/>
    <s v="Express"/>
    <s v="Yes"/>
    <s v="Yes"/>
    <n v="7"/>
    <s v="Debit Card"/>
    <s v="Annually"/>
    <s v="Annually"/>
    <n v="6"/>
  </r>
  <r>
    <x v="213"/>
    <n v="30"/>
    <x v="0"/>
    <s v="Handbag"/>
    <x v="3"/>
    <n v="93"/>
    <x v="22"/>
    <s v="L"/>
    <s v="Peach"/>
    <s v="Fall"/>
    <n v="4.4000000000000004"/>
    <s v="Yes"/>
    <s v="Store Pickup"/>
    <s v="Yes"/>
    <s v="Yes"/>
    <n v="11"/>
    <s v="Debit Card"/>
    <s v="Every 3 Months"/>
    <s v="Quarterly"/>
    <n v="5"/>
  </r>
  <r>
    <x v="214"/>
    <n v="24"/>
    <x v="0"/>
    <s v="Jacket"/>
    <x v="2"/>
    <n v="50"/>
    <x v="11"/>
    <s v="L"/>
    <s v="Blue"/>
    <s v="Summer"/>
    <n v="4.2"/>
    <s v="Yes"/>
    <s v="Next Day Air"/>
    <s v="Yes"/>
    <s v="Yes"/>
    <n v="41"/>
    <s v="Cash"/>
    <s v="Every 3 Months"/>
    <s v="Quarterly"/>
    <n v="5"/>
  </r>
  <r>
    <x v="215"/>
    <n v="62"/>
    <x v="0"/>
    <s v="Scarf"/>
    <x v="3"/>
    <n v="64"/>
    <x v="32"/>
    <s v="S"/>
    <s v="Orange"/>
    <s v="Spring"/>
    <n v="2.8"/>
    <s v="Yes"/>
    <s v="2-Day Shipping"/>
    <s v="Yes"/>
    <s v="Yes"/>
    <n v="24"/>
    <s v="PayPal"/>
    <s v="Bi-Weekly"/>
    <s v="Bi-Weekly"/>
    <n v="2"/>
  </r>
  <r>
    <x v="216"/>
    <n v="43"/>
    <x v="0"/>
    <s v="Shorts"/>
    <x v="0"/>
    <n v="61"/>
    <x v="2"/>
    <s v="L"/>
    <s v="Yellow"/>
    <s v="Spring"/>
    <n v="3.7"/>
    <s v="Yes"/>
    <s v="Free Shipping"/>
    <s v="Yes"/>
    <s v="Yes"/>
    <n v="21"/>
    <s v="Venmo"/>
    <s v="Weekly"/>
    <s v="Weekly"/>
    <n v="1"/>
  </r>
  <r>
    <x v="217"/>
    <n v="35"/>
    <x v="0"/>
    <s v="Sunglasses"/>
    <x v="3"/>
    <n v="48"/>
    <x v="19"/>
    <s v="M"/>
    <s v="Purple"/>
    <s v="Winter"/>
    <n v="3.5"/>
    <s v="Yes"/>
    <s v="Next Day Air"/>
    <s v="Yes"/>
    <s v="Yes"/>
    <n v="24"/>
    <s v="Bank Transfer"/>
    <s v="Annually"/>
    <s v="Annually"/>
    <n v="6"/>
  </r>
  <r>
    <x v="218"/>
    <n v="28"/>
    <x v="0"/>
    <s v="T-shirt"/>
    <x v="0"/>
    <n v="45"/>
    <x v="18"/>
    <s v="S"/>
    <s v="Magenta"/>
    <s v="Spring"/>
    <n v="2.9"/>
    <s v="Yes"/>
    <s v="Store Pickup"/>
    <s v="Yes"/>
    <s v="Yes"/>
    <n v="8"/>
    <s v="Credit Card"/>
    <s v="Quarterly"/>
    <s v="Quarterly"/>
    <n v="5"/>
  </r>
  <r>
    <x v="219"/>
    <n v="32"/>
    <x v="0"/>
    <s v="Belt"/>
    <x v="3"/>
    <n v="88"/>
    <x v="22"/>
    <s v="M"/>
    <s v="Cyan"/>
    <s v="Spring"/>
    <n v="3"/>
    <s v="Yes"/>
    <s v="Free Shipping"/>
    <s v="Yes"/>
    <s v="Yes"/>
    <n v="12"/>
    <s v="Cash"/>
    <s v="Fortnightly"/>
    <s v="Fortnightly"/>
    <n v="3"/>
  </r>
  <r>
    <x v="220"/>
    <n v="39"/>
    <x v="0"/>
    <s v="Sneakers"/>
    <x v="1"/>
    <n v="57"/>
    <x v="28"/>
    <s v="S"/>
    <s v="Indigo"/>
    <s v="Spring"/>
    <n v="3.7"/>
    <s v="Yes"/>
    <s v="Express"/>
    <s v="Yes"/>
    <s v="Yes"/>
    <n v="48"/>
    <s v="Debit Card"/>
    <s v="Fortnightly"/>
    <s v="Fortnightly"/>
    <n v="3"/>
  </r>
  <r>
    <x v="221"/>
    <n v="28"/>
    <x v="0"/>
    <s v="Hat"/>
    <x v="3"/>
    <n v="68"/>
    <x v="17"/>
    <s v="XL"/>
    <s v="Magenta"/>
    <s v="Summer"/>
    <n v="4.4000000000000004"/>
    <s v="Yes"/>
    <s v="Store Pickup"/>
    <s v="Yes"/>
    <s v="Yes"/>
    <n v="6"/>
    <s v="Bank Transfer"/>
    <s v="Quarterly"/>
    <s v="Quarterly"/>
    <n v="5"/>
  </r>
  <r>
    <x v="222"/>
    <n v="47"/>
    <x v="0"/>
    <s v="Gloves"/>
    <x v="3"/>
    <n v="94"/>
    <x v="14"/>
    <s v="XL"/>
    <s v="Gray"/>
    <s v="Spring"/>
    <n v="4.5"/>
    <s v="Yes"/>
    <s v="2-Day Shipping"/>
    <s v="Yes"/>
    <s v="Yes"/>
    <n v="14"/>
    <s v="PayPal"/>
    <s v="Fortnightly"/>
    <s v="Fortnightly"/>
    <n v="3"/>
  </r>
  <r>
    <x v="223"/>
    <n v="20"/>
    <x v="0"/>
    <s v="Pants"/>
    <x v="0"/>
    <n v="41"/>
    <x v="5"/>
    <s v="M"/>
    <s v="Turquoise"/>
    <s v="Spring"/>
    <n v="4.8"/>
    <s v="Yes"/>
    <s v="Free Shipping"/>
    <s v="Yes"/>
    <s v="Yes"/>
    <n v="34"/>
    <s v="PayPal"/>
    <s v="Annually"/>
    <s v="Annually"/>
    <n v="6"/>
  </r>
  <r>
    <x v="224"/>
    <n v="63"/>
    <x v="0"/>
    <s v="Socks"/>
    <x v="0"/>
    <n v="83"/>
    <x v="45"/>
    <s v="S"/>
    <s v="Beige"/>
    <s v="Summer"/>
    <n v="2.9"/>
    <s v="Yes"/>
    <s v="Free Shipping"/>
    <s v="Yes"/>
    <s v="Yes"/>
    <n v="12"/>
    <s v="Cash"/>
    <s v="Every 3 Months"/>
    <s v="Quarterly"/>
    <n v="5"/>
  </r>
  <r>
    <x v="225"/>
    <n v="25"/>
    <x v="0"/>
    <s v="Jacket"/>
    <x v="2"/>
    <n v="22"/>
    <x v="10"/>
    <s v="M"/>
    <s v="Olive"/>
    <s v="Spring"/>
    <n v="3.2"/>
    <s v="Yes"/>
    <s v="Next Day Air"/>
    <s v="Yes"/>
    <s v="Yes"/>
    <n v="11"/>
    <s v="Bank Transfer"/>
    <s v="Annually"/>
    <s v="Annually"/>
    <n v="6"/>
  </r>
  <r>
    <x v="226"/>
    <n v="29"/>
    <x v="0"/>
    <s v="Shoes"/>
    <x v="1"/>
    <n v="74"/>
    <x v="21"/>
    <s v="L"/>
    <s v="Violet"/>
    <s v="Spring"/>
    <n v="3.3"/>
    <s v="Yes"/>
    <s v="Free Shipping"/>
    <s v="Yes"/>
    <s v="Yes"/>
    <n v="5"/>
    <s v="PayPal"/>
    <s v="Monthly"/>
    <s v="Monthly"/>
    <n v="4"/>
  </r>
  <r>
    <x v="227"/>
    <n v="50"/>
    <x v="0"/>
    <s v="Jeans"/>
    <x v="0"/>
    <n v="90"/>
    <x v="3"/>
    <s v="M"/>
    <s v="Turquoise"/>
    <s v="Winter"/>
    <n v="4.2"/>
    <s v="Yes"/>
    <s v="Standard"/>
    <s v="Yes"/>
    <s v="Yes"/>
    <n v="25"/>
    <s v="Venmo"/>
    <s v="Fortnightly"/>
    <s v="Fortnightly"/>
    <n v="3"/>
  </r>
  <r>
    <x v="228"/>
    <n v="18"/>
    <x v="0"/>
    <s v="Socks"/>
    <x v="0"/>
    <n v="79"/>
    <x v="13"/>
    <s v="M"/>
    <s v="White"/>
    <s v="Spring"/>
    <n v="2.9"/>
    <s v="Yes"/>
    <s v="Store Pickup"/>
    <s v="Yes"/>
    <s v="Yes"/>
    <n v="11"/>
    <s v="Credit Card"/>
    <s v="Annually"/>
    <s v="Annually"/>
    <n v="6"/>
  </r>
  <r>
    <x v="229"/>
    <n v="70"/>
    <x v="0"/>
    <s v="Sandals"/>
    <x v="1"/>
    <n v="28"/>
    <x v="31"/>
    <s v="S"/>
    <s v="Silver"/>
    <s v="Spring"/>
    <n v="4.5999999999999996"/>
    <s v="Yes"/>
    <s v="Next Day Air"/>
    <s v="Yes"/>
    <s v="Yes"/>
    <n v="27"/>
    <s v="PayPal"/>
    <s v="Every 3 Months"/>
    <s v="Quarterly"/>
    <n v="5"/>
  </r>
  <r>
    <x v="230"/>
    <n v="66"/>
    <x v="0"/>
    <s v="Scarf"/>
    <x v="3"/>
    <n v="88"/>
    <x v="40"/>
    <s v="L"/>
    <s v="Olive"/>
    <s v="Fall"/>
    <n v="4.0999999999999996"/>
    <s v="Yes"/>
    <s v="Standard"/>
    <s v="Yes"/>
    <s v="Yes"/>
    <n v="43"/>
    <s v="Credit Card"/>
    <s v="Annually"/>
    <s v="Annually"/>
    <n v="6"/>
  </r>
  <r>
    <x v="231"/>
    <n v="28"/>
    <x v="0"/>
    <s v="Blouse"/>
    <x v="0"/>
    <n v="26"/>
    <x v="30"/>
    <s v="M"/>
    <s v="Blue"/>
    <s v="Spring"/>
    <n v="3.1"/>
    <s v="Yes"/>
    <s v="2-Day Shipping"/>
    <s v="Yes"/>
    <s v="Yes"/>
    <n v="18"/>
    <s v="Debit Card"/>
    <s v="Every 3 Months"/>
    <s v="Quarterly"/>
    <n v="5"/>
  </r>
  <r>
    <x v="232"/>
    <n v="54"/>
    <x v="0"/>
    <s v="Jewelry"/>
    <x v="3"/>
    <n v="27"/>
    <x v="11"/>
    <s v="L"/>
    <s v="Purple"/>
    <s v="Winter"/>
    <n v="4.2"/>
    <s v="Yes"/>
    <s v="Express"/>
    <s v="Yes"/>
    <s v="Yes"/>
    <n v="32"/>
    <s v="Bank Transfer"/>
    <s v="Bi-Weekly"/>
    <s v="Bi-Weekly"/>
    <n v="2"/>
  </r>
  <r>
    <x v="233"/>
    <n v="19"/>
    <x v="0"/>
    <s v="Sweater"/>
    <x v="0"/>
    <n v="83"/>
    <x v="28"/>
    <s v="XL"/>
    <s v="Yellow"/>
    <s v="Fall"/>
    <n v="4.5"/>
    <s v="Yes"/>
    <s v="Next Day Air"/>
    <s v="Yes"/>
    <s v="Yes"/>
    <n v="27"/>
    <s v="Bank Transfer"/>
    <s v="Every 3 Months"/>
    <s v="Quarterly"/>
    <n v="5"/>
  </r>
  <r>
    <x v="234"/>
    <n v="20"/>
    <x v="0"/>
    <s v="Gloves"/>
    <x v="3"/>
    <n v="39"/>
    <x v="45"/>
    <s v="S"/>
    <s v="Silver"/>
    <s v="Summer"/>
    <n v="3.7"/>
    <s v="Yes"/>
    <s v="Next Day Air"/>
    <s v="Yes"/>
    <s v="Yes"/>
    <n v="24"/>
    <s v="Credit Card"/>
    <s v="Weekly"/>
    <s v="Weekly"/>
    <n v="1"/>
  </r>
  <r>
    <x v="235"/>
    <n v="43"/>
    <x v="0"/>
    <s v="Sunglasses"/>
    <x v="3"/>
    <n v="89"/>
    <x v="32"/>
    <s v="M"/>
    <s v="Cyan"/>
    <s v="Winter"/>
    <n v="3.7"/>
    <s v="Yes"/>
    <s v="Free Shipping"/>
    <s v="Yes"/>
    <s v="Yes"/>
    <n v="31"/>
    <s v="Debit Card"/>
    <s v="Quarterly"/>
    <s v="Quarterly"/>
    <n v="5"/>
  </r>
  <r>
    <x v="236"/>
    <n v="38"/>
    <x v="0"/>
    <s v="Coat"/>
    <x v="2"/>
    <n v="68"/>
    <x v="25"/>
    <s v="L"/>
    <s v="Green"/>
    <s v="Winter"/>
    <n v="3.4"/>
    <s v="Yes"/>
    <s v="Next Day Air"/>
    <s v="Yes"/>
    <s v="Yes"/>
    <n v="39"/>
    <s v="PayPal"/>
    <s v="Fortnightly"/>
    <s v="Fortnightly"/>
    <n v="3"/>
  </r>
  <r>
    <x v="237"/>
    <n v="50"/>
    <x v="0"/>
    <s v="Dress"/>
    <x v="0"/>
    <n v="90"/>
    <x v="44"/>
    <s v="M"/>
    <s v="Beige"/>
    <s v="Summer"/>
    <n v="3"/>
    <s v="Yes"/>
    <s v="Store Pickup"/>
    <s v="Yes"/>
    <s v="Yes"/>
    <n v="36"/>
    <s v="Debit Card"/>
    <s v="Fortnightly"/>
    <s v="Fortnightly"/>
    <n v="3"/>
  </r>
  <r>
    <x v="238"/>
    <n v="64"/>
    <x v="0"/>
    <s v="Skirt"/>
    <x v="0"/>
    <n v="34"/>
    <x v="31"/>
    <s v="M"/>
    <s v="Peach"/>
    <s v="Fall"/>
    <n v="4.2"/>
    <s v="Yes"/>
    <s v="Free Shipping"/>
    <s v="Yes"/>
    <s v="Yes"/>
    <n v="5"/>
    <s v="Cash"/>
    <s v="Annually"/>
    <s v="Annually"/>
    <n v="6"/>
  </r>
  <r>
    <x v="239"/>
    <n v="49"/>
    <x v="0"/>
    <s v="Pants"/>
    <x v="0"/>
    <n v="51"/>
    <x v="34"/>
    <s v="L"/>
    <s v="Yellow"/>
    <s v="Summer"/>
    <n v="2.9"/>
    <s v="Yes"/>
    <s v="Express"/>
    <s v="Yes"/>
    <s v="Yes"/>
    <n v="47"/>
    <s v="Credit Card"/>
    <s v="Bi-Weekly"/>
    <s v="Bi-Weekly"/>
    <n v="2"/>
  </r>
  <r>
    <x v="240"/>
    <n v="47"/>
    <x v="0"/>
    <s v="Sweater"/>
    <x v="0"/>
    <n v="45"/>
    <x v="6"/>
    <s v="XL"/>
    <s v="Turquoise"/>
    <s v="Winter"/>
    <n v="3.5"/>
    <s v="Yes"/>
    <s v="Free Shipping"/>
    <s v="Yes"/>
    <s v="Yes"/>
    <n v="29"/>
    <s v="Bank Transfer"/>
    <s v="Fortnightly"/>
    <s v="Fortnightly"/>
    <n v="3"/>
  </r>
  <r>
    <x v="241"/>
    <n v="36"/>
    <x v="0"/>
    <s v="Hoodie"/>
    <x v="0"/>
    <n v="88"/>
    <x v="12"/>
    <s v="M"/>
    <s v="Peach"/>
    <s v="Winter"/>
    <n v="4.0999999999999996"/>
    <s v="Yes"/>
    <s v="Free Shipping"/>
    <s v="Yes"/>
    <s v="Yes"/>
    <n v="43"/>
    <s v="Venmo"/>
    <s v="Bi-Weekly"/>
    <s v="Bi-Weekly"/>
    <n v="2"/>
  </r>
  <r>
    <x v="242"/>
    <n v="55"/>
    <x v="0"/>
    <s v="Coat"/>
    <x v="2"/>
    <n v="85"/>
    <x v="14"/>
    <s v="L"/>
    <s v="Gray"/>
    <s v="Summer"/>
    <n v="4.3"/>
    <s v="Yes"/>
    <s v="Store Pickup"/>
    <s v="Yes"/>
    <s v="Yes"/>
    <n v="40"/>
    <s v="Debit Card"/>
    <s v="Every 3 Months"/>
    <s v="Quarterly"/>
    <n v="5"/>
  </r>
  <r>
    <x v="243"/>
    <n v="25"/>
    <x v="0"/>
    <s v="Jewelry"/>
    <x v="3"/>
    <n v="100"/>
    <x v="0"/>
    <s v="M"/>
    <s v="Olive"/>
    <s v="Winter"/>
    <n v="2.8"/>
    <s v="Yes"/>
    <s v="2-Day Shipping"/>
    <s v="Yes"/>
    <s v="Yes"/>
    <n v="4"/>
    <s v="Debit Card"/>
    <s v="Monthly"/>
    <s v="Monthly"/>
    <n v="4"/>
  </r>
  <r>
    <x v="244"/>
    <n v="53"/>
    <x v="0"/>
    <s v="Belt"/>
    <x v="3"/>
    <n v="42"/>
    <x v="4"/>
    <s v="S"/>
    <s v="Indigo"/>
    <s v="Spring"/>
    <n v="4.9000000000000004"/>
    <s v="Yes"/>
    <s v="2-Day Shipping"/>
    <s v="Yes"/>
    <s v="Yes"/>
    <n v="39"/>
    <s v="PayPal"/>
    <s v="Weekly"/>
    <s v="Weekly"/>
    <n v="1"/>
  </r>
  <r>
    <x v="245"/>
    <n v="49"/>
    <x v="0"/>
    <s v="Sandals"/>
    <x v="1"/>
    <n v="53"/>
    <x v="3"/>
    <s v="L"/>
    <s v="Charcoal"/>
    <s v="Summer"/>
    <n v="3.3"/>
    <s v="Yes"/>
    <s v="Next Day Air"/>
    <s v="Yes"/>
    <s v="Yes"/>
    <n v="45"/>
    <s v="Venmo"/>
    <s v="Fortnightly"/>
    <s v="Fortnightly"/>
    <n v="3"/>
  </r>
  <r>
    <x v="246"/>
    <n v="35"/>
    <x v="0"/>
    <s v="Sunglasses"/>
    <x v="3"/>
    <n v="86"/>
    <x v="22"/>
    <s v="XL"/>
    <s v="Beige"/>
    <s v="Spring"/>
    <n v="3.2"/>
    <s v="Yes"/>
    <s v="Express"/>
    <s v="Yes"/>
    <s v="Yes"/>
    <n v="20"/>
    <s v="Venmo"/>
    <s v="Bi-Weekly"/>
    <s v="Bi-Weekly"/>
    <n v="2"/>
  </r>
  <r>
    <x v="247"/>
    <n v="29"/>
    <x v="0"/>
    <s v="Sweater"/>
    <x v="0"/>
    <n v="66"/>
    <x v="6"/>
    <s v="XL"/>
    <s v="Brown"/>
    <s v="Spring"/>
    <n v="4.4000000000000004"/>
    <s v="Yes"/>
    <s v="Standard"/>
    <s v="Yes"/>
    <s v="Yes"/>
    <n v="14"/>
    <s v="Debit Card"/>
    <s v="Weekly"/>
    <s v="Weekly"/>
    <n v="1"/>
  </r>
  <r>
    <x v="248"/>
    <n v="47"/>
    <x v="0"/>
    <s v="Belt"/>
    <x v="3"/>
    <n v="100"/>
    <x v="38"/>
    <s v="M"/>
    <s v="Blue"/>
    <s v="Winter"/>
    <n v="4.8"/>
    <s v="Yes"/>
    <s v="Express"/>
    <s v="Yes"/>
    <s v="Yes"/>
    <n v="33"/>
    <s v="PayPal"/>
    <s v="Weekly"/>
    <s v="Weekly"/>
    <n v="1"/>
  </r>
  <r>
    <x v="249"/>
    <n v="53"/>
    <x v="0"/>
    <s v="Handbag"/>
    <x v="3"/>
    <n v="47"/>
    <x v="29"/>
    <s v="S"/>
    <s v="Teal"/>
    <s v="Fall"/>
    <n v="4.2"/>
    <s v="Yes"/>
    <s v="Standard"/>
    <s v="Yes"/>
    <s v="Yes"/>
    <n v="18"/>
    <s v="Credit Card"/>
    <s v="Annually"/>
    <s v="Annually"/>
    <n v="6"/>
  </r>
  <r>
    <x v="250"/>
    <n v="33"/>
    <x v="0"/>
    <s v="Skirt"/>
    <x v="0"/>
    <n v="25"/>
    <x v="16"/>
    <s v="L"/>
    <s v="Black"/>
    <s v="Fall"/>
    <n v="4"/>
    <s v="Yes"/>
    <s v="Express"/>
    <s v="Yes"/>
    <s v="Yes"/>
    <n v="9"/>
    <s v="Bank Transfer"/>
    <s v="Weekly"/>
    <s v="Weekly"/>
    <n v="1"/>
  </r>
  <r>
    <x v="251"/>
    <n v="21"/>
    <x v="0"/>
    <s v="Handbag"/>
    <x v="3"/>
    <n v="51"/>
    <x v="5"/>
    <s v="XL"/>
    <s v="Gold"/>
    <s v="Winter"/>
    <n v="2.5"/>
    <s v="Yes"/>
    <s v="Standard"/>
    <s v="Yes"/>
    <s v="Yes"/>
    <n v="34"/>
    <s v="PayPal"/>
    <s v="Annually"/>
    <s v="Annually"/>
    <n v="6"/>
  </r>
  <r>
    <x v="252"/>
    <n v="32"/>
    <x v="0"/>
    <s v="Shorts"/>
    <x v="0"/>
    <n v="41"/>
    <x v="12"/>
    <s v="M"/>
    <s v="Violet"/>
    <s v="Summer"/>
    <n v="3.9"/>
    <s v="Yes"/>
    <s v="Free Shipping"/>
    <s v="Yes"/>
    <s v="Yes"/>
    <n v="33"/>
    <s v="Venmo"/>
    <s v="Fortnightly"/>
    <s v="Fortnightly"/>
    <n v="3"/>
  </r>
  <r>
    <x v="253"/>
    <n v="52"/>
    <x v="0"/>
    <s v="Boots"/>
    <x v="1"/>
    <n v="73"/>
    <x v="19"/>
    <s v="L"/>
    <s v="Cyan"/>
    <s v="Winter"/>
    <n v="4.9000000000000004"/>
    <s v="Yes"/>
    <s v="2-Day Shipping"/>
    <s v="Yes"/>
    <s v="Yes"/>
    <n v="15"/>
    <s v="Bank Transfer"/>
    <s v="Bi-Weekly"/>
    <s v="Bi-Weekly"/>
    <n v="2"/>
  </r>
  <r>
    <x v="254"/>
    <n v="67"/>
    <x v="0"/>
    <s v="Sunglasses"/>
    <x v="3"/>
    <n v="42"/>
    <x v="27"/>
    <s v="M"/>
    <s v="White"/>
    <s v="Winter"/>
    <n v="3.5"/>
    <s v="Yes"/>
    <s v="Store Pickup"/>
    <s v="Yes"/>
    <s v="Yes"/>
    <n v="4"/>
    <s v="PayPal"/>
    <s v="Bi-Weekly"/>
    <s v="Bi-Weekly"/>
    <n v="2"/>
  </r>
  <r>
    <x v="255"/>
    <n v="43"/>
    <x v="0"/>
    <s v="Scarf"/>
    <x v="3"/>
    <n v="20"/>
    <x v="33"/>
    <s v="M"/>
    <s v="Charcoal"/>
    <s v="Spring"/>
    <n v="4.2"/>
    <s v="Yes"/>
    <s v="Free Shipping"/>
    <s v="Yes"/>
    <s v="Yes"/>
    <n v="25"/>
    <s v="Debit Card"/>
    <s v="Annually"/>
    <s v="Annually"/>
    <n v="6"/>
  </r>
  <r>
    <x v="256"/>
    <n v="58"/>
    <x v="0"/>
    <s v="Jewelry"/>
    <x v="3"/>
    <n v="30"/>
    <x v="45"/>
    <s v="XL"/>
    <s v="Violet"/>
    <s v="Spring"/>
    <n v="4.7"/>
    <s v="Yes"/>
    <s v="Express"/>
    <s v="Yes"/>
    <s v="Yes"/>
    <n v="20"/>
    <s v="Credit Card"/>
    <s v="Every 3 Months"/>
    <s v="Quarterly"/>
    <n v="5"/>
  </r>
  <r>
    <x v="257"/>
    <n v="20"/>
    <x v="0"/>
    <s v="Handbag"/>
    <x v="3"/>
    <n v="53"/>
    <x v="8"/>
    <s v="M"/>
    <s v="Red"/>
    <s v="Summer"/>
    <n v="4.5"/>
    <s v="Yes"/>
    <s v="Express"/>
    <s v="Yes"/>
    <s v="Yes"/>
    <n v="5"/>
    <s v="Credit Card"/>
    <s v="Quarterly"/>
    <s v="Quarterly"/>
    <n v="5"/>
  </r>
  <r>
    <x v="258"/>
    <n v="61"/>
    <x v="0"/>
    <s v="Gloves"/>
    <x v="3"/>
    <n v="74"/>
    <x v="15"/>
    <s v="S"/>
    <s v="Lavender"/>
    <s v="Spring"/>
    <n v="2.8"/>
    <s v="Yes"/>
    <s v="Express"/>
    <s v="Yes"/>
    <s v="Yes"/>
    <n v="16"/>
    <s v="Cash"/>
    <s v="Quarterly"/>
    <s v="Quarterly"/>
    <n v="5"/>
  </r>
  <r>
    <x v="259"/>
    <n v="32"/>
    <x v="0"/>
    <s v="Jeans"/>
    <x v="0"/>
    <n v="57"/>
    <x v="7"/>
    <s v="M"/>
    <s v="Gold"/>
    <s v="Fall"/>
    <n v="2.9"/>
    <s v="Yes"/>
    <s v="Standard"/>
    <s v="Yes"/>
    <s v="Yes"/>
    <n v="13"/>
    <s v="Debit Card"/>
    <s v="Annually"/>
    <s v="Annually"/>
    <n v="6"/>
  </r>
  <r>
    <x v="260"/>
    <n v="38"/>
    <x v="0"/>
    <s v="Hat"/>
    <x v="3"/>
    <n v="57"/>
    <x v="6"/>
    <s v="S"/>
    <s v="Red"/>
    <s v="Winter"/>
    <n v="3.2"/>
    <s v="Yes"/>
    <s v="2-Day Shipping"/>
    <s v="Yes"/>
    <s v="Yes"/>
    <n v="11"/>
    <s v="Credit Card"/>
    <s v="Every 3 Months"/>
    <s v="Quarterly"/>
    <n v="5"/>
  </r>
  <r>
    <x v="261"/>
    <n v="21"/>
    <x v="0"/>
    <s v="Jeans"/>
    <x v="0"/>
    <n v="77"/>
    <x v="18"/>
    <s v="L"/>
    <s v="Magenta"/>
    <s v="Winter"/>
    <n v="4.9000000000000004"/>
    <s v="Yes"/>
    <s v="Standard"/>
    <s v="Yes"/>
    <s v="Yes"/>
    <n v="21"/>
    <s v="Credit Card"/>
    <s v="Annually"/>
    <s v="Annually"/>
    <n v="6"/>
  </r>
  <r>
    <x v="262"/>
    <n v="37"/>
    <x v="0"/>
    <s v="Pants"/>
    <x v="0"/>
    <n v="40"/>
    <x v="11"/>
    <s v="M"/>
    <s v="Teal"/>
    <s v="Summer"/>
    <n v="3.7"/>
    <s v="Yes"/>
    <s v="Next Day Air"/>
    <s v="Yes"/>
    <s v="Yes"/>
    <n v="6"/>
    <s v="Debit Card"/>
    <s v="Annually"/>
    <s v="Annually"/>
    <n v="6"/>
  </r>
  <r>
    <x v="263"/>
    <n v="27"/>
    <x v="0"/>
    <s v="Shorts"/>
    <x v="0"/>
    <n v="46"/>
    <x v="44"/>
    <s v="M"/>
    <s v="Purple"/>
    <s v="Summer"/>
    <n v="4.3"/>
    <s v="Yes"/>
    <s v="Store Pickup"/>
    <s v="Yes"/>
    <s v="Yes"/>
    <n v="29"/>
    <s v="Venmo"/>
    <s v="Monthly"/>
    <s v="Monthly"/>
    <n v="4"/>
  </r>
  <r>
    <x v="264"/>
    <n v="36"/>
    <x v="0"/>
    <s v="Pants"/>
    <x v="0"/>
    <n v="78"/>
    <x v="24"/>
    <s v="S"/>
    <s v="Charcoal"/>
    <s v="Fall"/>
    <n v="3.9"/>
    <s v="Yes"/>
    <s v="Store Pickup"/>
    <s v="Yes"/>
    <s v="Yes"/>
    <n v="15"/>
    <s v="Cash"/>
    <s v="Annually"/>
    <s v="Annually"/>
    <n v="6"/>
  </r>
  <r>
    <x v="265"/>
    <n v="32"/>
    <x v="0"/>
    <s v="Backpack"/>
    <x v="3"/>
    <n v="59"/>
    <x v="49"/>
    <s v="M"/>
    <s v="Gray"/>
    <s v="Spring"/>
    <n v="3.2"/>
    <s v="Yes"/>
    <s v="2-Day Shipping"/>
    <s v="Yes"/>
    <s v="Yes"/>
    <n v="17"/>
    <s v="Bank Transfer"/>
    <s v="Bi-Weekly"/>
    <s v="Bi-Weekly"/>
    <n v="2"/>
  </r>
  <r>
    <x v="266"/>
    <n v="51"/>
    <x v="0"/>
    <s v="Jewelry"/>
    <x v="3"/>
    <n v="75"/>
    <x v="7"/>
    <s v="L"/>
    <s v="White"/>
    <s v="Summer"/>
    <n v="3.1"/>
    <s v="Yes"/>
    <s v="Express"/>
    <s v="Yes"/>
    <s v="Yes"/>
    <n v="32"/>
    <s v="Credit Card"/>
    <s v="Weekly"/>
    <s v="Weekly"/>
    <n v="1"/>
  </r>
  <r>
    <x v="267"/>
    <n v="64"/>
    <x v="0"/>
    <s v="Sweater"/>
    <x v="0"/>
    <n v="54"/>
    <x v="33"/>
    <s v="M"/>
    <s v="Olive"/>
    <s v="Spring"/>
    <n v="3.9"/>
    <s v="Yes"/>
    <s v="2-Day Shipping"/>
    <s v="Yes"/>
    <s v="Yes"/>
    <n v="42"/>
    <s v="Venmo"/>
    <s v="Annually"/>
    <s v="Annually"/>
    <n v="6"/>
  </r>
  <r>
    <x v="268"/>
    <n v="68"/>
    <x v="0"/>
    <s v="Shoes"/>
    <x v="1"/>
    <n v="42"/>
    <x v="42"/>
    <s v="M"/>
    <s v="Charcoal"/>
    <s v="Spring"/>
    <n v="2.6"/>
    <s v="Yes"/>
    <s v="Store Pickup"/>
    <s v="Yes"/>
    <s v="Yes"/>
    <n v="21"/>
    <s v="Cash"/>
    <s v="Monthly"/>
    <s v="Monthly"/>
    <n v="4"/>
  </r>
  <r>
    <x v="269"/>
    <n v="68"/>
    <x v="0"/>
    <s v="Blouse"/>
    <x v="0"/>
    <n v="44"/>
    <x v="42"/>
    <s v="M"/>
    <s v="Charcoal"/>
    <s v="Winter"/>
    <n v="3.3"/>
    <s v="Yes"/>
    <s v="Next Day Air"/>
    <s v="Yes"/>
    <s v="Yes"/>
    <n v="9"/>
    <s v="Cash"/>
    <s v="Bi-Weekly"/>
    <s v="Bi-Weekly"/>
    <n v="2"/>
  </r>
  <r>
    <x v="270"/>
    <n v="33"/>
    <x v="0"/>
    <s v="Jeans"/>
    <x v="0"/>
    <n v="52"/>
    <x v="25"/>
    <s v="XL"/>
    <s v="Orange"/>
    <s v="Fall"/>
    <n v="4.5999999999999996"/>
    <s v="Yes"/>
    <s v="Free Shipping"/>
    <s v="Yes"/>
    <s v="Yes"/>
    <n v="16"/>
    <s v="Bank Transfer"/>
    <s v="Annually"/>
    <s v="Annually"/>
    <n v="6"/>
  </r>
  <r>
    <x v="271"/>
    <n v="65"/>
    <x v="0"/>
    <s v="Sunglasses"/>
    <x v="3"/>
    <n v="69"/>
    <x v="33"/>
    <s v="XL"/>
    <s v="Yellow"/>
    <s v="Summer"/>
    <n v="4.5999999999999996"/>
    <s v="Yes"/>
    <s v="Express"/>
    <s v="Yes"/>
    <s v="Yes"/>
    <n v="42"/>
    <s v="Credit Card"/>
    <s v="Fortnightly"/>
    <s v="Fortnightly"/>
    <n v="3"/>
  </r>
  <r>
    <x v="272"/>
    <n v="48"/>
    <x v="0"/>
    <s v="Jewelry"/>
    <x v="3"/>
    <n v="26"/>
    <x v="4"/>
    <s v="M"/>
    <s v="Beige"/>
    <s v="Summer"/>
    <n v="4.4000000000000004"/>
    <s v="Yes"/>
    <s v="2-Day Shipping"/>
    <s v="Yes"/>
    <s v="Yes"/>
    <n v="37"/>
    <s v="Debit Card"/>
    <s v="Bi-Weekly"/>
    <s v="Bi-Weekly"/>
    <n v="2"/>
  </r>
  <r>
    <x v="273"/>
    <n v="69"/>
    <x v="0"/>
    <s v="Coat"/>
    <x v="2"/>
    <n v="33"/>
    <x v="25"/>
    <s v="S"/>
    <s v="Silver"/>
    <s v="Spring"/>
    <n v="4.2"/>
    <s v="Yes"/>
    <s v="Express"/>
    <s v="Yes"/>
    <s v="Yes"/>
    <n v="32"/>
    <s v="Debit Card"/>
    <s v="Quarterly"/>
    <s v="Quarterly"/>
    <n v="5"/>
  </r>
  <r>
    <x v="274"/>
    <n v="59"/>
    <x v="0"/>
    <s v="Jewelry"/>
    <x v="3"/>
    <n v="32"/>
    <x v="33"/>
    <s v="M"/>
    <s v="Indigo"/>
    <s v="Spring"/>
    <n v="3"/>
    <s v="Yes"/>
    <s v="Express"/>
    <s v="Yes"/>
    <s v="Yes"/>
    <n v="28"/>
    <s v="Cash"/>
    <s v="Bi-Weekly"/>
    <s v="Bi-Weekly"/>
    <n v="2"/>
  </r>
  <r>
    <x v="275"/>
    <n v="48"/>
    <x v="0"/>
    <s v="Backpack"/>
    <x v="3"/>
    <n v="85"/>
    <x v="41"/>
    <s v="XL"/>
    <s v="Lavender"/>
    <s v="Winter"/>
    <n v="4"/>
    <s v="Yes"/>
    <s v="Express"/>
    <s v="Yes"/>
    <s v="Yes"/>
    <n v="13"/>
    <s v="Credit Card"/>
    <s v="Weekly"/>
    <s v="Weekly"/>
    <n v="1"/>
  </r>
  <r>
    <x v="276"/>
    <n v="25"/>
    <x v="0"/>
    <s v="Skirt"/>
    <x v="0"/>
    <n v="30"/>
    <x v="45"/>
    <s v="XL"/>
    <s v="Turquoise"/>
    <s v="Fall"/>
    <n v="3.5"/>
    <s v="Yes"/>
    <s v="Express"/>
    <s v="Yes"/>
    <s v="Yes"/>
    <n v="11"/>
    <s v="Bank Transfer"/>
    <s v="Fortnightly"/>
    <s v="Fortnightly"/>
    <n v="3"/>
  </r>
  <r>
    <x v="277"/>
    <n v="29"/>
    <x v="0"/>
    <s v="Shirt"/>
    <x v="0"/>
    <n v="29"/>
    <x v="42"/>
    <s v="M"/>
    <s v="Green"/>
    <s v="Winter"/>
    <n v="3"/>
    <s v="Yes"/>
    <s v="Store Pickup"/>
    <s v="Yes"/>
    <s v="Yes"/>
    <n v="36"/>
    <s v="Bank Transfer"/>
    <s v="Bi-Weekly"/>
    <s v="Bi-Weekly"/>
    <n v="2"/>
  </r>
  <r>
    <x v="278"/>
    <n v="57"/>
    <x v="0"/>
    <s v="Sweater"/>
    <x v="0"/>
    <n v="95"/>
    <x v="11"/>
    <s v="M"/>
    <s v="Orange"/>
    <s v="Spring"/>
    <n v="3.7"/>
    <s v="Yes"/>
    <s v="Express"/>
    <s v="Yes"/>
    <s v="Yes"/>
    <n v="23"/>
    <s v="Debit Card"/>
    <s v="Annually"/>
    <s v="Annually"/>
    <n v="6"/>
  </r>
  <r>
    <x v="279"/>
    <n v="23"/>
    <x v="0"/>
    <s v="Sneakers"/>
    <x v="1"/>
    <n v="69"/>
    <x v="10"/>
    <s v="L"/>
    <s v="Turquoise"/>
    <s v="Summer"/>
    <n v="4"/>
    <s v="Yes"/>
    <s v="Standard"/>
    <s v="Yes"/>
    <s v="Yes"/>
    <n v="37"/>
    <s v="Bank Transfer"/>
    <s v="Monthly"/>
    <s v="Monthly"/>
    <n v="4"/>
  </r>
  <r>
    <x v="280"/>
    <n v="45"/>
    <x v="0"/>
    <s v="Sandals"/>
    <x v="1"/>
    <n v="69"/>
    <x v="6"/>
    <s v="S"/>
    <s v="Cyan"/>
    <s v="Fall"/>
    <n v="4.2"/>
    <s v="Yes"/>
    <s v="2-Day Shipping"/>
    <s v="Yes"/>
    <s v="Yes"/>
    <n v="21"/>
    <s v="Cash"/>
    <s v="Bi-Weekly"/>
    <s v="Bi-Weekly"/>
    <n v="2"/>
  </r>
  <r>
    <x v="281"/>
    <n v="38"/>
    <x v="0"/>
    <s v="Belt"/>
    <x v="3"/>
    <n v="61"/>
    <x v="19"/>
    <s v="XL"/>
    <s v="Charcoal"/>
    <s v="Spring"/>
    <n v="2.5"/>
    <s v="Yes"/>
    <s v="Standard"/>
    <s v="Yes"/>
    <s v="Yes"/>
    <n v="22"/>
    <s v="Debit Card"/>
    <s v="Bi-Weekly"/>
    <s v="Bi-Weekly"/>
    <n v="2"/>
  </r>
  <r>
    <x v="282"/>
    <n v="21"/>
    <x v="0"/>
    <s v="Skirt"/>
    <x v="0"/>
    <n v="94"/>
    <x v="46"/>
    <s v="M"/>
    <s v="Teal"/>
    <s v="Summer"/>
    <n v="3"/>
    <s v="Yes"/>
    <s v="2-Day Shipping"/>
    <s v="Yes"/>
    <s v="Yes"/>
    <n v="9"/>
    <s v="Cash"/>
    <s v="Monthly"/>
    <s v="Monthly"/>
    <n v="4"/>
  </r>
  <r>
    <x v="283"/>
    <n v="32"/>
    <x v="0"/>
    <s v="Sweater"/>
    <x v="0"/>
    <n v="30"/>
    <x v="6"/>
    <s v="S"/>
    <s v="Maroon"/>
    <s v="Fall"/>
    <n v="3.2"/>
    <s v="Yes"/>
    <s v="Next Day Air"/>
    <s v="Yes"/>
    <s v="Yes"/>
    <n v="16"/>
    <s v="Venmo"/>
    <s v="Annually"/>
    <s v="Annually"/>
    <n v="6"/>
  </r>
  <r>
    <x v="284"/>
    <n v="63"/>
    <x v="0"/>
    <s v="Skirt"/>
    <x v="0"/>
    <n v="45"/>
    <x v="31"/>
    <s v="M"/>
    <s v="Red"/>
    <s v="Summer"/>
    <n v="3.5"/>
    <s v="Yes"/>
    <s v="Standard"/>
    <s v="Yes"/>
    <s v="Yes"/>
    <n v="4"/>
    <s v="PayPal"/>
    <s v="Quarterly"/>
    <s v="Quarterly"/>
    <n v="5"/>
  </r>
  <r>
    <x v="285"/>
    <n v="29"/>
    <x v="0"/>
    <s v="Handbag"/>
    <x v="3"/>
    <n v="39"/>
    <x v="0"/>
    <s v="XL"/>
    <s v="Yellow"/>
    <s v="Summer"/>
    <n v="4.8"/>
    <s v="Yes"/>
    <s v="Express"/>
    <s v="Yes"/>
    <s v="Yes"/>
    <n v="3"/>
    <s v="Debit Card"/>
    <s v="Bi-Weekly"/>
    <s v="Bi-Weekly"/>
    <n v="2"/>
  </r>
  <r>
    <x v="286"/>
    <n v="27"/>
    <x v="0"/>
    <s v="Jewelry"/>
    <x v="3"/>
    <n v="51"/>
    <x v="43"/>
    <s v="L"/>
    <s v="Gray"/>
    <s v="Summer"/>
    <n v="2.6"/>
    <s v="Yes"/>
    <s v="Store Pickup"/>
    <s v="Yes"/>
    <s v="Yes"/>
    <n v="6"/>
    <s v="Debit Card"/>
    <s v="Annually"/>
    <s v="Annually"/>
    <n v="6"/>
  </r>
  <r>
    <x v="287"/>
    <n v="56"/>
    <x v="0"/>
    <s v="Scarf"/>
    <x v="3"/>
    <n v="37"/>
    <x v="12"/>
    <s v="L"/>
    <s v="Blue"/>
    <s v="Spring"/>
    <n v="3.4"/>
    <s v="Yes"/>
    <s v="2-Day Shipping"/>
    <s v="Yes"/>
    <s v="Yes"/>
    <n v="18"/>
    <s v="Venmo"/>
    <s v="Fortnightly"/>
    <s v="Fortnightly"/>
    <n v="3"/>
  </r>
  <r>
    <x v="288"/>
    <n v="30"/>
    <x v="0"/>
    <s v="T-shirt"/>
    <x v="0"/>
    <n v="62"/>
    <x v="17"/>
    <s v="M"/>
    <s v="Lavender"/>
    <s v="Winter"/>
    <n v="3.7"/>
    <s v="Yes"/>
    <s v="2-Day Shipping"/>
    <s v="Yes"/>
    <s v="Yes"/>
    <n v="34"/>
    <s v="Venmo"/>
    <s v="Bi-Weekly"/>
    <s v="Bi-Weekly"/>
    <n v="2"/>
  </r>
  <r>
    <x v="289"/>
    <n v="49"/>
    <x v="0"/>
    <s v="Coat"/>
    <x v="2"/>
    <n v="85"/>
    <x v="14"/>
    <s v="M"/>
    <s v="Yellow"/>
    <s v="Fall"/>
    <n v="4.5"/>
    <s v="Yes"/>
    <s v="2-Day Shipping"/>
    <s v="Yes"/>
    <s v="Yes"/>
    <n v="26"/>
    <s v="Credit Card"/>
    <s v="Monthly"/>
    <s v="Monthly"/>
    <n v="4"/>
  </r>
  <r>
    <x v="290"/>
    <n v="58"/>
    <x v="0"/>
    <s v="T-shirt"/>
    <x v="0"/>
    <n v="33"/>
    <x v="24"/>
    <s v="M"/>
    <s v="Indigo"/>
    <s v="Winter"/>
    <n v="3.7"/>
    <s v="Yes"/>
    <s v="Standard"/>
    <s v="Yes"/>
    <s v="Yes"/>
    <n v="50"/>
    <s v="PayPal"/>
    <s v="Weekly"/>
    <s v="Weekly"/>
    <n v="1"/>
  </r>
  <r>
    <x v="291"/>
    <n v="57"/>
    <x v="0"/>
    <s v="Dress"/>
    <x v="0"/>
    <n v="26"/>
    <x v="12"/>
    <s v="XL"/>
    <s v="Violet"/>
    <s v="Fall"/>
    <n v="3.3"/>
    <s v="Yes"/>
    <s v="Next Day Air"/>
    <s v="Yes"/>
    <s v="Yes"/>
    <n v="40"/>
    <s v="Bank Transfer"/>
    <s v="Monthly"/>
    <s v="Monthly"/>
    <n v="4"/>
  </r>
  <r>
    <x v="292"/>
    <n v="60"/>
    <x v="0"/>
    <s v="Shoes"/>
    <x v="1"/>
    <n v="99"/>
    <x v="40"/>
    <s v="M"/>
    <s v="Green"/>
    <s v="Spring"/>
    <n v="4.7"/>
    <s v="Yes"/>
    <s v="Free Shipping"/>
    <s v="Yes"/>
    <s v="Yes"/>
    <n v="24"/>
    <s v="Cash"/>
    <s v="Quarterly"/>
    <s v="Quarterly"/>
    <n v="5"/>
  </r>
  <r>
    <x v="293"/>
    <n v="69"/>
    <x v="0"/>
    <s v="Handbag"/>
    <x v="3"/>
    <n v="39"/>
    <x v="39"/>
    <s v="M"/>
    <s v="White"/>
    <s v="Spring"/>
    <n v="2.7"/>
    <s v="Yes"/>
    <s v="Express"/>
    <s v="Yes"/>
    <s v="Yes"/>
    <n v="33"/>
    <s v="PayPal"/>
    <s v="Annually"/>
    <s v="Annually"/>
    <n v="6"/>
  </r>
  <r>
    <x v="294"/>
    <n v="70"/>
    <x v="0"/>
    <s v="Skirt"/>
    <x v="0"/>
    <n v="20"/>
    <x v="32"/>
    <s v="M"/>
    <s v="Gold"/>
    <s v="Spring"/>
    <n v="4.5999999999999996"/>
    <s v="Yes"/>
    <s v="Store Pickup"/>
    <s v="Yes"/>
    <s v="Yes"/>
    <n v="19"/>
    <s v="Credit Card"/>
    <s v="Every 3 Months"/>
    <s v="Quarterly"/>
    <n v="5"/>
  </r>
  <r>
    <x v="295"/>
    <n v="53"/>
    <x v="0"/>
    <s v="Sunglasses"/>
    <x v="3"/>
    <n v="42"/>
    <x v="8"/>
    <s v="M"/>
    <s v="Indigo"/>
    <s v="Winter"/>
    <n v="2.7"/>
    <s v="Yes"/>
    <s v="Store Pickup"/>
    <s v="Yes"/>
    <s v="Yes"/>
    <n v="24"/>
    <s v="Credit Card"/>
    <s v="Quarterly"/>
    <s v="Quarterly"/>
    <n v="5"/>
  </r>
  <r>
    <x v="296"/>
    <n v="25"/>
    <x v="0"/>
    <s v="Sandals"/>
    <x v="1"/>
    <n v="74"/>
    <x v="27"/>
    <s v="S"/>
    <s v="Lavender"/>
    <s v="Spring"/>
    <n v="4.8"/>
    <s v="Yes"/>
    <s v="2-Day Shipping"/>
    <s v="Yes"/>
    <s v="Yes"/>
    <n v="19"/>
    <s v="Credit Card"/>
    <s v="Weekly"/>
    <s v="Weekly"/>
    <n v="1"/>
  </r>
  <r>
    <x v="297"/>
    <n v="48"/>
    <x v="0"/>
    <s v="Shoes"/>
    <x v="1"/>
    <n v="26"/>
    <x v="12"/>
    <s v="XL"/>
    <s v="Purple"/>
    <s v="Summer"/>
    <n v="4.4000000000000004"/>
    <s v="Yes"/>
    <s v="Standard"/>
    <s v="Yes"/>
    <s v="Yes"/>
    <n v="4"/>
    <s v="Credit Card"/>
    <s v="Bi-Weekly"/>
    <s v="Bi-Weekly"/>
    <n v="2"/>
  </r>
  <r>
    <x v="298"/>
    <n v="69"/>
    <x v="0"/>
    <s v="T-shirt"/>
    <x v="0"/>
    <n v="53"/>
    <x v="33"/>
    <s v="M"/>
    <s v="Lavender"/>
    <s v="Winter"/>
    <n v="4"/>
    <s v="Yes"/>
    <s v="Standard"/>
    <s v="Yes"/>
    <s v="Yes"/>
    <n v="11"/>
    <s v="Venmo"/>
    <s v="Every 3 Months"/>
    <s v="Quarterly"/>
    <n v="5"/>
  </r>
  <r>
    <x v="299"/>
    <n v="25"/>
    <x v="0"/>
    <s v="Sneakers"/>
    <x v="1"/>
    <n v="80"/>
    <x v="38"/>
    <s v="M"/>
    <s v="Maroon"/>
    <s v="Summer"/>
    <n v="3.2"/>
    <s v="Yes"/>
    <s v="Next Day Air"/>
    <s v="Yes"/>
    <s v="Yes"/>
    <n v="28"/>
    <s v="PayPal"/>
    <s v="Fortnightly"/>
    <s v="Fortnightly"/>
    <n v="3"/>
  </r>
  <r>
    <x v="300"/>
    <n v="29"/>
    <x v="0"/>
    <s v="Hat"/>
    <x v="3"/>
    <n v="98"/>
    <x v="44"/>
    <s v="M"/>
    <s v="Teal"/>
    <s v="Spring"/>
    <n v="4.4000000000000004"/>
    <s v="Yes"/>
    <s v="Store Pickup"/>
    <s v="Yes"/>
    <s v="Yes"/>
    <n v="24"/>
    <s v="PayPal"/>
    <s v="Weekly"/>
    <s v="Weekly"/>
    <n v="1"/>
  </r>
  <r>
    <x v="301"/>
    <n v="46"/>
    <x v="0"/>
    <s v="Skirt"/>
    <x v="0"/>
    <n v="95"/>
    <x v="38"/>
    <s v="M"/>
    <s v="Green"/>
    <s v="Spring"/>
    <n v="3.8"/>
    <s v="Yes"/>
    <s v="Standard"/>
    <s v="Yes"/>
    <s v="Yes"/>
    <n v="25"/>
    <s v="Credit Card"/>
    <s v="Every 3 Months"/>
    <s v="Quarterly"/>
    <n v="5"/>
  </r>
  <r>
    <x v="302"/>
    <n v="37"/>
    <x v="0"/>
    <s v="Sweater"/>
    <x v="0"/>
    <n v="44"/>
    <x v="12"/>
    <s v="L"/>
    <s v="Olive"/>
    <s v="Summer"/>
    <n v="3.6"/>
    <s v="Yes"/>
    <s v="Express"/>
    <s v="Yes"/>
    <s v="Yes"/>
    <n v="27"/>
    <s v="Bank Transfer"/>
    <s v="Every 3 Months"/>
    <s v="Quarterly"/>
    <n v="5"/>
  </r>
  <r>
    <x v="303"/>
    <n v="20"/>
    <x v="0"/>
    <s v="Sandals"/>
    <x v="1"/>
    <n v="60"/>
    <x v="4"/>
    <s v="M"/>
    <s v="Turquoise"/>
    <s v="Summer"/>
    <n v="3.3"/>
    <s v="Yes"/>
    <s v="Next Day Air"/>
    <s v="Yes"/>
    <s v="Yes"/>
    <n v="49"/>
    <s v="Venmo"/>
    <s v="Weekly"/>
    <s v="Weekly"/>
    <n v="1"/>
  </r>
  <r>
    <x v="304"/>
    <n v="40"/>
    <x v="0"/>
    <s v="Dress"/>
    <x v="0"/>
    <n v="84"/>
    <x v="4"/>
    <s v="M"/>
    <s v="Green"/>
    <s v="Winter"/>
    <n v="3.4"/>
    <s v="Yes"/>
    <s v="Next Day Air"/>
    <s v="Yes"/>
    <s v="Yes"/>
    <n v="45"/>
    <s v="Credit Card"/>
    <s v="Bi-Weekly"/>
    <s v="Bi-Weekly"/>
    <n v="2"/>
  </r>
  <r>
    <x v="305"/>
    <n v="60"/>
    <x v="0"/>
    <s v="Sweater"/>
    <x v="0"/>
    <n v="59"/>
    <x v="40"/>
    <s v="M"/>
    <s v="Teal"/>
    <s v="Fall"/>
    <n v="3.5"/>
    <s v="Yes"/>
    <s v="2-Day Shipping"/>
    <s v="Yes"/>
    <s v="Yes"/>
    <n v="26"/>
    <s v="PayPal"/>
    <s v="Annually"/>
    <s v="Annually"/>
    <n v="6"/>
  </r>
  <r>
    <x v="306"/>
    <n v="26"/>
    <x v="0"/>
    <s v="Jacket"/>
    <x v="2"/>
    <n v="49"/>
    <x v="25"/>
    <s v="S"/>
    <s v="White"/>
    <s v="Summer"/>
    <n v="3.6"/>
    <s v="Yes"/>
    <s v="Express"/>
    <s v="Yes"/>
    <s v="Yes"/>
    <n v="4"/>
    <s v="Cash"/>
    <s v="Annually"/>
    <s v="Annually"/>
    <n v="6"/>
  </r>
  <r>
    <x v="307"/>
    <n v="29"/>
    <x v="0"/>
    <s v="Gloves"/>
    <x v="3"/>
    <n v="32"/>
    <x v="20"/>
    <s v="M"/>
    <s v="Orange"/>
    <s v="Winter"/>
    <n v="3.2"/>
    <s v="Yes"/>
    <s v="Free Shipping"/>
    <s v="Yes"/>
    <s v="Yes"/>
    <n v="3"/>
    <s v="Credit Card"/>
    <s v="Every 3 Months"/>
    <s v="Quarterly"/>
    <n v="5"/>
  </r>
  <r>
    <x v="308"/>
    <n v="66"/>
    <x v="0"/>
    <s v="Handbag"/>
    <x v="3"/>
    <n v="29"/>
    <x v="33"/>
    <s v="M"/>
    <s v="Beige"/>
    <s v="Fall"/>
    <n v="3.7"/>
    <s v="Yes"/>
    <s v="Standard"/>
    <s v="Yes"/>
    <s v="Yes"/>
    <n v="45"/>
    <s v="Venmo"/>
    <s v="Bi-Weekly"/>
    <s v="Bi-Weekly"/>
    <n v="2"/>
  </r>
  <r>
    <x v="309"/>
    <n v="66"/>
    <x v="0"/>
    <s v="Dress"/>
    <x v="0"/>
    <n v="22"/>
    <x v="46"/>
    <s v="M"/>
    <s v="Yellow"/>
    <s v="Spring"/>
    <n v="4.5"/>
    <s v="Yes"/>
    <s v="Standard"/>
    <s v="Yes"/>
    <s v="Yes"/>
    <n v="21"/>
    <s v="Cash"/>
    <s v="Fortnightly"/>
    <s v="Fortnightly"/>
    <n v="3"/>
  </r>
  <r>
    <x v="310"/>
    <n v="56"/>
    <x v="0"/>
    <s v="Pants"/>
    <x v="0"/>
    <n v="85"/>
    <x v="6"/>
    <s v="M"/>
    <s v="Charcoal"/>
    <s v="Winter"/>
    <n v="4.5999999999999996"/>
    <s v="Yes"/>
    <s v="Standard"/>
    <s v="Yes"/>
    <s v="Yes"/>
    <n v="50"/>
    <s v="Cash"/>
    <s v="Fortnightly"/>
    <s v="Fortnightly"/>
    <n v="3"/>
  </r>
  <r>
    <x v="311"/>
    <n v="69"/>
    <x v="0"/>
    <s v="Jeans"/>
    <x v="0"/>
    <n v="52"/>
    <x v="3"/>
    <s v="L"/>
    <s v="Silver"/>
    <s v="Winter"/>
    <n v="4.0999999999999996"/>
    <s v="Yes"/>
    <s v="Store Pickup"/>
    <s v="Yes"/>
    <s v="Yes"/>
    <n v="19"/>
    <s v="Bank Transfer"/>
    <s v="Monthly"/>
    <s v="Monthly"/>
    <n v="4"/>
  </r>
  <r>
    <x v="312"/>
    <n v="38"/>
    <x v="0"/>
    <s v="Pants"/>
    <x v="0"/>
    <n v="89"/>
    <x v="2"/>
    <s v="L"/>
    <s v="Green"/>
    <s v="Spring"/>
    <n v="3.4"/>
    <s v="Yes"/>
    <s v="Next Day Air"/>
    <s v="Yes"/>
    <s v="Yes"/>
    <n v="6"/>
    <s v="PayPal"/>
    <s v="Annually"/>
    <s v="Annually"/>
    <n v="6"/>
  </r>
  <r>
    <x v="313"/>
    <n v="42"/>
    <x v="0"/>
    <s v="Dress"/>
    <x v="0"/>
    <n v="77"/>
    <x v="34"/>
    <s v="M"/>
    <s v="Pink"/>
    <s v="Spring"/>
    <n v="3.7"/>
    <s v="Yes"/>
    <s v="Express"/>
    <s v="Yes"/>
    <s v="Yes"/>
    <n v="50"/>
    <s v="Credit Card"/>
    <s v="Every 3 Months"/>
    <s v="Quarterly"/>
    <n v="5"/>
  </r>
  <r>
    <x v="314"/>
    <n v="30"/>
    <x v="0"/>
    <s v="Pants"/>
    <x v="0"/>
    <n v="24"/>
    <x v="32"/>
    <s v="M"/>
    <s v="Purple"/>
    <s v="Summer"/>
    <n v="3.3"/>
    <s v="Yes"/>
    <s v="Store Pickup"/>
    <s v="Yes"/>
    <s v="Yes"/>
    <n v="17"/>
    <s v="Debit Card"/>
    <s v="Every 3 Months"/>
    <s v="Quarterly"/>
    <n v="5"/>
  </r>
  <r>
    <x v="315"/>
    <n v="66"/>
    <x v="0"/>
    <s v="Jewelry"/>
    <x v="3"/>
    <n v="24"/>
    <x v="48"/>
    <s v="XL"/>
    <s v="Orange"/>
    <s v="Spring"/>
    <n v="4.5"/>
    <s v="Yes"/>
    <s v="Express"/>
    <s v="Yes"/>
    <s v="Yes"/>
    <n v="24"/>
    <s v="Debit Card"/>
    <s v="Annually"/>
    <s v="Annually"/>
    <n v="6"/>
  </r>
  <r>
    <x v="316"/>
    <n v="36"/>
    <x v="0"/>
    <s v="Handbag"/>
    <x v="3"/>
    <n v="22"/>
    <x v="18"/>
    <s v="M"/>
    <s v="Charcoal"/>
    <s v="Fall"/>
    <n v="3.3"/>
    <s v="Yes"/>
    <s v="Free Shipping"/>
    <s v="Yes"/>
    <s v="Yes"/>
    <n v="46"/>
    <s v="Venmo"/>
    <s v="Monthly"/>
    <s v="Monthly"/>
    <n v="4"/>
  </r>
  <r>
    <x v="317"/>
    <n v="58"/>
    <x v="0"/>
    <s v="Sweater"/>
    <x v="0"/>
    <n v="82"/>
    <x v="8"/>
    <s v="L"/>
    <s v="Teal"/>
    <s v="Fall"/>
    <n v="4.3"/>
    <s v="Yes"/>
    <s v="Standard"/>
    <s v="Yes"/>
    <s v="Yes"/>
    <n v="42"/>
    <s v="Cash"/>
    <s v="Every 3 Months"/>
    <s v="Quarterly"/>
    <n v="5"/>
  </r>
  <r>
    <x v="318"/>
    <n v="45"/>
    <x v="0"/>
    <s v="Backpack"/>
    <x v="3"/>
    <n v="67"/>
    <x v="45"/>
    <s v="M"/>
    <s v="Beige"/>
    <s v="Winter"/>
    <n v="2.5"/>
    <s v="Yes"/>
    <s v="Standard"/>
    <s v="Yes"/>
    <s v="Yes"/>
    <n v="10"/>
    <s v="Cash"/>
    <s v="Annually"/>
    <s v="Annually"/>
    <n v="6"/>
  </r>
  <r>
    <x v="319"/>
    <n v="47"/>
    <x v="0"/>
    <s v="Shorts"/>
    <x v="0"/>
    <n v="74"/>
    <x v="1"/>
    <s v="XL"/>
    <s v="White"/>
    <s v="Spring"/>
    <n v="2.6"/>
    <s v="Yes"/>
    <s v="Standard"/>
    <s v="Yes"/>
    <s v="Yes"/>
    <n v="1"/>
    <s v="Cash"/>
    <s v="Every 3 Months"/>
    <s v="Quarterly"/>
    <n v="5"/>
  </r>
  <r>
    <x v="320"/>
    <n v="66"/>
    <x v="0"/>
    <s v="Jewelry"/>
    <x v="3"/>
    <n v="72"/>
    <x v="23"/>
    <s v="L"/>
    <s v="White"/>
    <s v="Summer"/>
    <n v="4.9000000000000004"/>
    <s v="Yes"/>
    <s v="Standard"/>
    <s v="Yes"/>
    <s v="Yes"/>
    <n v="28"/>
    <s v="Debit Card"/>
    <s v="Quarterly"/>
    <s v="Quarterly"/>
    <n v="5"/>
  </r>
  <r>
    <x v="321"/>
    <n v="41"/>
    <x v="0"/>
    <s v="Sneakers"/>
    <x v="1"/>
    <n v="36"/>
    <x v="34"/>
    <s v="L"/>
    <s v="Orange"/>
    <s v="Summer"/>
    <n v="4.7"/>
    <s v="Yes"/>
    <s v="Free Shipping"/>
    <s v="Yes"/>
    <s v="Yes"/>
    <n v="48"/>
    <s v="Debit Card"/>
    <s v="Quarterly"/>
    <s v="Quarterly"/>
    <n v="5"/>
  </r>
  <r>
    <x v="322"/>
    <n v="41"/>
    <x v="0"/>
    <s v="Belt"/>
    <x v="3"/>
    <n v="95"/>
    <x v="30"/>
    <s v="S"/>
    <s v="Cyan"/>
    <s v="Winter"/>
    <n v="3"/>
    <s v="Yes"/>
    <s v="Standard"/>
    <s v="Yes"/>
    <s v="Yes"/>
    <n v="47"/>
    <s v="Credit Card"/>
    <s v="Monthly"/>
    <s v="Monthly"/>
    <n v="4"/>
  </r>
  <r>
    <x v="323"/>
    <n v="66"/>
    <x v="0"/>
    <s v="Hoodie"/>
    <x v="0"/>
    <n v="78"/>
    <x v="30"/>
    <s v="M"/>
    <s v="Orange"/>
    <s v="Winter"/>
    <n v="3.5"/>
    <s v="Yes"/>
    <s v="Next Day Air"/>
    <s v="Yes"/>
    <s v="Yes"/>
    <n v="29"/>
    <s v="PayPal"/>
    <s v="Bi-Weekly"/>
    <s v="Bi-Weekly"/>
    <n v="2"/>
  </r>
  <r>
    <x v="324"/>
    <n v="37"/>
    <x v="0"/>
    <s v="Shirt"/>
    <x v="0"/>
    <n v="82"/>
    <x v="5"/>
    <s v="M"/>
    <s v="Olive"/>
    <s v="Summer"/>
    <n v="4.8"/>
    <s v="Yes"/>
    <s v="Standard"/>
    <s v="Yes"/>
    <s v="Yes"/>
    <n v="37"/>
    <s v="Venmo"/>
    <s v="Quarterly"/>
    <s v="Quarterly"/>
    <n v="5"/>
  </r>
  <r>
    <x v="325"/>
    <n v="70"/>
    <x v="0"/>
    <s v="Pants"/>
    <x v="0"/>
    <n v="70"/>
    <x v="34"/>
    <s v="M"/>
    <s v="Charcoal"/>
    <s v="Winter"/>
    <n v="4.3"/>
    <s v="Yes"/>
    <s v="Free Shipping"/>
    <s v="Yes"/>
    <s v="Yes"/>
    <n v="38"/>
    <s v="Debit Card"/>
    <s v="Annually"/>
    <s v="Annually"/>
    <n v="6"/>
  </r>
  <r>
    <x v="326"/>
    <n v="62"/>
    <x v="0"/>
    <s v="Scarf"/>
    <x v="3"/>
    <n v="41"/>
    <x v="32"/>
    <s v="M"/>
    <s v="White"/>
    <s v="Fall"/>
    <n v="3.2"/>
    <s v="Yes"/>
    <s v="Store Pickup"/>
    <s v="Yes"/>
    <s v="Yes"/>
    <n v="48"/>
    <s v="Bank Transfer"/>
    <s v="Weekly"/>
    <s v="Weekly"/>
    <n v="1"/>
  </r>
  <r>
    <x v="327"/>
    <n v="61"/>
    <x v="0"/>
    <s v="Coat"/>
    <x v="2"/>
    <n v="42"/>
    <x v="44"/>
    <s v="M"/>
    <s v="Teal"/>
    <s v="Summer"/>
    <n v="3.1"/>
    <s v="Yes"/>
    <s v="Free Shipping"/>
    <s v="Yes"/>
    <s v="Yes"/>
    <n v="36"/>
    <s v="PayPal"/>
    <s v="Weekly"/>
    <s v="Weekly"/>
    <n v="1"/>
  </r>
  <r>
    <x v="328"/>
    <n v="48"/>
    <x v="0"/>
    <s v="Coat"/>
    <x v="2"/>
    <n v="50"/>
    <x v="20"/>
    <s v="M"/>
    <s v="Yellow"/>
    <s v="Fall"/>
    <n v="2.8"/>
    <s v="Yes"/>
    <s v="Free Shipping"/>
    <s v="Yes"/>
    <s v="Yes"/>
    <n v="9"/>
    <s v="Credit Card"/>
    <s v="Weekly"/>
    <s v="Weekly"/>
    <n v="1"/>
  </r>
  <r>
    <x v="329"/>
    <n v="70"/>
    <x v="0"/>
    <s v="Socks"/>
    <x v="0"/>
    <n v="31"/>
    <x v="22"/>
    <s v="S"/>
    <s v="White"/>
    <s v="Summer"/>
    <n v="2.9"/>
    <s v="Yes"/>
    <s v="2-Day Shipping"/>
    <s v="Yes"/>
    <s v="Yes"/>
    <n v="34"/>
    <s v="Bank Transfer"/>
    <s v="Monthly"/>
    <s v="Monthly"/>
    <n v="4"/>
  </r>
  <r>
    <x v="330"/>
    <n v="46"/>
    <x v="0"/>
    <s v="Sweater"/>
    <x v="0"/>
    <n v="51"/>
    <x v="25"/>
    <s v="M"/>
    <s v="Beige"/>
    <s v="Winter"/>
    <n v="3.7"/>
    <s v="Yes"/>
    <s v="Express"/>
    <s v="Yes"/>
    <s v="Yes"/>
    <n v="43"/>
    <s v="Venmo"/>
    <s v="Bi-Weekly"/>
    <s v="Bi-Weekly"/>
    <n v="2"/>
  </r>
  <r>
    <x v="331"/>
    <n v="31"/>
    <x v="0"/>
    <s v="Shirt"/>
    <x v="0"/>
    <n v="98"/>
    <x v="20"/>
    <s v="L"/>
    <s v="Beige"/>
    <s v="Fall"/>
    <n v="3.3"/>
    <s v="Yes"/>
    <s v="Store Pickup"/>
    <s v="Yes"/>
    <s v="Yes"/>
    <n v="46"/>
    <s v="PayPal"/>
    <s v="Quarterly"/>
    <s v="Quarterly"/>
    <n v="5"/>
  </r>
  <r>
    <x v="332"/>
    <n v="19"/>
    <x v="0"/>
    <s v="Shirt"/>
    <x v="0"/>
    <n v="86"/>
    <x v="14"/>
    <s v="M"/>
    <s v="Maroon"/>
    <s v="Winter"/>
    <n v="2.8"/>
    <s v="Yes"/>
    <s v="2-Day Shipping"/>
    <s v="Yes"/>
    <s v="Yes"/>
    <n v="5"/>
    <s v="Credit Card"/>
    <s v="Monthly"/>
    <s v="Monthly"/>
    <n v="4"/>
  </r>
  <r>
    <x v="333"/>
    <n v="39"/>
    <x v="0"/>
    <s v="Sweater"/>
    <x v="0"/>
    <n v="64"/>
    <x v="29"/>
    <s v="M"/>
    <s v="Teal"/>
    <s v="Winter"/>
    <n v="4.5"/>
    <s v="Yes"/>
    <s v="Standard"/>
    <s v="Yes"/>
    <s v="Yes"/>
    <n v="15"/>
    <s v="Bank Transfer"/>
    <s v="Bi-Weekly"/>
    <s v="Bi-Weekly"/>
    <n v="2"/>
  </r>
  <r>
    <x v="334"/>
    <n v="41"/>
    <x v="0"/>
    <s v="Blouse"/>
    <x v="0"/>
    <n v="46"/>
    <x v="23"/>
    <s v="M"/>
    <s v="Lavender"/>
    <s v="Fall"/>
    <n v="2.6"/>
    <s v="Yes"/>
    <s v="Next Day Air"/>
    <s v="Yes"/>
    <s v="Yes"/>
    <n v="30"/>
    <s v="Credit Card"/>
    <s v="Annually"/>
    <s v="Annually"/>
    <n v="6"/>
  </r>
  <r>
    <x v="335"/>
    <n v="20"/>
    <x v="0"/>
    <s v="Sweater"/>
    <x v="0"/>
    <n v="85"/>
    <x v="4"/>
    <s v="L"/>
    <s v="Maroon"/>
    <s v="Spring"/>
    <n v="3.7"/>
    <s v="Yes"/>
    <s v="Standard"/>
    <s v="Yes"/>
    <s v="Yes"/>
    <n v="44"/>
    <s v="Venmo"/>
    <s v="Every 3 Months"/>
    <s v="Quarterly"/>
    <n v="5"/>
  </r>
  <r>
    <x v="336"/>
    <n v="36"/>
    <x v="0"/>
    <s v="Hat"/>
    <x v="3"/>
    <n v="81"/>
    <x v="3"/>
    <s v="S"/>
    <s v="Orange"/>
    <s v="Fall"/>
    <n v="4.4000000000000004"/>
    <s v="Yes"/>
    <s v="Express"/>
    <s v="Yes"/>
    <s v="Yes"/>
    <n v="16"/>
    <s v="PayPal"/>
    <s v="Annually"/>
    <s v="Annually"/>
    <n v="6"/>
  </r>
  <r>
    <x v="337"/>
    <n v="32"/>
    <x v="0"/>
    <s v="Sweater"/>
    <x v="0"/>
    <n v="59"/>
    <x v="35"/>
    <s v="M"/>
    <s v="Cyan"/>
    <s v="Winter"/>
    <n v="4.3"/>
    <s v="Yes"/>
    <s v="2-Day Shipping"/>
    <s v="Yes"/>
    <s v="Yes"/>
    <n v="16"/>
    <s v="Bank Transfer"/>
    <s v="Annually"/>
    <s v="Annually"/>
    <n v="6"/>
  </r>
  <r>
    <x v="338"/>
    <n v="69"/>
    <x v="0"/>
    <s v="Hoodie"/>
    <x v="0"/>
    <n v="79"/>
    <x v="2"/>
    <s v="M"/>
    <s v="Silver"/>
    <s v="Winter"/>
    <n v="3.5"/>
    <s v="Yes"/>
    <s v="Express"/>
    <s v="Yes"/>
    <s v="Yes"/>
    <n v="16"/>
    <s v="Cash"/>
    <s v="Weekly"/>
    <s v="Weekly"/>
    <n v="1"/>
  </r>
  <r>
    <x v="339"/>
    <n v="40"/>
    <x v="0"/>
    <s v="Shorts"/>
    <x v="0"/>
    <n v="33"/>
    <x v="38"/>
    <s v="M"/>
    <s v="Teal"/>
    <s v="Spring"/>
    <n v="3.8"/>
    <s v="Yes"/>
    <s v="2-Day Shipping"/>
    <s v="Yes"/>
    <s v="Yes"/>
    <n v="21"/>
    <s v="Credit Card"/>
    <s v="Every 3 Months"/>
    <s v="Quarterly"/>
    <n v="5"/>
  </r>
  <r>
    <x v="340"/>
    <n v="40"/>
    <x v="0"/>
    <s v="Shorts"/>
    <x v="0"/>
    <n v="47"/>
    <x v="32"/>
    <s v="L"/>
    <s v="Blue"/>
    <s v="Summer"/>
    <n v="3.5"/>
    <s v="Yes"/>
    <s v="Express"/>
    <s v="Yes"/>
    <s v="Yes"/>
    <n v="39"/>
    <s v="Venmo"/>
    <s v="Every 3 Months"/>
    <s v="Quarterly"/>
    <n v="5"/>
  </r>
  <r>
    <x v="341"/>
    <n v="20"/>
    <x v="0"/>
    <s v="Hat"/>
    <x v="3"/>
    <n v="20"/>
    <x v="40"/>
    <s v="S"/>
    <s v="Blue"/>
    <s v="Summer"/>
    <n v="4.5999999999999996"/>
    <s v="Yes"/>
    <s v="Store Pickup"/>
    <s v="Yes"/>
    <s v="Yes"/>
    <n v="40"/>
    <s v="Debit Card"/>
    <s v="Bi-Weekly"/>
    <s v="Bi-Weekly"/>
    <n v="2"/>
  </r>
  <r>
    <x v="342"/>
    <n v="64"/>
    <x v="0"/>
    <s v="Coat"/>
    <x v="2"/>
    <n v="36"/>
    <x v="0"/>
    <s v="M"/>
    <s v="Olive"/>
    <s v="Spring"/>
    <n v="2.6"/>
    <s v="Yes"/>
    <s v="Next Day Air"/>
    <s v="Yes"/>
    <s v="Yes"/>
    <n v="48"/>
    <s v="Credit Card"/>
    <s v="Every 3 Months"/>
    <s v="Quarterly"/>
    <n v="5"/>
  </r>
  <r>
    <x v="343"/>
    <n v="27"/>
    <x v="0"/>
    <s v="Sandals"/>
    <x v="1"/>
    <n v="39"/>
    <x v="43"/>
    <s v="M"/>
    <s v="Purple"/>
    <s v="Summer"/>
    <n v="4.4000000000000004"/>
    <s v="Yes"/>
    <s v="Next Day Air"/>
    <s v="Yes"/>
    <s v="Yes"/>
    <n v="26"/>
    <s v="Venmo"/>
    <s v="Monthly"/>
    <s v="Monthly"/>
    <n v="4"/>
  </r>
  <r>
    <x v="344"/>
    <n v="24"/>
    <x v="0"/>
    <s v="Skirt"/>
    <x v="0"/>
    <n v="71"/>
    <x v="41"/>
    <s v="M"/>
    <s v="Charcoal"/>
    <s v="Winter"/>
    <n v="4"/>
    <s v="Yes"/>
    <s v="Standard"/>
    <s v="Yes"/>
    <s v="Yes"/>
    <n v="46"/>
    <s v="Debit Card"/>
    <s v="Monthly"/>
    <s v="Monthly"/>
    <n v="4"/>
  </r>
  <r>
    <x v="345"/>
    <n v="48"/>
    <x v="0"/>
    <s v="Shoes"/>
    <x v="1"/>
    <n v="59"/>
    <x v="5"/>
    <s v="S"/>
    <s v="Olive"/>
    <s v="Winter"/>
    <n v="4.4000000000000004"/>
    <s v="Yes"/>
    <s v="Next Day Air"/>
    <s v="Yes"/>
    <s v="Yes"/>
    <n v="27"/>
    <s v="Bank Transfer"/>
    <s v="Annually"/>
    <s v="Annually"/>
    <n v="6"/>
  </r>
  <r>
    <x v="346"/>
    <n v="49"/>
    <x v="0"/>
    <s v="Jeans"/>
    <x v="0"/>
    <n v="50"/>
    <x v="35"/>
    <s v="L"/>
    <s v="Violet"/>
    <s v="Spring"/>
    <n v="4.7"/>
    <s v="Yes"/>
    <s v="Next Day Air"/>
    <s v="Yes"/>
    <s v="Yes"/>
    <n v="5"/>
    <s v="Cash"/>
    <s v="Weekly"/>
    <s v="Weekly"/>
    <n v="1"/>
  </r>
  <r>
    <x v="347"/>
    <n v="36"/>
    <x v="0"/>
    <s v="Sandals"/>
    <x v="1"/>
    <n v="41"/>
    <x v="4"/>
    <s v="L"/>
    <s v="Red"/>
    <s v="Fall"/>
    <n v="3.9"/>
    <s v="Yes"/>
    <s v="Store Pickup"/>
    <s v="Yes"/>
    <s v="Yes"/>
    <n v="43"/>
    <s v="PayPal"/>
    <s v="Fortnightly"/>
    <s v="Fortnightly"/>
    <n v="3"/>
  </r>
  <r>
    <x v="348"/>
    <n v="56"/>
    <x v="0"/>
    <s v="Blouse"/>
    <x v="0"/>
    <n v="59"/>
    <x v="36"/>
    <s v="M"/>
    <s v="Beige"/>
    <s v="Fall"/>
    <n v="2.7"/>
    <s v="Yes"/>
    <s v="Free Shipping"/>
    <s v="Yes"/>
    <s v="Yes"/>
    <n v="17"/>
    <s v="PayPal"/>
    <s v="Fortnightly"/>
    <s v="Fortnightly"/>
    <n v="3"/>
  </r>
  <r>
    <x v="349"/>
    <n v="37"/>
    <x v="0"/>
    <s v="Hat"/>
    <x v="3"/>
    <n v="87"/>
    <x v="28"/>
    <s v="M"/>
    <s v="Green"/>
    <s v="Winter"/>
    <n v="3.7"/>
    <s v="Yes"/>
    <s v="2-Day Shipping"/>
    <s v="Yes"/>
    <s v="Yes"/>
    <n v="3"/>
    <s v="Bank Transfer"/>
    <s v="Bi-Weekly"/>
    <s v="Bi-Weekly"/>
    <n v="2"/>
  </r>
  <r>
    <x v="350"/>
    <n v="42"/>
    <x v="0"/>
    <s v="Sweater"/>
    <x v="0"/>
    <n v="68"/>
    <x v="0"/>
    <s v="M"/>
    <s v="Violet"/>
    <s v="Spring"/>
    <n v="2.6"/>
    <s v="Yes"/>
    <s v="2-Day Shipping"/>
    <s v="Yes"/>
    <s v="Yes"/>
    <n v="47"/>
    <s v="Bank Transfer"/>
    <s v="Fortnightly"/>
    <s v="Fortnightly"/>
    <n v="3"/>
  </r>
  <r>
    <x v="351"/>
    <n v="28"/>
    <x v="0"/>
    <s v="Skirt"/>
    <x v="0"/>
    <n v="90"/>
    <x v="14"/>
    <s v="M"/>
    <s v="Teal"/>
    <s v="Winter"/>
    <n v="3.9"/>
    <s v="Yes"/>
    <s v="Standard"/>
    <s v="Yes"/>
    <s v="Yes"/>
    <n v="24"/>
    <s v="Debit Card"/>
    <s v="Bi-Weekly"/>
    <s v="Bi-Weekly"/>
    <n v="2"/>
  </r>
  <r>
    <x v="352"/>
    <n v="27"/>
    <x v="0"/>
    <s v="Jeans"/>
    <x v="0"/>
    <n v="71"/>
    <x v="21"/>
    <s v="XL"/>
    <s v="Yellow"/>
    <s v="Fall"/>
    <n v="4.9000000000000004"/>
    <s v="Yes"/>
    <s v="Next Day Air"/>
    <s v="Yes"/>
    <s v="Yes"/>
    <n v="12"/>
    <s v="Cash"/>
    <s v="Every 3 Months"/>
    <s v="Quarterly"/>
    <n v="5"/>
  </r>
  <r>
    <x v="353"/>
    <n v="63"/>
    <x v="0"/>
    <s v="Sneakers"/>
    <x v="1"/>
    <n v="64"/>
    <x v="9"/>
    <s v="L"/>
    <s v="Yellow"/>
    <s v="Fall"/>
    <n v="4.0999999999999996"/>
    <s v="Yes"/>
    <s v="Store Pickup"/>
    <s v="Yes"/>
    <s v="Yes"/>
    <n v="35"/>
    <s v="Debit Card"/>
    <s v="Monthly"/>
    <s v="Monthly"/>
    <n v="4"/>
  </r>
  <r>
    <x v="354"/>
    <n v="58"/>
    <x v="0"/>
    <s v="Jewelry"/>
    <x v="3"/>
    <n v="76"/>
    <x v="38"/>
    <s v="S"/>
    <s v="Olive"/>
    <s v="Fall"/>
    <n v="3"/>
    <s v="Yes"/>
    <s v="Free Shipping"/>
    <s v="Yes"/>
    <s v="Yes"/>
    <n v="42"/>
    <s v="Venmo"/>
    <s v="Weekly"/>
    <s v="Weekly"/>
    <n v="1"/>
  </r>
  <r>
    <x v="355"/>
    <n v="37"/>
    <x v="0"/>
    <s v="Jewelry"/>
    <x v="3"/>
    <n v="42"/>
    <x v="4"/>
    <s v="XL"/>
    <s v="Magenta"/>
    <s v="Fall"/>
    <n v="4.0999999999999996"/>
    <s v="Yes"/>
    <s v="2-Day Shipping"/>
    <s v="Yes"/>
    <s v="Yes"/>
    <n v="1"/>
    <s v="PayPal"/>
    <s v="Every 3 Months"/>
    <s v="Quarterly"/>
    <n v="5"/>
  </r>
  <r>
    <x v="356"/>
    <n v="56"/>
    <x v="0"/>
    <s v="Pants"/>
    <x v="0"/>
    <n v="80"/>
    <x v="22"/>
    <s v="L"/>
    <s v="Black"/>
    <s v="Spring"/>
    <n v="3.8"/>
    <s v="Yes"/>
    <s v="Standard"/>
    <s v="Yes"/>
    <s v="Yes"/>
    <n v="27"/>
    <s v="Cash"/>
    <s v="Weekly"/>
    <s v="Weekly"/>
    <n v="1"/>
  </r>
  <r>
    <x v="357"/>
    <n v="18"/>
    <x v="0"/>
    <s v="Belt"/>
    <x v="3"/>
    <n v="56"/>
    <x v="10"/>
    <s v="M"/>
    <s v="Olive"/>
    <s v="Spring"/>
    <n v="4"/>
    <s v="Yes"/>
    <s v="Standard"/>
    <s v="Yes"/>
    <s v="Yes"/>
    <n v="16"/>
    <s v="Credit Card"/>
    <s v="Bi-Weekly"/>
    <s v="Bi-Weekly"/>
    <n v="2"/>
  </r>
  <r>
    <x v="358"/>
    <n v="48"/>
    <x v="0"/>
    <s v="Hat"/>
    <x v="3"/>
    <n v="25"/>
    <x v="46"/>
    <s v="XL"/>
    <s v="Magenta"/>
    <s v="Summer"/>
    <n v="3.6"/>
    <s v="Yes"/>
    <s v="Express"/>
    <s v="Yes"/>
    <s v="Yes"/>
    <n v="36"/>
    <s v="Credit Card"/>
    <s v="Every 3 Months"/>
    <s v="Quarterly"/>
    <n v="5"/>
  </r>
  <r>
    <x v="359"/>
    <n v="31"/>
    <x v="0"/>
    <s v="Sneakers"/>
    <x v="1"/>
    <n v="74"/>
    <x v="42"/>
    <s v="M"/>
    <s v="Olive"/>
    <s v="Winter"/>
    <n v="3"/>
    <s v="Yes"/>
    <s v="Store Pickup"/>
    <s v="Yes"/>
    <s v="Yes"/>
    <n v="30"/>
    <s v="Credit Card"/>
    <s v="Every 3 Months"/>
    <s v="Quarterly"/>
    <n v="5"/>
  </r>
  <r>
    <x v="360"/>
    <n v="51"/>
    <x v="0"/>
    <s v="Pants"/>
    <x v="0"/>
    <n v="30"/>
    <x v="3"/>
    <s v="M"/>
    <s v="Teal"/>
    <s v="Summer"/>
    <n v="3"/>
    <s v="Yes"/>
    <s v="Standard"/>
    <s v="Yes"/>
    <s v="Yes"/>
    <n v="18"/>
    <s v="Debit Card"/>
    <s v="Fortnightly"/>
    <s v="Fortnightly"/>
    <n v="3"/>
  </r>
  <r>
    <x v="361"/>
    <n v="65"/>
    <x v="0"/>
    <s v="T-shirt"/>
    <x v="0"/>
    <n v="96"/>
    <x v="22"/>
    <s v="M"/>
    <s v="White"/>
    <s v="Spring"/>
    <n v="2.6"/>
    <s v="Yes"/>
    <s v="Free Shipping"/>
    <s v="Yes"/>
    <s v="Yes"/>
    <n v="45"/>
    <s v="Cash"/>
    <s v="Annually"/>
    <s v="Annually"/>
    <n v="6"/>
  </r>
  <r>
    <x v="362"/>
    <n v="53"/>
    <x v="0"/>
    <s v="Sneakers"/>
    <x v="1"/>
    <n v="64"/>
    <x v="21"/>
    <s v="M"/>
    <s v="Charcoal"/>
    <s v="Fall"/>
    <n v="3.4"/>
    <s v="Yes"/>
    <s v="Free Shipping"/>
    <s v="Yes"/>
    <s v="Yes"/>
    <n v="1"/>
    <s v="Venmo"/>
    <s v="Fortnightly"/>
    <s v="Fortnightly"/>
    <n v="3"/>
  </r>
  <r>
    <x v="363"/>
    <n v="55"/>
    <x v="0"/>
    <s v="Shorts"/>
    <x v="0"/>
    <n v="88"/>
    <x v="20"/>
    <s v="L"/>
    <s v="Yellow"/>
    <s v="Winter"/>
    <n v="3.1"/>
    <s v="Yes"/>
    <s v="Free Shipping"/>
    <s v="Yes"/>
    <s v="Yes"/>
    <n v="42"/>
    <s v="Bank Transfer"/>
    <s v="Fortnightly"/>
    <s v="Fortnightly"/>
    <n v="3"/>
  </r>
  <r>
    <x v="364"/>
    <n v="62"/>
    <x v="0"/>
    <s v="Shoes"/>
    <x v="1"/>
    <n v="88"/>
    <x v="25"/>
    <s v="L"/>
    <s v="Charcoal"/>
    <s v="Summer"/>
    <n v="3"/>
    <s v="Yes"/>
    <s v="Free Shipping"/>
    <s v="Yes"/>
    <s v="Yes"/>
    <n v="7"/>
    <s v="Venmo"/>
    <s v="Every 3 Months"/>
    <s v="Quarterly"/>
    <n v="5"/>
  </r>
  <r>
    <x v="365"/>
    <n v="55"/>
    <x v="0"/>
    <s v="Gloves"/>
    <x v="3"/>
    <n v="88"/>
    <x v="8"/>
    <s v="XL"/>
    <s v="Gray"/>
    <s v="Summer"/>
    <n v="3.7"/>
    <s v="Yes"/>
    <s v="Standard"/>
    <s v="Yes"/>
    <s v="Yes"/>
    <n v="50"/>
    <s v="PayPal"/>
    <s v="Quarterly"/>
    <s v="Quarterly"/>
    <n v="5"/>
  </r>
  <r>
    <x v="366"/>
    <n v="64"/>
    <x v="0"/>
    <s v="Socks"/>
    <x v="0"/>
    <n v="36"/>
    <x v="43"/>
    <s v="M"/>
    <s v="Turquoise"/>
    <s v="Spring"/>
    <n v="3.5"/>
    <s v="Yes"/>
    <s v="Store Pickup"/>
    <s v="Yes"/>
    <s v="Yes"/>
    <n v="37"/>
    <s v="Venmo"/>
    <s v="Fortnightly"/>
    <s v="Fortnightly"/>
    <n v="3"/>
  </r>
  <r>
    <x v="367"/>
    <n v="52"/>
    <x v="0"/>
    <s v="Dress"/>
    <x v="0"/>
    <n v="40"/>
    <x v="30"/>
    <s v="XL"/>
    <s v="Cyan"/>
    <s v="Spring"/>
    <n v="2.8"/>
    <s v="Yes"/>
    <s v="Store Pickup"/>
    <s v="Yes"/>
    <s v="Yes"/>
    <n v="18"/>
    <s v="Bank Transfer"/>
    <s v="Monthly"/>
    <s v="Monthly"/>
    <n v="4"/>
  </r>
  <r>
    <x v="368"/>
    <n v="24"/>
    <x v="0"/>
    <s v="Handbag"/>
    <x v="3"/>
    <n v="39"/>
    <x v="19"/>
    <s v="M"/>
    <s v="Charcoal"/>
    <s v="Spring"/>
    <n v="4.5"/>
    <s v="Yes"/>
    <s v="Standard"/>
    <s v="Yes"/>
    <s v="Yes"/>
    <n v="29"/>
    <s v="Cash"/>
    <s v="Monthly"/>
    <s v="Monthly"/>
    <n v="4"/>
  </r>
  <r>
    <x v="369"/>
    <n v="38"/>
    <x v="0"/>
    <s v="Belt"/>
    <x v="3"/>
    <n v="40"/>
    <x v="48"/>
    <s v="M"/>
    <s v="Silver"/>
    <s v="Summer"/>
    <n v="3.3"/>
    <s v="Yes"/>
    <s v="Store Pickup"/>
    <s v="Yes"/>
    <s v="Yes"/>
    <n v="45"/>
    <s v="PayPal"/>
    <s v="Quarterly"/>
    <s v="Quarterly"/>
    <n v="5"/>
  </r>
  <r>
    <x v="370"/>
    <n v="59"/>
    <x v="0"/>
    <s v="Scarf"/>
    <x v="3"/>
    <n v="34"/>
    <x v="4"/>
    <s v="M"/>
    <s v="Olive"/>
    <s v="Winter"/>
    <n v="3.4"/>
    <s v="Yes"/>
    <s v="Express"/>
    <s v="Yes"/>
    <s v="Yes"/>
    <n v="13"/>
    <s v="PayPal"/>
    <s v="Weekly"/>
    <s v="Weekly"/>
    <n v="1"/>
  </r>
  <r>
    <x v="371"/>
    <n v="27"/>
    <x v="0"/>
    <s v="Sneakers"/>
    <x v="1"/>
    <n v="83"/>
    <x v="17"/>
    <s v="S"/>
    <s v="Pink"/>
    <s v="Winter"/>
    <n v="3.2"/>
    <s v="Yes"/>
    <s v="2-Day Shipping"/>
    <s v="Yes"/>
    <s v="Yes"/>
    <n v="47"/>
    <s v="PayPal"/>
    <s v="Monthly"/>
    <s v="Monthly"/>
    <n v="4"/>
  </r>
  <r>
    <x v="372"/>
    <n v="24"/>
    <x v="0"/>
    <s v="Sweater"/>
    <x v="0"/>
    <n v="85"/>
    <x v="38"/>
    <s v="L"/>
    <s v="Orange"/>
    <s v="Summer"/>
    <n v="3.7"/>
    <s v="Yes"/>
    <s v="Standard"/>
    <s v="Yes"/>
    <s v="Yes"/>
    <n v="7"/>
    <s v="Debit Card"/>
    <s v="Weekly"/>
    <s v="Weekly"/>
    <n v="1"/>
  </r>
  <r>
    <x v="373"/>
    <n v="23"/>
    <x v="0"/>
    <s v="Coat"/>
    <x v="2"/>
    <n v="27"/>
    <x v="25"/>
    <s v="L"/>
    <s v="White"/>
    <s v="Summer"/>
    <n v="4.5999999999999996"/>
    <s v="Yes"/>
    <s v="Express"/>
    <s v="Yes"/>
    <s v="Yes"/>
    <n v="11"/>
    <s v="Venmo"/>
    <s v="Bi-Weekly"/>
    <s v="Bi-Weekly"/>
    <n v="2"/>
  </r>
  <r>
    <x v="374"/>
    <n v="69"/>
    <x v="0"/>
    <s v="Jewelry"/>
    <x v="3"/>
    <n v="78"/>
    <x v="31"/>
    <s v="S"/>
    <s v="Purple"/>
    <s v="Spring"/>
    <n v="5"/>
    <s v="Yes"/>
    <s v="Store Pickup"/>
    <s v="Yes"/>
    <s v="Yes"/>
    <n v="39"/>
    <s v="Bank Transfer"/>
    <s v="Monthly"/>
    <s v="Monthly"/>
    <n v="4"/>
  </r>
  <r>
    <x v="375"/>
    <n v="59"/>
    <x v="0"/>
    <s v="Sunglasses"/>
    <x v="3"/>
    <n v="32"/>
    <x v="19"/>
    <s v="M"/>
    <s v="Olive"/>
    <s v="Summer"/>
    <n v="4.4000000000000004"/>
    <s v="Yes"/>
    <s v="Standard"/>
    <s v="Yes"/>
    <s v="Yes"/>
    <n v="6"/>
    <s v="Debit Card"/>
    <s v="Quarterly"/>
    <s v="Quarterly"/>
    <n v="5"/>
  </r>
  <r>
    <x v="376"/>
    <n v="51"/>
    <x v="0"/>
    <s v="Shoes"/>
    <x v="1"/>
    <n v="51"/>
    <x v="36"/>
    <s v="S"/>
    <s v="Gray"/>
    <s v="Fall"/>
    <n v="4.9000000000000004"/>
    <s v="Yes"/>
    <s v="Express"/>
    <s v="Yes"/>
    <s v="Yes"/>
    <n v="2"/>
    <s v="Venmo"/>
    <s v="Bi-Weekly"/>
    <s v="Bi-Weekly"/>
    <n v="2"/>
  </r>
  <r>
    <x v="377"/>
    <n v="63"/>
    <x v="0"/>
    <s v="Scarf"/>
    <x v="3"/>
    <n v="32"/>
    <x v="1"/>
    <s v="M"/>
    <s v="Silver"/>
    <s v="Spring"/>
    <n v="4.0999999999999996"/>
    <s v="Yes"/>
    <s v="Standard"/>
    <s v="Yes"/>
    <s v="Yes"/>
    <n v="39"/>
    <s v="Credit Card"/>
    <s v="Every 3 Months"/>
    <s v="Quarterly"/>
    <n v="5"/>
  </r>
  <r>
    <x v="378"/>
    <n v="54"/>
    <x v="0"/>
    <s v="Dress"/>
    <x v="0"/>
    <n v="62"/>
    <x v="22"/>
    <s v="L"/>
    <s v="Orange"/>
    <s v="Winter"/>
    <n v="4.9000000000000004"/>
    <s v="Yes"/>
    <s v="Next Day Air"/>
    <s v="Yes"/>
    <s v="Yes"/>
    <n v="23"/>
    <s v="Credit Card"/>
    <s v="Monthly"/>
    <s v="Monthly"/>
    <n v="4"/>
  </r>
  <r>
    <x v="379"/>
    <n v="32"/>
    <x v="0"/>
    <s v="T-shirt"/>
    <x v="0"/>
    <n v="29"/>
    <x v="6"/>
    <s v="S"/>
    <s v="Magenta"/>
    <s v="Fall"/>
    <n v="4.7"/>
    <s v="Yes"/>
    <s v="2-Day Shipping"/>
    <s v="Yes"/>
    <s v="Yes"/>
    <n v="46"/>
    <s v="Debit Card"/>
    <s v="Bi-Weekly"/>
    <s v="Bi-Weekly"/>
    <n v="2"/>
  </r>
  <r>
    <x v="380"/>
    <n v="39"/>
    <x v="0"/>
    <s v="Backpack"/>
    <x v="3"/>
    <n v="69"/>
    <x v="13"/>
    <s v="XL"/>
    <s v="Beige"/>
    <s v="Fall"/>
    <n v="3"/>
    <s v="Yes"/>
    <s v="Store Pickup"/>
    <s v="Yes"/>
    <s v="Yes"/>
    <n v="19"/>
    <s v="Bank Transfer"/>
    <s v="Weekly"/>
    <s v="Weekly"/>
    <n v="1"/>
  </r>
  <r>
    <x v="381"/>
    <n v="66"/>
    <x v="0"/>
    <s v="Jewelry"/>
    <x v="3"/>
    <n v="25"/>
    <x v="1"/>
    <s v="L"/>
    <s v="Lavender"/>
    <s v="Winter"/>
    <n v="3.4"/>
    <s v="Yes"/>
    <s v="Store Pickup"/>
    <s v="Yes"/>
    <s v="Yes"/>
    <n v="3"/>
    <s v="Credit Card"/>
    <s v="Every 3 Months"/>
    <s v="Quarterly"/>
    <n v="5"/>
  </r>
  <r>
    <x v="382"/>
    <n v="28"/>
    <x v="0"/>
    <s v="Jeans"/>
    <x v="0"/>
    <n v="76"/>
    <x v="18"/>
    <s v="M"/>
    <s v="Peach"/>
    <s v="Winter"/>
    <n v="3.2"/>
    <s v="Yes"/>
    <s v="Store Pickup"/>
    <s v="Yes"/>
    <s v="Yes"/>
    <n v="47"/>
    <s v="PayPal"/>
    <s v="Quarterly"/>
    <s v="Quarterly"/>
    <n v="5"/>
  </r>
  <r>
    <x v="383"/>
    <n v="50"/>
    <x v="0"/>
    <s v="Sunglasses"/>
    <x v="3"/>
    <n v="77"/>
    <x v="8"/>
    <s v="S"/>
    <s v="Magenta"/>
    <s v="Fall"/>
    <n v="2.9"/>
    <s v="Yes"/>
    <s v="Standard"/>
    <s v="Yes"/>
    <s v="Yes"/>
    <n v="6"/>
    <s v="PayPal"/>
    <s v="Quarterly"/>
    <s v="Quarterly"/>
    <n v="5"/>
  </r>
  <r>
    <x v="384"/>
    <n v="70"/>
    <x v="0"/>
    <s v="Sweater"/>
    <x v="0"/>
    <n v="33"/>
    <x v="18"/>
    <s v="M"/>
    <s v="Beige"/>
    <s v="Fall"/>
    <n v="4.5"/>
    <s v="Yes"/>
    <s v="2-Day Shipping"/>
    <s v="Yes"/>
    <s v="Yes"/>
    <n v="6"/>
    <s v="Venmo"/>
    <s v="Annually"/>
    <s v="Annually"/>
    <n v="6"/>
  </r>
  <r>
    <x v="385"/>
    <n v="67"/>
    <x v="0"/>
    <s v="Shorts"/>
    <x v="0"/>
    <n v="93"/>
    <x v="8"/>
    <s v="S"/>
    <s v="Yellow"/>
    <s v="Fall"/>
    <n v="2.7"/>
    <s v="Yes"/>
    <s v="Next Day Air"/>
    <s v="Yes"/>
    <s v="Yes"/>
    <n v="12"/>
    <s v="Credit Card"/>
    <s v="Bi-Weekly"/>
    <s v="Bi-Weekly"/>
    <n v="2"/>
  </r>
  <r>
    <x v="386"/>
    <n v="64"/>
    <x v="0"/>
    <s v="Jewelry"/>
    <x v="3"/>
    <n v="39"/>
    <x v="7"/>
    <s v="L"/>
    <s v="Brown"/>
    <s v="Spring"/>
    <n v="3.4"/>
    <s v="Yes"/>
    <s v="Express"/>
    <s v="Yes"/>
    <s v="Yes"/>
    <n v="40"/>
    <s v="PayPal"/>
    <s v="Quarterly"/>
    <s v="Quarterly"/>
    <n v="5"/>
  </r>
  <r>
    <x v="387"/>
    <n v="45"/>
    <x v="0"/>
    <s v="Coat"/>
    <x v="2"/>
    <n v="93"/>
    <x v="42"/>
    <s v="L"/>
    <s v="Silver"/>
    <s v="Summer"/>
    <n v="4.5999999999999996"/>
    <s v="Yes"/>
    <s v="Store Pickup"/>
    <s v="Yes"/>
    <s v="Yes"/>
    <n v="38"/>
    <s v="PayPal"/>
    <s v="Fortnightly"/>
    <s v="Fortnightly"/>
    <n v="3"/>
  </r>
  <r>
    <x v="388"/>
    <n v="22"/>
    <x v="0"/>
    <s v="Handbag"/>
    <x v="3"/>
    <n v="82"/>
    <x v="47"/>
    <s v="M"/>
    <s v="Orange"/>
    <s v="Summer"/>
    <n v="2.7"/>
    <s v="Yes"/>
    <s v="Store Pickup"/>
    <s v="Yes"/>
    <s v="Yes"/>
    <n v="10"/>
    <s v="PayPal"/>
    <s v="Quarterly"/>
    <s v="Quarterly"/>
    <n v="5"/>
  </r>
  <r>
    <x v="389"/>
    <n v="27"/>
    <x v="0"/>
    <s v="Boots"/>
    <x v="1"/>
    <n v="42"/>
    <x v="41"/>
    <s v="L"/>
    <s v="Purple"/>
    <s v="Spring"/>
    <n v="4.2"/>
    <s v="Yes"/>
    <s v="Standard"/>
    <s v="Yes"/>
    <s v="Yes"/>
    <n v="28"/>
    <s v="Bank Transfer"/>
    <s v="Monthly"/>
    <s v="Monthly"/>
    <n v="4"/>
  </r>
  <r>
    <x v="390"/>
    <n v="25"/>
    <x v="0"/>
    <s v="Gloves"/>
    <x v="3"/>
    <n v="71"/>
    <x v="27"/>
    <s v="M"/>
    <s v="Indigo"/>
    <s v="Winter"/>
    <n v="3.2"/>
    <s v="Yes"/>
    <s v="2-Day Shipping"/>
    <s v="Yes"/>
    <s v="Yes"/>
    <n v="19"/>
    <s v="PayPal"/>
    <s v="Annually"/>
    <s v="Annually"/>
    <n v="6"/>
  </r>
  <r>
    <x v="391"/>
    <n v="37"/>
    <x v="0"/>
    <s v="Sweater"/>
    <x v="0"/>
    <n v="86"/>
    <x v="46"/>
    <s v="L"/>
    <s v="Gray"/>
    <s v="Spring"/>
    <n v="4.8"/>
    <s v="Yes"/>
    <s v="Standard"/>
    <s v="Yes"/>
    <s v="Yes"/>
    <n v="25"/>
    <s v="Cash"/>
    <s v="Fortnightly"/>
    <s v="Fortnightly"/>
    <n v="3"/>
  </r>
  <r>
    <x v="392"/>
    <n v="26"/>
    <x v="0"/>
    <s v="T-shirt"/>
    <x v="0"/>
    <n v="82"/>
    <x v="37"/>
    <s v="XL"/>
    <s v="Black"/>
    <s v="Spring"/>
    <n v="3.3"/>
    <s v="Yes"/>
    <s v="Next Day Air"/>
    <s v="Yes"/>
    <s v="Yes"/>
    <n v="38"/>
    <s v="Credit Card"/>
    <s v="Annually"/>
    <s v="Annually"/>
    <n v="6"/>
  </r>
  <r>
    <x v="393"/>
    <n v="33"/>
    <x v="0"/>
    <s v="Shoes"/>
    <x v="1"/>
    <n v="65"/>
    <x v="34"/>
    <s v="L"/>
    <s v="Maroon"/>
    <s v="Fall"/>
    <n v="4.2"/>
    <s v="Yes"/>
    <s v="Standard"/>
    <s v="Yes"/>
    <s v="Yes"/>
    <n v="6"/>
    <s v="PayPal"/>
    <s v="Fortnightly"/>
    <s v="Fortnightly"/>
    <n v="3"/>
  </r>
  <r>
    <x v="394"/>
    <n v="43"/>
    <x v="0"/>
    <s v="Scarf"/>
    <x v="3"/>
    <n v="29"/>
    <x v="25"/>
    <s v="M"/>
    <s v="Beige"/>
    <s v="Spring"/>
    <n v="4.8"/>
    <s v="Yes"/>
    <s v="Store Pickup"/>
    <s v="Yes"/>
    <s v="Yes"/>
    <n v="7"/>
    <s v="Debit Card"/>
    <s v="Bi-Weekly"/>
    <s v="Bi-Weekly"/>
    <n v="2"/>
  </r>
  <r>
    <x v="395"/>
    <n v="37"/>
    <x v="0"/>
    <s v="Sneakers"/>
    <x v="1"/>
    <n v="65"/>
    <x v="3"/>
    <s v="L"/>
    <s v="Brown"/>
    <s v="Winter"/>
    <n v="4.9000000000000004"/>
    <s v="Yes"/>
    <s v="Store Pickup"/>
    <s v="Yes"/>
    <s v="Yes"/>
    <n v="2"/>
    <s v="PayPal"/>
    <s v="Annually"/>
    <s v="Annually"/>
    <n v="6"/>
  </r>
  <r>
    <x v="396"/>
    <n v="46"/>
    <x v="0"/>
    <s v="Dress"/>
    <x v="0"/>
    <n v="88"/>
    <x v="36"/>
    <s v="S"/>
    <s v="Black"/>
    <s v="Fall"/>
    <n v="3.9"/>
    <s v="Yes"/>
    <s v="Standard"/>
    <s v="Yes"/>
    <s v="Yes"/>
    <n v="24"/>
    <s v="Bank Transfer"/>
    <s v="Annually"/>
    <s v="Annually"/>
    <n v="6"/>
  </r>
  <r>
    <x v="397"/>
    <n v="22"/>
    <x v="0"/>
    <s v="Belt"/>
    <x v="3"/>
    <n v="46"/>
    <x v="16"/>
    <s v="M"/>
    <s v="Indigo"/>
    <s v="Fall"/>
    <n v="3"/>
    <s v="Yes"/>
    <s v="Free Shipping"/>
    <s v="Yes"/>
    <s v="Yes"/>
    <n v="26"/>
    <s v="Cash"/>
    <s v="Annually"/>
    <s v="Annually"/>
    <n v="6"/>
  </r>
  <r>
    <x v="398"/>
    <n v="20"/>
    <x v="0"/>
    <s v="Boots"/>
    <x v="1"/>
    <n v="67"/>
    <x v="6"/>
    <s v="S"/>
    <s v="Silver"/>
    <s v="Winter"/>
    <n v="4.5999999999999996"/>
    <s v="Yes"/>
    <s v="Free Shipping"/>
    <s v="Yes"/>
    <s v="Yes"/>
    <n v="25"/>
    <s v="Debit Card"/>
    <s v="Every 3 Months"/>
    <s v="Quarterly"/>
    <n v="5"/>
  </r>
  <r>
    <x v="399"/>
    <n v="60"/>
    <x v="0"/>
    <s v="Scarf"/>
    <x v="3"/>
    <n v="35"/>
    <x v="37"/>
    <s v="L"/>
    <s v="Blue"/>
    <s v="Fall"/>
    <n v="3.5"/>
    <s v="Yes"/>
    <s v="2-Day Shipping"/>
    <s v="Yes"/>
    <s v="Yes"/>
    <n v="10"/>
    <s v="Debit Card"/>
    <s v="Monthly"/>
    <s v="Monthly"/>
    <n v="4"/>
  </r>
  <r>
    <x v="400"/>
    <n v="39"/>
    <x v="0"/>
    <s v="Boots"/>
    <x v="1"/>
    <n v="66"/>
    <x v="40"/>
    <s v="M"/>
    <s v="Green"/>
    <s v="Winter"/>
    <n v="4.8"/>
    <s v="Yes"/>
    <s v="Free Shipping"/>
    <s v="Yes"/>
    <s v="Yes"/>
    <n v="14"/>
    <s v="PayPal"/>
    <s v="Fortnightly"/>
    <s v="Fortnightly"/>
    <n v="3"/>
  </r>
  <r>
    <x v="401"/>
    <n v="43"/>
    <x v="0"/>
    <s v="T-shirt"/>
    <x v="0"/>
    <n v="91"/>
    <x v="19"/>
    <s v="L"/>
    <s v="Orange"/>
    <s v="Fall"/>
    <n v="4.8"/>
    <s v="Yes"/>
    <s v="Standard"/>
    <s v="Yes"/>
    <s v="Yes"/>
    <n v="21"/>
    <s v="Cash"/>
    <s v="Quarterly"/>
    <s v="Quarterly"/>
    <n v="5"/>
  </r>
  <r>
    <x v="402"/>
    <n v="31"/>
    <x v="0"/>
    <s v="Backpack"/>
    <x v="3"/>
    <n v="78"/>
    <x v="18"/>
    <s v="L"/>
    <s v="Cyan"/>
    <s v="Fall"/>
    <n v="3"/>
    <s v="Yes"/>
    <s v="Express"/>
    <s v="Yes"/>
    <s v="Yes"/>
    <n v="26"/>
    <s v="PayPal"/>
    <s v="Monthly"/>
    <s v="Monthly"/>
    <n v="4"/>
  </r>
  <r>
    <x v="403"/>
    <n v="19"/>
    <x v="0"/>
    <s v="Sneakers"/>
    <x v="1"/>
    <n v="45"/>
    <x v="22"/>
    <s v="M"/>
    <s v="Orange"/>
    <s v="Winter"/>
    <n v="4.5"/>
    <s v="Yes"/>
    <s v="Next Day Air"/>
    <s v="Yes"/>
    <s v="Yes"/>
    <n v="12"/>
    <s v="Bank Transfer"/>
    <s v="Annually"/>
    <s v="Annually"/>
    <n v="6"/>
  </r>
  <r>
    <x v="404"/>
    <n v="35"/>
    <x v="0"/>
    <s v="T-shirt"/>
    <x v="0"/>
    <n v="93"/>
    <x v="12"/>
    <s v="M"/>
    <s v="Indigo"/>
    <s v="Spring"/>
    <n v="4.8"/>
    <s v="Yes"/>
    <s v="Store Pickup"/>
    <s v="Yes"/>
    <s v="Yes"/>
    <n v="11"/>
    <s v="Credit Card"/>
    <s v="Monthly"/>
    <s v="Monthly"/>
    <n v="4"/>
  </r>
  <r>
    <x v="405"/>
    <n v="41"/>
    <x v="0"/>
    <s v="Jeans"/>
    <x v="0"/>
    <n v="74"/>
    <x v="36"/>
    <s v="S"/>
    <s v="Silver"/>
    <s v="Summer"/>
    <n v="3.8"/>
    <s v="Yes"/>
    <s v="Standard"/>
    <s v="Yes"/>
    <s v="Yes"/>
    <n v="15"/>
    <s v="Cash"/>
    <s v="Annually"/>
    <s v="Annually"/>
    <n v="6"/>
  </r>
  <r>
    <x v="406"/>
    <n v="52"/>
    <x v="0"/>
    <s v="Gloves"/>
    <x v="3"/>
    <n v="55"/>
    <x v="33"/>
    <s v="M"/>
    <s v="Peach"/>
    <s v="Spring"/>
    <n v="4.5999999999999996"/>
    <s v="Yes"/>
    <s v="Express"/>
    <s v="Yes"/>
    <s v="Yes"/>
    <n v="13"/>
    <s v="Cash"/>
    <s v="Monthly"/>
    <s v="Monthly"/>
    <n v="4"/>
  </r>
  <r>
    <x v="407"/>
    <n v="45"/>
    <x v="0"/>
    <s v="Hoodie"/>
    <x v="0"/>
    <n v="76"/>
    <x v="17"/>
    <s v="XL"/>
    <s v="Teal"/>
    <s v="Spring"/>
    <n v="3.1"/>
    <s v="Yes"/>
    <s v="Next Day Air"/>
    <s v="Yes"/>
    <s v="Yes"/>
    <n v="5"/>
    <s v="Credit Card"/>
    <s v="Bi-Weekly"/>
    <s v="Bi-Weekly"/>
    <n v="2"/>
  </r>
  <r>
    <x v="408"/>
    <n v="34"/>
    <x v="0"/>
    <s v="Sneakers"/>
    <x v="1"/>
    <n v="66"/>
    <x v="15"/>
    <s v="L"/>
    <s v="White"/>
    <s v="Spring"/>
    <n v="3.4"/>
    <s v="Yes"/>
    <s v="Express"/>
    <s v="Yes"/>
    <s v="Yes"/>
    <n v="36"/>
    <s v="Cash"/>
    <s v="Fortnightly"/>
    <s v="Fortnightly"/>
    <n v="3"/>
  </r>
  <r>
    <x v="409"/>
    <n v="35"/>
    <x v="0"/>
    <s v="Shorts"/>
    <x v="0"/>
    <n v="51"/>
    <x v="46"/>
    <s v="M"/>
    <s v="Brown"/>
    <s v="Winter"/>
    <n v="3.3"/>
    <s v="Yes"/>
    <s v="2-Day Shipping"/>
    <s v="Yes"/>
    <s v="Yes"/>
    <n v="32"/>
    <s v="Bank Transfer"/>
    <s v="Monthly"/>
    <s v="Monthly"/>
    <n v="4"/>
  </r>
  <r>
    <x v="410"/>
    <n v="29"/>
    <x v="0"/>
    <s v="Sweater"/>
    <x v="0"/>
    <n v="26"/>
    <x v="41"/>
    <s v="L"/>
    <s v="Lavender"/>
    <s v="Spring"/>
    <n v="4.8"/>
    <s v="Yes"/>
    <s v="2-Day Shipping"/>
    <s v="Yes"/>
    <s v="Yes"/>
    <n v="1"/>
    <s v="Credit Card"/>
    <s v="Quarterly"/>
    <s v="Quarterly"/>
    <n v="5"/>
  </r>
  <r>
    <x v="411"/>
    <n v="59"/>
    <x v="0"/>
    <s v="Jeans"/>
    <x v="0"/>
    <n v="29"/>
    <x v="49"/>
    <s v="M"/>
    <s v="Indigo"/>
    <s v="Summer"/>
    <n v="2.8"/>
    <s v="Yes"/>
    <s v="Express"/>
    <s v="Yes"/>
    <s v="Yes"/>
    <n v="15"/>
    <s v="PayPal"/>
    <s v="Annually"/>
    <s v="Annually"/>
    <n v="6"/>
  </r>
  <r>
    <x v="412"/>
    <n v="24"/>
    <x v="0"/>
    <s v="Jacket"/>
    <x v="2"/>
    <n v="74"/>
    <x v="1"/>
    <s v="M"/>
    <s v="Yellow"/>
    <s v="Summer"/>
    <n v="3.1"/>
    <s v="Yes"/>
    <s v="Store Pickup"/>
    <s v="Yes"/>
    <s v="Yes"/>
    <n v="3"/>
    <s v="Bank Transfer"/>
    <s v="Weekly"/>
    <s v="Weekly"/>
    <n v="1"/>
  </r>
  <r>
    <x v="413"/>
    <n v="70"/>
    <x v="0"/>
    <s v="Jewelry"/>
    <x v="3"/>
    <n v="99"/>
    <x v="22"/>
    <s v="S"/>
    <s v="White"/>
    <s v="Summer"/>
    <n v="4.5999999999999996"/>
    <s v="Yes"/>
    <s v="Free Shipping"/>
    <s v="Yes"/>
    <s v="Yes"/>
    <n v="48"/>
    <s v="Cash"/>
    <s v="Monthly"/>
    <s v="Monthly"/>
    <n v="4"/>
  </r>
  <r>
    <x v="414"/>
    <n v="29"/>
    <x v="0"/>
    <s v="Backpack"/>
    <x v="3"/>
    <n v="88"/>
    <x v="5"/>
    <s v="L"/>
    <s v="Violet"/>
    <s v="Winter"/>
    <n v="2.6"/>
    <s v="Yes"/>
    <s v="Store Pickup"/>
    <s v="Yes"/>
    <s v="Yes"/>
    <n v="30"/>
    <s v="Debit Card"/>
    <s v="Weekly"/>
    <s v="Weekly"/>
    <n v="1"/>
  </r>
  <r>
    <x v="415"/>
    <n v="67"/>
    <x v="0"/>
    <s v="Coat"/>
    <x v="2"/>
    <n v="31"/>
    <x v="39"/>
    <s v="M"/>
    <s v="Lavender"/>
    <s v="Winter"/>
    <n v="2.6"/>
    <s v="Yes"/>
    <s v="Express"/>
    <s v="Yes"/>
    <s v="Yes"/>
    <n v="40"/>
    <s v="Bank Transfer"/>
    <s v="Monthly"/>
    <s v="Monthly"/>
    <n v="4"/>
  </r>
  <r>
    <x v="416"/>
    <n v="36"/>
    <x v="0"/>
    <s v="Belt"/>
    <x v="3"/>
    <n v="55"/>
    <x v="4"/>
    <s v="L"/>
    <s v="Olive"/>
    <s v="Spring"/>
    <n v="3.8"/>
    <s v="Yes"/>
    <s v="Free Shipping"/>
    <s v="Yes"/>
    <s v="Yes"/>
    <n v="24"/>
    <s v="Bank Transfer"/>
    <s v="Fortnightly"/>
    <s v="Fortnightly"/>
    <n v="3"/>
  </r>
  <r>
    <x v="417"/>
    <n v="23"/>
    <x v="0"/>
    <s v="Sandals"/>
    <x v="1"/>
    <n v="81"/>
    <x v="16"/>
    <s v="L"/>
    <s v="Beige"/>
    <s v="Fall"/>
    <n v="4.5"/>
    <s v="Yes"/>
    <s v="Free Shipping"/>
    <s v="Yes"/>
    <s v="Yes"/>
    <n v="48"/>
    <s v="Debit Card"/>
    <s v="Quarterly"/>
    <s v="Quarterly"/>
    <n v="5"/>
  </r>
  <r>
    <x v="418"/>
    <n v="18"/>
    <x v="0"/>
    <s v="Sweater"/>
    <x v="0"/>
    <n v="73"/>
    <x v="26"/>
    <s v="L"/>
    <s v="Purple"/>
    <s v="Spring"/>
    <n v="3"/>
    <s v="Yes"/>
    <s v="Standard"/>
    <s v="Yes"/>
    <s v="Yes"/>
    <n v="27"/>
    <s v="Venmo"/>
    <s v="Bi-Weekly"/>
    <s v="Bi-Weekly"/>
    <n v="2"/>
  </r>
  <r>
    <x v="419"/>
    <n v="53"/>
    <x v="0"/>
    <s v="Shorts"/>
    <x v="0"/>
    <n v="91"/>
    <x v="40"/>
    <s v="S"/>
    <s v="Teal"/>
    <s v="Winter"/>
    <n v="3.5"/>
    <s v="Yes"/>
    <s v="Free Shipping"/>
    <s v="Yes"/>
    <s v="Yes"/>
    <n v="14"/>
    <s v="Credit Card"/>
    <s v="Every 3 Months"/>
    <s v="Quarterly"/>
    <n v="5"/>
  </r>
  <r>
    <x v="420"/>
    <n v="32"/>
    <x v="0"/>
    <s v="Socks"/>
    <x v="0"/>
    <n v="54"/>
    <x v="17"/>
    <s v="S"/>
    <s v="Peach"/>
    <s v="Spring"/>
    <n v="3.8"/>
    <s v="Yes"/>
    <s v="Free Shipping"/>
    <s v="Yes"/>
    <s v="Yes"/>
    <n v="18"/>
    <s v="Debit Card"/>
    <s v="Bi-Weekly"/>
    <s v="Bi-Weekly"/>
    <n v="2"/>
  </r>
  <r>
    <x v="421"/>
    <n v="38"/>
    <x v="0"/>
    <s v="Shirt"/>
    <x v="0"/>
    <n v="40"/>
    <x v="0"/>
    <s v="M"/>
    <s v="Violet"/>
    <s v="Winter"/>
    <n v="3.5"/>
    <s v="Yes"/>
    <s v="Standard"/>
    <s v="Yes"/>
    <s v="Yes"/>
    <n v="48"/>
    <s v="Cash"/>
    <s v="Bi-Weekly"/>
    <s v="Bi-Weekly"/>
    <n v="2"/>
  </r>
  <r>
    <x v="422"/>
    <n v="47"/>
    <x v="0"/>
    <s v="Pants"/>
    <x v="0"/>
    <n v="59"/>
    <x v="46"/>
    <s v="M"/>
    <s v="Purple"/>
    <s v="Fall"/>
    <n v="3.1"/>
    <s v="Yes"/>
    <s v="Store Pickup"/>
    <s v="Yes"/>
    <s v="Yes"/>
    <n v="32"/>
    <s v="Debit Card"/>
    <s v="Annually"/>
    <s v="Annually"/>
    <n v="6"/>
  </r>
  <r>
    <x v="423"/>
    <n v="46"/>
    <x v="0"/>
    <s v="Scarf"/>
    <x v="3"/>
    <n v="26"/>
    <x v="14"/>
    <s v="L"/>
    <s v="Teal"/>
    <s v="Spring"/>
    <n v="3"/>
    <s v="Yes"/>
    <s v="Store Pickup"/>
    <s v="Yes"/>
    <s v="Yes"/>
    <n v="21"/>
    <s v="Credit Card"/>
    <s v="Bi-Weekly"/>
    <s v="Bi-Weekly"/>
    <n v="2"/>
  </r>
  <r>
    <x v="424"/>
    <n v="66"/>
    <x v="0"/>
    <s v="Sweater"/>
    <x v="0"/>
    <n v="23"/>
    <x v="26"/>
    <s v="M"/>
    <s v="Gold"/>
    <s v="Winter"/>
    <n v="4.3"/>
    <s v="Yes"/>
    <s v="Standard"/>
    <s v="Yes"/>
    <s v="Yes"/>
    <n v="42"/>
    <s v="PayPal"/>
    <s v="Fortnightly"/>
    <s v="Fortnightly"/>
    <n v="3"/>
  </r>
  <r>
    <x v="425"/>
    <n v="40"/>
    <x v="0"/>
    <s v="Jeans"/>
    <x v="0"/>
    <n v="87"/>
    <x v="25"/>
    <s v="S"/>
    <s v="Teal"/>
    <s v="Winter"/>
    <n v="3.3"/>
    <s v="Yes"/>
    <s v="Store Pickup"/>
    <s v="Yes"/>
    <s v="Yes"/>
    <n v="4"/>
    <s v="Credit Card"/>
    <s v="Quarterly"/>
    <s v="Quarterly"/>
    <n v="5"/>
  </r>
  <r>
    <x v="426"/>
    <n v="43"/>
    <x v="0"/>
    <s v="Pants"/>
    <x v="0"/>
    <n v="71"/>
    <x v="7"/>
    <s v="M"/>
    <s v="Violet"/>
    <s v="Winter"/>
    <n v="4.7"/>
    <s v="Yes"/>
    <s v="Express"/>
    <s v="Yes"/>
    <s v="Yes"/>
    <n v="19"/>
    <s v="Credit Card"/>
    <s v="Quarterly"/>
    <s v="Quarterly"/>
    <n v="5"/>
  </r>
  <r>
    <x v="427"/>
    <n v="58"/>
    <x v="0"/>
    <s v="Backpack"/>
    <x v="3"/>
    <n v="91"/>
    <x v="26"/>
    <s v="L"/>
    <s v="Black"/>
    <s v="Winter"/>
    <n v="4.5"/>
    <s v="Yes"/>
    <s v="Store Pickup"/>
    <s v="Yes"/>
    <s v="Yes"/>
    <n v="6"/>
    <s v="Credit Card"/>
    <s v="Quarterly"/>
    <s v="Quarterly"/>
    <n v="5"/>
  </r>
  <r>
    <x v="428"/>
    <n v="21"/>
    <x v="0"/>
    <s v="Coat"/>
    <x v="2"/>
    <n v="64"/>
    <x v="5"/>
    <s v="XL"/>
    <s v="Gold"/>
    <s v="Winter"/>
    <n v="2.9"/>
    <s v="Yes"/>
    <s v="Free Shipping"/>
    <s v="Yes"/>
    <s v="Yes"/>
    <n v="2"/>
    <s v="Debit Card"/>
    <s v="Fortnightly"/>
    <s v="Fortnightly"/>
    <n v="3"/>
  </r>
  <r>
    <x v="429"/>
    <n v="42"/>
    <x v="0"/>
    <s v="Sandals"/>
    <x v="1"/>
    <n v="94"/>
    <x v="47"/>
    <s v="M"/>
    <s v="Gold"/>
    <s v="Winter"/>
    <n v="4.0999999999999996"/>
    <s v="Yes"/>
    <s v="2-Day Shipping"/>
    <s v="Yes"/>
    <s v="Yes"/>
    <n v="21"/>
    <s v="Cash"/>
    <s v="Fortnightly"/>
    <s v="Fortnightly"/>
    <n v="3"/>
  </r>
  <r>
    <x v="430"/>
    <n v="24"/>
    <x v="0"/>
    <s v="Shirt"/>
    <x v="0"/>
    <n v="40"/>
    <x v="21"/>
    <s v="M"/>
    <s v="Brown"/>
    <s v="Summer"/>
    <n v="3.5"/>
    <s v="Yes"/>
    <s v="Store Pickup"/>
    <s v="Yes"/>
    <s v="Yes"/>
    <n v="40"/>
    <s v="Debit Card"/>
    <s v="Annually"/>
    <s v="Annually"/>
    <n v="6"/>
  </r>
  <r>
    <x v="431"/>
    <n v="43"/>
    <x v="0"/>
    <s v="Hat"/>
    <x v="3"/>
    <n v="76"/>
    <x v="13"/>
    <s v="L"/>
    <s v="Cyan"/>
    <s v="Winter"/>
    <n v="3.4"/>
    <s v="Yes"/>
    <s v="Store Pickup"/>
    <s v="Yes"/>
    <s v="Yes"/>
    <n v="33"/>
    <s v="Cash"/>
    <s v="Fortnightly"/>
    <s v="Fortnightly"/>
    <n v="3"/>
  </r>
  <r>
    <x v="432"/>
    <n v="47"/>
    <x v="0"/>
    <s v="Shirt"/>
    <x v="0"/>
    <n v="86"/>
    <x v="27"/>
    <s v="S"/>
    <s v="Indigo"/>
    <s v="Fall"/>
    <n v="3.3"/>
    <s v="Yes"/>
    <s v="Free Shipping"/>
    <s v="Yes"/>
    <s v="Yes"/>
    <n v="26"/>
    <s v="Venmo"/>
    <s v="Weekly"/>
    <s v="Weekly"/>
    <n v="1"/>
  </r>
  <r>
    <x v="433"/>
    <n v="49"/>
    <x v="0"/>
    <s v="Skirt"/>
    <x v="0"/>
    <n v="92"/>
    <x v="15"/>
    <s v="M"/>
    <s v="Orange"/>
    <s v="Fall"/>
    <n v="3.2"/>
    <s v="Yes"/>
    <s v="Store Pickup"/>
    <s v="Yes"/>
    <s v="Yes"/>
    <n v="23"/>
    <s v="Credit Card"/>
    <s v="Fortnightly"/>
    <s v="Fortnightly"/>
    <n v="3"/>
  </r>
  <r>
    <x v="434"/>
    <n v="50"/>
    <x v="0"/>
    <s v="Shoes"/>
    <x v="1"/>
    <n v="52"/>
    <x v="19"/>
    <s v="L"/>
    <s v="Pink"/>
    <s v="Spring"/>
    <n v="4"/>
    <s v="Yes"/>
    <s v="Store Pickup"/>
    <s v="Yes"/>
    <s v="Yes"/>
    <n v="39"/>
    <s v="PayPal"/>
    <s v="Every 3 Months"/>
    <s v="Quarterly"/>
    <n v="5"/>
  </r>
  <r>
    <x v="435"/>
    <n v="51"/>
    <x v="0"/>
    <s v="Coat"/>
    <x v="2"/>
    <n v="28"/>
    <x v="6"/>
    <s v="XL"/>
    <s v="Olive"/>
    <s v="Winter"/>
    <n v="3.6"/>
    <s v="Yes"/>
    <s v="Next Day Air"/>
    <s v="Yes"/>
    <s v="Yes"/>
    <n v="42"/>
    <s v="Bank Transfer"/>
    <s v="Monthly"/>
    <s v="Monthly"/>
    <n v="4"/>
  </r>
  <r>
    <x v="436"/>
    <n v="40"/>
    <x v="0"/>
    <s v="Pants"/>
    <x v="0"/>
    <n v="46"/>
    <x v="30"/>
    <s v="L"/>
    <s v="Cyan"/>
    <s v="Summer"/>
    <n v="4.5999999999999996"/>
    <s v="Yes"/>
    <s v="Free Shipping"/>
    <s v="Yes"/>
    <s v="Yes"/>
    <n v="41"/>
    <s v="Bank Transfer"/>
    <s v="Weekly"/>
    <s v="Weekly"/>
    <n v="1"/>
  </r>
  <r>
    <x v="437"/>
    <n v="45"/>
    <x v="0"/>
    <s v="Jewelry"/>
    <x v="3"/>
    <n v="50"/>
    <x v="35"/>
    <s v="M"/>
    <s v="Peach"/>
    <s v="Summer"/>
    <n v="2.6"/>
    <s v="Yes"/>
    <s v="Next Day Air"/>
    <s v="Yes"/>
    <s v="Yes"/>
    <n v="41"/>
    <s v="PayPal"/>
    <s v="Annually"/>
    <s v="Annually"/>
    <n v="6"/>
  </r>
  <r>
    <x v="438"/>
    <n v="52"/>
    <x v="0"/>
    <s v="Belt"/>
    <x v="3"/>
    <n v="23"/>
    <x v="44"/>
    <s v="M"/>
    <s v="Turquoise"/>
    <s v="Winter"/>
    <n v="4.3"/>
    <s v="Yes"/>
    <s v="Express"/>
    <s v="Yes"/>
    <s v="Yes"/>
    <n v="12"/>
    <s v="Credit Card"/>
    <s v="Fortnightly"/>
    <s v="Fortnightly"/>
    <n v="3"/>
  </r>
  <r>
    <x v="439"/>
    <n v="62"/>
    <x v="0"/>
    <s v="Jacket"/>
    <x v="2"/>
    <n v="50"/>
    <x v="37"/>
    <s v="M"/>
    <s v="Turquoise"/>
    <s v="Summer"/>
    <n v="3.4"/>
    <s v="Yes"/>
    <s v="Free Shipping"/>
    <s v="Yes"/>
    <s v="Yes"/>
    <n v="31"/>
    <s v="Cash"/>
    <s v="Monthly"/>
    <s v="Monthly"/>
    <n v="4"/>
  </r>
  <r>
    <x v="440"/>
    <n v="20"/>
    <x v="0"/>
    <s v="Shirt"/>
    <x v="0"/>
    <n v="89"/>
    <x v="19"/>
    <s v="XL"/>
    <s v="Maroon"/>
    <s v="Winter"/>
    <n v="3.5"/>
    <s v="Yes"/>
    <s v="Store Pickup"/>
    <s v="Yes"/>
    <s v="Yes"/>
    <n v="34"/>
    <s v="Debit Card"/>
    <s v="Fortnightly"/>
    <s v="Fortnightly"/>
    <n v="3"/>
  </r>
  <r>
    <x v="441"/>
    <n v="43"/>
    <x v="0"/>
    <s v="Hoodie"/>
    <x v="0"/>
    <n v="81"/>
    <x v="20"/>
    <s v="M"/>
    <s v="Maroon"/>
    <s v="Winter"/>
    <n v="4.2"/>
    <s v="Yes"/>
    <s v="Standard"/>
    <s v="Yes"/>
    <s v="Yes"/>
    <n v="32"/>
    <s v="Credit Card"/>
    <s v="Annually"/>
    <s v="Annually"/>
    <n v="6"/>
  </r>
  <r>
    <x v="442"/>
    <n v="29"/>
    <x v="0"/>
    <s v="Sunglasses"/>
    <x v="3"/>
    <n v="69"/>
    <x v="49"/>
    <s v="M"/>
    <s v="Olive"/>
    <s v="Fall"/>
    <n v="3.5"/>
    <s v="Yes"/>
    <s v="Store Pickup"/>
    <s v="Yes"/>
    <s v="Yes"/>
    <n v="31"/>
    <s v="Credit Card"/>
    <s v="Quarterly"/>
    <s v="Quarterly"/>
    <n v="5"/>
  </r>
  <r>
    <x v="443"/>
    <n v="22"/>
    <x v="0"/>
    <s v="Sunglasses"/>
    <x v="3"/>
    <n v="67"/>
    <x v="11"/>
    <s v="M"/>
    <s v="Magenta"/>
    <s v="Summer"/>
    <n v="3.6"/>
    <s v="Yes"/>
    <s v="Free Shipping"/>
    <s v="Yes"/>
    <s v="Yes"/>
    <n v="24"/>
    <s v="PayPal"/>
    <s v="Annually"/>
    <s v="Annually"/>
    <n v="6"/>
  </r>
  <r>
    <x v="444"/>
    <n v="48"/>
    <x v="0"/>
    <s v="Dress"/>
    <x v="0"/>
    <n v="20"/>
    <x v="18"/>
    <s v="M"/>
    <s v="Red"/>
    <s v="Summer"/>
    <n v="4.3"/>
    <s v="Yes"/>
    <s v="Store Pickup"/>
    <s v="Yes"/>
    <s v="Yes"/>
    <n v="31"/>
    <s v="Debit Card"/>
    <s v="Annually"/>
    <s v="Annually"/>
    <n v="6"/>
  </r>
  <r>
    <x v="445"/>
    <n v="42"/>
    <x v="0"/>
    <s v="Boots"/>
    <x v="1"/>
    <n v="29"/>
    <x v="44"/>
    <s v="M"/>
    <s v="Olive"/>
    <s v="Fall"/>
    <n v="4.9000000000000004"/>
    <s v="Yes"/>
    <s v="Standard"/>
    <s v="Yes"/>
    <s v="Yes"/>
    <n v="18"/>
    <s v="Venmo"/>
    <s v="Annually"/>
    <s v="Annually"/>
    <n v="6"/>
  </r>
  <r>
    <x v="446"/>
    <n v="19"/>
    <x v="0"/>
    <s v="Shirt"/>
    <x v="0"/>
    <n v="74"/>
    <x v="8"/>
    <s v="M"/>
    <s v="Silver"/>
    <s v="Summer"/>
    <n v="4.0999999999999996"/>
    <s v="Yes"/>
    <s v="Store Pickup"/>
    <s v="Yes"/>
    <s v="Yes"/>
    <n v="15"/>
    <s v="Venmo"/>
    <s v="Monthly"/>
    <s v="Monthly"/>
    <n v="4"/>
  </r>
  <r>
    <x v="447"/>
    <n v="60"/>
    <x v="0"/>
    <s v="Shorts"/>
    <x v="0"/>
    <n v="82"/>
    <x v="47"/>
    <s v="S"/>
    <s v="Turquoise"/>
    <s v="Spring"/>
    <n v="3.6"/>
    <s v="Yes"/>
    <s v="Standard"/>
    <s v="Yes"/>
    <s v="Yes"/>
    <n v="7"/>
    <s v="Bank Transfer"/>
    <s v="Every 3 Months"/>
    <s v="Quarterly"/>
    <n v="5"/>
  </r>
  <r>
    <x v="448"/>
    <n v="32"/>
    <x v="0"/>
    <s v="Gloves"/>
    <x v="3"/>
    <n v="23"/>
    <x v="9"/>
    <s v="M"/>
    <s v="Yellow"/>
    <s v="Summer"/>
    <n v="3.4"/>
    <s v="Yes"/>
    <s v="Next Day Air"/>
    <s v="Yes"/>
    <s v="Yes"/>
    <n v="35"/>
    <s v="Bank Transfer"/>
    <s v="Fortnightly"/>
    <s v="Fortnightly"/>
    <n v="3"/>
  </r>
  <r>
    <x v="449"/>
    <n v="26"/>
    <x v="0"/>
    <s v="Jewelry"/>
    <x v="3"/>
    <n v="45"/>
    <x v="14"/>
    <s v="L"/>
    <s v="Peach"/>
    <s v="Summer"/>
    <n v="2.9"/>
    <s v="Yes"/>
    <s v="2-Day Shipping"/>
    <s v="Yes"/>
    <s v="Yes"/>
    <n v="35"/>
    <s v="Bank Transfer"/>
    <s v="Monthly"/>
    <s v="Monthly"/>
    <n v="4"/>
  </r>
  <r>
    <x v="450"/>
    <n v="25"/>
    <x v="0"/>
    <s v="Boots"/>
    <x v="1"/>
    <n v="21"/>
    <x v="39"/>
    <s v="L"/>
    <s v="Beige"/>
    <s v="Summer"/>
    <n v="2.7"/>
    <s v="Yes"/>
    <s v="Store Pickup"/>
    <s v="Yes"/>
    <s v="Yes"/>
    <n v="19"/>
    <s v="Credit Card"/>
    <s v="Monthly"/>
    <s v="Monthly"/>
    <n v="4"/>
  </r>
  <r>
    <x v="451"/>
    <n v="66"/>
    <x v="0"/>
    <s v="Jewelry"/>
    <x v="3"/>
    <n v="31"/>
    <x v="41"/>
    <s v="M"/>
    <s v="Pink"/>
    <s v="Summer"/>
    <n v="4.3"/>
    <s v="Yes"/>
    <s v="Express"/>
    <s v="Yes"/>
    <s v="Yes"/>
    <n v="26"/>
    <s v="Credit Card"/>
    <s v="Fortnightly"/>
    <s v="Fortnightly"/>
    <n v="3"/>
  </r>
  <r>
    <x v="452"/>
    <n v="45"/>
    <x v="0"/>
    <s v="Pants"/>
    <x v="0"/>
    <n v="45"/>
    <x v="9"/>
    <s v="M"/>
    <s v="Violet"/>
    <s v="Summer"/>
    <n v="3.3"/>
    <s v="Yes"/>
    <s v="Express"/>
    <s v="Yes"/>
    <s v="Yes"/>
    <n v="39"/>
    <s v="PayPal"/>
    <s v="Fortnightly"/>
    <s v="Fortnightly"/>
    <n v="3"/>
  </r>
  <r>
    <x v="453"/>
    <n v="54"/>
    <x v="0"/>
    <s v="Jewelry"/>
    <x v="3"/>
    <n v="56"/>
    <x v="43"/>
    <s v="XL"/>
    <s v="Peach"/>
    <s v="Winter"/>
    <n v="2.8"/>
    <s v="Yes"/>
    <s v="Next Day Air"/>
    <s v="Yes"/>
    <s v="Yes"/>
    <n v="22"/>
    <s v="Credit Card"/>
    <s v="Weekly"/>
    <s v="Weekly"/>
    <n v="1"/>
  </r>
  <r>
    <x v="454"/>
    <n v="37"/>
    <x v="0"/>
    <s v="Jacket"/>
    <x v="2"/>
    <n v="97"/>
    <x v="32"/>
    <s v="S"/>
    <s v="Gold"/>
    <s v="Summer"/>
    <n v="3.2"/>
    <s v="Yes"/>
    <s v="Next Day Air"/>
    <s v="Yes"/>
    <s v="Yes"/>
    <n v="14"/>
    <s v="Cash"/>
    <s v="Bi-Weekly"/>
    <s v="Bi-Weekly"/>
    <n v="2"/>
  </r>
  <r>
    <x v="455"/>
    <n v="54"/>
    <x v="0"/>
    <s v="Blouse"/>
    <x v="0"/>
    <n v="100"/>
    <x v="40"/>
    <s v="XL"/>
    <s v="Gold"/>
    <s v="Fall"/>
    <n v="3.6"/>
    <s v="Yes"/>
    <s v="Store Pickup"/>
    <s v="Yes"/>
    <s v="Yes"/>
    <n v="50"/>
    <s v="Debit Card"/>
    <s v="Fortnightly"/>
    <s v="Fortnightly"/>
    <n v="3"/>
  </r>
  <r>
    <x v="456"/>
    <n v="50"/>
    <x v="0"/>
    <s v="Blouse"/>
    <x v="0"/>
    <n v="96"/>
    <x v="17"/>
    <s v="S"/>
    <s v="Indigo"/>
    <s v="Fall"/>
    <n v="4"/>
    <s v="Yes"/>
    <s v="2-Day Shipping"/>
    <s v="Yes"/>
    <s v="Yes"/>
    <n v="33"/>
    <s v="Credit Card"/>
    <s v="Quarterly"/>
    <s v="Quarterly"/>
    <n v="5"/>
  </r>
  <r>
    <x v="457"/>
    <n v="25"/>
    <x v="0"/>
    <s v="Gloves"/>
    <x v="3"/>
    <n v="99"/>
    <x v="3"/>
    <s v="M"/>
    <s v="Blue"/>
    <s v="Spring"/>
    <n v="4.9000000000000004"/>
    <s v="Yes"/>
    <s v="Next Day Air"/>
    <s v="Yes"/>
    <s v="Yes"/>
    <n v="48"/>
    <s v="Debit Card"/>
    <s v="Every 3 Months"/>
    <s v="Quarterly"/>
    <n v="5"/>
  </r>
  <r>
    <x v="458"/>
    <n v="47"/>
    <x v="0"/>
    <s v="Shorts"/>
    <x v="0"/>
    <n v="91"/>
    <x v="10"/>
    <s v="L"/>
    <s v="Black"/>
    <s v="Winter"/>
    <n v="4"/>
    <s v="Yes"/>
    <s v="2-Day Shipping"/>
    <s v="Yes"/>
    <s v="Yes"/>
    <n v="48"/>
    <s v="PayPal"/>
    <s v="Monthly"/>
    <s v="Monthly"/>
    <n v="4"/>
  </r>
  <r>
    <x v="459"/>
    <n v="63"/>
    <x v="0"/>
    <s v="Hat"/>
    <x v="3"/>
    <n v="30"/>
    <x v="33"/>
    <s v="L"/>
    <s v="Black"/>
    <s v="Winter"/>
    <n v="3.8"/>
    <s v="Yes"/>
    <s v="Standard"/>
    <s v="Yes"/>
    <s v="Yes"/>
    <n v="27"/>
    <s v="PayPal"/>
    <s v="Fortnightly"/>
    <s v="Fortnightly"/>
    <n v="3"/>
  </r>
  <r>
    <x v="460"/>
    <n v="64"/>
    <x v="0"/>
    <s v="Shoes"/>
    <x v="1"/>
    <n v="65"/>
    <x v="36"/>
    <s v="L"/>
    <s v="Teal"/>
    <s v="Summer"/>
    <n v="3.7"/>
    <s v="Yes"/>
    <s v="Store Pickup"/>
    <s v="Yes"/>
    <s v="Yes"/>
    <n v="27"/>
    <s v="Bank Transfer"/>
    <s v="Weekly"/>
    <s v="Weekly"/>
    <n v="1"/>
  </r>
  <r>
    <x v="461"/>
    <n v="18"/>
    <x v="0"/>
    <s v="Boots"/>
    <x v="1"/>
    <n v="93"/>
    <x v="31"/>
    <s v="M"/>
    <s v="Yellow"/>
    <s v="Winter"/>
    <n v="3.9"/>
    <s v="Yes"/>
    <s v="Express"/>
    <s v="Yes"/>
    <s v="Yes"/>
    <n v="20"/>
    <s v="Venmo"/>
    <s v="Weekly"/>
    <s v="Weekly"/>
    <n v="1"/>
  </r>
  <r>
    <x v="462"/>
    <n v="59"/>
    <x v="0"/>
    <s v="Jacket"/>
    <x v="2"/>
    <n v="81"/>
    <x v="26"/>
    <s v="M"/>
    <s v="White"/>
    <s v="Fall"/>
    <n v="3.3"/>
    <s v="Yes"/>
    <s v="Express"/>
    <s v="Yes"/>
    <s v="Yes"/>
    <n v="48"/>
    <s v="Venmo"/>
    <s v="Every 3 Months"/>
    <s v="Quarterly"/>
    <n v="5"/>
  </r>
  <r>
    <x v="463"/>
    <n v="37"/>
    <x v="0"/>
    <s v="Jewelry"/>
    <x v="3"/>
    <n v="81"/>
    <x v="42"/>
    <s v="S"/>
    <s v="Orange"/>
    <s v="Summer"/>
    <n v="2.7"/>
    <s v="Yes"/>
    <s v="Standard"/>
    <s v="Yes"/>
    <s v="Yes"/>
    <n v="29"/>
    <s v="Venmo"/>
    <s v="Weekly"/>
    <s v="Weekly"/>
    <n v="1"/>
  </r>
  <r>
    <x v="464"/>
    <n v="23"/>
    <x v="0"/>
    <s v="Sunglasses"/>
    <x v="3"/>
    <n v="52"/>
    <x v="15"/>
    <s v="M"/>
    <s v="Silver"/>
    <s v="Winter"/>
    <n v="4.7"/>
    <s v="Yes"/>
    <s v="Next Day Air"/>
    <s v="Yes"/>
    <s v="Yes"/>
    <n v="45"/>
    <s v="PayPal"/>
    <s v="Monthly"/>
    <s v="Monthly"/>
    <n v="4"/>
  </r>
  <r>
    <x v="465"/>
    <n v="54"/>
    <x v="0"/>
    <s v="Skirt"/>
    <x v="0"/>
    <n v="88"/>
    <x v="19"/>
    <s v="M"/>
    <s v="Pink"/>
    <s v="Summer"/>
    <n v="2.8"/>
    <s v="Yes"/>
    <s v="Next Day Air"/>
    <s v="Yes"/>
    <s v="Yes"/>
    <n v="25"/>
    <s v="Cash"/>
    <s v="Quarterly"/>
    <s v="Quarterly"/>
    <n v="5"/>
  </r>
  <r>
    <x v="466"/>
    <n v="38"/>
    <x v="0"/>
    <s v="Jeans"/>
    <x v="0"/>
    <n v="24"/>
    <x v="34"/>
    <s v="L"/>
    <s v="Turquoise"/>
    <s v="Winter"/>
    <n v="4.5999999999999996"/>
    <s v="Yes"/>
    <s v="Free Shipping"/>
    <s v="Yes"/>
    <s v="Yes"/>
    <n v="25"/>
    <s v="PayPal"/>
    <s v="Weekly"/>
    <s v="Weekly"/>
    <n v="1"/>
  </r>
  <r>
    <x v="467"/>
    <n v="19"/>
    <x v="0"/>
    <s v="Backpack"/>
    <x v="3"/>
    <n v="51"/>
    <x v="43"/>
    <s v="S"/>
    <s v="Orange"/>
    <s v="Spring"/>
    <n v="4.5"/>
    <s v="Yes"/>
    <s v="2-Day Shipping"/>
    <s v="Yes"/>
    <s v="Yes"/>
    <n v="37"/>
    <s v="Debit Card"/>
    <s v="Every 3 Months"/>
    <s v="Quarterly"/>
    <n v="5"/>
  </r>
  <r>
    <x v="468"/>
    <n v="34"/>
    <x v="0"/>
    <s v="Backpack"/>
    <x v="3"/>
    <n v="38"/>
    <x v="42"/>
    <s v="S"/>
    <s v="Peach"/>
    <s v="Fall"/>
    <n v="5"/>
    <s v="Yes"/>
    <s v="Free Shipping"/>
    <s v="Yes"/>
    <s v="Yes"/>
    <n v="16"/>
    <s v="Cash"/>
    <s v="Quarterly"/>
    <s v="Quarterly"/>
    <n v="5"/>
  </r>
  <r>
    <x v="469"/>
    <n v="21"/>
    <x v="0"/>
    <s v="Shorts"/>
    <x v="0"/>
    <n v="46"/>
    <x v="15"/>
    <s v="L"/>
    <s v="Pink"/>
    <s v="Fall"/>
    <n v="4.0999999999999996"/>
    <s v="Yes"/>
    <s v="2-Day Shipping"/>
    <s v="Yes"/>
    <s v="Yes"/>
    <n v="30"/>
    <s v="Debit Card"/>
    <s v="Bi-Weekly"/>
    <s v="Bi-Weekly"/>
    <n v="2"/>
  </r>
  <r>
    <x v="470"/>
    <n v="50"/>
    <x v="0"/>
    <s v="Dress"/>
    <x v="0"/>
    <n v="63"/>
    <x v="46"/>
    <s v="L"/>
    <s v="Teal"/>
    <s v="Summer"/>
    <n v="4.5999999999999996"/>
    <s v="Yes"/>
    <s v="Express"/>
    <s v="Yes"/>
    <s v="Yes"/>
    <n v="6"/>
    <s v="Cash"/>
    <s v="Every 3 Months"/>
    <s v="Quarterly"/>
    <n v="5"/>
  </r>
  <r>
    <x v="471"/>
    <n v="55"/>
    <x v="0"/>
    <s v="Scarf"/>
    <x v="3"/>
    <n v="72"/>
    <x v="9"/>
    <s v="XL"/>
    <s v="White"/>
    <s v="Winter"/>
    <n v="4.9000000000000004"/>
    <s v="Yes"/>
    <s v="2-Day Shipping"/>
    <s v="Yes"/>
    <s v="Yes"/>
    <n v="36"/>
    <s v="Bank Transfer"/>
    <s v="Quarterly"/>
    <s v="Quarterly"/>
    <n v="5"/>
  </r>
  <r>
    <x v="472"/>
    <n v="20"/>
    <x v="0"/>
    <s v="Jeans"/>
    <x v="0"/>
    <n v="39"/>
    <x v="42"/>
    <s v="L"/>
    <s v="Gray"/>
    <s v="Winter"/>
    <n v="3.9"/>
    <s v="Yes"/>
    <s v="Free Shipping"/>
    <s v="Yes"/>
    <s v="Yes"/>
    <n v="3"/>
    <s v="Bank Transfer"/>
    <s v="Quarterly"/>
    <s v="Quarterly"/>
    <n v="5"/>
  </r>
  <r>
    <x v="473"/>
    <n v="34"/>
    <x v="0"/>
    <s v="Coat"/>
    <x v="2"/>
    <n v="42"/>
    <x v="8"/>
    <s v="L"/>
    <s v="Olive"/>
    <s v="Spring"/>
    <n v="3.9"/>
    <s v="Yes"/>
    <s v="Store Pickup"/>
    <s v="Yes"/>
    <s v="Yes"/>
    <n v="29"/>
    <s v="PayPal"/>
    <s v="Every 3 Months"/>
    <s v="Quarterly"/>
    <n v="5"/>
  </r>
  <r>
    <x v="474"/>
    <n v="62"/>
    <x v="0"/>
    <s v="Sweater"/>
    <x v="0"/>
    <n v="76"/>
    <x v="10"/>
    <s v="XL"/>
    <s v="Maroon"/>
    <s v="Summer"/>
    <n v="2.6"/>
    <s v="Yes"/>
    <s v="2-Day Shipping"/>
    <s v="Yes"/>
    <s v="Yes"/>
    <n v="15"/>
    <s v="Cash"/>
    <s v="Quarterly"/>
    <s v="Quarterly"/>
    <n v="5"/>
  </r>
  <r>
    <x v="475"/>
    <n v="21"/>
    <x v="0"/>
    <s v="Sneakers"/>
    <x v="1"/>
    <n v="66"/>
    <x v="31"/>
    <s v="L"/>
    <s v="Magenta"/>
    <s v="Summer"/>
    <n v="2.7"/>
    <s v="Yes"/>
    <s v="Free Shipping"/>
    <s v="Yes"/>
    <s v="Yes"/>
    <n v="18"/>
    <s v="Debit Card"/>
    <s v="Annually"/>
    <s v="Annually"/>
    <n v="6"/>
  </r>
  <r>
    <x v="476"/>
    <n v="21"/>
    <x v="0"/>
    <s v="Scarf"/>
    <x v="3"/>
    <n v="90"/>
    <x v="39"/>
    <s v="M"/>
    <s v="Magenta"/>
    <s v="Spring"/>
    <n v="3.5"/>
    <s v="Yes"/>
    <s v="Free Shipping"/>
    <s v="Yes"/>
    <s v="Yes"/>
    <n v="2"/>
    <s v="Debit Card"/>
    <s v="Fortnightly"/>
    <s v="Fortnightly"/>
    <n v="3"/>
  </r>
  <r>
    <x v="477"/>
    <n v="42"/>
    <x v="0"/>
    <s v="Sweater"/>
    <x v="0"/>
    <n v="56"/>
    <x v="25"/>
    <s v="M"/>
    <s v="Green"/>
    <s v="Summer"/>
    <n v="3.7"/>
    <s v="Yes"/>
    <s v="Free Shipping"/>
    <s v="Yes"/>
    <s v="Yes"/>
    <n v="49"/>
    <s v="Debit Card"/>
    <s v="Weekly"/>
    <s v="Weekly"/>
    <n v="1"/>
  </r>
  <r>
    <x v="478"/>
    <n v="35"/>
    <x v="0"/>
    <s v="Jewelry"/>
    <x v="3"/>
    <n v="43"/>
    <x v="23"/>
    <s v="XL"/>
    <s v="Turquoise"/>
    <s v="Winter"/>
    <n v="3.2"/>
    <s v="Yes"/>
    <s v="Free Shipping"/>
    <s v="Yes"/>
    <s v="Yes"/>
    <n v="48"/>
    <s v="Venmo"/>
    <s v="Annually"/>
    <s v="Annually"/>
    <n v="6"/>
  </r>
  <r>
    <x v="479"/>
    <n v="39"/>
    <x v="0"/>
    <s v="Handbag"/>
    <x v="3"/>
    <n v="84"/>
    <x v="44"/>
    <s v="L"/>
    <s v="Yellow"/>
    <s v="Winter"/>
    <n v="3.3"/>
    <s v="Yes"/>
    <s v="Store Pickup"/>
    <s v="Yes"/>
    <s v="Yes"/>
    <n v="43"/>
    <s v="Venmo"/>
    <s v="Monthly"/>
    <s v="Monthly"/>
    <n v="4"/>
  </r>
  <r>
    <x v="480"/>
    <n v="68"/>
    <x v="0"/>
    <s v="Hoodie"/>
    <x v="0"/>
    <n v="88"/>
    <x v="34"/>
    <s v="M"/>
    <s v="Gray"/>
    <s v="Summer"/>
    <n v="4.8"/>
    <s v="Yes"/>
    <s v="Standard"/>
    <s v="Yes"/>
    <s v="Yes"/>
    <n v="30"/>
    <s v="Debit Card"/>
    <s v="Bi-Weekly"/>
    <s v="Bi-Weekly"/>
    <n v="2"/>
  </r>
  <r>
    <x v="481"/>
    <n v="46"/>
    <x v="0"/>
    <s v="Hat"/>
    <x v="3"/>
    <n v="88"/>
    <x v="48"/>
    <s v="L"/>
    <s v="Peach"/>
    <s v="Fall"/>
    <n v="3.2"/>
    <s v="Yes"/>
    <s v="2-Day Shipping"/>
    <s v="Yes"/>
    <s v="Yes"/>
    <n v="10"/>
    <s v="PayPal"/>
    <s v="Fortnightly"/>
    <s v="Fortnightly"/>
    <n v="3"/>
  </r>
  <r>
    <x v="482"/>
    <n v="41"/>
    <x v="0"/>
    <s v="Belt"/>
    <x v="3"/>
    <n v="42"/>
    <x v="39"/>
    <s v="M"/>
    <s v="Yellow"/>
    <s v="Winter"/>
    <n v="2.5"/>
    <s v="Yes"/>
    <s v="2-Day Shipping"/>
    <s v="Yes"/>
    <s v="Yes"/>
    <n v="11"/>
    <s v="Venmo"/>
    <s v="Annually"/>
    <s v="Annually"/>
    <n v="6"/>
  </r>
  <r>
    <x v="483"/>
    <n v="23"/>
    <x v="0"/>
    <s v="Hoodie"/>
    <x v="0"/>
    <n v="73"/>
    <x v="19"/>
    <s v="M"/>
    <s v="White"/>
    <s v="Fall"/>
    <n v="3.9"/>
    <s v="Yes"/>
    <s v="Store Pickup"/>
    <s v="Yes"/>
    <s v="Yes"/>
    <n v="12"/>
    <s v="Debit Card"/>
    <s v="Weekly"/>
    <s v="Weekly"/>
    <n v="1"/>
  </r>
  <r>
    <x v="484"/>
    <n v="68"/>
    <x v="0"/>
    <s v="Hat"/>
    <x v="3"/>
    <n v="73"/>
    <x v="9"/>
    <s v="L"/>
    <s v="Lavender"/>
    <s v="Summer"/>
    <n v="4.7"/>
    <s v="Yes"/>
    <s v="Free Shipping"/>
    <s v="Yes"/>
    <s v="Yes"/>
    <n v="28"/>
    <s v="Bank Transfer"/>
    <s v="Quarterly"/>
    <s v="Quarterly"/>
    <n v="5"/>
  </r>
  <r>
    <x v="485"/>
    <n v="48"/>
    <x v="0"/>
    <s v="Shoes"/>
    <x v="1"/>
    <n v="44"/>
    <x v="30"/>
    <s v="S"/>
    <s v="Blue"/>
    <s v="Spring"/>
    <n v="2.6"/>
    <s v="Yes"/>
    <s v="Next Day Air"/>
    <s v="Yes"/>
    <s v="Yes"/>
    <n v="36"/>
    <s v="Debit Card"/>
    <s v="Fortnightly"/>
    <s v="Fortnightly"/>
    <n v="3"/>
  </r>
  <r>
    <x v="486"/>
    <n v="38"/>
    <x v="0"/>
    <s v="Sandals"/>
    <x v="1"/>
    <n v="63"/>
    <x v="35"/>
    <s v="M"/>
    <s v="Charcoal"/>
    <s v="Fall"/>
    <n v="2.8"/>
    <s v="Yes"/>
    <s v="Store Pickup"/>
    <s v="Yes"/>
    <s v="Yes"/>
    <n v="37"/>
    <s v="Venmo"/>
    <s v="Every 3 Months"/>
    <s v="Quarterly"/>
    <n v="5"/>
  </r>
  <r>
    <x v="487"/>
    <n v="41"/>
    <x v="0"/>
    <s v="Jacket"/>
    <x v="2"/>
    <n v="68"/>
    <x v="44"/>
    <s v="L"/>
    <s v="Red"/>
    <s v="Winter"/>
    <n v="4.4000000000000004"/>
    <s v="Yes"/>
    <s v="Store Pickup"/>
    <s v="Yes"/>
    <s v="Yes"/>
    <n v="22"/>
    <s v="Credit Card"/>
    <s v="Quarterly"/>
    <s v="Quarterly"/>
    <n v="5"/>
  </r>
  <r>
    <x v="488"/>
    <n v="58"/>
    <x v="0"/>
    <s v="Sweater"/>
    <x v="0"/>
    <n v="29"/>
    <x v="1"/>
    <s v="L"/>
    <s v="Olive"/>
    <s v="Spring"/>
    <n v="4.5999999999999996"/>
    <s v="Yes"/>
    <s v="Standard"/>
    <s v="Yes"/>
    <s v="Yes"/>
    <n v="32"/>
    <s v="Venmo"/>
    <s v="Weekly"/>
    <s v="Weekly"/>
    <n v="1"/>
  </r>
  <r>
    <x v="489"/>
    <n v="49"/>
    <x v="0"/>
    <s v="Socks"/>
    <x v="0"/>
    <n v="85"/>
    <x v="45"/>
    <s v="M"/>
    <s v="Green"/>
    <s v="Summer"/>
    <n v="3.2"/>
    <s v="Yes"/>
    <s v="Standard"/>
    <s v="Yes"/>
    <s v="Yes"/>
    <n v="40"/>
    <s v="PayPal"/>
    <s v="Annually"/>
    <s v="Annually"/>
    <n v="6"/>
  </r>
  <r>
    <x v="490"/>
    <n v="57"/>
    <x v="0"/>
    <s v="Sneakers"/>
    <x v="1"/>
    <n v="42"/>
    <x v="24"/>
    <s v="M"/>
    <s v="Silver"/>
    <s v="Winter"/>
    <n v="4.2"/>
    <s v="Yes"/>
    <s v="2-Day Shipping"/>
    <s v="Yes"/>
    <s v="Yes"/>
    <n v="47"/>
    <s v="Cash"/>
    <s v="Monthly"/>
    <s v="Monthly"/>
    <n v="4"/>
  </r>
  <r>
    <x v="491"/>
    <n v="49"/>
    <x v="0"/>
    <s v="Coat"/>
    <x v="2"/>
    <n v="69"/>
    <x v="34"/>
    <s v="M"/>
    <s v="Silver"/>
    <s v="Summer"/>
    <n v="3.7"/>
    <s v="Yes"/>
    <s v="2-Day Shipping"/>
    <s v="Yes"/>
    <s v="Yes"/>
    <n v="24"/>
    <s v="Credit Card"/>
    <s v="Bi-Weekly"/>
    <s v="Bi-Weekly"/>
    <n v="2"/>
  </r>
  <r>
    <x v="492"/>
    <n v="50"/>
    <x v="0"/>
    <s v="Shirt"/>
    <x v="0"/>
    <n v="62"/>
    <x v="49"/>
    <s v="M"/>
    <s v="Black"/>
    <s v="Fall"/>
    <n v="3.9"/>
    <s v="Yes"/>
    <s v="Standard"/>
    <s v="Yes"/>
    <s v="Yes"/>
    <n v="11"/>
    <s v="Debit Card"/>
    <s v="Weekly"/>
    <s v="Weekly"/>
    <n v="1"/>
  </r>
  <r>
    <x v="493"/>
    <n v="28"/>
    <x v="0"/>
    <s v="Backpack"/>
    <x v="3"/>
    <n v="48"/>
    <x v="22"/>
    <s v="XL"/>
    <s v="Red"/>
    <s v="Summer"/>
    <n v="4.7"/>
    <s v="Yes"/>
    <s v="Store Pickup"/>
    <s v="Yes"/>
    <s v="Yes"/>
    <n v="19"/>
    <s v="Cash"/>
    <s v="Bi-Weekly"/>
    <s v="Bi-Weekly"/>
    <n v="2"/>
  </r>
  <r>
    <x v="494"/>
    <n v="38"/>
    <x v="0"/>
    <s v="Boots"/>
    <x v="1"/>
    <n v="68"/>
    <x v="27"/>
    <s v="M"/>
    <s v="Indigo"/>
    <s v="Winter"/>
    <n v="4.5"/>
    <s v="Yes"/>
    <s v="Express"/>
    <s v="Yes"/>
    <s v="Yes"/>
    <n v="42"/>
    <s v="Debit Card"/>
    <s v="Weekly"/>
    <s v="Weekly"/>
    <n v="1"/>
  </r>
  <r>
    <x v="495"/>
    <n v="33"/>
    <x v="0"/>
    <s v="Handbag"/>
    <x v="3"/>
    <n v="36"/>
    <x v="49"/>
    <s v="XL"/>
    <s v="Cyan"/>
    <s v="Fall"/>
    <n v="3.3"/>
    <s v="Yes"/>
    <s v="Free Shipping"/>
    <s v="Yes"/>
    <s v="Yes"/>
    <n v="6"/>
    <s v="Debit Card"/>
    <s v="Fortnightly"/>
    <s v="Fortnightly"/>
    <n v="3"/>
  </r>
  <r>
    <x v="496"/>
    <n v="30"/>
    <x v="0"/>
    <s v="Dress"/>
    <x v="0"/>
    <n v="63"/>
    <x v="18"/>
    <s v="S"/>
    <s v="Maroon"/>
    <s v="Fall"/>
    <n v="3.3"/>
    <s v="Yes"/>
    <s v="Express"/>
    <s v="Yes"/>
    <s v="Yes"/>
    <n v="31"/>
    <s v="Venmo"/>
    <s v="Fortnightly"/>
    <s v="Fortnightly"/>
    <n v="3"/>
  </r>
  <r>
    <x v="497"/>
    <n v="43"/>
    <x v="0"/>
    <s v="Sneakers"/>
    <x v="1"/>
    <n v="39"/>
    <x v="19"/>
    <s v="S"/>
    <s v="Silver"/>
    <s v="Winter"/>
    <n v="4.5999999999999996"/>
    <s v="Yes"/>
    <s v="Free Shipping"/>
    <s v="Yes"/>
    <s v="Yes"/>
    <n v="31"/>
    <s v="Cash"/>
    <s v="Weekly"/>
    <s v="Weekly"/>
    <n v="1"/>
  </r>
  <r>
    <x v="498"/>
    <n v="43"/>
    <x v="0"/>
    <s v="Boots"/>
    <x v="1"/>
    <n v="78"/>
    <x v="44"/>
    <s v="M"/>
    <s v="Lavender"/>
    <s v="Spring"/>
    <n v="3.6"/>
    <s v="Yes"/>
    <s v="Free Shipping"/>
    <s v="Yes"/>
    <s v="Yes"/>
    <n v="27"/>
    <s v="Bank Transfer"/>
    <s v="Monthly"/>
    <s v="Monthly"/>
    <n v="4"/>
  </r>
  <r>
    <x v="499"/>
    <n v="36"/>
    <x v="0"/>
    <s v="Shoes"/>
    <x v="1"/>
    <n v="99"/>
    <x v="3"/>
    <s v="L"/>
    <s v="Silver"/>
    <s v="Winter"/>
    <n v="4.8"/>
    <s v="Yes"/>
    <s v="Express"/>
    <s v="Yes"/>
    <s v="Yes"/>
    <n v="24"/>
    <s v="PayPal"/>
    <s v="Monthly"/>
    <s v="Monthly"/>
    <n v="4"/>
  </r>
  <r>
    <x v="500"/>
    <n v="36"/>
    <x v="0"/>
    <s v="T-shirt"/>
    <x v="0"/>
    <n v="31"/>
    <x v="47"/>
    <s v="L"/>
    <s v="Purple"/>
    <s v="Fall"/>
    <n v="4.8"/>
    <s v="Yes"/>
    <s v="Next Day Air"/>
    <s v="Yes"/>
    <s v="Yes"/>
    <n v="35"/>
    <s v="Venmo"/>
    <s v="Every 3 Months"/>
    <s v="Quarterly"/>
    <n v="5"/>
  </r>
  <r>
    <x v="501"/>
    <n v="64"/>
    <x v="0"/>
    <s v="Boots"/>
    <x v="1"/>
    <n v="45"/>
    <x v="20"/>
    <s v="M"/>
    <s v="Cyan"/>
    <s v="Spring"/>
    <n v="2.9"/>
    <s v="Yes"/>
    <s v="Next Day Air"/>
    <s v="Yes"/>
    <s v="Yes"/>
    <n v="21"/>
    <s v="Venmo"/>
    <s v="Annually"/>
    <s v="Annually"/>
    <n v="6"/>
  </r>
  <r>
    <x v="502"/>
    <n v="59"/>
    <x v="0"/>
    <s v="Pants"/>
    <x v="0"/>
    <n v="30"/>
    <x v="36"/>
    <s v="S"/>
    <s v="Cyan"/>
    <s v="Fall"/>
    <n v="2.8"/>
    <s v="Yes"/>
    <s v="Express"/>
    <s v="Yes"/>
    <s v="Yes"/>
    <n v="8"/>
    <s v="PayPal"/>
    <s v="Fortnightly"/>
    <s v="Fortnightly"/>
    <n v="3"/>
  </r>
  <r>
    <x v="503"/>
    <n v="55"/>
    <x v="0"/>
    <s v="Shoes"/>
    <x v="1"/>
    <n v="24"/>
    <x v="8"/>
    <s v="M"/>
    <s v="Lavender"/>
    <s v="Summer"/>
    <n v="3.2"/>
    <s v="Yes"/>
    <s v="Next Day Air"/>
    <s v="Yes"/>
    <s v="Yes"/>
    <n v="26"/>
    <s v="Bank Transfer"/>
    <s v="Quarterly"/>
    <s v="Quarterly"/>
    <n v="5"/>
  </r>
  <r>
    <x v="504"/>
    <n v="42"/>
    <x v="0"/>
    <s v="Shoes"/>
    <x v="1"/>
    <n v="22"/>
    <x v="9"/>
    <s v="M"/>
    <s v="Maroon"/>
    <s v="Winter"/>
    <n v="3.9"/>
    <s v="Yes"/>
    <s v="Free Shipping"/>
    <s v="Yes"/>
    <s v="Yes"/>
    <n v="26"/>
    <s v="PayPal"/>
    <s v="Annually"/>
    <s v="Annually"/>
    <n v="6"/>
  </r>
  <r>
    <x v="505"/>
    <n v="61"/>
    <x v="0"/>
    <s v="T-shirt"/>
    <x v="0"/>
    <n v="63"/>
    <x v="1"/>
    <s v="L"/>
    <s v="Gray"/>
    <s v="Spring"/>
    <n v="4.3"/>
    <s v="Yes"/>
    <s v="Express"/>
    <s v="Yes"/>
    <s v="Yes"/>
    <n v="9"/>
    <s v="Cash"/>
    <s v="Bi-Weekly"/>
    <s v="Bi-Weekly"/>
    <n v="2"/>
  </r>
  <r>
    <x v="506"/>
    <n v="28"/>
    <x v="0"/>
    <s v="Scarf"/>
    <x v="3"/>
    <n v="40"/>
    <x v="42"/>
    <s v="M"/>
    <s v="Olive"/>
    <s v="Fall"/>
    <n v="2.7"/>
    <s v="Yes"/>
    <s v="2-Day Shipping"/>
    <s v="Yes"/>
    <s v="Yes"/>
    <n v="48"/>
    <s v="Debit Card"/>
    <s v="Annually"/>
    <s v="Annually"/>
    <n v="6"/>
  </r>
  <r>
    <x v="507"/>
    <n v="65"/>
    <x v="0"/>
    <s v="Shorts"/>
    <x v="0"/>
    <n v="20"/>
    <x v="1"/>
    <s v="M"/>
    <s v="Magenta"/>
    <s v="Spring"/>
    <n v="5"/>
    <s v="Yes"/>
    <s v="Store Pickup"/>
    <s v="Yes"/>
    <s v="Yes"/>
    <n v="33"/>
    <s v="Debit Card"/>
    <s v="Fortnightly"/>
    <s v="Fortnightly"/>
    <n v="3"/>
  </r>
  <r>
    <x v="508"/>
    <n v="27"/>
    <x v="0"/>
    <s v="Jewelry"/>
    <x v="3"/>
    <n v="20"/>
    <x v="26"/>
    <s v="S"/>
    <s v="Yellow"/>
    <s v="Winter"/>
    <n v="3.7"/>
    <s v="Yes"/>
    <s v="Store Pickup"/>
    <s v="Yes"/>
    <s v="Yes"/>
    <n v="31"/>
    <s v="PayPal"/>
    <s v="Quarterly"/>
    <s v="Quarterly"/>
    <n v="5"/>
  </r>
  <r>
    <x v="509"/>
    <n v="41"/>
    <x v="0"/>
    <s v="T-shirt"/>
    <x v="0"/>
    <n v="80"/>
    <x v="12"/>
    <s v="L"/>
    <s v="Cyan"/>
    <s v="Summer"/>
    <n v="3.9"/>
    <s v="Yes"/>
    <s v="Free Shipping"/>
    <s v="Yes"/>
    <s v="Yes"/>
    <n v="17"/>
    <s v="Debit Card"/>
    <s v="Weekly"/>
    <s v="Weekly"/>
    <n v="1"/>
  </r>
  <r>
    <x v="510"/>
    <n v="21"/>
    <x v="0"/>
    <s v="Shirt"/>
    <x v="0"/>
    <n v="87"/>
    <x v="8"/>
    <s v="M"/>
    <s v="Teal"/>
    <s v="Fall"/>
    <n v="3.9"/>
    <s v="Yes"/>
    <s v="2-Day Shipping"/>
    <s v="Yes"/>
    <s v="Yes"/>
    <n v="22"/>
    <s v="Venmo"/>
    <s v="Annually"/>
    <s v="Annually"/>
    <n v="6"/>
  </r>
  <r>
    <x v="511"/>
    <n v="61"/>
    <x v="0"/>
    <s v="Shirt"/>
    <x v="0"/>
    <n v="46"/>
    <x v="11"/>
    <s v="L"/>
    <s v="Yellow"/>
    <s v="Fall"/>
    <n v="3.1"/>
    <s v="Yes"/>
    <s v="Free Shipping"/>
    <s v="Yes"/>
    <s v="Yes"/>
    <n v="8"/>
    <s v="PayPal"/>
    <s v="Annually"/>
    <s v="Annually"/>
    <n v="6"/>
  </r>
  <r>
    <x v="512"/>
    <n v="19"/>
    <x v="0"/>
    <s v="Gloves"/>
    <x v="3"/>
    <n v="49"/>
    <x v="14"/>
    <s v="L"/>
    <s v="Peach"/>
    <s v="Winter"/>
    <n v="3.3"/>
    <s v="Yes"/>
    <s v="Next Day Air"/>
    <s v="Yes"/>
    <s v="Yes"/>
    <n v="2"/>
    <s v="Bank Transfer"/>
    <s v="Monthly"/>
    <s v="Monthly"/>
    <n v="4"/>
  </r>
  <r>
    <x v="513"/>
    <n v="22"/>
    <x v="0"/>
    <s v="Scarf"/>
    <x v="3"/>
    <n v="65"/>
    <x v="35"/>
    <s v="M"/>
    <s v="Peach"/>
    <s v="Fall"/>
    <n v="3.6"/>
    <s v="Yes"/>
    <s v="Store Pickup"/>
    <s v="Yes"/>
    <s v="Yes"/>
    <n v="45"/>
    <s v="Venmo"/>
    <s v="Annually"/>
    <s v="Annually"/>
    <n v="6"/>
  </r>
  <r>
    <x v="514"/>
    <n v="64"/>
    <x v="0"/>
    <s v="Skirt"/>
    <x v="0"/>
    <n v="62"/>
    <x v="27"/>
    <s v="S"/>
    <s v="Olive"/>
    <s v="Winter"/>
    <n v="4.3"/>
    <s v="Yes"/>
    <s v="Standard"/>
    <s v="Yes"/>
    <s v="Yes"/>
    <n v="47"/>
    <s v="PayPal"/>
    <s v="Quarterly"/>
    <s v="Quarterly"/>
    <n v="5"/>
  </r>
  <r>
    <x v="515"/>
    <n v="28"/>
    <x v="0"/>
    <s v="Hat"/>
    <x v="3"/>
    <n v="67"/>
    <x v="0"/>
    <s v="L"/>
    <s v="Charcoal"/>
    <s v="Spring"/>
    <n v="4.5"/>
    <s v="Yes"/>
    <s v="Next Day Air"/>
    <s v="Yes"/>
    <s v="Yes"/>
    <n v="7"/>
    <s v="Cash"/>
    <s v="Monthly"/>
    <s v="Monthly"/>
    <n v="4"/>
  </r>
  <r>
    <x v="516"/>
    <n v="34"/>
    <x v="0"/>
    <s v="Hoodie"/>
    <x v="0"/>
    <n v="41"/>
    <x v="8"/>
    <s v="L"/>
    <s v="Indigo"/>
    <s v="Fall"/>
    <n v="2.8"/>
    <s v="Yes"/>
    <s v="2-Day Shipping"/>
    <s v="Yes"/>
    <s v="Yes"/>
    <n v="19"/>
    <s v="Debit Card"/>
    <s v="Bi-Weekly"/>
    <s v="Bi-Weekly"/>
    <n v="2"/>
  </r>
  <r>
    <x v="517"/>
    <n v="61"/>
    <x v="0"/>
    <s v="Boots"/>
    <x v="1"/>
    <n v="49"/>
    <x v="25"/>
    <s v="L"/>
    <s v="Silver"/>
    <s v="Fall"/>
    <n v="2.7"/>
    <s v="Yes"/>
    <s v="Free Shipping"/>
    <s v="Yes"/>
    <s v="Yes"/>
    <n v="44"/>
    <s v="Cash"/>
    <s v="Every 3 Months"/>
    <s v="Quarterly"/>
    <n v="5"/>
  </r>
  <r>
    <x v="518"/>
    <n v="24"/>
    <x v="0"/>
    <s v="Blouse"/>
    <x v="0"/>
    <n v="100"/>
    <x v="4"/>
    <s v="M"/>
    <s v="Beige"/>
    <s v="Fall"/>
    <n v="2.9"/>
    <s v="Yes"/>
    <s v="Next Day Air"/>
    <s v="Yes"/>
    <s v="Yes"/>
    <n v="16"/>
    <s v="Venmo"/>
    <s v="Every 3 Months"/>
    <s v="Quarterly"/>
    <n v="5"/>
  </r>
  <r>
    <x v="519"/>
    <n v="19"/>
    <x v="0"/>
    <s v="Belt"/>
    <x v="3"/>
    <n v="54"/>
    <x v="46"/>
    <s v="L"/>
    <s v="Blue"/>
    <s v="Summer"/>
    <n v="4.4000000000000004"/>
    <s v="Yes"/>
    <s v="2-Day Shipping"/>
    <s v="Yes"/>
    <s v="Yes"/>
    <n v="17"/>
    <s v="Bank Transfer"/>
    <s v="Quarterly"/>
    <s v="Quarterly"/>
    <n v="5"/>
  </r>
  <r>
    <x v="520"/>
    <n v="51"/>
    <x v="0"/>
    <s v="Sunglasses"/>
    <x v="3"/>
    <n v="84"/>
    <x v="36"/>
    <s v="M"/>
    <s v="White"/>
    <s v="Spring"/>
    <n v="3.9"/>
    <s v="Yes"/>
    <s v="Free Shipping"/>
    <s v="Yes"/>
    <s v="Yes"/>
    <n v="20"/>
    <s v="Debit Card"/>
    <s v="Quarterly"/>
    <s v="Quarterly"/>
    <n v="5"/>
  </r>
  <r>
    <x v="521"/>
    <n v="36"/>
    <x v="0"/>
    <s v="Shorts"/>
    <x v="0"/>
    <n v="41"/>
    <x v="34"/>
    <s v="L"/>
    <s v="Gold"/>
    <s v="Winter"/>
    <n v="3.5"/>
    <s v="Yes"/>
    <s v="Standard"/>
    <s v="Yes"/>
    <s v="Yes"/>
    <n v="50"/>
    <s v="Bank Transfer"/>
    <s v="Annually"/>
    <s v="Annually"/>
    <n v="6"/>
  </r>
  <r>
    <x v="522"/>
    <n v="65"/>
    <x v="0"/>
    <s v="Gloves"/>
    <x v="3"/>
    <n v="88"/>
    <x v="46"/>
    <s v="M"/>
    <s v="Blue"/>
    <s v="Spring"/>
    <n v="2.5"/>
    <s v="Yes"/>
    <s v="Store Pickup"/>
    <s v="Yes"/>
    <s v="Yes"/>
    <n v="37"/>
    <s v="Cash"/>
    <s v="Quarterly"/>
    <s v="Quarterly"/>
    <n v="5"/>
  </r>
  <r>
    <x v="523"/>
    <n v="46"/>
    <x v="0"/>
    <s v="Sandals"/>
    <x v="1"/>
    <n v="40"/>
    <x v="12"/>
    <s v="M"/>
    <s v="Orange"/>
    <s v="Spring"/>
    <n v="4.9000000000000004"/>
    <s v="Yes"/>
    <s v="Express"/>
    <s v="Yes"/>
    <s v="Yes"/>
    <n v="5"/>
    <s v="PayPal"/>
    <s v="Quarterly"/>
    <s v="Quarterly"/>
    <n v="5"/>
  </r>
  <r>
    <x v="524"/>
    <n v="59"/>
    <x v="0"/>
    <s v="Shirt"/>
    <x v="0"/>
    <n v="39"/>
    <x v="38"/>
    <s v="M"/>
    <s v="Gold"/>
    <s v="Summer"/>
    <n v="4.8"/>
    <s v="Yes"/>
    <s v="Free Shipping"/>
    <s v="Yes"/>
    <s v="Yes"/>
    <n v="44"/>
    <s v="PayPal"/>
    <s v="Annually"/>
    <s v="Annually"/>
    <n v="6"/>
  </r>
  <r>
    <x v="525"/>
    <n v="51"/>
    <x v="0"/>
    <s v="Coat"/>
    <x v="2"/>
    <n v="37"/>
    <x v="44"/>
    <s v="M"/>
    <s v="Cyan"/>
    <s v="Spring"/>
    <n v="3.2"/>
    <s v="Yes"/>
    <s v="Next Day Air"/>
    <s v="Yes"/>
    <s v="Yes"/>
    <n v="41"/>
    <s v="Debit Card"/>
    <s v="Monthly"/>
    <s v="Monthly"/>
    <n v="4"/>
  </r>
  <r>
    <x v="526"/>
    <n v="51"/>
    <x v="0"/>
    <s v="Pants"/>
    <x v="0"/>
    <n v="52"/>
    <x v="32"/>
    <s v="S"/>
    <s v="Red"/>
    <s v="Winter"/>
    <n v="4.9000000000000004"/>
    <s v="Yes"/>
    <s v="Standard"/>
    <s v="Yes"/>
    <s v="Yes"/>
    <n v="19"/>
    <s v="Cash"/>
    <s v="Monthly"/>
    <s v="Monthly"/>
    <n v="4"/>
  </r>
  <r>
    <x v="527"/>
    <n v="21"/>
    <x v="0"/>
    <s v="T-shirt"/>
    <x v="0"/>
    <n v="23"/>
    <x v="36"/>
    <s v="L"/>
    <s v="Yellow"/>
    <s v="Winter"/>
    <n v="4.3"/>
    <s v="Yes"/>
    <s v="Next Day Air"/>
    <s v="Yes"/>
    <s v="Yes"/>
    <n v="47"/>
    <s v="Bank Transfer"/>
    <s v="Every 3 Months"/>
    <s v="Quarterly"/>
    <n v="5"/>
  </r>
  <r>
    <x v="528"/>
    <n v="34"/>
    <x v="0"/>
    <s v="Sneakers"/>
    <x v="1"/>
    <n v="88"/>
    <x v="33"/>
    <s v="S"/>
    <s v="Beige"/>
    <s v="Winter"/>
    <n v="3.2"/>
    <s v="Yes"/>
    <s v="Express"/>
    <s v="Yes"/>
    <s v="Yes"/>
    <n v="40"/>
    <s v="Cash"/>
    <s v="Annually"/>
    <s v="Annually"/>
    <n v="6"/>
  </r>
  <r>
    <x v="529"/>
    <n v="32"/>
    <x v="0"/>
    <s v="Shorts"/>
    <x v="0"/>
    <n v="84"/>
    <x v="18"/>
    <s v="M"/>
    <s v="Orange"/>
    <s v="Fall"/>
    <n v="3.7"/>
    <s v="Yes"/>
    <s v="Standard"/>
    <s v="Yes"/>
    <s v="Yes"/>
    <n v="6"/>
    <s v="Credit Card"/>
    <s v="Monthly"/>
    <s v="Monthly"/>
    <n v="4"/>
  </r>
  <r>
    <x v="530"/>
    <n v="48"/>
    <x v="0"/>
    <s v="Coat"/>
    <x v="2"/>
    <n v="37"/>
    <x v="6"/>
    <s v="XL"/>
    <s v="Magenta"/>
    <s v="Winter"/>
    <n v="3.2"/>
    <s v="Yes"/>
    <s v="Store Pickup"/>
    <s v="Yes"/>
    <s v="Yes"/>
    <n v="25"/>
    <s v="Credit Card"/>
    <s v="Bi-Weekly"/>
    <s v="Bi-Weekly"/>
    <n v="2"/>
  </r>
  <r>
    <x v="531"/>
    <n v="50"/>
    <x v="0"/>
    <s v="Sandals"/>
    <x v="1"/>
    <n v="51"/>
    <x v="34"/>
    <s v="L"/>
    <s v="Purple"/>
    <s v="Fall"/>
    <n v="3.4"/>
    <s v="Yes"/>
    <s v="Next Day Air"/>
    <s v="Yes"/>
    <s v="Yes"/>
    <n v="42"/>
    <s v="Cash"/>
    <s v="Weekly"/>
    <s v="Weekly"/>
    <n v="1"/>
  </r>
  <r>
    <x v="532"/>
    <n v="26"/>
    <x v="0"/>
    <s v="Pants"/>
    <x v="0"/>
    <n v="76"/>
    <x v="21"/>
    <s v="L"/>
    <s v="Black"/>
    <s v="Winter"/>
    <n v="4.0999999999999996"/>
    <s v="Yes"/>
    <s v="Express"/>
    <s v="Yes"/>
    <s v="Yes"/>
    <n v="35"/>
    <s v="Bank Transfer"/>
    <s v="Every 3 Months"/>
    <s v="Quarterly"/>
    <n v="5"/>
  </r>
  <r>
    <x v="533"/>
    <n v="57"/>
    <x v="0"/>
    <s v="Sandals"/>
    <x v="1"/>
    <n v="60"/>
    <x v="17"/>
    <s v="L"/>
    <s v="Pink"/>
    <s v="Spring"/>
    <n v="4.5"/>
    <s v="Yes"/>
    <s v="Next Day Air"/>
    <s v="Yes"/>
    <s v="Yes"/>
    <n v="17"/>
    <s v="Debit Card"/>
    <s v="Weekly"/>
    <s v="Weekly"/>
    <n v="1"/>
  </r>
  <r>
    <x v="534"/>
    <n v="65"/>
    <x v="0"/>
    <s v="Gloves"/>
    <x v="3"/>
    <n v="72"/>
    <x v="20"/>
    <s v="L"/>
    <s v="Pink"/>
    <s v="Fall"/>
    <n v="4.5"/>
    <s v="Yes"/>
    <s v="Next Day Air"/>
    <s v="Yes"/>
    <s v="Yes"/>
    <n v="4"/>
    <s v="PayPal"/>
    <s v="Quarterly"/>
    <s v="Quarterly"/>
    <n v="5"/>
  </r>
  <r>
    <x v="535"/>
    <n v="56"/>
    <x v="0"/>
    <s v="T-shirt"/>
    <x v="0"/>
    <n v="45"/>
    <x v="8"/>
    <s v="L"/>
    <s v="Maroon"/>
    <s v="Spring"/>
    <n v="3.2"/>
    <s v="Yes"/>
    <s v="Free Shipping"/>
    <s v="Yes"/>
    <s v="Yes"/>
    <n v="24"/>
    <s v="Bank Transfer"/>
    <s v="Weekly"/>
    <s v="Weekly"/>
    <n v="1"/>
  </r>
  <r>
    <x v="536"/>
    <n v="44"/>
    <x v="0"/>
    <s v="Jacket"/>
    <x v="2"/>
    <n v="84"/>
    <x v="26"/>
    <s v="S"/>
    <s v="Maroon"/>
    <s v="Fall"/>
    <n v="4.4000000000000004"/>
    <s v="Yes"/>
    <s v="Store Pickup"/>
    <s v="Yes"/>
    <s v="Yes"/>
    <n v="16"/>
    <s v="Debit Card"/>
    <s v="Every 3 Months"/>
    <s v="Quarterly"/>
    <n v="5"/>
  </r>
  <r>
    <x v="537"/>
    <n v="50"/>
    <x v="0"/>
    <s v="Blouse"/>
    <x v="0"/>
    <n v="49"/>
    <x v="41"/>
    <s v="S"/>
    <s v="Turquoise"/>
    <s v="Summer"/>
    <n v="3"/>
    <s v="Yes"/>
    <s v="Store Pickup"/>
    <s v="Yes"/>
    <s v="Yes"/>
    <n v="14"/>
    <s v="Debit Card"/>
    <s v="Annually"/>
    <s v="Annually"/>
    <n v="6"/>
  </r>
  <r>
    <x v="538"/>
    <n v="27"/>
    <x v="0"/>
    <s v="Socks"/>
    <x v="0"/>
    <n v="22"/>
    <x v="41"/>
    <s v="XL"/>
    <s v="Green"/>
    <s v="Spring"/>
    <n v="3.2"/>
    <s v="Yes"/>
    <s v="Free Shipping"/>
    <s v="Yes"/>
    <s v="Yes"/>
    <n v="43"/>
    <s v="Cash"/>
    <s v="Weekly"/>
    <s v="Weekly"/>
    <n v="1"/>
  </r>
  <r>
    <x v="539"/>
    <n v="49"/>
    <x v="0"/>
    <s v="Coat"/>
    <x v="2"/>
    <n v="48"/>
    <x v="5"/>
    <s v="M"/>
    <s v="Violet"/>
    <s v="Winter"/>
    <n v="4"/>
    <s v="Yes"/>
    <s v="Store Pickup"/>
    <s v="Yes"/>
    <s v="Yes"/>
    <n v="49"/>
    <s v="Debit Card"/>
    <s v="Weekly"/>
    <s v="Weekly"/>
    <n v="1"/>
  </r>
  <r>
    <x v="540"/>
    <n v="49"/>
    <x v="0"/>
    <s v="Dress"/>
    <x v="0"/>
    <n v="37"/>
    <x v="36"/>
    <s v="M"/>
    <s v="Lavender"/>
    <s v="Spring"/>
    <n v="3.1"/>
    <s v="Yes"/>
    <s v="Next Day Air"/>
    <s v="Yes"/>
    <s v="Yes"/>
    <n v="33"/>
    <s v="Cash"/>
    <s v="Every 3 Months"/>
    <s v="Quarterly"/>
    <n v="5"/>
  </r>
  <r>
    <x v="541"/>
    <n v="52"/>
    <x v="0"/>
    <s v="Jacket"/>
    <x v="2"/>
    <n v="27"/>
    <x v="39"/>
    <s v="L"/>
    <s v="Gray"/>
    <s v="Fall"/>
    <n v="2.8"/>
    <s v="Yes"/>
    <s v="Next Day Air"/>
    <s v="Yes"/>
    <s v="Yes"/>
    <n v="45"/>
    <s v="Cash"/>
    <s v="Bi-Weekly"/>
    <s v="Bi-Weekly"/>
    <n v="2"/>
  </r>
  <r>
    <x v="542"/>
    <n v="27"/>
    <x v="0"/>
    <s v="Boots"/>
    <x v="1"/>
    <n v="79"/>
    <x v="26"/>
    <s v="XL"/>
    <s v="Teal"/>
    <s v="Spring"/>
    <n v="4.5999999999999996"/>
    <s v="Yes"/>
    <s v="Next Day Air"/>
    <s v="Yes"/>
    <s v="Yes"/>
    <n v="35"/>
    <s v="Cash"/>
    <s v="Bi-Weekly"/>
    <s v="Bi-Weekly"/>
    <n v="2"/>
  </r>
  <r>
    <x v="543"/>
    <n v="53"/>
    <x v="0"/>
    <s v="Skirt"/>
    <x v="0"/>
    <n v="98"/>
    <x v="15"/>
    <s v="S"/>
    <s v="Red"/>
    <s v="Spring"/>
    <n v="4.3"/>
    <s v="Yes"/>
    <s v="Express"/>
    <s v="Yes"/>
    <s v="Yes"/>
    <n v="11"/>
    <s v="Credit Card"/>
    <s v="Monthly"/>
    <s v="Monthly"/>
    <n v="4"/>
  </r>
  <r>
    <x v="544"/>
    <n v="34"/>
    <x v="0"/>
    <s v="Sandals"/>
    <x v="1"/>
    <n v="64"/>
    <x v="47"/>
    <s v="S"/>
    <s v="Yellow"/>
    <s v="Summer"/>
    <n v="3.3"/>
    <s v="Yes"/>
    <s v="Standard"/>
    <s v="Yes"/>
    <s v="Yes"/>
    <n v="30"/>
    <s v="Bank Transfer"/>
    <s v="Every 3 Months"/>
    <s v="Quarterly"/>
    <n v="5"/>
  </r>
  <r>
    <x v="545"/>
    <n v="33"/>
    <x v="0"/>
    <s v="Coat"/>
    <x v="2"/>
    <n v="32"/>
    <x v="15"/>
    <s v="L"/>
    <s v="Magenta"/>
    <s v="Summer"/>
    <n v="3.5"/>
    <s v="Yes"/>
    <s v="2-Day Shipping"/>
    <s v="Yes"/>
    <s v="Yes"/>
    <n v="48"/>
    <s v="Debit Card"/>
    <s v="Annually"/>
    <s v="Annually"/>
    <n v="6"/>
  </r>
  <r>
    <x v="546"/>
    <n v="62"/>
    <x v="0"/>
    <s v="Hoodie"/>
    <x v="0"/>
    <n v="74"/>
    <x v="35"/>
    <s v="M"/>
    <s v="Brown"/>
    <s v="Winter"/>
    <n v="3.4"/>
    <s v="Yes"/>
    <s v="Free Shipping"/>
    <s v="Yes"/>
    <s v="Yes"/>
    <n v="45"/>
    <s v="Venmo"/>
    <s v="Bi-Weekly"/>
    <s v="Bi-Weekly"/>
    <n v="2"/>
  </r>
  <r>
    <x v="547"/>
    <n v="38"/>
    <x v="0"/>
    <s v="Jacket"/>
    <x v="2"/>
    <n v="50"/>
    <x v="22"/>
    <s v="M"/>
    <s v="Blue"/>
    <s v="Winter"/>
    <n v="2.8"/>
    <s v="Yes"/>
    <s v="Free Shipping"/>
    <s v="Yes"/>
    <s v="Yes"/>
    <n v="26"/>
    <s v="Venmo"/>
    <s v="Weekly"/>
    <s v="Weekly"/>
    <n v="1"/>
  </r>
  <r>
    <x v="548"/>
    <n v="36"/>
    <x v="0"/>
    <s v="Backpack"/>
    <x v="3"/>
    <n v="64"/>
    <x v="43"/>
    <s v="M"/>
    <s v="Black"/>
    <s v="Winter"/>
    <n v="4.5999999999999996"/>
    <s v="Yes"/>
    <s v="Store Pickup"/>
    <s v="Yes"/>
    <s v="Yes"/>
    <n v="41"/>
    <s v="Debit Card"/>
    <s v="Every 3 Months"/>
    <s v="Quarterly"/>
    <n v="5"/>
  </r>
  <r>
    <x v="549"/>
    <n v="31"/>
    <x v="0"/>
    <s v="Backpack"/>
    <x v="3"/>
    <n v="29"/>
    <x v="28"/>
    <s v="S"/>
    <s v="Olive"/>
    <s v="Fall"/>
    <n v="3.6"/>
    <s v="Yes"/>
    <s v="Express"/>
    <s v="Yes"/>
    <s v="Yes"/>
    <n v="37"/>
    <s v="Venmo"/>
    <s v="Bi-Weekly"/>
    <s v="Bi-Weekly"/>
    <n v="2"/>
  </r>
  <r>
    <x v="550"/>
    <n v="62"/>
    <x v="0"/>
    <s v="Belt"/>
    <x v="3"/>
    <n v="62"/>
    <x v="42"/>
    <s v="M"/>
    <s v="Olive"/>
    <s v="Summer"/>
    <n v="3.3"/>
    <s v="Yes"/>
    <s v="Store Pickup"/>
    <s v="Yes"/>
    <s v="Yes"/>
    <n v="12"/>
    <s v="PayPal"/>
    <s v="Weekly"/>
    <s v="Weekly"/>
    <n v="1"/>
  </r>
  <r>
    <x v="551"/>
    <n v="29"/>
    <x v="0"/>
    <s v="Coat"/>
    <x v="2"/>
    <n v="78"/>
    <x v="37"/>
    <s v="XL"/>
    <s v="Green"/>
    <s v="Fall"/>
    <n v="3.1"/>
    <s v="Yes"/>
    <s v="2-Day Shipping"/>
    <s v="Yes"/>
    <s v="Yes"/>
    <n v="27"/>
    <s v="Cash"/>
    <s v="Bi-Weekly"/>
    <s v="Bi-Weekly"/>
    <n v="2"/>
  </r>
  <r>
    <x v="552"/>
    <n v="24"/>
    <x v="0"/>
    <s v="T-shirt"/>
    <x v="0"/>
    <n v="94"/>
    <x v="9"/>
    <s v="M"/>
    <s v="Peach"/>
    <s v="Fall"/>
    <n v="3.5"/>
    <s v="Yes"/>
    <s v="Express"/>
    <s v="Yes"/>
    <s v="Yes"/>
    <n v="18"/>
    <s v="Bank Transfer"/>
    <s v="Weekly"/>
    <s v="Weekly"/>
    <n v="1"/>
  </r>
  <r>
    <x v="553"/>
    <n v="63"/>
    <x v="0"/>
    <s v="Sunglasses"/>
    <x v="3"/>
    <n v="59"/>
    <x v="20"/>
    <s v="M"/>
    <s v="White"/>
    <s v="Winter"/>
    <n v="3.2"/>
    <s v="Yes"/>
    <s v="Express"/>
    <s v="Yes"/>
    <s v="Yes"/>
    <n v="15"/>
    <s v="Credit Card"/>
    <s v="Quarterly"/>
    <s v="Quarterly"/>
    <n v="5"/>
  </r>
  <r>
    <x v="554"/>
    <n v="56"/>
    <x v="0"/>
    <s v="Sneakers"/>
    <x v="1"/>
    <n v="47"/>
    <x v="46"/>
    <s v="M"/>
    <s v="Red"/>
    <s v="Summer"/>
    <n v="3"/>
    <s v="Yes"/>
    <s v="Express"/>
    <s v="Yes"/>
    <s v="Yes"/>
    <n v="34"/>
    <s v="Bank Transfer"/>
    <s v="Weekly"/>
    <s v="Weekly"/>
    <n v="1"/>
  </r>
  <r>
    <x v="555"/>
    <n v="63"/>
    <x v="0"/>
    <s v="Gloves"/>
    <x v="3"/>
    <n v="57"/>
    <x v="1"/>
    <s v="M"/>
    <s v="White"/>
    <s v="Fall"/>
    <n v="4.8"/>
    <s v="Yes"/>
    <s v="Express"/>
    <s v="Yes"/>
    <s v="Yes"/>
    <n v="37"/>
    <s v="Venmo"/>
    <s v="Annually"/>
    <s v="Annually"/>
    <n v="6"/>
  </r>
  <r>
    <x v="556"/>
    <n v="40"/>
    <x v="0"/>
    <s v="Coat"/>
    <x v="2"/>
    <n v="90"/>
    <x v="6"/>
    <s v="L"/>
    <s v="Indigo"/>
    <s v="Winter"/>
    <n v="5"/>
    <s v="Yes"/>
    <s v="Store Pickup"/>
    <s v="Yes"/>
    <s v="Yes"/>
    <n v="21"/>
    <s v="Cash"/>
    <s v="Fortnightly"/>
    <s v="Fortnightly"/>
    <n v="3"/>
  </r>
  <r>
    <x v="557"/>
    <n v="18"/>
    <x v="0"/>
    <s v="Shirt"/>
    <x v="0"/>
    <n v="60"/>
    <x v="29"/>
    <s v="M"/>
    <s v="White"/>
    <s v="Spring"/>
    <n v="2.9"/>
    <s v="Yes"/>
    <s v="Free Shipping"/>
    <s v="Yes"/>
    <s v="Yes"/>
    <n v="31"/>
    <s v="Debit Card"/>
    <s v="Weekly"/>
    <s v="Weekly"/>
    <n v="1"/>
  </r>
  <r>
    <x v="558"/>
    <n v="50"/>
    <x v="0"/>
    <s v="Sneakers"/>
    <x v="1"/>
    <n v="77"/>
    <x v="44"/>
    <s v="L"/>
    <s v="Teal"/>
    <s v="Fall"/>
    <n v="3.2"/>
    <s v="Yes"/>
    <s v="Express"/>
    <s v="Yes"/>
    <s v="Yes"/>
    <n v="43"/>
    <s v="Debit Card"/>
    <s v="Every 3 Months"/>
    <s v="Quarterly"/>
    <n v="5"/>
  </r>
  <r>
    <x v="559"/>
    <n v="66"/>
    <x v="0"/>
    <s v="Scarf"/>
    <x v="3"/>
    <n v="41"/>
    <x v="28"/>
    <s v="M"/>
    <s v="Indigo"/>
    <s v="Fall"/>
    <n v="2.9"/>
    <s v="Yes"/>
    <s v="Store Pickup"/>
    <s v="Yes"/>
    <s v="Yes"/>
    <n v="22"/>
    <s v="Bank Transfer"/>
    <s v="Monthly"/>
    <s v="Monthly"/>
    <n v="4"/>
  </r>
  <r>
    <x v="560"/>
    <n v="25"/>
    <x v="0"/>
    <s v="Jewelry"/>
    <x v="3"/>
    <n v="48"/>
    <x v="7"/>
    <s v="L"/>
    <s v="Red"/>
    <s v="Fall"/>
    <n v="3.3"/>
    <s v="Yes"/>
    <s v="Free Shipping"/>
    <s v="Yes"/>
    <s v="Yes"/>
    <n v="12"/>
    <s v="Debit Card"/>
    <s v="Annually"/>
    <s v="Annually"/>
    <n v="6"/>
  </r>
  <r>
    <x v="561"/>
    <n v="65"/>
    <x v="0"/>
    <s v="Jacket"/>
    <x v="2"/>
    <n v="65"/>
    <x v="15"/>
    <s v="M"/>
    <s v="Blue"/>
    <s v="Fall"/>
    <n v="2.6"/>
    <s v="Yes"/>
    <s v="Next Day Air"/>
    <s v="Yes"/>
    <s v="Yes"/>
    <n v="25"/>
    <s v="PayPal"/>
    <s v="Fortnightly"/>
    <s v="Fortnightly"/>
    <n v="3"/>
  </r>
  <r>
    <x v="562"/>
    <n v="53"/>
    <x v="0"/>
    <s v="Jeans"/>
    <x v="0"/>
    <n v="62"/>
    <x v="9"/>
    <s v="M"/>
    <s v="Blue"/>
    <s v="Summer"/>
    <n v="3.5"/>
    <s v="Yes"/>
    <s v="Standard"/>
    <s v="Yes"/>
    <s v="Yes"/>
    <n v="40"/>
    <s v="Debit Card"/>
    <s v="Annually"/>
    <s v="Annually"/>
    <n v="6"/>
  </r>
  <r>
    <x v="563"/>
    <n v="61"/>
    <x v="0"/>
    <s v="Shoes"/>
    <x v="1"/>
    <n v="99"/>
    <x v="37"/>
    <s v="M"/>
    <s v="Black"/>
    <s v="Fall"/>
    <n v="4.4000000000000004"/>
    <s v="Yes"/>
    <s v="Standard"/>
    <s v="Yes"/>
    <s v="Yes"/>
    <n v="16"/>
    <s v="Debit Card"/>
    <s v="Quarterly"/>
    <s v="Quarterly"/>
    <n v="5"/>
  </r>
  <r>
    <x v="564"/>
    <n v="67"/>
    <x v="0"/>
    <s v="Hoodie"/>
    <x v="0"/>
    <n v="58"/>
    <x v="20"/>
    <s v="M"/>
    <s v="Olive"/>
    <s v="Winter"/>
    <n v="3.4"/>
    <s v="Yes"/>
    <s v="Next Day Air"/>
    <s v="Yes"/>
    <s v="Yes"/>
    <n v="30"/>
    <s v="Bank Transfer"/>
    <s v="Weekly"/>
    <s v="Weekly"/>
    <n v="1"/>
  </r>
  <r>
    <x v="565"/>
    <n v="59"/>
    <x v="0"/>
    <s v="Backpack"/>
    <x v="3"/>
    <n v="43"/>
    <x v="37"/>
    <s v="L"/>
    <s v="Lavender"/>
    <s v="Fall"/>
    <n v="4.2"/>
    <s v="Yes"/>
    <s v="Store Pickup"/>
    <s v="Yes"/>
    <s v="Yes"/>
    <n v="10"/>
    <s v="Venmo"/>
    <s v="Weekly"/>
    <s v="Weekly"/>
    <n v="1"/>
  </r>
  <r>
    <x v="566"/>
    <n v="55"/>
    <x v="0"/>
    <s v="Sneakers"/>
    <x v="1"/>
    <n v="93"/>
    <x v="15"/>
    <s v="M"/>
    <s v="Indigo"/>
    <s v="Spring"/>
    <n v="3.6"/>
    <s v="Yes"/>
    <s v="Store Pickup"/>
    <s v="Yes"/>
    <s v="Yes"/>
    <n v="1"/>
    <s v="Debit Card"/>
    <s v="Fortnightly"/>
    <s v="Fortnightly"/>
    <n v="3"/>
  </r>
  <r>
    <x v="567"/>
    <n v="21"/>
    <x v="0"/>
    <s v="Blouse"/>
    <x v="0"/>
    <n v="50"/>
    <x v="13"/>
    <s v="S"/>
    <s v="Red"/>
    <s v="Winter"/>
    <n v="3"/>
    <s v="Yes"/>
    <s v="Next Day Air"/>
    <s v="Yes"/>
    <s v="Yes"/>
    <n v="24"/>
    <s v="Venmo"/>
    <s v="Fortnightly"/>
    <s v="Fortnightly"/>
    <n v="3"/>
  </r>
  <r>
    <x v="568"/>
    <n v="44"/>
    <x v="0"/>
    <s v="Pants"/>
    <x v="0"/>
    <n v="88"/>
    <x v="40"/>
    <s v="L"/>
    <s v="Red"/>
    <s v="Summer"/>
    <n v="4"/>
    <s v="Yes"/>
    <s v="Free Shipping"/>
    <s v="Yes"/>
    <s v="Yes"/>
    <n v="36"/>
    <s v="PayPal"/>
    <s v="Monthly"/>
    <s v="Monthly"/>
    <n v="4"/>
  </r>
  <r>
    <x v="569"/>
    <n v="65"/>
    <x v="0"/>
    <s v="Skirt"/>
    <x v="0"/>
    <n v="33"/>
    <x v="15"/>
    <s v="M"/>
    <s v="Pink"/>
    <s v="Fall"/>
    <n v="4.4000000000000004"/>
    <s v="Yes"/>
    <s v="Express"/>
    <s v="Yes"/>
    <s v="Yes"/>
    <n v="46"/>
    <s v="Credit Card"/>
    <s v="Every 3 Months"/>
    <s v="Quarterly"/>
    <n v="5"/>
  </r>
  <r>
    <x v="570"/>
    <n v="65"/>
    <x v="0"/>
    <s v="T-shirt"/>
    <x v="0"/>
    <n v="99"/>
    <x v="44"/>
    <s v="XL"/>
    <s v="Purple"/>
    <s v="Fall"/>
    <n v="4.0999999999999996"/>
    <s v="Yes"/>
    <s v="Standard"/>
    <s v="Yes"/>
    <s v="Yes"/>
    <n v="20"/>
    <s v="Cash"/>
    <s v="Annually"/>
    <s v="Annually"/>
    <n v="6"/>
  </r>
  <r>
    <x v="571"/>
    <n v="54"/>
    <x v="0"/>
    <s v="Jacket"/>
    <x v="2"/>
    <n v="76"/>
    <x v="0"/>
    <s v="XL"/>
    <s v="Cyan"/>
    <s v="Spring"/>
    <n v="3.6"/>
    <s v="Yes"/>
    <s v="Free Shipping"/>
    <s v="Yes"/>
    <s v="Yes"/>
    <n v="37"/>
    <s v="Venmo"/>
    <s v="Weekly"/>
    <s v="Weekly"/>
    <n v="1"/>
  </r>
  <r>
    <x v="572"/>
    <n v="56"/>
    <x v="0"/>
    <s v="Scarf"/>
    <x v="3"/>
    <n v="97"/>
    <x v="36"/>
    <s v="XL"/>
    <s v="Cyan"/>
    <s v="Summer"/>
    <n v="4.5999999999999996"/>
    <s v="Yes"/>
    <s v="Next Day Air"/>
    <s v="Yes"/>
    <s v="Yes"/>
    <n v="26"/>
    <s v="Bank Transfer"/>
    <s v="Annually"/>
    <s v="Annually"/>
    <n v="6"/>
  </r>
  <r>
    <x v="573"/>
    <n v="58"/>
    <x v="0"/>
    <s v="Pants"/>
    <x v="0"/>
    <n v="68"/>
    <x v="18"/>
    <s v="M"/>
    <s v="Charcoal"/>
    <s v="Summer"/>
    <n v="3.2"/>
    <s v="Yes"/>
    <s v="2-Day Shipping"/>
    <s v="Yes"/>
    <s v="Yes"/>
    <n v="23"/>
    <s v="Credit Card"/>
    <s v="Bi-Weekly"/>
    <s v="Bi-Weekly"/>
    <n v="2"/>
  </r>
  <r>
    <x v="574"/>
    <n v="54"/>
    <x v="0"/>
    <s v="Sneakers"/>
    <x v="1"/>
    <n v="79"/>
    <x v="1"/>
    <s v="L"/>
    <s v="Red"/>
    <s v="Fall"/>
    <n v="4.8"/>
    <s v="Yes"/>
    <s v="Free Shipping"/>
    <s v="Yes"/>
    <s v="Yes"/>
    <n v="20"/>
    <s v="Bank Transfer"/>
    <s v="Bi-Weekly"/>
    <s v="Bi-Weekly"/>
    <n v="2"/>
  </r>
  <r>
    <x v="575"/>
    <n v="58"/>
    <x v="0"/>
    <s v="Jeans"/>
    <x v="0"/>
    <n v="86"/>
    <x v="43"/>
    <s v="M"/>
    <s v="Peach"/>
    <s v="Fall"/>
    <n v="4.8"/>
    <s v="Yes"/>
    <s v="Express"/>
    <s v="Yes"/>
    <s v="Yes"/>
    <n v="38"/>
    <s v="PayPal"/>
    <s v="Monthly"/>
    <s v="Monthly"/>
    <n v="4"/>
  </r>
  <r>
    <x v="576"/>
    <n v="48"/>
    <x v="0"/>
    <s v="Hat"/>
    <x v="3"/>
    <n v="68"/>
    <x v="47"/>
    <s v="M"/>
    <s v="Black"/>
    <s v="Winter"/>
    <n v="5"/>
    <s v="Yes"/>
    <s v="2-Day Shipping"/>
    <s v="Yes"/>
    <s v="Yes"/>
    <n v="5"/>
    <s v="Credit Card"/>
    <s v="Every 3 Months"/>
    <s v="Quarterly"/>
    <n v="5"/>
  </r>
  <r>
    <x v="577"/>
    <n v="19"/>
    <x v="0"/>
    <s v="Skirt"/>
    <x v="0"/>
    <n v="52"/>
    <x v="15"/>
    <s v="M"/>
    <s v="Black"/>
    <s v="Fall"/>
    <n v="3.7"/>
    <s v="Yes"/>
    <s v="Store Pickup"/>
    <s v="Yes"/>
    <s v="Yes"/>
    <n v="41"/>
    <s v="Venmo"/>
    <s v="Annually"/>
    <s v="Annually"/>
    <n v="6"/>
  </r>
  <r>
    <x v="578"/>
    <n v="69"/>
    <x v="0"/>
    <s v="Sandals"/>
    <x v="1"/>
    <n v="90"/>
    <x v="1"/>
    <s v="M"/>
    <s v="Purple"/>
    <s v="Fall"/>
    <n v="4.5999999999999996"/>
    <s v="Yes"/>
    <s v="Next Day Air"/>
    <s v="Yes"/>
    <s v="Yes"/>
    <n v="22"/>
    <s v="Credit Card"/>
    <s v="Fortnightly"/>
    <s v="Fortnightly"/>
    <n v="3"/>
  </r>
  <r>
    <x v="579"/>
    <n v="58"/>
    <x v="0"/>
    <s v="Sandals"/>
    <x v="1"/>
    <n v="41"/>
    <x v="18"/>
    <s v="M"/>
    <s v="Violet"/>
    <s v="Winter"/>
    <n v="3.7"/>
    <s v="Yes"/>
    <s v="Free Shipping"/>
    <s v="Yes"/>
    <s v="Yes"/>
    <n v="48"/>
    <s v="Credit Card"/>
    <s v="Annually"/>
    <s v="Annually"/>
    <n v="6"/>
  </r>
  <r>
    <x v="580"/>
    <n v="49"/>
    <x v="0"/>
    <s v="Sweater"/>
    <x v="0"/>
    <n v="80"/>
    <x v="44"/>
    <s v="M"/>
    <s v="Orange"/>
    <s v="Spring"/>
    <n v="4.0999999999999996"/>
    <s v="Yes"/>
    <s v="Free Shipping"/>
    <s v="Yes"/>
    <s v="Yes"/>
    <n v="10"/>
    <s v="PayPal"/>
    <s v="Weekly"/>
    <s v="Weekly"/>
    <n v="1"/>
  </r>
  <r>
    <x v="581"/>
    <n v="32"/>
    <x v="0"/>
    <s v="Sweater"/>
    <x v="0"/>
    <n v="100"/>
    <x v="44"/>
    <s v="XL"/>
    <s v="Charcoal"/>
    <s v="Winter"/>
    <n v="2.7"/>
    <s v="Yes"/>
    <s v="Store Pickup"/>
    <s v="Yes"/>
    <s v="Yes"/>
    <n v="12"/>
    <s v="Bank Transfer"/>
    <s v="Every 3 Months"/>
    <s v="Quarterly"/>
    <n v="5"/>
  </r>
  <r>
    <x v="582"/>
    <n v="40"/>
    <x v="0"/>
    <s v="Jacket"/>
    <x v="2"/>
    <n v="77"/>
    <x v="24"/>
    <s v="L"/>
    <s v="Turquoise"/>
    <s v="Spring"/>
    <n v="4.9000000000000004"/>
    <s v="Yes"/>
    <s v="Store Pickup"/>
    <s v="Yes"/>
    <s v="Yes"/>
    <n v="2"/>
    <s v="Bank Transfer"/>
    <s v="Quarterly"/>
    <s v="Quarterly"/>
    <n v="5"/>
  </r>
  <r>
    <x v="583"/>
    <n v="25"/>
    <x v="0"/>
    <s v="Shorts"/>
    <x v="0"/>
    <n v="78"/>
    <x v="18"/>
    <s v="L"/>
    <s v="Yellow"/>
    <s v="Spring"/>
    <n v="4"/>
    <s v="Yes"/>
    <s v="Store Pickup"/>
    <s v="Yes"/>
    <s v="Yes"/>
    <n v="38"/>
    <s v="PayPal"/>
    <s v="Monthly"/>
    <s v="Monthly"/>
    <n v="4"/>
  </r>
  <r>
    <x v="584"/>
    <n v="70"/>
    <x v="0"/>
    <s v="Socks"/>
    <x v="0"/>
    <n v="94"/>
    <x v="27"/>
    <s v="M"/>
    <s v="White"/>
    <s v="Spring"/>
    <n v="4.7"/>
    <s v="Yes"/>
    <s v="Free Shipping"/>
    <s v="Yes"/>
    <s v="Yes"/>
    <n v="20"/>
    <s v="Debit Card"/>
    <s v="Monthly"/>
    <s v="Monthly"/>
    <n v="4"/>
  </r>
  <r>
    <x v="585"/>
    <n v="69"/>
    <x v="0"/>
    <s v="Socks"/>
    <x v="0"/>
    <n v="23"/>
    <x v="36"/>
    <s v="M"/>
    <s v="Gray"/>
    <s v="Fall"/>
    <n v="2.8"/>
    <s v="Yes"/>
    <s v="Next Day Air"/>
    <s v="Yes"/>
    <s v="Yes"/>
    <n v="5"/>
    <s v="Cash"/>
    <s v="Every 3 Months"/>
    <s v="Quarterly"/>
    <n v="5"/>
  </r>
  <r>
    <x v="586"/>
    <n v="45"/>
    <x v="0"/>
    <s v="Hoodie"/>
    <x v="0"/>
    <n v="20"/>
    <x v="48"/>
    <s v="S"/>
    <s v="Blue"/>
    <s v="Winter"/>
    <n v="4.9000000000000004"/>
    <s v="Yes"/>
    <s v="2-Day Shipping"/>
    <s v="Yes"/>
    <s v="Yes"/>
    <n v="9"/>
    <s v="Venmo"/>
    <s v="Annually"/>
    <s v="Annually"/>
    <n v="6"/>
  </r>
  <r>
    <x v="587"/>
    <n v="29"/>
    <x v="0"/>
    <s v="Socks"/>
    <x v="0"/>
    <n v="86"/>
    <x v="47"/>
    <s v="S"/>
    <s v="Maroon"/>
    <s v="Fall"/>
    <n v="4.2"/>
    <s v="Yes"/>
    <s v="Express"/>
    <s v="Yes"/>
    <s v="Yes"/>
    <n v="48"/>
    <s v="Debit Card"/>
    <s v="Every 3 Months"/>
    <s v="Quarterly"/>
    <n v="5"/>
  </r>
  <r>
    <x v="588"/>
    <n v="47"/>
    <x v="0"/>
    <s v="Boots"/>
    <x v="1"/>
    <n v="60"/>
    <x v="45"/>
    <s v="M"/>
    <s v="Violet"/>
    <s v="Fall"/>
    <n v="3"/>
    <s v="Yes"/>
    <s v="Standard"/>
    <s v="Yes"/>
    <s v="Yes"/>
    <n v="9"/>
    <s v="Debit Card"/>
    <s v="Quarterly"/>
    <s v="Quarterly"/>
    <n v="5"/>
  </r>
  <r>
    <x v="589"/>
    <n v="28"/>
    <x v="0"/>
    <s v="Shirt"/>
    <x v="0"/>
    <n v="70"/>
    <x v="46"/>
    <s v="M"/>
    <s v="Orange"/>
    <s v="Fall"/>
    <n v="3.4"/>
    <s v="Yes"/>
    <s v="2-Day Shipping"/>
    <s v="Yes"/>
    <s v="Yes"/>
    <n v="40"/>
    <s v="PayPal"/>
    <s v="Annually"/>
    <s v="Annually"/>
    <n v="6"/>
  </r>
  <r>
    <x v="590"/>
    <n v="64"/>
    <x v="0"/>
    <s v="Belt"/>
    <x v="3"/>
    <n v="39"/>
    <x v="29"/>
    <s v="S"/>
    <s v="Turquoise"/>
    <s v="Fall"/>
    <n v="4.5999999999999996"/>
    <s v="Yes"/>
    <s v="Standard"/>
    <s v="Yes"/>
    <s v="Yes"/>
    <n v="30"/>
    <s v="Venmo"/>
    <s v="Fortnightly"/>
    <s v="Fortnightly"/>
    <n v="3"/>
  </r>
  <r>
    <x v="591"/>
    <n v="47"/>
    <x v="0"/>
    <s v="Backpack"/>
    <x v="3"/>
    <n v="37"/>
    <x v="0"/>
    <s v="L"/>
    <s v="Olive"/>
    <s v="Fall"/>
    <n v="4.2"/>
    <s v="Yes"/>
    <s v="Store Pickup"/>
    <s v="Yes"/>
    <s v="Yes"/>
    <n v="6"/>
    <s v="Debit Card"/>
    <s v="Bi-Weekly"/>
    <s v="Bi-Weekly"/>
    <n v="2"/>
  </r>
  <r>
    <x v="592"/>
    <n v="60"/>
    <x v="0"/>
    <s v="Boots"/>
    <x v="1"/>
    <n v="29"/>
    <x v="25"/>
    <s v="M"/>
    <s v="Brown"/>
    <s v="Fall"/>
    <n v="3.2"/>
    <s v="Yes"/>
    <s v="Free Shipping"/>
    <s v="Yes"/>
    <s v="Yes"/>
    <n v="42"/>
    <s v="Venmo"/>
    <s v="Every 3 Months"/>
    <s v="Quarterly"/>
    <n v="5"/>
  </r>
  <r>
    <x v="593"/>
    <n v="67"/>
    <x v="0"/>
    <s v="Coat"/>
    <x v="2"/>
    <n v="35"/>
    <x v="29"/>
    <s v="S"/>
    <s v="Green"/>
    <s v="Winter"/>
    <n v="4.4000000000000004"/>
    <s v="Yes"/>
    <s v="Store Pickup"/>
    <s v="Yes"/>
    <s v="Yes"/>
    <n v="9"/>
    <s v="PayPal"/>
    <s v="Every 3 Months"/>
    <s v="Quarterly"/>
    <n v="5"/>
  </r>
  <r>
    <x v="594"/>
    <n v="35"/>
    <x v="0"/>
    <s v="Hoodie"/>
    <x v="0"/>
    <n v="83"/>
    <x v="19"/>
    <s v="S"/>
    <s v="Brown"/>
    <s v="Winter"/>
    <n v="2.5"/>
    <s v="Yes"/>
    <s v="Next Day Air"/>
    <s v="Yes"/>
    <s v="Yes"/>
    <n v="6"/>
    <s v="Debit Card"/>
    <s v="Monthly"/>
    <s v="Monthly"/>
    <n v="4"/>
  </r>
  <r>
    <x v="595"/>
    <n v="30"/>
    <x v="0"/>
    <s v="Shoes"/>
    <x v="1"/>
    <n v="77"/>
    <x v="12"/>
    <s v="M"/>
    <s v="Silver"/>
    <s v="Summer"/>
    <n v="3.6"/>
    <s v="Yes"/>
    <s v="Next Day Air"/>
    <s v="Yes"/>
    <s v="Yes"/>
    <n v="47"/>
    <s v="PayPal"/>
    <s v="Quarterly"/>
    <s v="Quarterly"/>
    <n v="5"/>
  </r>
  <r>
    <x v="596"/>
    <n v="23"/>
    <x v="0"/>
    <s v="Shoes"/>
    <x v="1"/>
    <n v="37"/>
    <x v="6"/>
    <s v="XL"/>
    <s v="White"/>
    <s v="Summer"/>
    <n v="4.5"/>
    <s v="Yes"/>
    <s v="Store Pickup"/>
    <s v="Yes"/>
    <s v="Yes"/>
    <n v="36"/>
    <s v="Venmo"/>
    <s v="Annually"/>
    <s v="Annually"/>
    <n v="6"/>
  </r>
  <r>
    <x v="597"/>
    <n v="70"/>
    <x v="0"/>
    <s v="Jewelry"/>
    <x v="3"/>
    <n v="69"/>
    <x v="29"/>
    <s v="L"/>
    <s v="Gold"/>
    <s v="Summer"/>
    <n v="3.4"/>
    <s v="Yes"/>
    <s v="Standard"/>
    <s v="Yes"/>
    <s v="Yes"/>
    <n v="19"/>
    <s v="Bank Transfer"/>
    <s v="Fortnightly"/>
    <s v="Fortnightly"/>
    <n v="3"/>
  </r>
  <r>
    <x v="598"/>
    <n v="21"/>
    <x v="0"/>
    <s v="Dress"/>
    <x v="0"/>
    <n v="66"/>
    <x v="18"/>
    <s v="L"/>
    <s v="Green"/>
    <s v="Winter"/>
    <n v="3.2"/>
    <s v="Yes"/>
    <s v="2-Day Shipping"/>
    <s v="Yes"/>
    <s v="Yes"/>
    <n v="30"/>
    <s v="Cash"/>
    <s v="Every 3 Months"/>
    <s v="Quarterly"/>
    <n v="5"/>
  </r>
  <r>
    <x v="599"/>
    <n v="51"/>
    <x v="0"/>
    <s v="Boots"/>
    <x v="1"/>
    <n v="26"/>
    <x v="2"/>
    <s v="L"/>
    <s v="Teal"/>
    <s v="Spring"/>
    <n v="4.2"/>
    <s v="Yes"/>
    <s v="Standard"/>
    <s v="Yes"/>
    <s v="Yes"/>
    <n v="27"/>
    <s v="Debit Card"/>
    <s v="Every 3 Months"/>
    <s v="Quarterly"/>
    <n v="5"/>
  </r>
  <r>
    <x v="600"/>
    <n v="22"/>
    <x v="0"/>
    <s v="Hat"/>
    <x v="3"/>
    <n v="63"/>
    <x v="36"/>
    <s v="M"/>
    <s v="Charcoal"/>
    <s v="Spring"/>
    <n v="5"/>
    <s v="Yes"/>
    <s v="2-Day Shipping"/>
    <s v="Yes"/>
    <s v="Yes"/>
    <n v="25"/>
    <s v="Venmo"/>
    <s v="Monthly"/>
    <s v="Monthly"/>
    <n v="4"/>
  </r>
  <r>
    <x v="601"/>
    <n v="32"/>
    <x v="0"/>
    <s v="Backpack"/>
    <x v="3"/>
    <n v="38"/>
    <x v="8"/>
    <s v="M"/>
    <s v="Maroon"/>
    <s v="Summer"/>
    <n v="4.7"/>
    <s v="Yes"/>
    <s v="Store Pickup"/>
    <s v="Yes"/>
    <s v="Yes"/>
    <n v="5"/>
    <s v="Cash"/>
    <s v="Fortnightly"/>
    <s v="Fortnightly"/>
    <n v="3"/>
  </r>
  <r>
    <x v="602"/>
    <n v="37"/>
    <x v="0"/>
    <s v="Shoes"/>
    <x v="1"/>
    <n v="58"/>
    <x v="4"/>
    <s v="L"/>
    <s v="Lavender"/>
    <s v="Summer"/>
    <n v="4.2"/>
    <s v="Yes"/>
    <s v="Next Day Air"/>
    <s v="Yes"/>
    <s v="Yes"/>
    <n v="10"/>
    <s v="Cash"/>
    <s v="Every 3 Months"/>
    <s v="Quarterly"/>
    <n v="5"/>
  </r>
  <r>
    <x v="603"/>
    <n v="31"/>
    <x v="0"/>
    <s v="Handbag"/>
    <x v="3"/>
    <n v="46"/>
    <x v="2"/>
    <s v="L"/>
    <s v="Green"/>
    <s v="Winter"/>
    <n v="3.4"/>
    <s v="Yes"/>
    <s v="2-Day Shipping"/>
    <s v="Yes"/>
    <s v="Yes"/>
    <n v="26"/>
    <s v="PayPal"/>
    <s v="Every 3 Months"/>
    <s v="Quarterly"/>
    <n v="5"/>
  </r>
  <r>
    <x v="604"/>
    <n v="44"/>
    <x v="0"/>
    <s v="Sunglasses"/>
    <x v="3"/>
    <n v="92"/>
    <x v="8"/>
    <s v="S"/>
    <s v="Pink"/>
    <s v="Fall"/>
    <n v="4.4000000000000004"/>
    <s v="Yes"/>
    <s v="Store Pickup"/>
    <s v="Yes"/>
    <s v="Yes"/>
    <n v="11"/>
    <s v="Credit Card"/>
    <s v="Every 3 Months"/>
    <s v="Quarterly"/>
    <n v="5"/>
  </r>
  <r>
    <x v="605"/>
    <n v="40"/>
    <x v="0"/>
    <s v="Hat"/>
    <x v="3"/>
    <n v="32"/>
    <x v="18"/>
    <s v="XL"/>
    <s v="Charcoal"/>
    <s v="Winter"/>
    <n v="4.2"/>
    <s v="Yes"/>
    <s v="Standard"/>
    <s v="Yes"/>
    <s v="Yes"/>
    <n v="17"/>
    <s v="Bank Transfer"/>
    <s v="Weekly"/>
    <s v="Weekly"/>
    <n v="1"/>
  </r>
  <r>
    <x v="606"/>
    <n v="27"/>
    <x v="0"/>
    <s v="Scarf"/>
    <x v="3"/>
    <n v="90"/>
    <x v="24"/>
    <s v="M"/>
    <s v="Blue"/>
    <s v="Spring"/>
    <n v="4.5"/>
    <s v="Yes"/>
    <s v="Standard"/>
    <s v="Yes"/>
    <s v="Yes"/>
    <n v="44"/>
    <s v="PayPal"/>
    <s v="Monthly"/>
    <s v="Monthly"/>
    <n v="4"/>
  </r>
  <r>
    <x v="607"/>
    <n v="47"/>
    <x v="0"/>
    <s v="Hoodie"/>
    <x v="0"/>
    <n v="23"/>
    <x v="27"/>
    <s v="L"/>
    <s v="Purple"/>
    <s v="Fall"/>
    <n v="2.8"/>
    <s v="Yes"/>
    <s v="Next Day Air"/>
    <s v="Yes"/>
    <s v="Yes"/>
    <n v="44"/>
    <s v="Cash"/>
    <s v="Monthly"/>
    <s v="Monthly"/>
    <n v="4"/>
  </r>
  <r>
    <x v="608"/>
    <n v="41"/>
    <x v="0"/>
    <s v="Backpack"/>
    <x v="3"/>
    <n v="25"/>
    <x v="12"/>
    <s v="S"/>
    <s v="Gold"/>
    <s v="Fall"/>
    <n v="3.3"/>
    <s v="Yes"/>
    <s v="Next Day Air"/>
    <s v="Yes"/>
    <s v="Yes"/>
    <n v="21"/>
    <s v="Venmo"/>
    <s v="Every 3 Months"/>
    <s v="Quarterly"/>
    <n v="5"/>
  </r>
  <r>
    <x v="609"/>
    <n v="51"/>
    <x v="0"/>
    <s v="Sweater"/>
    <x v="0"/>
    <n v="54"/>
    <x v="31"/>
    <s v="L"/>
    <s v="Purple"/>
    <s v="Fall"/>
    <n v="4.5999999999999996"/>
    <s v="Yes"/>
    <s v="Next Day Air"/>
    <s v="Yes"/>
    <s v="Yes"/>
    <n v="49"/>
    <s v="Credit Card"/>
    <s v="Fortnightly"/>
    <s v="Fortnightly"/>
    <n v="3"/>
  </r>
  <r>
    <x v="610"/>
    <n v="53"/>
    <x v="0"/>
    <s v="Shorts"/>
    <x v="0"/>
    <n v="72"/>
    <x v="19"/>
    <s v="M"/>
    <s v="Charcoal"/>
    <s v="Summer"/>
    <n v="2.5"/>
    <s v="Yes"/>
    <s v="Free Shipping"/>
    <s v="Yes"/>
    <s v="Yes"/>
    <n v="27"/>
    <s v="Bank Transfer"/>
    <s v="Every 3 Months"/>
    <s v="Quarterly"/>
    <n v="5"/>
  </r>
  <r>
    <x v="611"/>
    <n v="43"/>
    <x v="0"/>
    <s v="Scarf"/>
    <x v="3"/>
    <n v="33"/>
    <x v="18"/>
    <s v="M"/>
    <s v="Black"/>
    <s v="Winter"/>
    <n v="4.7"/>
    <s v="Yes"/>
    <s v="Store Pickup"/>
    <s v="Yes"/>
    <s v="Yes"/>
    <n v="19"/>
    <s v="Cash"/>
    <s v="Monthly"/>
    <s v="Monthly"/>
    <n v="4"/>
  </r>
  <r>
    <x v="612"/>
    <n v="67"/>
    <x v="0"/>
    <s v="Hat"/>
    <x v="3"/>
    <n v="43"/>
    <x v="13"/>
    <s v="L"/>
    <s v="Lavender"/>
    <s v="Fall"/>
    <n v="4.5999999999999996"/>
    <s v="Yes"/>
    <s v="Express"/>
    <s v="Yes"/>
    <s v="Yes"/>
    <n v="33"/>
    <s v="Credit Card"/>
    <s v="Quarterly"/>
    <s v="Quarterly"/>
    <n v="5"/>
  </r>
  <r>
    <x v="613"/>
    <n v="61"/>
    <x v="0"/>
    <s v="Coat"/>
    <x v="2"/>
    <n v="51"/>
    <x v="38"/>
    <s v="L"/>
    <s v="Lavender"/>
    <s v="Fall"/>
    <n v="2.6"/>
    <s v="Yes"/>
    <s v="Standard"/>
    <s v="Yes"/>
    <s v="Yes"/>
    <n v="46"/>
    <s v="Cash"/>
    <s v="Bi-Weekly"/>
    <s v="Bi-Weekly"/>
    <n v="2"/>
  </r>
  <r>
    <x v="614"/>
    <n v="68"/>
    <x v="0"/>
    <s v="Jewelry"/>
    <x v="3"/>
    <n v="85"/>
    <x v="37"/>
    <s v="M"/>
    <s v="Lavender"/>
    <s v="Winter"/>
    <n v="4"/>
    <s v="Yes"/>
    <s v="Standard"/>
    <s v="Yes"/>
    <s v="Yes"/>
    <n v="21"/>
    <s v="Credit Card"/>
    <s v="Bi-Weekly"/>
    <s v="Bi-Weekly"/>
    <n v="2"/>
  </r>
  <r>
    <x v="615"/>
    <n v="67"/>
    <x v="0"/>
    <s v="Sandals"/>
    <x v="1"/>
    <n v="100"/>
    <x v="33"/>
    <s v="L"/>
    <s v="Olive"/>
    <s v="Summer"/>
    <n v="2.6"/>
    <s v="Yes"/>
    <s v="Next Day Air"/>
    <s v="Yes"/>
    <s v="Yes"/>
    <n v="23"/>
    <s v="Venmo"/>
    <s v="Annually"/>
    <s v="Annually"/>
    <n v="6"/>
  </r>
  <r>
    <x v="616"/>
    <n v="29"/>
    <x v="0"/>
    <s v="Gloves"/>
    <x v="3"/>
    <n v="72"/>
    <x v="38"/>
    <s v="L"/>
    <s v="Teal"/>
    <s v="Spring"/>
    <n v="4.5999999999999996"/>
    <s v="Yes"/>
    <s v="Free Shipping"/>
    <s v="Yes"/>
    <s v="Yes"/>
    <n v="38"/>
    <s v="Credit Card"/>
    <s v="Every 3 Months"/>
    <s v="Quarterly"/>
    <n v="5"/>
  </r>
  <r>
    <x v="617"/>
    <n v="50"/>
    <x v="0"/>
    <s v="Backpack"/>
    <x v="3"/>
    <n v="57"/>
    <x v="24"/>
    <s v="M"/>
    <s v="Maroon"/>
    <s v="Fall"/>
    <n v="2.6"/>
    <s v="Yes"/>
    <s v="Standard"/>
    <s v="Yes"/>
    <s v="Yes"/>
    <n v="2"/>
    <s v="Bank Transfer"/>
    <s v="Quarterly"/>
    <s v="Quarterly"/>
    <n v="5"/>
  </r>
  <r>
    <x v="618"/>
    <n v="61"/>
    <x v="0"/>
    <s v="Jacket"/>
    <x v="2"/>
    <n v="94"/>
    <x v="27"/>
    <s v="L"/>
    <s v="Cyan"/>
    <s v="Spring"/>
    <n v="4"/>
    <s v="Yes"/>
    <s v="Express"/>
    <s v="Yes"/>
    <s v="Yes"/>
    <n v="21"/>
    <s v="Debit Card"/>
    <s v="Bi-Weekly"/>
    <s v="Bi-Weekly"/>
    <n v="2"/>
  </r>
  <r>
    <x v="619"/>
    <n v="19"/>
    <x v="0"/>
    <s v="Backpack"/>
    <x v="3"/>
    <n v="34"/>
    <x v="43"/>
    <s v="M"/>
    <s v="Charcoal"/>
    <s v="Summer"/>
    <n v="4.5999999999999996"/>
    <s v="Yes"/>
    <s v="Store Pickup"/>
    <s v="Yes"/>
    <s v="Yes"/>
    <n v="1"/>
    <s v="Debit Card"/>
    <s v="Every 3 Months"/>
    <s v="Quarterly"/>
    <n v="5"/>
  </r>
  <r>
    <x v="620"/>
    <n v="33"/>
    <x v="0"/>
    <s v="Backpack"/>
    <x v="3"/>
    <n v="89"/>
    <x v="3"/>
    <s v="M"/>
    <s v="Black"/>
    <s v="Fall"/>
    <n v="3.7"/>
    <s v="Yes"/>
    <s v="2-Day Shipping"/>
    <s v="Yes"/>
    <s v="Yes"/>
    <n v="10"/>
    <s v="Venmo"/>
    <s v="Every 3 Months"/>
    <s v="Quarterly"/>
    <n v="5"/>
  </r>
  <r>
    <x v="621"/>
    <n v="51"/>
    <x v="0"/>
    <s v="Sunglasses"/>
    <x v="3"/>
    <n v="27"/>
    <x v="23"/>
    <s v="S"/>
    <s v="Red"/>
    <s v="Fall"/>
    <n v="4.4000000000000004"/>
    <s v="Yes"/>
    <s v="Store Pickup"/>
    <s v="Yes"/>
    <s v="Yes"/>
    <n v="45"/>
    <s v="Credit Card"/>
    <s v="Weekly"/>
    <s v="Weekly"/>
    <n v="1"/>
  </r>
  <r>
    <x v="622"/>
    <n v="69"/>
    <x v="0"/>
    <s v="Socks"/>
    <x v="0"/>
    <n v="63"/>
    <x v="42"/>
    <s v="S"/>
    <s v="Peach"/>
    <s v="Spring"/>
    <n v="4"/>
    <s v="Yes"/>
    <s v="Next Day Air"/>
    <s v="Yes"/>
    <s v="Yes"/>
    <n v="44"/>
    <s v="Bank Transfer"/>
    <s v="Fortnightly"/>
    <s v="Fortnightly"/>
    <n v="3"/>
  </r>
  <r>
    <x v="623"/>
    <n v="19"/>
    <x v="0"/>
    <s v="Shoes"/>
    <x v="1"/>
    <n v="70"/>
    <x v="22"/>
    <s v="M"/>
    <s v="White"/>
    <s v="Fall"/>
    <n v="4.7"/>
    <s v="Yes"/>
    <s v="Standard"/>
    <s v="Yes"/>
    <s v="Yes"/>
    <n v="48"/>
    <s v="PayPal"/>
    <s v="Bi-Weekly"/>
    <s v="Bi-Weekly"/>
    <n v="2"/>
  </r>
  <r>
    <x v="624"/>
    <n v="55"/>
    <x v="0"/>
    <s v="Pants"/>
    <x v="0"/>
    <n v="87"/>
    <x v="36"/>
    <s v="XL"/>
    <s v="Pink"/>
    <s v="Fall"/>
    <n v="3.4"/>
    <s v="Yes"/>
    <s v="Express"/>
    <s v="Yes"/>
    <s v="Yes"/>
    <n v="21"/>
    <s v="PayPal"/>
    <s v="Annually"/>
    <s v="Annually"/>
    <n v="6"/>
  </r>
  <r>
    <x v="625"/>
    <n v="49"/>
    <x v="0"/>
    <s v="Jewelry"/>
    <x v="3"/>
    <n v="79"/>
    <x v="12"/>
    <s v="M"/>
    <s v="Red"/>
    <s v="Fall"/>
    <n v="4"/>
    <s v="Yes"/>
    <s v="Next Day Air"/>
    <s v="Yes"/>
    <s v="Yes"/>
    <n v="1"/>
    <s v="Venmo"/>
    <s v="Weekly"/>
    <s v="Weekly"/>
    <n v="1"/>
  </r>
  <r>
    <x v="626"/>
    <n v="31"/>
    <x v="0"/>
    <s v="Sunglasses"/>
    <x v="3"/>
    <n v="79"/>
    <x v="13"/>
    <s v="M"/>
    <s v="Indigo"/>
    <s v="Spring"/>
    <n v="3.9"/>
    <s v="Yes"/>
    <s v="Standard"/>
    <s v="Yes"/>
    <s v="Yes"/>
    <n v="10"/>
    <s v="Venmo"/>
    <s v="Annually"/>
    <s v="Annually"/>
    <n v="6"/>
  </r>
  <r>
    <x v="627"/>
    <n v="42"/>
    <x v="0"/>
    <s v="Sandals"/>
    <x v="1"/>
    <n v="44"/>
    <x v="4"/>
    <s v="L"/>
    <s v="Black"/>
    <s v="Winter"/>
    <n v="4.0999999999999996"/>
    <s v="Yes"/>
    <s v="Express"/>
    <s v="Yes"/>
    <s v="Yes"/>
    <n v="24"/>
    <s v="PayPal"/>
    <s v="Monthly"/>
    <s v="Monthly"/>
    <n v="4"/>
  </r>
  <r>
    <x v="628"/>
    <n v="69"/>
    <x v="0"/>
    <s v="Sweater"/>
    <x v="0"/>
    <n v="85"/>
    <x v="2"/>
    <s v="M"/>
    <s v="White"/>
    <s v="Fall"/>
    <n v="3.7"/>
    <s v="Yes"/>
    <s v="2-Day Shipping"/>
    <s v="Yes"/>
    <s v="Yes"/>
    <n v="29"/>
    <s v="Credit Card"/>
    <s v="Monthly"/>
    <s v="Monthly"/>
    <n v="4"/>
  </r>
  <r>
    <x v="629"/>
    <n v="26"/>
    <x v="0"/>
    <s v="Shoes"/>
    <x v="1"/>
    <n v="90"/>
    <x v="34"/>
    <s v="L"/>
    <s v="Beige"/>
    <s v="Spring"/>
    <n v="4.7"/>
    <s v="Yes"/>
    <s v="Standard"/>
    <s v="Yes"/>
    <s v="Yes"/>
    <n v="11"/>
    <s v="Debit Card"/>
    <s v="Annually"/>
    <s v="Annually"/>
    <n v="6"/>
  </r>
  <r>
    <x v="630"/>
    <n v="41"/>
    <x v="0"/>
    <s v="Jewelry"/>
    <x v="3"/>
    <n v="94"/>
    <x v="16"/>
    <s v="S"/>
    <s v="Silver"/>
    <s v="Fall"/>
    <n v="4.3"/>
    <s v="Yes"/>
    <s v="2-Day Shipping"/>
    <s v="Yes"/>
    <s v="Yes"/>
    <n v="33"/>
    <s v="Debit Card"/>
    <s v="Annually"/>
    <s v="Annually"/>
    <n v="6"/>
  </r>
  <r>
    <x v="631"/>
    <n v="55"/>
    <x v="0"/>
    <s v="Boots"/>
    <x v="1"/>
    <n v="68"/>
    <x v="47"/>
    <s v="S"/>
    <s v="Violet"/>
    <s v="Summer"/>
    <n v="4.0999999999999996"/>
    <s v="Yes"/>
    <s v="Store Pickup"/>
    <s v="Yes"/>
    <s v="Yes"/>
    <n v="27"/>
    <s v="Cash"/>
    <s v="Fortnightly"/>
    <s v="Fortnightly"/>
    <n v="3"/>
  </r>
  <r>
    <x v="632"/>
    <n v="35"/>
    <x v="0"/>
    <s v="Backpack"/>
    <x v="3"/>
    <n v="51"/>
    <x v="5"/>
    <s v="M"/>
    <s v="Red"/>
    <s v="Winter"/>
    <n v="3.9"/>
    <s v="Yes"/>
    <s v="Next Day Air"/>
    <s v="Yes"/>
    <s v="Yes"/>
    <n v="19"/>
    <s v="Venmo"/>
    <s v="Fortnightly"/>
    <s v="Fortnightly"/>
    <n v="3"/>
  </r>
  <r>
    <x v="633"/>
    <n v="66"/>
    <x v="0"/>
    <s v="Sandals"/>
    <x v="1"/>
    <n v="33"/>
    <x v="46"/>
    <s v="M"/>
    <s v="Orange"/>
    <s v="Spring"/>
    <n v="2.9"/>
    <s v="Yes"/>
    <s v="Express"/>
    <s v="Yes"/>
    <s v="Yes"/>
    <n v="50"/>
    <s v="Debit Card"/>
    <s v="Quarterly"/>
    <s v="Quarterly"/>
    <n v="5"/>
  </r>
  <r>
    <x v="634"/>
    <n v="36"/>
    <x v="0"/>
    <s v="Sneakers"/>
    <x v="1"/>
    <n v="60"/>
    <x v="31"/>
    <s v="M"/>
    <s v="Teal"/>
    <s v="Summer"/>
    <n v="3.9"/>
    <s v="Yes"/>
    <s v="Standard"/>
    <s v="Yes"/>
    <s v="Yes"/>
    <n v="46"/>
    <s v="PayPal"/>
    <s v="Weekly"/>
    <s v="Weekly"/>
    <n v="1"/>
  </r>
  <r>
    <x v="635"/>
    <n v="27"/>
    <x v="0"/>
    <s v="Hoodie"/>
    <x v="0"/>
    <n v="59"/>
    <x v="36"/>
    <s v="M"/>
    <s v="Brown"/>
    <s v="Fall"/>
    <n v="4.3"/>
    <s v="Yes"/>
    <s v="2-Day Shipping"/>
    <s v="Yes"/>
    <s v="Yes"/>
    <n v="28"/>
    <s v="Cash"/>
    <s v="Quarterly"/>
    <s v="Quarterly"/>
    <n v="5"/>
  </r>
  <r>
    <x v="636"/>
    <n v="41"/>
    <x v="0"/>
    <s v="Handbag"/>
    <x v="3"/>
    <n v="30"/>
    <x v="48"/>
    <s v="M"/>
    <s v="Indigo"/>
    <s v="Summer"/>
    <n v="2.8"/>
    <s v="Yes"/>
    <s v="Store Pickup"/>
    <s v="Yes"/>
    <s v="Yes"/>
    <n v="14"/>
    <s v="Bank Transfer"/>
    <s v="Every 3 Months"/>
    <s v="Quarterly"/>
    <n v="5"/>
  </r>
  <r>
    <x v="637"/>
    <n v="21"/>
    <x v="0"/>
    <s v="Sweater"/>
    <x v="0"/>
    <n v="20"/>
    <x v="30"/>
    <s v="M"/>
    <s v="Cyan"/>
    <s v="Winter"/>
    <n v="3.4"/>
    <s v="Yes"/>
    <s v="2-Day Shipping"/>
    <s v="Yes"/>
    <s v="Yes"/>
    <n v="46"/>
    <s v="Cash"/>
    <s v="Fortnightly"/>
    <s v="Fortnightly"/>
    <n v="3"/>
  </r>
  <r>
    <x v="638"/>
    <n v="53"/>
    <x v="0"/>
    <s v="Sandals"/>
    <x v="1"/>
    <n v="20"/>
    <x v="33"/>
    <s v="S"/>
    <s v="Blue"/>
    <s v="Summer"/>
    <n v="2.7"/>
    <s v="Yes"/>
    <s v="Express"/>
    <s v="Yes"/>
    <s v="Yes"/>
    <n v="41"/>
    <s v="PayPal"/>
    <s v="Monthly"/>
    <s v="Monthly"/>
    <n v="4"/>
  </r>
  <r>
    <x v="639"/>
    <n v="54"/>
    <x v="0"/>
    <s v="Dress"/>
    <x v="0"/>
    <n v="24"/>
    <x v="16"/>
    <s v="L"/>
    <s v="Olive"/>
    <s v="Spring"/>
    <n v="4"/>
    <s v="Yes"/>
    <s v="2-Day Shipping"/>
    <s v="Yes"/>
    <s v="Yes"/>
    <n v="50"/>
    <s v="Credit Card"/>
    <s v="Annually"/>
    <s v="Annually"/>
    <n v="6"/>
  </r>
  <r>
    <x v="640"/>
    <n v="53"/>
    <x v="0"/>
    <s v="Skirt"/>
    <x v="0"/>
    <n v="88"/>
    <x v="46"/>
    <s v="M"/>
    <s v="Gray"/>
    <s v="Summer"/>
    <n v="4.4000000000000004"/>
    <s v="Yes"/>
    <s v="Store Pickup"/>
    <s v="Yes"/>
    <s v="Yes"/>
    <n v="28"/>
    <s v="Debit Card"/>
    <s v="Fortnightly"/>
    <s v="Fortnightly"/>
    <n v="3"/>
  </r>
  <r>
    <x v="641"/>
    <n v="47"/>
    <x v="0"/>
    <s v="Blouse"/>
    <x v="0"/>
    <n v="78"/>
    <x v="29"/>
    <s v="M"/>
    <s v="Red"/>
    <s v="Winter"/>
    <n v="3.9"/>
    <s v="Yes"/>
    <s v="2-Day Shipping"/>
    <s v="Yes"/>
    <s v="Yes"/>
    <n v="23"/>
    <s v="Credit Card"/>
    <s v="Every 3 Months"/>
    <s v="Quarterly"/>
    <n v="5"/>
  </r>
  <r>
    <x v="642"/>
    <n v="64"/>
    <x v="0"/>
    <s v="Skirt"/>
    <x v="0"/>
    <n v="25"/>
    <x v="10"/>
    <s v="L"/>
    <s v="Red"/>
    <s v="Spring"/>
    <n v="2.8"/>
    <s v="Yes"/>
    <s v="2-Day Shipping"/>
    <s v="Yes"/>
    <s v="Yes"/>
    <n v="14"/>
    <s v="Debit Card"/>
    <s v="Bi-Weekly"/>
    <s v="Bi-Weekly"/>
    <n v="2"/>
  </r>
  <r>
    <x v="643"/>
    <n v="18"/>
    <x v="0"/>
    <s v="Sweater"/>
    <x v="0"/>
    <n v="57"/>
    <x v="4"/>
    <s v="XL"/>
    <s v="Green"/>
    <s v="Winter"/>
    <n v="3.2"/>
    <s v="Yes"/>
    <s v="Next Day Air"/>
    <s v="Yes"/>
    <s v="Yes"/>
    <n v="10"/>
    <s v="Bank Transfer"/>
    <s v="Every 3 Months"/>
    <s v="Quarterly"/>
    <n v="5"/>
  </r>
  <r>
    <x v="644"/>
    <n v="68"/>
    <x v="0"/>
    <s v="Backpack"/>
    <x v="3"/>
    <n v="93"/>
    <x v="7"/>
    <s v="S"/>
    <s v="Blue"/>
    <s v="Summer"/>
    <n v="4.3"/>
    <s v="Yes"/>
    <s v="Next Day Air"/>
    <s v="Yes"/>
    <s v="Yes"/>
    <n v="37"/>
    <s v="Cash"/>
    <s v="Weekly"/>
    <s v="Weekly"/>
    <n v="1"/>
  </r>
  <r>
    <x v="645"/>
    <n v="62"/>
    <x v="0"/>
    <s v="Hoodie"/>
    <x v="0"/>
    <n v="42"/>
    <x v="19"/>
    <s v="S"/>
    <s v="Purple"/>
    <s v="Summer"/>
    <n v="4.2"/>
    <s v="Yes"/>
    <s v="Express"/>
    <s v="Yes"/>
    <s v="Yes"/>
    <n v="15"/>
    <s v="Venmo"/>
    <s v="Bi-Weekly"/>
    <s v="Bi-Weekly"/>
    <n v="2"/>
  </r>
  <r>
    <x v="646"/>
    <n v="51"/>
    <x v="0"/>
    <s v="Boots"/>
    <x v="1"/>
    <n v="54"/>
    <x v="27"/>
    <s v="XL"/>
    <s v="Pink"/>
    <s v="Spring"/>
    <n v="4.9000000000000004"/>
    <s v="Yes"/>
    <s v="Standard"/>
    <s v="Yes"/>
    <s v="Yes"/>
    <n v="19"/>
    <s v="Venmo"/>
    <s v="Bi-Weekly"/>
    <s v="Bi-Weekly"/>
    <n v="2"/>
  </r>
  <r>
    <x v="647"/>
    <n v="54"/>
    <x v="0"/>
    <s v="Blouse"/>
    <x v="0"/>
    <n v="70"/>
    <x v="16"/>
    <s v="XL"/>
    <s v="Charcoal"/>
    <s v="Summer"/>
    <n v="3.7"/>
    <s v="Yes"/>
    <s v="Express"/>
    <s v="Yes"/>
    <s v="Yes"/>
    <n v="23"/>
    <s v="Credit Card"/>
    <s v="Fortnightly"/>
    <s v="Fortnightly"/>
    <n v="3"/>
  </r>
  <r>
    <x v="648"/>
    <n v="22"/>
    <x v="0"/>
    <s v="Hoodie"/>
    <x v="0"/>
    <n v="31"/>
    <x v="49"/>
    <s v="M"/>
    <s v="Brown"/>
    <s v="Winter"/>
    <n v="4.0999999999999996"/>
    <s v="Yes"/>
    <s v="Store Pickup"/>
    <s v="Yes"/>
    <s v="Yes"/>
    <n v="35"/>
    <s v="Credit Card"/>
    <s v="Weekly"/>
    <s v="Weekly"/>
    <n v="1"/>
  </r>
  <r>
    <x v="649"/>
    <n v="53"/>
    <x v="0"/>
    <s v="Pants"/>
    <x v="0"/>
    <n v="93"/>
    <x v="12"/>
    <s v="L"/>
    <s v="Orange"/>
    <s v="Spring"/>
    <n v="4.2"/>
    <s v="Yes"/>
    <s v="Store Pickup"/>
    <s v="Yes"/>
    <s v="Yes"/>
    <n v="33"/>
    <s v="PayPal"/>
    <s v="Every 3 Months"/>
    <s v="Quarterly"/>
    <n v="5"/>
  </r>
  <r>
    <x v="650"/>
    <n v="34"/>
    <x v="0"/>
    <s v="Gloves"/>
    <x v="3"/>
    <n v="40"/>
    <x v="20"/>
    <s v="M"/>
    <s v="Magenta"/>
    <s v="Spring"/>
    <n v="3.9"/>
    <s v="Yes"/>
    <s v="Next Day Air"/>
    <s v="Yes"/>
    <s v="Yes"/>
    <n v="12"/>
    <s v="Bank Transfer"/>
    <s v="Annually"/>
    <s v="Annually"/>
    <n v="6"/>
  </r>
  <r>
    <x v="651"/>
    <n v="32"/>
    <x v="0"/>
    <s v="Hat"/>
    <x v="3"/>
    <n v="32"/>
    <x v="10"/>
    <s v="L"/>
    <s v="Yellow"/>
    <s v="Summer"/>
    <n v="2.9"/>
    <s v="Yes"/>
    <s v="Next Day Air"/>
    <s v="Yes"/>
    <s v="Yes"/>
    <n v="41"/>
    <s v="Venmo"/>
    <s v="Fortnightly"/>
    <s v="Fortnightly"/>
    <n v="3"/>
  </r>
  <r>
    <x v="652"/>
    <n v="64"/>
    <x v="0"/>
    <s v="Sunglasses"/>
    <x v="3"/>
    <n v="27"/>
    <x v="46"/>
    <s v="M"/>
    <s v="Beige"/>
    <s v="Winter"/>
    <n v="3.1"/>
    <s v="Yes"/>
    <s v="Free Shipping"/>
    <s v="Yes"/>
    <s v="Yes"/>
    <n v="27"/>
    <s v="Venmo"/>
    <s v="Weekly"/>
    <s v="Weekly"/>
    <n v="1"/>
  </r>
  <r>
    <x v="653"/>
    <n v="20"/>
    <x v="0"/>
    <s v="Scarf"/>
    <x v="3"/>
    <n v="68"/>
    <x v="25"/>
    <s v="M"/>
    <s v="Olive"/>
    <s v="Winter"/>
    <n v="3.6"/>
    <s v="Yes"/>
    <s v="2-Day Shipping"/>
    <s v="Yes"/>
    <s v="Yes"/>
    <n v="45"/>
    <s v="Cash"/>
    <s v="Fortnightly"/>
    <s v="Fortnightly"/>
    <n v="3"/>
  </r>
  <r>
    <x v="654"/>
    <n v="24"/>
    <x v="0"/>
    <s v="Handbag"/>
    <x v="3"/>
    <n v="59"/>
    <x v="18"/>
    <s v="L"/>
    <s v="Gray"/>
    <s v="Summer"/>
    <n v="4.4000000000000004"/>
    <s v="Yes"/>
    <s v="2-Day Shipping"/>
    <s v="Yes"/>
    <s v="Yes"/>
    <n v="23"/>
    <s v="Venmo"/>
    <s v="Annually"/>
    <s v="Annually"/>
    <n v="6"/>
  </r>
  <r>
    <x v="655"/>
    <n v="20"/>
    <x v="0"/>
    <s v="Handbag"/>
    <x v="3"/>
    <n v="36"/>
    <x v="16"/>
    <s v="S"/>
    <s v="Purple"/>
    <s v="Fall"/>
    <n v="3.1"/>
    <s v="Yes"/>
    <s v="Free Shipping"/>
    <s v="Yes"/>
    <s v="Yes"/>
    <n v="19"/>
    <s v="Venmo"/>
    <s v="Monthly"/>
    <s v="Monthly"/>
    <n v="4"/>
  </r>
  <r>
    <x v="656"/>
    <n v="42"/>
    <x v="0"/>
    <s v="Jeans"/>
    <x v="0"/>
    <n v="23"/>
    <x v="38"/>
    <s v="M"/>
    <s v="Beige"/>
    <s v="Summer"/>
    <n v="3.9"/>
    <s v="Yes"/>
    <s v="Standard"/>
    <s v="Yes"/>
    <s v="Yes"/>
    <n v="6"/>
    <s v="PayPal"/>
    <s v="Quarterly"/>
    <s v="Quarterly"/>
    <n v="5"/>
  </r>
  <r>
    <x v="657"/>
    <n v="48"/>
    <x v="0"/>
    <s v="Jacket"/>
    <x v="2"/>
    <n v="80"/>
    <x v="28"/>
    <s v="M"/>
    <s v="White"/>
    <s v="Winter"/>
    <n v="4.3"/>
    <s v="Yes"/>
    <s v="Free Shipping"/>
    <s v="Yes"/>
    <s v="Yes"/>
    <n v="6"/>
    <s v="PayPal"/>
    <s v="Quarterly"/>
    <s v="Quarterly"/>
    <n v="5"/>
  </r>
  <r>
    <x v="658"/>
    <n v="62"/>
    <x v="0"/>
    <s v="Backpack"/>
    <x v="3"/>
    <n v="37"/>
    <x v="7"/>
    <s v="S"/>
    <s v="White"/>
    <s v="Fall"/>
    <n v="4.9000000000000004"/>
    <s v="Yes"/>
    <s v="Store Pickup"/>
    <s v="Yes"/>
    <s v="Yes"/>
    <n v="20"/>
    <s v="Venmo"/>
    <s v="Weekly"/>
    <s v="Weekly"/>
    <n v="1"/>
  </r>
  <r>
    <x v="659"/>
    <n v="62"/>
    <x v="0"/>
    <s v="Shorts"/>
    <x v="0"/>
    <n v="52"/>
    <x v="41"/>
    <s v="S"/>
    <s v="Gold"/>
    <s v="Spring"/>
    <n v="3.6"/>
    <s v="Yes"/>
    <s v="2-Day Shipping"/>
    <s v="Yes"/>
    <s v="Yes"/>
    <n v="8"/>
    <s v="Cash"/>
    <s v="Weekly"/>
    <s v="Weekly"/>
    <n v="1"/>
  </r>
  <r>
    <x v="660"/>
    <n v="50"/>
    <x v="0"/>
    <s v="Coat"/>
    <x v="2"/>
    <n v="79"/>
    <x v="6"/>
    <s v="M"/>
    <s v="Olive"/>
    <s v="Fall"/>
    <n v="5"/>
    <s v="Yes"/>
    <s v="2-Day Shipping"/>
    <s v="Yes"/>
    <s v="Yes"/>
    <n v="39"/>
    <s v="Credit Card"/>
    <s v="Quarterly"/>
    <s v="Quarterly"/>
    <n v="5"/>
  </r>
  <r>
    <x v="661"/>
    <n v="57"/>
    <x v="0"/>
    <s v="Shirt"/>
    <x v="0"/>
    <n v="68"/>
    <x v="44"/>
    <s v="XL"/>
    <s v="Green"/>
    <s v="Fall"/>
    <n v="4.0999999999999996"/>
    <s v="Yes"/>
    <s v="Store Pickup"/>
    <s v="Yes"/>
    <s v="Yes"/>
    <n v="39"/>
    <s v="Credit Card"/>
    <s v="Quarterly"/>
    <s v="Quarterly"/>
    <n v="5"/>
  </r>
  <r>
    <x v="662"/>
    <n v="24"/>
    <x v="0"/>
    <s v="Gloves"/>
    <x v="3"/>
    <n v="98"/>
    <x v="26"/>
    <s v="L"/>
    <s v="Magenta"/>
    <s v="Fall"/>
    <n v="2.8"/>
    <s v="Yes"/>
    <s v="Express"/>
    <s v="Yes"/>
    <s v="Yes"/>
    <n v="39"/>
    <s v="Venmo"/>
    <s v="Bi-Weekly"/>
    <s v="Bi-Weekly"/>
    <n v="2"/>
  </r>
  <r>
    <x v="663"/>
    <n v="59"/>
    <x v="0"/>
    <s v="Dress"/>
    <x v="0"/>
    <n v="83"/>
    <x v="29"/>
    <s v="M"/>
    <s v="Charcoal"/>
    <s v="Fall"/>
    <n v="4.7"/>
    <s v="Yes"/>
    <s v="Express"/>
    <s v="Yes"/>
    <s v="Yes"/>
    <n v="23"/>
    <s v="Credit Card"/>
    <s v="Monthly"/>
    <s v="Monthly"/>
    <n v="4"/>
  </r>
  <r>
    <x v="664"/>
    <n v="63"/>
    <x v="0"/>
    <s v="Pants"/>
    <x v="0"/>
    <n v="83"/>
    <x v="24"/>
    <s v="M"/>
    <s v="Indigo"/>
    <s v="Winter"/>
    <n v="4.4000000000000004"/>
    <s v="Yes"/>
    <s v="Express"/>
    <s v="Yes"/>
    <s v="Yes"/>
    <n v="41"/>
    <s v="PayPal"/>
    <s v="Bi-Weekly"/>
    <s v="Bi-Weekly"/>
    <n v="2"/>
  </r>
  <r>
    <x v="665"/>
    <n v="41"/>
    <x v="0"/>
    <s v="Pants"/>
    <x v="0"/>
    <n v="55"/>
    <x v="35"/>
    <s v="M"/>
    <s v="Peach"/>
    <s v="Spring"/>
    <n v="4.9000000000000004"/>
    <s v="Yes"/>
    <s v="2-Day Shipping"/>
    <s v="Yes"/>
    <s v="Yes"/>
    <n v="50"/>
    <s v="Credit Card"/>
    <s v="Annually"/>
    <s v="Annually"/>
    <n v="6"/>
  </r>
  <r>
    <x v="666"/>
    <n v="35"/>
    <x v="0"/>
    <s v="Hoodie"/>
    <x v="0"/>
    <n v="26"/>
    <x v="24"/>
    <s v="L"/>
    <s v="Turquoise"/>
    <s v="Winter"/>
    <n v="3.1"/>
    <s v="Yes"/>
    <s v="Free Shipping"/>
    <s v="Yes"/>
    <s v="Yes"/>
    <n v="30"/>
    <s v="Debit Card"/>
    <s v="Quarterly"/>
    <s v="Quarterly"/>
    <n v="5"/>
  </r>
  <r>
    <x v="667"/>
    <n v="34"/>
    <x v="0"/>
    <s v="Sunglasses"/>
    <x v="3"/>
    <n v="76"/>
    <x v="28"/>
    <s v="S"/>
    <s v="Blue"/>
    <s v="Winter"/>
    <n v="2.6"/>
    <s v="Yes"/>
    <s v="Standard"/>
    <s v="Yes"/>
    <s v="Yes"/>
    <n v="32"/>
    <s v="Bank Transfer"/>
    <s v="Quarterly"/>
    <s v="Quarterly"/>
    <n v="5"/>
  </r>
  <r>
    <x v="668"/>
    <n v="49"/>
    <x v="0"/>
    <s v="T-shirt"/>
    <x v="0"/>
    <n v="85"/>
    <x v="11"/>
    <s v="S"/>
    <s v="Turquoise"/>
    <s v="Fall"/>
    <n v="2.9"/>
    <s v="Yes"/>
    <s v="Express"/>
    <s v="Yes"/>
    <s v="Yes"/>
    <n v="35"/>
    <s v="Bank Transfer"/>
    <s v="Monthly"/>
    <s v="Monthly"/>
    <n v="4"/>
  </r>
  <r>
    <x v="669"/>
    <n v="43"/>
    <x v="0"/>
    <s v="Jacket"/>
    <x v="2"/>
    <n v="89"/>
    <x v="26"/>
    <s v="M"/>
    <s v="Gray"/>
    <s v="Spring"/>
    <n v="3.3"/>
    <s v="Yes"/>
    <s v="Free Shipping"/>
    <s v="Yes"/>
    <s v="Yes"/>
    <n v="45"/>
    <s v="Venmo"/>
    <s v="Bi-Weekly"/>
    <s v="Bi-Weekly"/>
    <n v="2"/>
  </r>
  <r>
    <x v="670"/>
    <n v="63"/>
    <x v="0"/>
    <s v="Sweater"/>
    <x v="0"/>
    <n v="41"/>
    <x v="7"/>
    <s v="XL"/>
    <s v="Purple"/>
    <s v="Spring"/>
    <n v="4.8"/>
    <s v="Yes"/>
    <s v="Next Day Air"/>
    <s v="Yes"/>
    <s v="Yes"/>
    <n v="37"/>
    <s v="Cash"/>
    <s v="Bi-Weekly"/>
    <s v="Bi-Weekly"/>
    <n v="2"/>
  </r>
  <r>
    <x v="671"/>
    <n v="38"/>
    <x v="0"/>
    <s v="Jacket"/>
    <x v="2"/>
    <n v="30"/>
    <x v="44"/>
    <s v="L"/>
    <s v="Black"/>
    <s v="Winter"/>
    <n v="4.7"/>
    <s v="Yes"/>
    <s v="Express"/>
    <s v="Yes"/>
    <s v="Yes"/>
    <n v="45"/>
    <s v="Cash"/>
    <s v="Weekly"/>
    <s v="Weekly"/>
    <n v="1"/>
  </r>
  <r>
    <x v="672"/>
    <n v="59"/>
    <x v="0"/>
    <s v="Socks"/>
    <x v="0"/>
    <n v="53"/>
    <x v="47"/>
    <s v="M"/>
    <s v="Peach"/>
    <s v="Winter"/>
    <n v="3.3"/>
    <s v="Yes"/>
    <s v="2-Day Shipping"/>
    <s v="Yes"/>
    <s v="Yes"/>
    <n v="29"/>
    <s v="Cash"/>
    <s v="Quarterly"/>
    <s v="Quarterly"/>
    <n v="5"/>
  </r>
  <r>
    <x v="673"/>
    <n v="35"/>
    <x v="0"/>
    <s v="Shirt"/>
    <x v="0"/>
    <n v="66"/>
    <x v="19"/>
    <s v="M"/>
    <s v="Indigo"/>
    <s v="Spring"/>
    <n v="4.2"/>
    <s v="Yes"/>
    <s v="Free Shipping"/>
    <s v="Yes"/>
    <s v="Yes"/>
    <n v="27"/>
    <s v="Venmo"/>
    <s v="Bi-Weekly"/>
    <s v="Bi-Weekly"/>
    <n v="2"/>
  </r>
  <r>
    <x v="674"/>
    <n v="48"/>
    <x v="0"/>
    <s v="Jewelry"/>
    <x v="3"/>
    <n v="33"/>
    <x v="47"/>
    <s v="XL"/>
    <s v="Beige"/>
    <s v="Winter"/>
    <n v="4.7"/>
    <s v="Yes"/>
    <s v="Store Pickup"/>
    <s v="Yes"/>
    <s v="Yes"/>
    <n v="36"/>
    <s v="Bank Transfer"/>
    <s v="Annually"/>
    <s v="Annually"/>
    <n v="6"/>
  </r>
  <r>
    <x v="675"/>
    <n v="64"/>
    <x v="0"/>
    <s v="Sunglasses"/>
    <x v="3"/>
    <n v="86"/>
    <x v="10"/>
    <s v="M"/>
    <s v="Yellow"/>
    <s v="Spring"/>
    <n v="2.6"/>
    <s v="Yes"/>
    <s v="2-Day Shipping"/>
    <s v="Yes"/>
    <s v="Yes"/>
    <n v="9"/>
    <s v="Cash"/>
    <s v="Annually"/>
    <s v="Annually"/>
    <n v="6"/>
  </r>
  <r>
    <x v="676"/>
    <n v="28"/>
    <x v="0"/>
    <s v="Pants"/>
    <x v="0"/>
    <n v="60"/>
    <x v="39"/>
    <s v="M"/>
    <s v="Peach"/>
    <s v="Winter"/>
    <n v="2.9"/>
    <s v="Yes"/>
    <s v="2-Day Shipping"/>
    <s v="Yes"/>
    <s v="Yes"/>
    <n v="38"/>
    <s v="Venmo"/>
    <s v="Bi-Weekly"/>
    <s v="Bi-Weekly"/>
    <n v="2"/>
  </r>
  <r>
    <x v="677"/>
    <n v="60"/>
    <x v="0"/>
    <s v="Socks"/>
    <x v="0"/>
    <n v="62"/>
    <x v="47"/>
    <s v="S"/>
    <s v="Turquoise"/>
    <s v="Summer"/>
    <n v="2.7"/>
    <s v="Yes"/>
    <s v="Express"/>
    <s v="Yes"/>
    <s v="Yes"/>
    <n v="41"/>
    <s v="PayPal"/>
    <s v="Annually"/>
    <s v="Annually"/>
    <n v="6"/>
  </r>
  <r>
    <x v="678"/>
    <n v="27"/>
    <x v="0"/>
    <s v="Blouse"/>
    <x v="0"/>
    <n v="74"/>
    <x v="1"/>
    <s v="M"/>
    <s v="Teal"/>
    <s v="Fall"/>
    <n v="3.3"/>
    <s v="Yes"/>
    <s v="Store Pickup"/>
    <s v="Yes"/>
    <s v="Yes"/>
    <n v="25"/>
    <s v="Debit Card"/>
    <s v="Every 3 Months"/>
    <s v="Quarterly"/>
    <n v="5"/>
  </r>
  <r>
    <x v="679"/>
    <n v="56"/>
    <x v="0"/>
    <s v="Sandals"/>
    <x v="1"/>
    <n v="95"/>
    <x v="49"/>
    <s v="M"/>
    <s v="Turquoise"/>
    <s v="Fall"/>
    <n v="3.4"/>
    <s v="Yes"/>
    <s v="Express"/>
    <s v="Yes"/>
    <s v="Yes"/>
    <n v="37"/>
    <s v="Venmo"/>
    <s v="Fortnightly"/>
    <s v="Fortnightly"/>
    <n v="3"/>
  </r>
  <r>
    <x v="680"/>
    <n v="58"/>
    <x v="0"/>
    <s v="Sneakers"/>
    <x v="1"/>
    <n v="25"/>
    <x v="30"/>
    <s v="M"/>
    <s v="Magenta"/>
    <s v="Spring"/>
    <n v="4.2"/>
    <s v="Yes"/>
    <s v="Express"/>
    <s v="Yes"/>
    <s v="Yes"/>
    <n v="3"/>
    <s v="PayPal"/>
    <s v="Annually"/>
    <s v="Annually"/>
    <n v="6"/>
  </r>
  <r>
    <x v="681"/>
    <n v="30"/>
    <x v="0"/>
    <s v="Shirt"/>
    <x v="0"/>
    <n v="59"/>
    <x v="7"/>
    <s v="XL"/>
    <s v="Purple"/>
    <s v="Winter"/>
    <n v="3.8"/>
    <s v="Yes"/>
    <s v="2-Day Shipping"/>
    <s v="Yes"/>
    <s v="Yes"/>
    <n v="24"/>
    <s v="Credit Card"/>
    <s v="Every 3 Months"/>
    <s v="Quarterly"/>
    <n v="5"/>
  </r>
  <r>
    <x v="682"/>
    <n v="23"/>
    <x v="0"/>
    <s v="Jacket"/>
    <x v="2"/>
    <n v="29"/>
    <x v="9"/>
    <s v="M"/>
    <s v="Brown"/>
    <s v="Summer"/>
    <n v="4"/>
    <s v="Yes"/>
    <s v="Standard"/>
    <s v="Yes"/>
    <s v="Yes"/>
    <n v="49"/>
    <s v="Credit Card"/>
    <s v="Bi-Weekly"/>
    <s v="Bi-Weekly"/>
    <n v="2"/>
  </r>
  <r>
    <x v="683"/>
    <n v="33"/>
    <x v="0"/>
    <s v="Sandals"/>
    <x v="1"/>
    <n v="36"/>
    <x v="49"/>
    <s v="S"/>
    <s v="Violet"/>
    <s v="Winter"/>
    <n v="2.7"/>
    <s v="Yes"/>
    <s v="Free Shipping"/>
    <s v="Yes"/>
    <s v="Yes"/>
    <n v="3"/>
    <s v="Bank Transfer"/>
    <s v="Monthly"/>
    <s v="Monthly"/>
    <n v="4"/>
  </r>
  <r>
    <x v="684"/>
    <n v="63"/>
    <x v="0"/>
    <s v="Hat"/>
    <x v="3"/>
    <n v="82"/>
    <x v="15"/>
    <s v="M"/>
    <s v="Yellow"/>
    <s v="Summer"/>
    <n v="4.7"/>
    <s v="Yes"/>
    <s v="Express"/>
    <s v="Yes"/>
    <s v="Yes"/>
    <n v="42"/>
    <s v="Debit Card"/>
    <s v="Monthly"/>
    <s v="Monthly"/>
    <n v="4"/>
  </r>
  <r>
    <x v="685"/>
    <n v="70"/>
    <x v="0"/>
    <s v="Blouse"/>
    <x v="0"/>
    <n v="71"/>
    <x v="2"/>
    <s v="XL"/>
    <s v="Magenta"/>
    <s v="Winter"/>
    <n v="3.5"/>
    <s v="Yes"/>
    <s v="Standard"/>
    <s v="Yes"/>
    <s v="Yes"/>
    <n v="32"/>
    <s v="Cash"/>
    <s v="Fortnightly"/>
    <s v="Fortnightly"/>
    <n v="3"/>
  </r>
  <r>
    <x v="686"/>
    <n v="70"/>
    <x v="0"/>
    <s v="Sweater"/>
    <x v="0"/>
    <n v="35"/>
    <x v="27"/>
    <s v="L"/>
    <s v="Beige"/>
    <s v="Fall"/>
    <n v="3"/>
    <s v="Yes"/>
    <s v="2-Day Shipping"/>
    <s v="Yes"/>
    <s v="Yes"/>
    <n v="33"/>
    <s v="Venmo"/>
    <s v="Fortnightly"/>
    <s v="Fortnightly"/>
    <n v="3"/>
  </r>
  <r>
    <x v="687"/>
    <n v="19"/>
    <x v="0"/>
    <s v="Gloves"/>
    <x v="3"/>
    <n v="38"/>
    <x v="8"/>
    <s v="XL"/>
    <s v="Turquoise"/>
    <s v="Winter"/>
    <n v="3.3"/>
    <s v="Yes"/>
    <s v="Free Shipping"/>
    <s v="Yes"/>
    <s v="Yes"/>
    <n v="46"/>
    <s v="Bank Transfer"/>
    <s v="Quarterly"/>
    <s v="Quarterly"/>
    <n v="5"/>
  </r>
  <r>
    <x v="688"/>
    <n v="25"/>
    <x v="0"/>
    <s v="Scarf"/>
    <x v="3"/>
    <n v="59"/>
    <x v="49"/>
    <s v="S"/>
    <s v="Peach"/>
    <s v="Summer"/>
    <n v="4.7"/>
    <s v="Yes"/>
    <s v="Store Pickup"/>
    <s v="Yes"/>
    <s v="Yes"/>
    <n v="44"/>
    <s v="Venmo"/>
    <s v="Monthly"/>
    <s v="Monthly"/>
    <n v="4"/>
  </r>
  <r>
    <x v="689"/>
    <n v="19"/>
    <x v="0"/>
    <s v="Hoodie"/>
    <x v="0"/>
    <n v="91"/>
    <x v="38"/>
    <s v="M"/>
    <s v="Orange"/>
    <s v="Summer"/>
    <n v="4.7"/>
    <s v="Yes"/>
    <s v="Express"/>
    <s v="Yes"/>
    <s v="Yes"/>
    <n v="35"/>
    <s v="Credit Card"/>
    <s v="Every 3 Months"/>
    <s v="Quarterly"/>
    <n v="5"/>
  </r>
  <r>
    <x v="690"/>
    <n v="25"/>
    <x v="0"/>
    <s v="Shorts"/>
    <x v="0"/>
    <n v="68"/>
    <x v="29"/>
    <s v="XL"/>
    <s v="Red"/>
    <s v="Spring"/>
    <n v="4.8"/>
    <s v="Yes"/>
    <s v="Standard"/>
    <s v="Yes"/>
    <s v="Yes"/>
    <n v="45"/>
    <s v="Bank Transfer"/>
    <s v="Weekly"/>
    <s v="Weekly"/>
    <n v="1"/>
  </r>
  <r>
    <x v="691"/>
    <n v="60"/>
    <x v="0"/>
    <s v="Backpack"/>
    <x v="3"/>
    <n v="21"/>
    <x v="2"/>
    <s v="L"/>
    <s v="Silver"/>
    <s v="Summer"/>
    <n v="2.9"/>
    <s v="Yes"/>
    <s v="Standard"/>
    <s v="Yes"/>
    <s v="Yes"/>
    <n v="37"/>
    <s v="PayPal"/>
    <s v="Bi-Weekly"/>
    <s v="Bi-Weekly"/>
    <n v="2"/>
  </r>
  <r>
    <x v="692"/>
    <n v="35"/>
    <x v="0"/>
    <s v="Sunglasses"/>
    <x v="3"/>
    <n v="95"/>
    <x v="25"/>
    <s v="M"/>
    <s v="Cyan"/>
    <s v="Spring"/>
    <n v="4"/>
    <s v="Yes"/>
    <s v="2-Day Shipping"/>
    <s v="Yes"/>
    <s v="Yes"/>
    <n v="40"/>
    <s v="Debit Card"/>
    <s v="Every 3 Months"/>
    <s v="Quarterly"/>
    <n v="5"/>
  </r>
  <r>
    <x v="693"/>
    <n v="46"/>
    <x v="0"/>
    <s v="Shorts"/>
    <x v="0"/>
    <n v="52"/>
    <x v="34"/>
    <s v="L"/>
    <s v="Turquoise"/>
    <s v="Spring"/>
    <n v="3.1"/>
    <s v="Yes"/>
    <s v="Free Shipping"/>
    <s v="Yes"/>
    <s v="Yes"/>
    <n v="30"/>
    <s v="Cash"/>
    <s v="Every 3 Months"/>
    <s v="Quarterly"/>
    <n v="5"/>
  </r>
  <r>
    <x v="694"/>
    <n v="41"/>
    <x v="0"/>
    <s v="Dress"/>
    <x v="0"/>
    <n v="21"/>
    <x v="0"/>
    <s v="S"/>
    <s v="Charcoal"/>
    <s v="Fall"/>
    <n v="3.5"/>
    <s v="Yes"/>
    <s v="2-Day Shipping"/>
    <s v="Yes"/>
    <s v="Yes"/>
    <n v="38"/>
    <s v="Venmo"/>
    <s v="Every 3 Months"/>
    <s v="Quarterly"/>
    <n v="5"/>
  </r>
  <r>
    <x v="695"/>
    <n v="30"/>
    <x v="0"/>
    <s v="Shorts"/>
    <x v="0"/>
    <n v="67"/>
    <x v="22"/>
    <s v="XL"/>
    <s v="Peach"/>
    <s v="Summer"/>
    <n v="3.7"/>
    <s v="Yes"/>
    <s v="Next Day Air"/>
    <s v="Yes"/>
    <s v="Yes"/>
    <n v="15"/>
    <s v="Debit Card"/>
    <s v="Every 3 Months"/>
    <s v="Quarterly"/>
    <n v="5"/>
  </r>
  <r>
    <x v="696"/>
    <n v="44"/>
    <x v="0"/>
    <s v="Belt"/>
    <x v="3"/>
    <n v="42"/>
    <x v="40"/>
    <s v="L"/>
    <s v="Green"/>
    <s v="Fall"/>
    <n v="2.8"/>
    <s v="Yes"/>
    <s v="Standard"/>
    <s v="Yes"/>
    <s v="Yes"/>
    <n v="49"/>
    <s v="Cash"/>
    <s v="Monthly"/>
    <s v="Monthly"/>
    <n v="4"/>
  </r>
  <r>
    <x v="697"/>
    <n v="61"/>
    <x v="0"/>
    <s v="Scarf"/>
    <x v="3"/>
    <n v="63"/>
    <x v="25"/>
    <s v="XL"/>
    <s v="Brown"/>
    <s v="Summer"/>
    <n v="4.5999999999999996"/>
    <s v="Yes"/>
    <s v="Free Shipping"/>
    <s v="Yes"/>
    <s v="Yes"/>
    <n v="40"/>
    <s v="Debit Card"/>
    <s v="Quarterly"/>
    <s v="Quarterly"/>
    <n v="5"/>
  </r>
  <r>
    <x v="698"/>
    <n v="55"/>
    <x v="0"/>
    <s v="Boots"/>
    <x v="1"/>
    <n v="41"/>
    <x v="44"/>
    <s v="M"/>
    <s v="Yellow"/>
    <s v="Winter"/>
    <n v="3.8"/>
    <s v="Yes"/>
    <s v="Standard"/>
    <s v="Yes"/>
    <s v="Yes"/>
    <n v="40"/>
    <s v="Debit Card"/>
    <s v="Weekly"/>
    <s v="Weekly"/>
    <n v="1"/>
  </r>
  <r>
    <x v="699"/>
    <n v="50"/>
    <x v="0"/>
    <s v="Handbag"/>
    <x v="3"/>
    <n v="46"/>
    <x v="39"/>
    <s v="M"/>
    <s v="Charcoal"/>
    <s v="Fall"/>
    <n v="2.6"/>
    <s v="Yes"/>
    <s v="2-Day Shipping"/>
    <s v="Yes"/>
    <s v="Yes"/>
    <n v="5"/>
    <s v="PayPal"/>
    <s v="Weekly"/>
    <s v="Weekly"/>
    <n v="1"/>
  </r>
  <r>
    <x v="700"/>
    <n v="57"/>
    <x v="0"/>
    <s v="Pants"/>
    <x v="0"/>
    <n v="79"/>
    <x v="48"/>
    <s v="L"/>
    <s v="Olive"/>
    <s v="Winter"/>
    <n v="4.0999999999999996"/>
    <s v="Yes"/>
    <s v="Standard"/>
    <s v="Yes"/>
    <s v="Yes"/>
    <n v="5"/>
    <s v="PayPal"/>
    <s v="Monthly"/>
    <s v="Monthly"/>
    <n v="4"/>
  </r>
  <r>
    <x v="701"/>
    <n v="51"/>
    <x v="0"/>
    <s v="Boots"/>
    <x v="1"/>
    <n v="90"/>
    <x v="37"/>
    <s v="L"/>
    <s v="Red"/>
    <s v="Fall"/>
    <n v="3.3"/>
    <s v="Yes"/>
    <s v="Next Day Air"/>
    <s v="Yes"/>
    <s v="Yes"/>
    <n v="5"/>
    <s v="Debit Card"/>
    <s v="Every 3 Months"/>
    <s v="Quarterly"/>
    <n v="5"/>
  </r>
  <r>
    <x v="702"/>
    <n v="18"/>
    <x v="0"/>
    <s v="Shirt"/>
    <x v="0"/>
    <n v="71"/>
    <x v="6"/>
    <s v="M"/>
    <s v="White"/>
    <s v="Winter"/>
    <n v="3.4"/>
    <s v="Yes"/>
    <s v="Store Pickup"/>
    <s v="Yes"/>
    <s v="Yes"/>
    <n v="1"/>
    <s v="Cash"/>
    <s v="Weekly"/>
    <s v="Weekly"/>
    <n v="1"/>
  </r>
  <r>
    <x v="703"/>
    <n v="63"/>
    <x v="0"/>
    <s v="Dress"/>
    <x v="0"/>
    <n v="87"/>
    <x v="39"/>
    <s v="L"/>
    <s v="Pink"/>
    <s v="Summer"/>
    <n v="3"/>
    <s v="Yes"/>
    <s v="Standard"/>
    <s v="Yes"/>
    <s v="Yes"/>
    <n v="21"/>
    <s v="Venmo"/>
    <s v="Weekly"/>
    <s v="Weekly"/>
    <n v="1"/>
  </r>
  <r>
    <x v="704"/>
    <n v="34"/>
    <x v="0"/>
    <s v="Hoodie"/>
    <x v="0"/>
    <n v="66"/>
    <x v="37"/>
    <s v="S"/>
    <s v="Black"/>
    <s v="Spring"/>
    <n v="3.2"/>
    <s v="Yes"/>
    <s v="Express"/>
    <s v="Yes"/>
    <s v="Yes"/>
    <n v="18"/>
    <s v="PayPal"/>
    <s v="Annually"/>
    <s v="Annually"/>
    <n v="6"/>
  </r>
  <r>
    <x v="705"/>
    <n v="25"/>
    <x v="0"/>
    <s v="Pants"/>
    <x v="0"/>
    <n v="90"/>
    <x v="10"/>
    <s v="XL"/>
    <s v="Indigo"/>
    <s v="Summer"/>
    <n v="4.5"/>
    <s v="Yes"/>
    <s v="Free Shipping"/>
    <s v="Yes"/>
    <s v="Yes"/>
    <n v="49"/>
    <s v="Cash"/>
    <s v="Quarterly"/>
    <s v="Quarterly"/>
    <n v="5"/>
  </r>
  <r>
    <x v="706"/>
    <n v="46"/>
    <x v="0"/>
    <s v="Jeans"/>
    <x v="0"/>
    <n v="47"/>
    <x v="44"/>
    <s v="L"/>
    <s v="Turquoise"/>
    <s v="Summer"/>
    <n v="4.8"/>
    <s v="Yes"/>
    <s v="Express"/>
    <s v="Yes"/>
    <s v="Yes"/>
    <n v="27"/>
    <s v="Debit Card"/>
    <s v="Weekly"/>
    <s v="Weekly"/>
    <n v="1"/>
  </r>
  <r>
    <x v="707"/>
    <n v="59"/>
    <x v="0"/>
    <s v="Shirt"/>
    <x v="0"/>
    <n v="38"/>
    <x v="7"/>
    <s v="L"/>
    <s v="Purple"/>
    <s v="Spring"/>
    <n v="3.7"/>
    <s v="Yes"/>
    <s v="Next Day Air"/>
    <s v="Yes"/>
    <s v="Yes"/>
    <n v="21"/>
    <s v="Venmo"/>
    <s v="Annually"/>
    <s v="Annually"/>
    <n v="6"/>
  </r>
  <r>
    <x v="708"/>
    <n v="37"/>
    <x v="0"/>
    <s v="Backpack"/>
    <x v="3"/>
    <n v="50"/>
    <x v="0"/>
    <s v="L"/>
    <s v="Beige"/>
    <s v="Summer"/>
    <n v="3.4"/>
    <s v="Yes"/>
    <s v="Store Pickup"/>
    <s v="Yes"/>
    <s v="Yes"/>
    <n v="19"/>
    <s v="Cash"/>
    <s v="Fortnightly"/>
    <s v="Fortnightly"/>
    <n v="3"/>
  </r>
  <r>
    <x v="709"/>
    <n v="49"/>
    <x v="0"/>
    <s v="Jacket"/>
    <x v="2"/>
    <n v="79"/>
    <x v="2"/>
    <s v="L"/>
    <s v="Charcoal"/>
    <s v="Summer"/>
    <n v="4.5999999999999996"/>
    <s v="Yes"/>
    <s v="Standard"/>
    <s v="Yes"/>
    <s v="Yes"/>
    <n v="23"/>
    <s v="Debit Card"/>
    <s v="Monthly"/>
    <s v="Monthly"/>
    <n v="4"/>
  </r>
  <r>
    <x v="710"/>
    <n v="22"/>
    <x v="0"/>
    <s v="Scarf"/>
    <x v="3"/>
    <n v="91"/>
    <x v="41"/>
    <s v="L"/>
    <s v="Turquoise"/>
    <s v="Spring"/>
    <n v="4.0999999999999996"/>
    <s v="Yes"/>
    <s v="Standard"/>
    <s v="Yes"/>
    <s v="Yes"/>
    <n v="26"/>
    <s v="PayPal"/>
    <s v="Fortnightly"/>
    <s v="Fortnightly"/>
    <n v="3"/>
  </r>
  <r>
    <x v="711"/>
    <n v="64"/>
    <x v="0"/>
    <s v="Boots"/>
    <x v="1"/>
    <n v="60"/>
    <x v="13"/>
    <s v="M"/>
    <s v="Maroon"/>
    <s v="Spring"/>
    <n v="3.5"/>
    <s v="Yes"/>
    <s v="2-Day Shipping"/>
    <s v="Yes"/>
    <s v="Yes"/>
    <n v="13"/>
    <s v="Bank Transfer"/>
    <s v="Bi-Weekly"/>
    <s v="Bi-Weekly"/>
    <n v="2"/>
  </r>
  <r>
    <x v="712"/>
    <n v="42"/>
    <x v="0"/>
    <s v="Blouse"/>
    <x v="0"/>
    <n v="81"/>
    <x v="13"/>
    <s v="XL"/>
    <s v="Black"/>
    <s v="Summer"/>
    <n v="3.8"/>
    <s v="Yes"/>
    <s v="Next Day Air"/>
    <s v="Yes"/>
    <s v="Yes"/>
    <n v="36"/>
    <s v="Bank Transfer"/>
    <s v="Quarterly"/>
    <s v="Quarterly"/>
    <n v="5"/>
  </r>
  <r>
    <x v="713"/>
    <n v="37"/>
    <x v="0"/>
    <s v="Hoodie"/>
    <x v="0"/>
    <n v="90"/>
    <x v="4"/>
    <s v="M"/>
    <s v="Lavender"/>
    <s v="Summer"/>
    <n v="2.6"/>
    <s v="Yes"/>
    <s v="Express"/>
    <s v="Yes"/>
    <s v="Yes"/>
    <n v="39"/>
    <s v="Bank Transfer"/>
    <s v="Bi-Weekly"/>
    <s v="Bi-Weekly"/>
    <n v="2"/>
  </r>
  <r>
    <x v="714"/>
    <n v="26"/>
    <x v="0"/>
    <s v="Jacket"/>
    <x v="2"/>
    <n v="70"/>
    <x v="45"/>
    <s v="M"/>
    <s v="Magenta"/>
    <s v="Fall"/>
    <n v="4.4000000000000004"/>
    <s v="Yes"/>
    <s v="Store Pickup"/>
    <s v="Yes"/>
    <s v="Yes"/>
    <n v="40"/>
    <s v="Debit Card"/>
    <s v="Fortnightly"/>
    <s v="Fortnightly"/>
    <n v="3"/>
  </r>
  <r>
    <x v="715"/>
    <n v="33"/>
    <x v="0"/>
    <s v="Jeans"/>
    <x v="0"/>
    <n v="63"/>
    <x v="12"/>
    <s v="L"/>
    <s v="Green"/>
    <s v="Spring"/>
    <n v="2.6"/>
    <s v="Yes"/>
    <s v="Express"/>
    <s v="Yes"/>
    <s v="Yes"/>
    <n v="37"/>
    <s v="Debit Card"/>
    <s v="Quarterly"/>
    <s v="Quarterly"/>
    <n v="5"/>
  </r>
  <r>
    <x v="716"/>
    <n v="30"/>
    <x v="0"/>
    <s v="Jewelry"/>
    <x v="3"/>
    <n v="29"/>
    <x v="9"/>
    <s v="M"/>
    <s v="Olive"/>
    <s v="Spring"/>
    <n v="3.6"/>
    <s v="Yes"/>
    <s v="Express"/>
    <s v="Yes"/>
    <s v="Yes"/>
    <n v="9"/>
    <s v="Venmo"/>
    <s v="Bi-Weekly"/>
    <s v="Bi-Weekly"/>
    <n v="2"/>
  </r>
  <r>
    <x v="717"/>
    <n v="21"/>
    <x v="0"/>
    <s v="Socks"/>
    <x v="0"/>
    <n v="90"/>
    <x v="29"/>
    <s v="L"/>
    <s v="Green"/>
    <s v="Spring"/>
    <n v="4.2"/>
    <s v="Yes"/>
    <s v="Express"/>
    <s v="Yes"/>
    <s v="Yes"/>
    <n v="7"/>
    <s v="Venmo"/>
    <s v="Every 3 Months"/>
    <s v="Quarterly"/>
    <n v="5"/>
  </r>
  <r>
    <x v="718"/>
    <n v="22"/>
    <x v="0"/>
    <s v="Shirt"/>
    <x v="0"/>
    <n v="22"/>
    <x v="20"/>
    <s v="M"/>
    <s v="Peach"/>
    <s v="Summer"/>
    <n v="4.5999999999999996"/>
    <s v="Yes"/>
    <s v="Standard"/>
    <s v="Yes"/>
    <s v="Yes"/>
    <n v="25"/>
    <s v="Bank Transfer"/>
    <s v="Annually"/>
    <s v="Annually"/>
    <n v="6"/>
  </r>
  <r>
    <x v="719"/>
    <n v="63"/>
    <x v="0"/>
    <s v="Shorts"/>
    <x v="0"/>
    <n v="22"/>
    <x v="16"/>
    <s v="L"/>
    <s v="Turquoise"/>
    <s v="Summer"/>
    <n v="3.3"/>
    <s v="Yes"/>
    <s v="Next Day Air"/>
    <s v="Yes"/>
    <s v="Yes"/>
    <n v="42"/>
    <s v="Venmo"/>
    <s v="Bi-Weekly"/>
    <s v="Bi-Weekly"/>
    <n v="2"/>
  </r>
  <r>
    <x v="720"/>
    <n v="33"/>
    <x v="0"/>
    <s v="Jewelry"/>
    <x v="3"/>
    <n v="62"/>
    <x v="35"/>
    <s v="L"/>
    <s v="Orange"/>
    <s v="Fall"/>
    <n v="3.4"/>
    <s v="Yes"/>
    <s v="Free Shipping"/>
    <s v="Yes"/>
    <s v="Yes"/>
    <n v="19"/>
    <s v="Debit Card"/>
    <s v="Weekly"/>
    <s v="Weekly"/>
    <n v="1"/>
  </r>
  <r>
    <x v="721"/>
    <n v="43"/>
    <x v="0"/>
    <s v="Blouse"/>
    <x v="0"/>
    <n v="57"/>
    <x v="18"/>
    <s v="L"/>
    <s v="Silver"/>
    <s v="Summer"/>
    <n v="4.4000000000000004"/>
    <s v="Yes"/>
    <s v="Next Day Air"/>
    <s v="Yes"/>
    <s v="Yes"/>
    <n v="41"/>
    <s v="Debit Card"/>
    <s v="Every 3 Months"/>
    <s v="Quarterly"/>
    <n v="5"/>
  </r>
  <r>
    <x v="722"/>
    <n v="27"/>
    <x v="0"/>
    <s v="Sweater"/>
    <x v="0"/>
    <n v="32"/>
    <x v="5"/>
    <s v="S"/>
    <s v="Blue"/>
    <s v="Summer"/>
    <n v="4.3"/>
    <s v="Yes"/>
    <s v="Store Pickup"/>
    <s v="Yes"/>
    <s v="Yes"/>
    <n v="50"/>
    <s v="Cash"/>
    <s v="Bi-Weekly"/>
    <s v="Bi-Weekly"/>
    <n v="2"/>
  </r>
  <r>
    <x v="723"/>
    <n v="35"/>
    <x v="0"/>
    <s v="Jewelry"/>
    <x v="3"/>
    <n v="53"/>
    <x v="9"/>
    <s v="L"/>
    <s v="Cyan"/>
    <s v="Fall"/>
    <n v="3.5"/>
    <s v="Yes"/>
    <s v="Express"/>
    <s v="Yes"/>
    <s v="Yes"/>
    <n v="43"/>
    <s v="PayPal"/>
    <s v="Monthly"/>
    <s v="Monthly"/>
    <n v="4"/>
  </r>
  <r>
    <x v="724"/>
    <n v="37"/>
    <x v="0"/>
    <s v="T-shirt"/>
    <x v="0"/>
    <n v="79"/>
    <x v="13"/>
    <s v="XL"/>
    <s v="Green"/>
    <s v="Fall"/>
    <n v="4.7"/>
    <s v="Yes"/>
    <s v="Store Pickup"/>
    <s v="Yes"/>
    <s v="Yes"/>
    <n v="36"/>
    <s v="Venmo"/>
    <s v="Every 3 Months"/>
    <s v="Quarterly"/>
    <n v="5"/>
  </r>
  <r>
    <x v="725"/>
    <n v="61"/>
    <x v="0"/>
    <s v="Hat"/>
    <x v="3"/>
    <n v="61"/>
    <x v="21"/>
    <s v="L"/>
    <s v="Silver"/>
    <s v="Winter"/>
    <n v="3.1"/>
    <s v="Yes"/>
    <s v="Standard"/>
    <s v="Yes"/>
    <s v="Yes"/>
    <n v="33"/>
    <s v="Debit Card"/>
    <s v="Fortnightly"/>
    <s v="Fortnightly"/>
    <n v="3"/>
  </r>
  <r>
    <x v="726"/>
    <n v="32"/>
    <x v="0"/>
    <s v="Shorts"/>
    <x v="0"/>
    <n v="78"/>
    <x v="25"/>
    <s v="L"/>
    <s v="Yellow"/>
    <s v="Summer"/>
    <n v="3.6"/>
    <s v="Yes"/>
    <s v="Next Day Air"/>
    <s v="Yes"/>
    <s v="Yes"/>
    <n v="20"/>
    <s v="Bank Transfer"/>
    <s v="Every 3 Months"/>
    <s v="Quarterly"/>
    <n v="5"/>
  </r>
  <r>
    <x v="727"/>
    <n v="62"/>
    <x v="0"/>
    <s v="Sweater"/>
    <x v="0"/>
    <n v="97"/>
    <x v="10"/>
    <s v="S"/>
    <s v="Gray"/>
    <s v="Winter"/>
    <n v="4.8"/>
    <s v="Yes"/>
    <s v="Next Day Air"/>
    <s v="Yes"/>
    <s v="Yes"/>
    <n v="37"/>
    <s v="Venmo"/>
    <s v="Every 3 Months"/>
    <s v="Quarterly"/>
    <n v="5"/>
  </r>
  <r>
    <x v="728"/>
    <n v="29"/>
    <x v="0"/>
    <s v="Jeans"/>
    <x v="0"/>
    <n v="78"/>
    <x v="43"/>
    <s v="M"/>
    <s v="Pink"/>
    <s v="Winter"/>
    <n v="3.7"/>
    <s v="Yes"/>
    <s v="Next Day Air"/>
    <s v="Yes"/>
    <s v="Yes"/>
    <n v="12"/>
    <s v="PayPal"/>
    <s v="Every 3 Months"/>
    <s v="Quarterly"/>
    <n v="5"/>
  </r>
  <r>
    <x v="729"/>
    <n v="41"/>
    <x v="0"/>
    <s v="Sunglasses"/>
    <x v="3"/>
    <n v="56"/>
    <x v="46"/>
    <s v="L"/>
    <s v="Beige"/>
    <s v="Summer"/>
    <n v="3.2"/>
    <s v="Yes"/>
    <s v="Express"/>
    <s v="Yes"/>
    <s v="Yes"/>
    <n v="46"/>
    <s v="PayPal"/>
    <s v="Every 3 Months"/>
    <s v="Quarterly"/>
    <n v="5"/>
  </r>
  <r>
    <x v="730"/>
    <n v="48"/>
    <x v="0"/>
    <s v="Boots"/>
    <x v="1"/>
    <n v="25"/>
    <x v="2"/>
    <s v="M"/>
    <s v="Indigo"/>
    <s v="Summer"/>
    <n v="3.9"/>
    <s v="Yes"/>
    <s v="Standard"/>
    <s v="Yes"/>
    <s v="Yes"/>
    <n v="28"/>
    <s v="Venmo"/>
    <s v="Fortnightly"/>
    <s v="Fortnightly"/>
    <n v="3"/>
  </r>
  <r>
    <x v="731"/>
    <n v="43"/>
    <x v="0"/>
    <s v="Coat"/>
    <x v="2"/>
    <n v="28"/>
    <x v="10"/>
    <s v="M"/>
    <s v="Red"/>
    <s v="Spring"/>
    <n v="3.5"/>
    <s v="Yes"/>
    <s v="Free Shipping"/>
    <s v="Yes"/>
    <s v="Yes"/>
    <n v="30"/>
    <s v="PayPal"/>
    <s v="Fortnightly"/>
    <s v="Fortnightly"/>
    <n v="3"/>
  </r>
  <r>
    <x v="732"/>
    <n v="34"/>
    <x v="0"/>
    <s v="Shirt"/>
    <x v="0"/>
    <n v="57"/>
    <x v="13"/>
    <s v="L"/>
    <s v="Blue"/>
    <s v="Spring"/>
    <n v="2.8"/>
    <s v="Yes"/>
    <s v="Express"/>
    <s v="Yes"/>
    <s v="Yes"/>
    <n v="28"/>
    <s v="Cash"/>
    <s v="Bi-Weekly"/>
    <s v="Bi-Weekly"/>
    <n v="2"/>
  </r>
  <r>
    <x v="733"/>
    <n v="45"/>
    <x v="0"/>
    <s v="Dress"/>
    <x v="0"/>
    <n v="36"/>
    <x v="3"/>
    <s v="L"/>
    <s v="Cyan"/>
    <s v="Fall"/>
    <n v="2.7"/>
    <s v="Yes"/>
    <s v="2-Day Shipping"/>
    <s v="Yes"/>
    <s v="Yes"/>
    <n v="20"/>
    <s v="Debit Card"/>
    <s v="Bi-Weekly"/>
    <s v="Bi-Weekly"/>
    <n v="2"/>
  </r>
  <r>
    <x v="734"/>
    <n v="65"/>
    <x v="0"/>
    <s v="Shirt"/>
    <x v="0"/>
    <n v="69"/>
    <x v="32"/>
    <s v="S"/>
    <s v="Violet"/>
    <s v="Winter"/>
    <n v="3.1"/>
    <s v="Yes"/>
    <s v="Express"/>
    <s v="Yes"/>
    <s v="Yes"/>
    <n v="39"/>
    <s v="Bank Transfer"/>
    <s v="Every 3 Months"/>
    <s v="Quarterly"/>
    <n v="5"/>
  </r>
  <r>
    <x v="735"/>
    <n v="61"/>
    <x v="0"/>
    <s v="Sunglasses"/>
    <x v="3"/>
    <n v="48"/>
    <x v="6"/>
    <s v="M"/>
    <s v="Orange"/>
    <s v="Fall"/>
    <n v="3.6"/>
    <s v="Yes"/>
    <s v="2-Day Shipping"/>
    <s v="Yes"/>
    <s v="Yes"/>
    <n v="48"/>
    <s v="Cash"/>
    <s v="Bi-Weekly"/>
    <s v="Bi-Weekly"/>
    <n v="2"/>
  </r>
  <r>
    <x v="736"/>
    <n v="18"/>
    <x v="0"/>
    <s v="Dress"/>
    <x v="0"/>
    <n v="58"/>
    <x v="24"/>
    <s v="L"/>
    <s v="Maroon"/>
    <s v="Spring"/>
    <n v="2.9"/>
    <s v="Yes"/>
    <s v="2-Day Shipping"/>
    <s v="Yes"/>
    <s v="Yes"/>
    <n v="32"/>
    <s v="Credit Card"/>
    <s v="Every 3 Months"/>
    <s v="Quarterly"/>
    <n v="5"/>
  </r>
  <r>
    <x v="737"/>
    <n v="47"/>
    <x v="0"/>
    <s v="Sunglasses"/>
    <x v="3"/>
    <n v="24"/>
    <x v="43"/>
    <s v="M"/>
    <s v="Teal"/>
    <s v="Spring"/>
    <n v="3.6"/>
    <s v="Yes"/>
    <s v="Store Pickup"/>
    <s v="Yes"/>
    <s v="Yes"/>
    <n v="28"/>
    <s v="PayPal"/>
    <s v="Annually"/>
    <s v="Annually"/>
    <n v="6"/>
  </r>
  <r>
    <x v="738"/>
    <n v="56"/>
    <x v="0"/>
    <s v="Sunglasses"/>
    <x v="3"/>
    <n v="31"/>
    <x v="46"/>
    <s v="L"/>
    <s v="Orange"/>
    <s v="Winter"/>
    <n v="3.5"/>
    <s v="Yes"/>
    <s v="2-Day Shipping"/>
    <s v="Yes"/>
    <s v="Yes"/>
    <n v="27"/>
    <s v="Venmo"/>
    <s v="Quarterly"/>
    <s v="Quarterly"/>
    <n v="5"/>
  </r>
  <r>
    <x v="739"/>
    <n v="64"/>
    <x v="0"/>
    <s v="Shorts"/>
    <x v="0"/>
    <n v="29"/>
    <x v="46"/>
    <s v="S"/>
    <s v="Purple"/>
    <s v="Summer"/>
    <n v="3.5"/>
    <s v="Yes"/>
    <s v="Free Shipping"/>
    <s v="Yes"/>
    <s v="Yes"/>
    <n v="26"/>
    <s v="Venmo"/>
    <s v="Bi-Weekly"/>
    <s v="Bi-Weekly"/>
    <n v="2"/>
  </r>
  <r>
    <x v="740"/>
    <n v="26"/>
    <x v="0"/>
    <s v="Jeans"/>
    <x v="0"/>
    <n v="69"/>
    <x v="45"/>
    <s v="M"/>
    <s v="Orange"/>
    <s v="Summer"/>
    <n v="2.8"/>
    <s v="Yes"/>
    <s v="Next Day Air"/>
    <s v="Yes"/>
    <s v="Yes"/>
    <n v="22"/>
    <s v="Credit Card"/>
    <s v="Fortnightly"/>
    <s v="Fortnightly"/>
    <n v="3"/>
  </r>
  <r>
    <x v="741"/>
    <n v="22"/>
    <x v="0"/>
    <s v="T-shirt"/>
    <x v="0"/>
    <n v="79"/>
    <x v="8"/>
    <s v="XL"/>
    <s v="Yellow"/>
    <s v="Summer"/>
    <n v="4.7"/>
    <s v="Yes"/>
    <s v="Free Shipping"/>
    <s v="Yes"/>
    <s v="Yes"/>
    <n v="23"/>
    <s v="Bank Transfer"/>
    <s v="Every 3 Months"/>
    <s v="Quarterly"/>
    <n v="5"/>
  </r>
  <r>
    <x v="742"/>
    <n v="64"/>
    <x v="0"/>
    <s v="Pants"/>
    <x v="0"/>
    <n v="39"/>
    <x v="22"/>
    <s v="M"/>
    <s v="Charcoal"/>
    <s v="Summer"/>
    <n v="3.1"/>
    <s v="Yes"/>
    <s v="Express"/>
    <s v="Yes"/>
    <s v="Yes"/>
    <n v="21"/>
    <s v="Debit Card"/>
    <s v="Quarterly"/>
    <s v="Quarterly"/>
    <n v="5"/>
  </r>
  <r>
    <x v="743"/>
    <n v="21"/>
    <x v="0"/>
    <s v="Sunglasses"/>
    <x v="3"/>
    <n v="84"/>
    <x v="17"/>
    <s v="L"/>
    <s v="Gray"/>
    <s v="Fall"/>
    <n v="4.9000000000000004"/>
    <s v="Yes"/>
    <s v="Free Shipping"/>
    <s v="Yes"/>
    <s v="Yes"/>
    <n v="36"/>
    <s v="Cash"/>
    <s v="Weekly"/>
    <s v="Weekly"/>
    <n v="1"/>
  </r>
  <r>
    <x v="744"/>
    <n v="67"/>
    <x v="0"/>
    <s v="Boots"/>
    <x v="1"/>
    <n v="66"/>
    <x v="26"/>
    <s v="S"/>
    <s v="Charcoal"/>
    <s v="Spring"/>
    <n v="4.0999999999999996"/>
    <s v="Yes"/>
    <s v="Next Day Air"/>
    <s v="Yes"/>
    <s v="Yes"/>
    <n v="42"/>
    <s v="Debit Card"/>
    <s v="Bi-Weekly"/>
    <s v="Bi-Weekly"/>
    <n v="2"/>
  </r>
  <r>
    <x v="745"/>
    <n v="46"/>
    <x v="0"/>
    <s v="T-shirt"/>
    <x v="0"/>
    <n v="92"/>
    <x v="49"/>
    <s v="L"/>
    <s v="Orange"/>
    <s v="Fall"/>
    <n v="4.7"/>
    <s v="Yes"/>
    <s v="Standard"/>
    <s v="Yes"/>
    <s v="Yes"/>
    <n v="4"/>
    <s v="Venmo"/>
    <s v="Monthly"/>
    <s v="Monthly"/>
    <n v="4"/>
  </r>
  <r>
    <x v="746"/>
    <n v="40"/>
    <x v="0"/>
    <s v="Sandals"/>
    <x v="1"/>
    <n v="45"/>
    <x v="49"/>
    <s v="M"/>
    <s v="Red"/>
    <s v="Winter"/>
    <n v="2.5"/>
    <s v="Yes"/>
    <s v="Free Shipping"/>
    <s v="Yes"/>
    <s v="Yes"/>
    <n v="47"/>
    <s v="Credit Card"/>
    <s v="Annually"/>
    <s v="Annually"/>
    <n v="6"/>
  </r>
  <r>
    <x v="747"/>
    <n v="51"/>
    <x v="0"/>
    <s v="Shorts"/>
    <x v="0"/>
    <n v="74"/>
    <x v="19"/>
    <s v="L"/>
    <s v="Gold"/>
    <s v="Spring"/>
    <n v="4.4000000000000004"/>
    <s v="Yes"/>
    <s v="Next Day Air"/>
    <s v="Yes"/>
    <s v="Yes"/>
    <n v="13"/>
    <s v="Bank Transfer"/>
    <s v="Weekly"/>
    <s v="Weekly"/>
    <n v="1"/>
  </r>
  <r>
    <x v="748"/>
    <n v="35"/>
    <x v="0"/>
    <s v="Hat"/>
    <x v="3"/>
    <n v="39"/>
    <x v="45"/>
    <s v="L"/>
    <s v="Brown"/>
    <s v="Fall"/>
    <n v="3.9"/>
    <s v="Yes"/>
    <s v="Free Shipping"/>
    <s v="Yes"/>
    <s v="Yes"/>
    <n v="8"/>
    <s v="Bank Transfer"/>
    <s v="Quarterly"/>
    <s v="Quarterly"/>
    <n v="5"/>
  </r>
  <r>
    <x v="749"/>
    <n v="56"/>
    <x v="0"/>
    <s v="Scarf"/>
    <x v="3"/>
    <n v="71"/>
    <x v="19"/>
    <s v="M"/>
    <s v="Olive"/>
    <s v="Winter"/>
    <n v="3.7"/>
    <s v="Yes"/>
    <s v="Standard"/>
    <s v="Yes"/>
    <s v="Yes"/>
    <n v="11"/>
    <s v="Debit Card"/>
    <s v="Quarterly"/>
    <s v="Quarterly"/>
    <n v="5"/>
  </r>
  <r>
    <x v="750"/>
    <n v="25"/>
    <x v="0"/>
    <s v="T-shirt"/>
    <x v="0"/>
    <n v="95"/>
    <x v="33"/>
    <s v="L"/>
    <s v="Violet"/>
    <s v="Fall"/>
    <n v="3.4"/>
    <s v="Yes"/>
    <s v="Free Shipping"/>
    <s v="Yes"/>
    <s v="Yes"/>
    <n v="5"/>
    <s v="Venmo"/>
    <s v="Annually"/>
    <s v="Annually"/>
    <n v="6"/>
  </r>
  <r>
    <x v="751"/>
    <n v="65"/>
    <x v="0"/>
    <s v="Gloves"/>
    <x v="3"/>
    <n v="72"/>
    <x v="31"/>
    <s v="L"/>
    <s v="Indigo"/>
    <s v="Fall"/>
    <n v="4.8"/>
    <s v="Yes"/>
    <s v="Free Shipping"/>
    <s v="Yes"/>
    <s v="Yes"/>
    <n v="1"/>
    <s v="Credit Card"/>
    <s v="Monthly"/>
    <s v="Monthly"/>
    <n v="4"/>
  </r>
  <r>
    <x v="752"/>
    <n v="39"/>
    <x v="0"/>
    <s v="Scarf"/>
    <x v="3"/>
    <n v="85"/>
    <x v="31"/>
    <s v="L"/>
    <s v="Yellow"/>
    <s v="Fall"/>
    <n v="4.2"/>
    <s v="Yes"/>
    <s v="2-Day Shipping"/>
    <s v="Yes"/>
    <s v="Yes"/>
    <n v="17"/>
    <s v="PayPal"/>
    <s v="Every 3 Months"/>
    <s v="Quarterly"/>
    <n v="5"/>
  </r>
  <r>
    <x v="753"/>
    <n v="47"/>
    <x v="0"/>
    <s v="Boots"/>
    <x v="1"/>
    <n v="54"/>
    <x v="2"/>
    <s v="M"/>
    <s v="Teal"/>
    <s v="Fall"/>
    <n v="3.4"/>
    <s v="Yes"/>
    <s v="Store Pickup"/>
    <s v="Yes"/>
    <s v="Yes"/>
    <n v="27"/>
    <s v="Venmo"/>
    <s v="Quarterly"/>
    <s v="Quarterly"/>
    <n v="5"/>
  </r>
  <r>
    <x v="754"/>
    <n v="36"/>
    <x v="0"/>
    <s v="Gloves"/>
    <x v="3"/>
    <n v="41"/>
    <x v="17"/>
    <s v="L"/>
    <s v="Pink"/>
    <s v="Spring"/>
    <n v="2.9"/>
    <s v="Yes"/>
    <s v="Store Pickup"/>
    <s v="Yes"/>
    <s v="Yes"/>
    <n v="3"/>
    <s v="Debit Card"/>
    <s v="Quarterly"/>
    <s v="Quarterly"/>
    <n v="5"/>
  </r>
  <r>
    <x v="755"/>
    <n v="66"/>
    <x v="0"/>
    <s v="Coat"/>
    <x v="2"/>
    <n v="24"/>
    <x v="20"/>
    <s v="M"/>
    <s v="Violet"/>
    <s v="Spring"/>
    <n v="3.3"/>
    <s v="Yes"/>
    <s v="Free Shipping"/>
    <s v="Yes"/>
    <s v="Yes"/>
    <n v="22"/>
    <s v="PayPal"/>
    <s v="Weekly"/>
    <s v="Weekly"/>
    <n v="1"/>
  </r>
  <r>
    <x v="756"/>
    <n v="62"/>
    <x v="0"/>
    <s v="Belt"/>
    <x v="3"/>
    <n v="99"/>
    <x v="6"/>
    <s v="S"/>
    <s v="Orange"/>
    <s v="Summer"/>
    <n v="4.8"/>
    <s v="Yes"/>
    <s v="Standard"/>
    <s v="Yes"/>
    <s v="Yes"/>
    <n v="24"/>
    <s v="Cash"/>
    <s v="Fortnightly"/>
    <s v="Fortnightly"/>
    <n v="3"/>
  </r>
  <r>
    <x v="757"/>
    <n v="41"/>
    <x v="0"/>
    <s v="Hoodie"/>
    <x v="0"/>
    <n v="32"/>
    <x v="46"/>
    <s v="M"/>
    <s v="Red"/>
    <s v="Fall"/>
    <n v="3.8"/>
    <s v="Yes"/>
    <s v="Store Pickup"/>
    <s v="Yes"/>
    <s v="Yes"/>
    <n v="18"/>
    <s v="Debit Card"/>
    <s v="Quarterly"/>
    <s v="Quarterly"/>
    <n v="5"/>
  </r>
  <r>
    <x v="758"/>
    <n v="66"/>
    <x v="0"/>
    <s v="Shoes"/>
    <x v="1"/>
    <n v="71"/>
    <x v="2"/>
    <s v="L"/>
    <s v="Peach"/>
    <s v="Summer"/>
    <n v="4.5999999999999996"/>
    <s v="Yes"/>
    <s v="2-Day Shipping"/>
    <s v="Yes"/>
    <s v="Yes"/>
    <n v="39"/>
    <s v="Bank Transfer"/>
    <s v="Every 3 Months"/>
    <s v="Quarterly"/>
    <n v="5"/>
  </r>
  <r>
    <x v="759"/>
    <n v="51"/>
    <x v="0"/>
    <s v="Dress"/>
    <x v="0"/>
    <n v="49"/>
    <x v="3"/>
    <s v="XL"/>
    <s v="Green"/>
    <s v="Winter"/>
    <n v="2.6"/>
    <s v="Yes"/>
    <s v="Next Day Air"/>
    <s v="Yes"/>
    <s v="Yes"/>
    <n v="25"/>
    <s v="Credit Card"/>
    <s v="Fortnightly"/>
    <s v="Fortnightly"/>
    <n v="3"/>
  </r>
  <r>
    <x v="760"/>
    <n v="33"/>
    <x v="0"/>
    <s v="Gloves"/>
    <x v="3"/>
    <n v="50"/>
    <x v="46"/>
    <s v="XL"/>
    <s v="Violet"/>
    <s v="Fall"/>
    <n v="3.4"/>
    <s v="Yes"/>
    <s v="Free Shipping"/>
    <s v="Yes"/>
    <s v="Yes"/>
    <n v="6"/>
    <s v="Cash"/>
    <s v="Annually"/>
    <s v="Annually"/>
    <n v="6"/>
  </r>
  <r>
    <x v="761"/>
    <n v="57"/>
    <x v="0"/>
    <s v="Jewelry"/>
    <x v="3"/>
    <n v="91"/>
    <x v="22"/>
    <s v="L"/>
    <s v="Yellow"/>
    <s v="Fall"/>
    <n v="4.2"/>
    <s v="Yes"/>
    <s v="Express"/>
    <s v="Yes"/>
    <s v="Yes"/>
    <n v="26"/>
    <s v="Bank Transfer"/>
    <s v="Weekly"/>
    <s v="Weekly"/>
    <n v="1"/>
  </r>
  <r>
    <x v="762"/>
    <n v="45"/>
    <x v="0"/>
    <s v="Belt"/>
    <x v="3"/>
    <n v="46"/>
    <x v="35"/>
    <s v="M"/>
    <s v="Pink"/>
    <s v="Fall"/>
    <n v="3.9"/>
    <s v="Yes"/>
    <s v="Standard"/>
    <s v="Yes"/>
    <s v="Yes"/>
    <n v="43"/>
    <s v="Debit Card"/>
    <s v="Fortnightly"/>
    <s v="Fortnightly"/>
    <n v="3"/>
  </r>
  <r>
    <x v="763"/>
    <n v="61"/>
    <x v="0"/>
    <s v="Sweater"/>
    <x v="0"/>
    <n v="50"/>
    <x v="17"/>
    <s v="M"/>
    <s v="Brown"/>
    <s v="Spring"/>
    <n v="2.9"/>
    <s v="Yes"/>
    <s v="2-Day Shipping"/>
    <s v="Yes"/>
    <s v="Yes"/>
    <n v="6"/>
    <s v="Credit Card"/>
    <s v="Monthly"/>
    <s v="Monthly"/>
    <n v="4"/>
  </r>
  <r>
    <x v="764"/>
    <n v="55"/>
    <x v="0"/>
    <s v="Skirt"/>
    <x v="0"/>
    <n v="39"/>
    <x v="41"/>
    <s v="XL"/>
    <s v="Silver"/>
    <s v="Fall"/>
    <n v="4.2"/>
    <s v="Yes"/>
    <s v="Free Shipping"/>
    <s v="Yes"/>
    <s v="Yes"/>
    <n v="6"/>
    <s v="Debit Card"/>
    <s v="Quarterly"/>
    <s v="Quarterly"/>
    <n v="5"/>
  </r>
  <r>
    <x v="765"/>
    <n v="54"/>
    <x v="0"/>
    <s v="Sneakers"/>
    <x v="1"/>
    <n v="99"/>
    <x v="29"/>
    <s v="M"/>
    <s v="Pink"/>
    <s v="Summer"/>
    <n v="3"/>
    <s v="Yes"/>
    <s v="Store Pickup"/>
    <s v="Yes"/>
    <s v="Yes"/>
    <n v="13"/>
    <s v="Cash"/>
    <s v="Quarterly"/>
    <s v="Quarterly"/>
    <n v="5"/>
  </r>
  <r>
    <x v="766"/>
    <n v="57"/>
    <x v="0"/>
    <s v="Gloves"/>
    <x v="3"/>
    <n v="48"/>
    <x v="22"/>
    <s v="M"/>
    <s v="Cyan"/>
    <s v="Winter"/>
    <n v="3.6"/>
    <s v="Yes"/>
    <s v="Next Day Air"/>
    <s v="Yes"/>
    <s v="Yes"/>
    <n v="13"/>
    <s v="PayPal"/>
    <s v="Monthly"/>
    <s v="Monthly"/>
    <n v="4"/>
  </r>
  <r>
    <x v="767"/>
    <n v="27"/>
    <x v="0"/>
    <s v="Coat"/>
    <x v="2"/>
    <n v="77"/>
    <x v="38"/>
    <s v="M"/>
    <s v="Brown"/>
    <s v="Fall"/>
    <n v="2.5"/>
    <s v="Yes"/>
    <s v="Next Day Air"/>
    <s v="Yes"/>
    <s v="Yes"/>
    <n v="11"/>
    <s v="Cash"/>
    <s v="Annually"/>
    <s v="Annually"/>
    <n v="6"/>
  </r>
  <r>
    <x v="768"/>
    <n v="64"/>
    <x v="0"/>
    <s v="Backpack"/>
    <x v="3"/>
    <n v="95"/>
    <x v="26"/>
    <s v="XL"/>
    <s v="Red"/>
    <s v="Spring"/>
    <n v="2.6"/>
    <s v="Yes"/>
    <s v="Express"/>
    <s v="Yes"/>
    <s v="Yes"/>
    <n v="45"/>
    <s v="Venmo"/>
    <s v="Weekly"/>
    <s v="Weekly"/>
    <n v="1"/>
  </r>
  <r>
    <x v="769"/>
    <n v="52"/>
    <x v="0"/>
    <s v="Socks"/>
    <x v="0"/>
    <n v="100"/>
    <x v="12"/>
    <s v="M"/>
    <s v="Silver"/>
    <s v="Spring"/>
    <n v="4.3"/>
    <s v="Yes"/>
    <s v="Store Pickup"/>
    <s v="Yes"/>
    <s v="Yes"/>
    <n v="8"/>
    <s v="PayPal"/>
    <s v="Monthly"/>
    <s v="Monthly"/>
    <n v="4"/>
  </r>
  <r>
    <x v="770"/>
    <n v="19"/>
    <x v="0"/>
    <s v="Sneakers"/>
    <x v="1"/>
    <n v="54"/>
    <x v="34"/>
    <s v="M"/>
    <s v="Gray"/>
    <s v="Spring"/>
    <n v="3.3"/>
    <s v="Yes"/>
    <s v="Express"/>
    <s v="Yes"/>
    <s v="Yes"/>
    <n v="8"/>
    <s v="Credit Card"/>
    <s v="Annually"/>
    <s v="Annually"/>
    <n v="6"/>
  </r>
  <r>
    <x v="771"/>
    <n v="22"/>
    <x v="0"/>
    <s v="Sweater"/>
    <x v="0"/>
    <n v="68"/>
    <x v="11"/>
    <s v="L"/>
    <s v="Cyan"/>
    <s v="Fall"/>
    <n v="2.6"/>
    <s v="Yes"/>
    <s v="Next Day Air"/>
    <s v="Yes"/>
    <s v="Yes"/>
    <n v="34"/>
    <s v="Bank Transfer"/>
    <s v="Fortnightly"/>
    <s v="Fortnightly"/>
    <n v="3"/>
  </r>
  <r>
    <x v="772"/>
    <n v="18"/>
    <x v="0"/>
    <s v="Jeans"/>
    <x v="0"/>
    <n v="22"/>
    <x v="26"/>
    <s v="L"/>
    <s v="Teal"/>
    <s v="Fall"/>
    <n v="3.6"/>
    <s v="Yes"/>
    <s v="Free Shipping"/>
    <s v="Yes"/>
    <s v="Yes"/>
    <n v="40"/>
    <s v="Debit Card"/>
    <s v="Bi-Weekly"/>
    <s v="Bi-Weekly"/>
    <n v="2"/>
  </r>
  <r>
    <x v="773"/>
    <n v="29"/>
    <x v="0"/>
    <s v="Hat"/>
    <x v="3"/>
    <n v="84"/>
    <x v="18"/>
    <s v="L"/>
    <s v="Indigo"/>
    <s v="Winter"/>
    <n v="2.6"/>
    <s v="Yes"/>
    <s v="Express"/>
    <s v="Yes"/>
    <s v="Yes"/>
    <n v="14"/>
    <s v="Debit Card"/>
    <s v="Bi-Weekly"/>
    <s v="Bi-Weekly"/>
    <n v="2"/>
  </r>
  <r>
    <x v="774"/>
    <n v="42"/>
    <x v="0"/>
    <s v="Hat"/>
    <x v="3"/>
    <n v="46"/>
    <x v="22"/>
    <s v="M"/>
    <s v="Yellow"/>
    <s v="Summer"/>
    <n v="3.5"/>
    <s v="Yes"/>
    <s v="Standard"/>
    <s v="Yes"/>
    <s v="Yes"/>
    <n v="11"/>
    <s v="Credit Card"/>
    <s v="Quarterly"/>
    <s v="Quarterly"/>
    <n v="5"/>
  </r>
  <r>
    <x v="775"/>
    <n v="49"/>
    <x v="0"/>
    <s v="Handbag"/>
    <x v="3"/>
    <n v="53"/>
    <x v="0"/>
    <s v="S"/>
    <s v="Gold"/>
    <s v="Winter"/>
    <n v="3"/>
    <s v="Yes"/>
    <s v="Store Pickup"/>
    <s v="Yes"/>
    <s v="Yes"/>
    <n v="8"/>
    <s v="PayPal"/>
    <s v="Monthly"/>
    <s v="Monthly"/>
    <n v="4"/>
  </r>
  <r>
    <x v="776"/>
    <n v="49"/>
    <x v="0"/>
    <s v="Shirt"/>
    <x v="0"/>
    <n v="60"/>
    <x v="15"/>
    <s v="M"/>
    <s v="Maroon"/>
    <s v="Spring"/>
    <n v="5"/>
    <s v="Yes"/>
    <s v="Standard"/>
    <s v="Yes"/>
    <s v="Yes"/>
    <n v="8"/>
    <s v="Venmo"/>
    <s v="Every 3 Months"/>
    <s v="Quarterly"/>
    <n v="5"/>
  </r>
  <r>
    <x v="777"/>
    <n v="55"/>
    <x v="0"/>
    <s v="Socks"/>
    <x v="0"/>
    <n v="32"/>
    <x v="5"/>
    <s v="XL"/>
    <s v="Silver"/>
    <s v="Spring"/>
    <n v="2.5"/>
    <s v="Yes"/>
    <s v="Express"/>
    <s v="Yes"/>
    <s v="Yes"/>
    <n v="37"/>
    <s v="Venmo"/>
    <s v="Weekly"/>
    <s v="Weekly"/>
    <n v="1"/>
  </r>
  <r>
    <x v="778"/>
    <n v="29"/>
    <x v="0"/>
    <s v="Socks"/>
    <x v="0"/>
    <n v="50"/>
    <x v="2"/>
    <s v="M"/>
    <s v="Yellow"/>
    <s v="Summer"/>
    <n v="2.9"/>
    <s v="Yes"/>
    <s v="Store Pickup"/>
    <s v="Yes"/>
    <s v="Yes"/>
    <n v="23"/>
    <s v="Debit Card"/>
    <s v="Annually"/>
    <s v="Annually"/>
    <n v="6"/>
  </r>
  <r>
    <x v="779"/>
    <n v="60"/>
    <x v="0"/>
    <s v="Dress"/>
    <x v="0"/>
    <n v="94"/>
    <x v="40"/>
    <s v="M"/>
    <s v="Blue"/>
    <s v="Spring"/>
    <n v="4.5999999999999996"/>
    <s v="Yes"/>
    <s v="Express"/>
    <s v="Yes"/>
    <s v="Yes"/>
    <n v="38"/>
    <s v="Cash"/>
    <s v="Annually"/>
    <s v="Annually"/>
    <n v="6"/>
  </r>
  <r>
    <x v="780"/>
    <n v="34"/>
    <x v="0"/>
    <s v="Shoes"/>
    <x v="1"/>
    <n v="26"/>
    <x v="14"/>
    <s v="M"/>
    <s v="Turquoise"/>
    <s v="Spring"/>
    <n v="3.6"/>
    <s v="Yes"/>
    <s v="Free Shipping"/>
    <s v="Yes"/>
    <s v="Yes"/>
    <n v="38"/>
    <s v="Cash"/>
    <s v="Quarterly"/>
    <s v="Quarterly"/>
    <n v="5"/>
  </r>
  <r>
    <x v="781"/>
    <n v="30"/>
    <x v="0"/>
    <s v="Scarf"/>
    <x v="3"/>
    <n v="44"/>
    <x v="34"/>
    <s v="L"/>
    <s v="Indigo"/>
    <s v="Winter"/>
    <n v="3"/>
    <s v="Yes"/>
    <s v="Store Pickup"/>
    <s v="Yes"/>
    <s v="Yes"/>
    <n v="12"/>
    <s v="Credit Card"/>
    <s v="Fortnightly"/>
    <s v="Fortnightly"/>
    <n v="3"/>
  </r>
  <r>
    <x v="782"/>
    <n v="28"/>
    <x v="0"/>
    <s v="Hoodie"/>
    <x v="0"/>
    <n v="57"/>
    <x v="11"/>
    <s v="M"/>
    <s v="Green"/>
    <s v="Summer"/>
    <n v="4.5"/>
    <s v="Yes"/>
    <s v="Standard"/>
    <s v="Yes"/>
    <s v="Yes"/>
    <n v="15"/>
    <s v="Cash"/>
    <s v="Weekly"/>
    <s v="Weekly"/>
    <n v="1"/>
  </r>
  <r>
    <x v="783"/>
    <n v="63"/>
    <x v="0"/>
    <s v="T-shirt"/>
    <x v="0"/>
    <n v="65"/>
    <x v="7"/>
    <s v="L"/>
    <s v="Purple"/>
    <s v="Winter"/>
    <n v="4.5"/>
    <s v="Yes"/>
    <s v="Next Day Air"/>
    <s v="Yes"/>
    <s v="Yes"/>
    <n v="38"/>
    <s v="PayPal"/>
    <s v="Fortnightly"/>
    <s v="Fortnightly"/>
    <n v="3"/>
  </r>
  <r>
    <x v="784"/>
    <n v="31"/>
    <x v="0"/>
    <s v="Jeans"/>
    <x v="0"/>
    <n v="72"/>
    <x v="15"/>
    <s v="M"/>
    <s v="Peach"/>
    <s v="Winter"/>
    <n v="3.2"/>
    <s v="Yes"/>
    <s v="Store Pickup"/>
    <s v="Yes"/>
    <s v="Yes"/>
    <n v="41"/>
    <s v="Bank Transfer"/>
    <s v="Every 3 Months"/>
    <s v="Quarterly"/>
    <n v="5"/>
  </r>
  <r>
    <x v="785"/>
    <n v="46"/>
    <x v="0"/>
    <s v="Shorts"/>
    <x v="0"/>
    <n v="62"/>
    <x v="7"/>
    <s v="S"/>
    <s v="Purple"/>
    <s v="Spring"/>
    <n v="4"/>
    <s v="Yes"/>
    <s v="Next Day Air"/>
    <s v="Yes"/>
    <s v="Yes"/>
    <n v="37"/>
    <s v="PayPal"/>
    <s v="Fortnightly"/>
    <s v="Fortnightly"/>
    <n v="3"/>
  </r>
  <r>
    <x v="786"/>
    <n v="70"/>
    <x v="0"/>
    <s v="Hat"/>
    <x v="3"/>
    <n v="21"/>
    <x v="27"/>
    <s v="S"/>
    <s v="Teal"/>
    <s v="Winter"/>
    <n v="4.8"/>
    <s v="Yes"/>
    <s v="Express"/>
    <s v="Yes"/>
    <s v="Yes"/>
    <n v="16"/>
    <s v="Bank Transfer"/>
    <s v="Every 3 Months"/>
    <s v="Quarterly"/>
    <n v="5"/>
  </r>
  <r>
    <x v="787"/>
    <n v="53"/>
    <x v="0"/>
    <s v="Handbag"/>
    <x v="3"/>
    <n v="85"/>
    <x v="49"/>
    <s v="S"/>
    <s v="Green"/>
    <s v="Spring"/>
    <n v="3.7"/>
    <s v="Yes"/>
    <s v="Free Shipping"/>
    <s v="Yes"/>
    <s v="Yes"/>
    <n v="25"/>
    <s v="Venmo"/>
    <s v="Weekly"/>
    <s v="Weekly"/>
    <n v="1"/>
  </r>
  <r>
    <x v="788"/>
    <n v="50"/>
    <x v="0"/>
    <s v="Pants"/>
    <x v="0"/>
    <n v="51"/>
    <x v="3"/>
    <s v="XL"/>
    <s v="Yellow"/>
    <s v="Summer"/>
    <n v="3.8"/>
    <s v="Yes"/>
    <s v="Store Pickup"/>
    <s v="Yes"/>
    <s v="Yes"/>
    <n v="18"/>
    <s v="Bank Transfer"/>
    <s v="Quarterly"/>
    <s v="Quarterly"/>
    <n v="5"/>
  </r>
  <r>
    <x v="789"/>
    <n v="33"/>
    <x v="0"/>
    <s v="Handbag"/>
    <x v="3"/>
    <n v="84"/>
    <x v="37"/>
    <s v="S"/>
    <s v="Purple"/>
    <s v="Fall"/>
    <n v="2.7"/>
    <s v="Yes"/>
    <s v="Standard"/>
    <s v="Yes"/>
    <s v="Yes"/>
    <n v="4"/>
    <s v="Credit Card"/>
    <s v="Bi-Weekly"/>
    <s v="Bi-Weekly"/>
    <n v="2"/>
  </r>
  <r>
    <x v="790"/>
    <n v="22"/>
    <x v="0"/>
    <s v="Sweater"/>
    <x v="0"/>
    <n v="37"/>
    <x v="7"/>
    <s v="M"/>
    <s v="Indigo"/>
    <s v="Summer"/>
    <n v="4.9000000000000004"/>
    <s v="Yes"/>
    <s v="Store Pickup"/>
    <s v="Yes"/>
    <s v="Yes"/>
    <n v="12"/>
    <s v="Bank Transfer"/>
    <s v="Quarterly"/>
    <s v="Quarterly"/>
    <n v="5"/>
  </r>
  <r>
    <x v="791"/>
    <n v="50"/>
    <x v="0"/>
    <s v="Scarf"/>
    <x v="3"/>
    <n v="44"/>
    <x v="17"/>
    <s v="S"/>
    <s v="Magenta"/>
    <s v="Summer"/>
    <n v="3.1"/>
    <s v="Yes"/>
    <s v="2-Day Shipping"/>
    <s v="Yes"/>
    <s v="Yes"/>
    <n v="35"/>
    <s v="PayPal"/>
    <s v="Fortnightly"/>
    <s v="Fortnightly"/>
    <n v="3"/>
  </r>
  <r>
    <x v="792"/>
    <n v="34"/>
    <x v="0"/>
    <s v="Sneakers"/>
    <x v="1"/>
    <n v="45"/>
    <x v="32"/>
    <s v="M"/>
    <s v="Violet"/>
    <s v="Spring"/>
    <n v="4.2"/>
    <s v="Yes"/>
    <s v="Next Day Air"/>
    <s v="Yes"/>
    <s v="Yes"/>
    <n v="45"/>
    <s v="Venmo"/>
    <s v="Weekly"/>
    <s v="Weekly"/>
    <n v="1"/>
  </r>
  <r>
    <x v="793"/>
    <n v="24"/>
    <x v="0"/>
    <s v="Pants"/>
    <x v="0"/>
    <n v="35"/>
    <x v="15"/>
    <s v="L"/>
    <s v="Maroon"/>
    <s v="Summer"/>
    <n v="3.8"/>
    <s v="Yes"/>
    <s v="Free Shipping"/>
    <s v="Yes"/>
    <s v="Yes"/>
    <n v="16"/>
    <s v="Credit Card"/>
    <s v="Monthly"/>
    <s v="Monthly"/>
    <n v="4"/>
  </r>
  <r>
    <x v="794"/>
    <n v="69"/>
    <x v="0"/>
    <s v="Backpack"/>
    <x v="3"/>
    <n v="50"/>
    <x v="0"/>
    <s v="XL"/>
    <s v="Yellow"/>
    <s v="Winter"/>
    <n v="4.2"/>
    <s v="Yes"/>
    <s v="Store Pickup"/>
    <s v="Yes"/>
    <s v="Yes"/>
    <n v="10"/>
    <s v="Debit Card"/>
    <s v="Fortnightly"/>
    <s v="Fortnightly"/>
    <n v="3"/>
  </r>
  <r>
    <x v="795"/>
    <n v="39"/>
    <x v="0"/>
    <s v="Sandals"/>
    <x v="1"/>
    <n v="26"/>
    <x v="14"/>
    <s v="M"/>
    <s v="Beige"/>
    <s v="Summer"/>
    <n v="4.5999999999999996"/>
    <s v="Yes"/>
    <s v="Store Pickup"/>
    <s v="Yes"/>
    <s v="Yes"/>
    <n v="34"/>
    <s v="Venmo"/>
    <s v="Annually"/>
    <s v="Annually"/>
    <n v="6"/>
  </r>
  <r>
    <x v="796"/>
    <n v="42"/>
    <x v="0"/>
    <s v="Socks"/>
    <x v="0"/>
    <n v="78"/>
    <x v="28"/>
    <s v="XL"/>
    <s v="Black"/>
    <s v="Fall"/>
    <n v="4"/>
    <s v="Yes"/>
    <s v="2-Day Shipping"/>
    <s v="Yes"/>
    <s v="Yes"/>
    <n v="43"/>
    <s v="Credit Card"/>
    <s v="Annually"/>
    <s v="Annually"/>
    <n v="6"/>
  </r>
  <r>
    <x v="797"/>
    <n v="42"/>
    <x v="0"/>
    <s v="Coat"/>
    <x v="2"/>
    <n v="82"/>
    <x v="33"/>
    <s v="M"/>
    <s v="Violet"/>
    <s v="Fall"/>
    <n v="4"/>
    <s v="Yes"/>
    <s v="2-Day Shipping"/>
    <s v="Yes"/>
    <s v="Yes"/>
    <n v="38"/>
    <s v="Debit Card"/>
    <s v="Weekly"/>
    <s v="Weekly"/>
    <n v="1"/>
  </r>
  <r>
    <x v="798"/>
    <n v="29"/>
    <x v="0"/>
    <s v="Socks"/>
    <x v="0"/>
    <n v="39"/>
    <x v="29"/>
    <s v="M"/>
    <s v="Violet"/>
    <s v="Spring"/>
    <n v="3.8"/>
    <s v="Yes"/>
    <s v="2-Day Shipping"/>
    <s v="Yes"/>
    <s v="Yes"/>
    <n v="48"/>
    <s v="PayPal"/>
    <s v="Every 3 Months"/>
    <s v="Quarterly"/>
    <n v="5"/>
  </r>
  <r>
    <x v="799"/>
    <n v="55"/>
    <x v="0"/>
    <s v="Belt"/>
    <x v="3"/>
    <n v="55"/>
    <x v="22"/>
    <s v="L"/>
    <s v="Brown"/>
    <s v="Summer"/>
    <n v="3.3"/>
    <s v="Yes"/>
    <s v="Free Shipping"/>
    <s v="Yes"/>
    <s v="Yes"/>
    <n v="31"/>
    <s v="PayPal"/>
    <s v="Annually"/>
    <s v="Annually"/>
    <n v="6"/>
  </r>
  <r>
    <x v="800"/>
    <n v="32"/>
    <x v="0"/>
    <s v="Socks"/>
    <x v="0"/>
    <n v="20"/>
    <x v="40"/>
    <s v="S"/>
    <s v="Gold"/>
    <s v="Summer"/>
    <n v="2.6"/>
    <s v="Yes"/>
    <s v="Free Shipping"/>
    <s v="Yes"/>
    <s v="Yes"/>
    <n v="20"/>
    <s v="Cash"/>
    <s v="Every 3 Months"/>
    <s v="Quarterly"/>
    <n v="5"/>
  </r>
  <r>
    <x v="801"/>
    <n v="25"/>
    <x v="0"/>
    <s v="Belt"/>
    <x v="3"/>
    <n v="29"/>
    <x v="35"/>
    <s v="L"/>
    <s v="Blue"/>
    <s v="Fall"/>
    <n v="4.9000000000000004"/>
    <s v="Yes"/>
    <s v="Express"/>
    <s v="Yes"/>
    <s v="Yes"/>
    <n v="12"/>
    <s v="Credit Card"/>
    <s v="Fortnightly"/>
    <s v="Fortnightly"/>
    <n v="3"/>
  </r>
  <r>
    <x v="802"/>
    <n v="38"/>
    <x v="0"/>
    <s v="Pants"/>
    <x v="0"/>
    <n v="41"/>
    <x v="12"/>
    <s v="M"/>
    <s v="Teal"/>
    <s v="Winter"/>
    <n v="3.5"/>
    <s v="Yes"/>
    <s v="Next Day Air"/>
    <s v="Yes"/>
    <s v="Yes"/>
    <n v="2"/>
    <s v="Bank Transfer"/>
    <s v="Weekly"/>
    <s v="Weekly"/>
    <n v="1"/>
  </r>
  <r>
    <x v="803"/>
    <n v="32"/>
    <x v="0"/>
    <s v="Shorts"/>
    <x v="0"/>
    <n v="38"/>
    <x v="39"/>
    <s v="L"/>
    <s v="Silver"/>
    <s v="Winter"/>
    <n v="2.8"/>
    <s v="Yes"/>
    <s v="Express"/>
    <s v="Yes"/>
    <s v="Yes"/>
    <n v="30"/>
    <s v="Venmo"/>
    <s v="Every 3 Months"/>
    <s v="Quarterly"/>
    <n v="5"/>
  </r>
  <r>
    <x v="804"/>
    <n v="43"/>
    <x v="0"/>
    <s v="Boots"/>
    <x v="1"/>
    <n v="47"/>
    <x v="16"/>
    <s v="M"/>
    <s v="Maroon"/>
    <s v="Summer"/>
    <n v="2.6"/>
    <s v="Yes"/>
    <s v="Store Pickup"/>
    <s v="Yes"/>
    <s v="Yes"/>
    <n v="28"/>
    <s v="Venmo"/>
    <s v="Quarterly"/>
    <s v="Quarterly"/>
    <n v="5"/>
  </r>
  <r>
    <x v="805"/>
    <n v="41"/>
    <x v="0"/>
    <s v="Dress"/>
    <x v="0"/>
    <n v="30"/>
    <x v="39"/>
    <s v="L"/>
    <s v="White"/>
    <s v="Summer"/>
    <n v="3.7"/>
    <s v="Yes"/>
    <s v="Next Day Air"/>
    <s v="Yes"/>
    <s v="Yes"/>
    <n v="40"/>
    <s v="Debit Card"/>
    <s v="Monthly"/>
    <s v="Monthly"/>
    <n v="4"/>
  </r>
  <r>
    <x v="806"/>
    <n v="56"/>
    <x v="0"/>
    <s v="Jeans"/>
    <x v="0"/>
    <n v="56"/>
    <x v="20"/>
    <s v="L"/>
    <s v="Charcoal"/>
    <s v="Summer"/>
    <n v="2.7"/>
    <s v="Yes"/>
    <s v="Standard"/>
    <s v="Yes"/>
    <s v="Yes"/>
    <n v="46"/>
    <s v="PayPal"/>
    <s v="Quarterly"/>
    <s v="Quarterly"/>
    <n v="5"/>
  </r>
  <r>
    <x v="807"/>
    <n v="27"/>
    <x v="0"/>
    <s v="T-shirt"/>
    <x v="0"/>
    <n v="89"/>
    <x v="14"/>
    <s v="S"/>
    <s v="Brown"/>
    <s v="Winter"/>
    <n v="3.3"/>
    <s v="Yes"/>
    <s v="Express"/>
    <s v="Yes"/>
    <s v="Yes"/>
    <n v="15"/>
    <s v="Credit Card"/>
    <s v="Weekly"/>
    <s v="Weekly"/>
    <n v="1"/>
  </r>
  <r>
    <x v="808"/>
    <n v="46"/>
    <x v="0"/>
    <s v="Shoes"/>
    <x v="1"/>
    <n v="96"/>
    <x v="48"/>
    <s v="L"/>
    <s v="Lavender"/>
    <s v="Fall"/>
    <n v="4.5999999999999996"/>
    <s v="Yes"/>
    <s v="Next Day Air"/>
    <s v="Yes"/>
    <s v="Yes"/>
    <n v="38"/>
    <s v="Cash"/>
    <s v="Every 3 Months"/>
    <s v="Quarterly"/>
    <n v="5"/>
  </r>
  <r>
    <x v="809"/>
    <n v="48"/>
    <x v="0"/>
    <s v="Boots"/>
    <x v="1"/>
    <n v="81"/>
    <x v="36"/>
    <s v="M"/>
    <s v="Violet"/>
    <s v="Fall"/>
    <n v="4.9000000000000004"/>
    <s v="Yes"/>
    <s v="Next Day Air"/>
    <s v="Yes"/>
    <s v="Yes"/>
    <n v="30"/>
    <s v="PayPal"/>
    <s v="Bi-Weekly"/>
    <s v="Bi-Weekly"/>
    <n v="2"/>
  </r>
  <r>
    <x v="810"/>
    <n v="52"/>
    <x v="0"/>
    <s v="Scarf"/>
    <x v="3"/>
    <n v="83"/>
    <x v="45"/>
    <s v="S"/>
    <s v="Lavender"/>
    <s v="Fall"/>
    <n v="4.9000000000000004"/>
    <s v="Yes"/>
    <s v="Store Pickup"/>
    <s v="Yes"/>
    <s v="Yes"/>
    <n v="32"/>
    <s v="Debit Card"/>
    <s v="Bi-Weekly"/>
    <s v="Bi-Weekly"/>
    <n v="2"/>
  </r>
  <r>
    <x v="811"/>
    <n v="18"/>
    <x v="0"/>
    <s v="Sneakers"/>
    <x v="1"/>
    <n v="35"/>
    <x v="26"/>
    <s v="M"/>
    <s v="Green"/>
    <s v="Winter"/>
    <n v="2.7"/>
    <s v="Yes"/>
    <s v="Free Shipping"/>
    <s v="Yes"/>
    <s v="Yes"/>
    <n v="36"/>
    <s v="Venmo"/>
    <s v="Quarterly"/>
    <s v="Quarterly"/>
    <n v="5"/>
  </r>
  <r>
    <x v="812"/>
    <n v="64"/>
    <x v="0"/>
    <s v="Boots"/>
    <x v="1"/>
    <n v="56"/>
    <x v="29"/>
    <s v="M"/>
    <s v="Olive"/>
    <s v="Summer"/>
    <n v="3.2"/>
    <s v="Yes"/>
    <s v="Standard"/>
    <s v="Yes"/>
    <s v="Yes"/>
    <n v="32"/>
    <s v="Credit Card"/>
    <s v="Weekly"/>
    <s v="Weekly"/>
    <n v="1"/>
  </r>
  <r>
    <x v="813"/>
    <n v="54"/>
    <x v="0"/>
    <s v="Handbag"/>
    <x v="3"/>
    <n v="45"/>
    <x v="6"/>
    <s v="S"/>
    <s v="Olive"/>
    <s v="Summer"/>
    <n v="2.9"/>
    <s v="Yes"/>
    <s v="Store Pickup"/>
    <s v="Yes"/>
    <s v="Yes"/>
    <n v="14"/>
    <s v="Debit Card"/>
    <s v="Annually"/>
    <s v="Annually"/>
    <n v="6"/>
  </r>
  <r>
    <x v="814"/>
    <n v="31"/>
    <x v="0"/>
    <s v="Shirt"/>
    <x v="0"/>
    <n v="62"/>
    <x v="46"/>
    <s v="M"/>
    <s v="Pink"/>
    <s v="Winter"/>
    <n v="3.8"/>
    <s v="Yes"/>
    <s v="Express"/>
    <s v="Yes"/>
    <s v="Yes"/>
    <n v="8"/>
    <s v="PayPal"/>
    <s v="Monthly"/>
    <s v="Monthly"/>
    <n v="4"/>
  </r>
  <r>
    <x v="815"/>
    <n v="30"/>
    <x v="0"/>
    <s v="Hat"/>
    <x v="3"/>
    <n v="84"/>
    <x v="8"/>
    <s v="L"/>
    <s v="Teal"/>
    <s v="Spring"/>
    <n v="3"/>
    <s v="Yes"/>
    <s v="Next Day Air"/>
    <s v="Yes"/>
    <s v="Yes"/>
    <n v="27"/>
    <s v="Venmo"/>
    <s v="Bi-Weekly"/>
    <s v="Bi-Weekly"/>
    <n v="2"/>
  </r>
  <r>
    <x v="816"/>
    <n v="26"/>
    <x v="0"/>
    <s v="Sweater"/>
    <x v="0"/>
    <n v="24"/>
    <x v="26"/>
    <s v="L"/>
    <s v="Cyan"/>
    <s v="Summer"/>
    <n v="3.9"/>
    <s v="Yes"/>
    <s v="Store Pickup"/>
    <s v="Yes"/>
    <s v="Yes"/>
    <n v="24"/>
    <s v="Debit Card"/>
    <s v="Monthly"/>
    <s v="Monthly"/>
    <n v="4"/>
  </r>
  <r>
    <x v="817"/>
    <n v="25"/>
    <x v="0"/>
    <s v="Handbag"/>
    <x v="3"/>
    <n v="21"/>
    <x v="22"/>
    <s v="S"/>
    <s v="Gray"/>
    <s v="Spring"/>
    <n v="4.7"/>
    <s v="Yes"/>
    <s v="Store Pickup"/>
    <s v="Yes"/>
    <s v="Yes"/>
    <n v="30"/>
    <s v="PayPal"/>
    <s v="Fortnightly"/>
    <s v="Fortnightly"/>
    <n v="3"/>
  </r>
  <r>
    <x v="818"/>
    <n v="59"/>
    <x v="0"/>
    <s v="Shirt"/>
    <x v="0"/>
    <n v="91"/>
    <x v="37"/>
    <s v="M"/>
    <s v="Peach"/>
    <s v="Winter"/>
    <n v="4.9000000000000004"/>
    <s v="Yes"/>
    <s v="Store Pickup"/>
    <s v="Yes"/>
    <s v="Yes"/>
    <n v="34"/>
    <s v="Debit Card"/>
    <s v="Monthly"/>
    <s v="Monthly"/>
    <n v="4"/>
  </r>
  <r>
    <x v="819"/>
    <n v="55"/>
    <x v="0"/>
    <s v="Sunglasses"/>
    <x v="3"/>
    <n v="36"/>
    <x v="24"/>
    <s v="S"/>
    <s v="Teal"/>
    <s v="Winter"/>
    <n v="4.8"/>
    <s v="Yes"/>
    <s v="Next Day Air"/>
    <s v="Yes"/>
    <s v="Yes"/>
    <n v="28"/>
    <s v="Debit Card"/>
    <s v="Quarterly"/>
    <s v="Quarterly"/>
    <n v="5"/>
  </r>
  <r>
    <x v="820"/>
    <n v="56"/>
    <x v="0"/>
    <s v="Sneakers"/>
    <x v="1"/>
    <n v="39"/>
    <x v="7"/>
    <s v="M"/>
    <s v="Turquoise"/>
    <s v="Spring"/>
    <n v="2.5"/>
    <s v="Yes"/>
    <s v="2-Day Shipping"/>
    <s v="Yes"/>
    <s v="Yes"/>
    <n v="27"/>
    <s v="Debit Card"/>
    <s v="Monthly"/>
    <s v="Monthly"/>
    <n v="4"/>
  </r>
  <r>
    <x v="821"/>
    <n v="62"/>
    <x v="0"/>
    <s v="Hoodie"/>
    <x v="0"/>
    <n v="39"/>
    <x v="34"/>
    <s v="M"/>
    <s v="Green"/>
    <s v="Spring"/>
    <n v="3.9"/>
    <s v="Yes"/>
    <s v="Standard"/>
    <s v="Yes"/>
    <s v="Yes"/>
    <n v="31"/>
    <s v="Credit Card"/>
    <s v="Bi-Weekly"/>
    <s v="Bi-Weekly"/>
    <n v="2"/>
  </r>
  <r>
    <x v="822"/>
    <n v="35"/>
    <x v="0"/>
    <s v="Shirt"/>
    <x v="0"/>
    <n v="59"/>
    <x v="16"/>
    <s v="L"/>
    <s v="Magenta"/>
    <s v="Winter"/>
    <n v="3.4"/>
    <s v="Yes"/>
    <s v="Standard"/>
    <s v="Yes"/>
    <s v="Yes"/>
    <n v="23"/>
    <s v="Bank Transfer"/>
    <s v="Annually"/>
    <s v="Annually"/>
    <n v="6"/>
  </r>
  <r>
    <x v="823"/>
    <n v="51"/>
    <x v="0"/>
    <s v="Sunglasses"/>
    <x v="3"/>
    <n v="27"/>
    <x v="42"/>
    <s v="M"/>
    <s v="Green"/>
    <s v="Winter"/>
    <n v="2.5"/>
    <s v="Yes"/>
    <s v="Free Shipping"/>
    <s v="Yes"/>
    <s v="Yes"/>
    <n v="11"/>
    <s v="Credit Card"/>
    <s v="Quarterly"/>
    <s v="Quarterly"/>
    <n v="5"/>
  </r>
  <r>
    <x v="824"/>
    <n v="61"/>
    <x v="0"/>
    <s v="Blouse"/>
    <x v="0"/>
    <n v="94"/>
    <x v="42"/>
    <s v="M"/>
    <s v="White"/>
    <s v="Spring"/>
    <n v="3"/>
    <s v="Yes"/>
    <s v="Store Pickup"/>
    <s v="Yes"/>
    <s v="Yes"/>
    <n v="48"/>
    <s v="Cash"/>
    <s v="Quarterly"/>
    <s v="Quarterly"/>
    <n v="5"/>
  </r>
  <r>
    <x v="825"/>
    <n v="27"/>
    <x v="0"/>
    <s v="Belt"/>
    <x v="3"/>
    <n v="94"/>
    <x v="43"/>
    <s v="XL"/>
    <s v="Brown"/>
    <s v="Fall"/>
    <n v="3.6"/>
    <s v="Yes"/>
    <s v="Next Day Air"/>
    <s v="Yes"/>
    <s v="Yes"/>
    <n v="17"/>
    <s v="Cash"/>
    <s v="Monthly"/>
    <s v="Monthly"/>
    <n v="4"/>
  </r>
  <r>
    <x v="826"/>
    <n v="54"/>
    <x v="0"/>
    <s v="Dress"/>
    <x v="0"/>
    <n v="94"/>
    <x v="2"/>
    <s v="M"/>
    <s v="Purple"/>
    <s v="Winter"/>
    <n v="3.6"/>
    <s v="Yes"/>
    <s v="Standard"/>
    <s v="Yes"/>
    <s v="Yes"/>
    <n v="36"/>
    <s v="PayPal"/>
    <s v="Weekly"/>
    <s v="Weekly"/>
    <n v="1"/>
  </r>
  <r>
    <x v="827"/>
    <n v="31"/>
    <x v="0"/>
    <s v="Shoes"/>
    <x v="1"/>
    <n v="51"/>
    <x v="24"/>
    <s v="S"/>
    <s v="Green"/>
    <s v="Fall"/>
    <n v="4.0999999999999996"/>
    <s v="Yes"/>
    <s v="Free Shipping"/>
    <s v="Yes"/>
    <s v="Yes"/>
    <n v="33"/>
    <s v="Bank Transfer"/>
    <s v="Fortnightly"/>
    <s v="Fortnightly"/>
    <n v="3"/>
  </r>
  <r>
    <x v="828"/>
    <n v="24"/>
    <x v="0"/>
    <s v="Socks"/>
    <x v="0"/>
    <n v="62"/>
    <x v="22"/>
    <s v="M"/>
    <s v="Peach"/>
    <s v="Fall"/>
    <n v="3.7"/>
    <s v="Yes"/>
    <s v="2-Day Shipping"/>
    <s v="Yes"/>
    <s v="Yes"/>
    <n v="27"/>
    <s v="PayPal"/>
    <s v="Bi-Weekly"/>
    <s v="Bi-Weekly"/>
    <n v="2"/>
  </r>
  <r>
    <x v="829"/>
    <n v="42"/>
    <x v="0"/>
    <s v="Socks"/>
    <x v="0"/>
    <n v="57"/>
    <x v="37"/>
    <s v="S"/>
    <s v="Silver"/>
    <s v="Spring"/>
    <n v="3.1"/>
    <s v="Yes"/>
    <s v="2-Day Shipping"/>
    <s v="Yes"/>
    <s v="Yes"/>
    <n v="14"/>
    <s v="Credit Card"/>
    <s v="Fortnightly"/>
    <s v="Fortnightly"/>
    <n v="3"/>
  </r>
  <r>
    <x v="830"/>
    <n v="41"/>
    <x v="0"/>
    <s v="Shorts"/>
    <x v="0"/>
    <n v="76"/>
    <x v="5"/>
    <s v="M"/>
    <s v="Maroon"/>
    <s v="Fall"/>
    <n v="4.2"/>
    <s v="Yes"/>
    <s v="Express"/>
    <s v="Yes"/>
    <s v="Yes"/>
    <n v="5"/>
    <s v="Credit Card"/>
    <s v="Annually"/>
    <s v="Annually"/>
    <n v="6"/>
  </r>
  <r>
    <x v="831"/>
    <n v="66"/>
    <x v="0"/>
    <s v="Gloves"/>
    <x v="3"/>
    <n v="63"/>
    <x v="47"/>
    <s v="M"/>
    <s v="Red"/>
    <s v="Summer"/>
    <n v="4.3"/>
    <s v="Yes"/>
    <s v="Express"/>
    <s v="Yes"/>
    <s v="Yes"/>
    <n v="47"/>
    <s v="Cash"/>
    <s v="Every 3 Months"/>
    <s v="Quarterly"/>
    <n v="5"/>
  </r>
  <r>
    <x v="832"/>
    <n v="58"/>
    <x v="0"/>
    <s v="Jacket"/>
    <x v="2"/>
    <n v="80"/>
    <x v="18"/>
    <s v="L"/>
    <s v="Blue"/>
    <s v="Fall"/>
    <n v="2.5"/>
    <s v="Yes"/>
    <s v="Express"/>
    <s v="Yes"/>
    <s v="Yes"/>
    <n v="28"/>
    <s v="Cash"/>
    <s v="Bi-Weekly"/>
    <s v="Bi-Weekly"/>
    <n v="2"/>
  </r>
  <r>
    <x v="833"/>
    <n v="43"/>
    <x v="0"/>
    <s v="Handbag"/>
    <x v="3"/>
    <n v="68"/>
    <x v="19"/>
    <s v="M"/>
    <s v="Purple"/>
    <s v="Fall"/>
    <n v="3.5"/>
    <s v="Yes"/>
    <s v="Standard"/>
    <s v="Yes"/>
    <s v="Yes"/>
    <n v="11"/>
    <s v="Credit Card"/>
    <s v="Annually"/>
    <s v="Annually"/>
    <n v="6"/>
  </r>
  <r>
    <x v="834"/>
    <n v="52"/>
    <x v="0"/>
    <s v="Backpack"/>
    <x v="3"/>
    <n v="89"/>
    <x v="22"/>
    <s v="M"/>
    <s v="Indigo"/>
    <s v="Summer"/>
    <n v="3.1"/>
    <s v="Yes"/>
    <s v="Free Shipping"/>
    <s v="Yes"/>
    <s v="Yes"/>
    <n v="18"/>
    <s v="Credit Card"/>
    <s v="Weekly"/>
    <s v="Weekly"/>
    <n v="1"/>
  </r>
  <r>
    <x v="835"/>
    <n v="35"/>
    <x v="0"/>
    <s v="Boots"/>
    <x v="1"/>
    <n v="26"/>
    <x v="33"/>
    <s v="L"/>
    <s v="Indigo"/>
    <s v="Summer"/>
    <n v="2.5"/>
    <s v="Yes"/>
    <s v="Next Day Air"/>
    <s v="Yes"/>
    <s v="Yes"/>
    <n v="21"/>
    <s v="Debit Card"/>
    <s v="Weekly"/>
    <s v="Weekly"/>
    <n v="1"/>
  </r>
  <r>
    <x v="836"/>
    <n v="23"/>
    <x v="0"/>
    <s v="Gloves"/>
    <x v="3"/>
    <n v="90"/>
    <x v="8"/>
    <s v="L"/>
    <s v="Violet"/>
    <s v="Winter"/>
    <n v="3.9"/>
    <s v="Yes"/>
    <s v="Store Pickup"/>
    <s v="Yes"/>
    <s v="Yes"/>
    <n v="22"/>
    <s v="Cash"/>
    <s v="Bi-Weekly"/>
    <s v="Bi-Weekly"/>
    <n v="2"/>
  </r>
  <r>
    <x v="837"/>
    <n v="25"/>
    <x v="0"/>
    <s v="Hoodie"/>
    <x v="0"/>
    <n v="28"/>
    <x v="26"/>
    <s v="L"/>
    <s v="Brown"/>
    <s v="Spring"/>
    <n v="4.9000000000000004"/>
    <s v="Yes"/>
    <s v="Express"/>
    <s v="Yes"/>
    <s v="Yes"/>
    <n v="33"/>
    <s v="Cash"/>
    <s v="Every 3 Months"/>
    <s v="Quarterly"/>
    <n v="5"/>
  </r>
  <r>
    <x v="838"/>
    <n v="33"/>
    <x v="0"/>
    <s v="Coat"/>
    <x v="2"/>
    <n v="29"/>
    <x v="0"/>
    <s v="M"/>
    <s v="Gray"/>
    <s v="Spring"/>
    <n v="4.3"/>
    <s v="Yes"/>
    <s v="Express"/>
    <s v="Yes"/>
    <s v="Yes"/>
    <n v="49"/>
    <s v="Credit Card"/>
    <s v="Annually"/>
    <s v="Annually"/>
    <n v="6"/>
  </r>
  <r>
    <x v="839"/>
    <n v="48"/>
    <x v="0"/>
    <s v="Shirt"/>
    <x v="0"/>
    <n v="31"/>
    <x v="26"/>
    <s v="L"/>
    <s v="Teal"/>
    <s v="Spring"/>
    <n v="2.6"/>
    <s v="Yes"/>
    <s v="Free Shipping"/>
    <s v="Yes"/>
    <s v="Yes"/>
    <n v="10"/>
    <s v="Debit Card"/>
    <s v="Every 3 Months"/>
    <s v="Quarterly"/>
    <n v="5"/>
  </r>
  <r>
    <x v="840"/>
    <n v="42"/>
    <x v="0"/>
    <s v="Shirt"/>
    <x v="0"/>
    <n v="24"/>
    <x v="15"/>
    <s v="L"/>
    <s v="Teal"/>
    <s v="Summer"/>
    <n v="4.2"/>
    <s v="Yes"/>
    <s v="2-Day Shipping"/>
    <s v="Yes"/>
    <s v="Yes"/>
    <n v="18"/>
    <s v="PayPal"/>
    <s v="Weekly"/>
    <s v="Weekly"/>
    <n v="1"/>
  </r>
  <r>
    <x v="841"/>
    <n v="55"/>
    <x v="0"/>
    <s v="Sweater"/>
    <x v="0"/>
    <n v="88"/>
    <x v="21"/>
    <s v="M"/>
    <s v="Beige"/>
    <s v="Summer"/>
    <n v="2.6"/>
    <s v="Yes"/>
    <s v="Store Pickup"/>
    <s v="Yes"/>
    <s v="Yes"/>
    <n v="28"/>
    <s v="PayPal"/>
    <s v="Fortnightly"/>
    <s v="Fortnightly"/>
    <n v="3"/>
  </r>
  <r>
    <x v="842"/>
    <n v="59"/>
    <x v="0"/>
    <s v="Shirt"/>
    <x v="0"/>
    <n v="87"/>
    <x v="9"/>
    <s v="M"/>
    <s v="Violet"/>
    <s v="Spring"/>
    <n v="3.6"/>
    <s v="Yes"/>
    <s v="Express"/>
    <s v="Yes"/>
    <s v="Yes"/>
    <n v="25"/>
    <s v="PayPal"/>
    <s v="Weekly"/>
    <s v="Weekly"/>
    <n v="1"/>
  </r>
  <r>
    <x v="843"/>
    <n v="65"/>
    <x v="0"/>
    <s v="Hoodie"/>
    <x v="0"/>
    <n v="80"/>
    <x v="38"/>
    <s v="S"/>
    <s v="Beige"/>
    <s v="Summer"/>
    <n v="3.2"/>
    <s v="Yes"/>
    <s v="Express"/>
    <s v="Yes"/>
    <s v="Yes"/>
    <n v="6"/>
    <s v="PayPal"/>
    <s v="Weekly"/>
    <s v="Weekly"/>
    <n v="1"/>
  </r>
  <r>
    <x v="844"/>
    <n v="59"/>
    <x v="0"/>
    <s v="Sandals"/>
    <x v="1"/>
    <n v="48"/>
    <x v="9"/>
    <s v="L"/>
    <s v="Purple"/>
    <s v="Winter"/>
    <n v="4.4000000000000004"/>
    <s v="Yes"/>
    <s v="Express"/>
    <s v="Yes"/>
    <s v="Yes"/>
    <n v="44"/>
    <s v="Venmo"/>
    <s v="Bi-Weekly"/>
    <s v="Bi-Weekly"/>
    <n v="2"/>
  </r>
  <r>
    <x v="845"/>
    <n v="31"/>
    <x v="0"/>
    <s v="Belt"/>
    <x v="3"/>
    <n v="21"/>
    <x v="49"/>
    <s v="XL"/>
    <s v="Charcoal"/>
    <s v="Winter"/>
    <n v="3.7"/>
    <s v="Yes"/>
    <s v="Standard"/>
    <s v="Yes"/>
    <s v="Yes"/>
    <n v="30"/>
    <s v="Venmo"/>
    <s v="Monthly"/>
    <s v="Monthly"/>
    <n v="4"/>
  </r>
  <r>
    <x v="846"/>
    <n v="49"/>
    <x v="0"/>
    <s v="Boots"/>
    <x v="1"/>
    <n v="72"/>
    <x v="0"/>
    <s v="M"/>
    <s v="Pink"/>
    <s v="Spring"/>
    <n v="3.7"/>
    <s v="Yes"/>
    <s v="Express"/>
    <s v="Yes"/>
    <s v="Yes"/>
    <n v="42"/>
    <s v="Debit Card"/>
    <s v="Quarterly"/>
    <s v="Quarterly"/>
    <n v="5"/>
  </r>
  <r>
    <x v="847"/>
    <n v="53"/>
    <x v="0"/>
    <s v="Hoodie"/>
    <x v="0"/>
    <n v="44"/>
    <x v="32"/>
    <s v="L"/>
    <s v="Blue"/>
    <s v="Fall"/>
    <n v="4.0999999999999996"/>
    <s v="Yes"/>
    <s v="Standard"/>
    <s v="Yes"/>
    <s v="Yes"/>
    <n v="30"/>
    <s v="PayPal"/>
    <s v="Monthly"/>
    <s v="Monthly"/>
    <n v="4"/>
  </r>
  <r>
    <x v="848"/>
    <n v="48"/>
    <x v="0"/>
    <s v="Sandals"/>
    <x v="1"/>
    <n v="73"/>
    <x v="12"/>
    <s v="M"/>
    <s v="Lavender"/>
    <s v="Fall"/>
    <n v="3.6"/>
    <s v="Yes"/>
    <s v="Store Pickup"/>
    <s v="Yes"/>
    <s v="Yes"/>
    <n v="33"/>
    <s v="Credit Card"/>
    <s v="Bi-Weekly"/>
    <s v="Bi-Weekly"/>
    <n v="2"/>
  </r>
  <r>
    <x v="849"/>
    <n v="23"/>
    <x v="0"/>
    <s v="Jeans"/>
    <x v="0"/>
    <n v="61"/>
    <x v="9"/>
    <s v="S"/>
    <s v="Charcoal"/>
    <s v="Spring"/>
    <n v="4.3"/>
    <s v="Yes"/>
    <s v="Express"/>
    <s v="Yes"/>
    <s v="Yes"/>
    <n v="24"/>
    <s v="PayPal"/>
    <s v="Quarterly"/>
    <s v="Quarterly"/>
    <n v="5"/>
  </r>
  <r>
    <x v="850"/>
    <n v="68"/>
    <x v="0"/>
    <s v="Shoes"/>
    <x v="1"/>
    <n v="20"/>
    <x v="39"/>
    <s v="L"/>
    <s v="Turquoise"/>
    <s v="Winter"/>
    <n v="2.6"/>
    <s v="Yes"/>
    <s v="Store Pickup"/>
    <s v="Yes"/>
    <s v="Yes"/>
    <n v="13"/>
    <s v="Venmo"/>
    <s v="Monthly"/>
    <s v="Monthly"/>
    <n v="4"/>
  </r>
  <r>
    <x v="851"/>
    <n v="35"/>
    <x v="0"/>
    <s v="Sandals"/>
    <x v="1"/>
    <n v="86"/>
    <x v="2"/>
    <s v="M"/>
    <s v="Red"/>
    <s v="Summer"/>
    <n v="2.9"/>
    <s v="Yes"/>
    <s v="Express"/>
    <s v="Yes"/>
    <s v="Yes"/>
    <n v="19"/>
    <s v="Debit Card"/>
    <s v="Monthly"/>
    <s v="Monthly"/>
    <n v="4"/>
  </r>
  <r>
    <x v="852"/>
    <n v="34"/>
    <x v="0"/>
    <s v="Dress"/>
    <x v="0"/>
    <n v="60"/>
    <x v="20"/>
    <s v="L"/>
    <s v="Yellow"/>
    <s v="Spring"/>
    <n v="4.2"/>
    <s v="Yes"/>
    <s v="Next Day Air"/>
    <s v="Yes"/>
    <s v="Yes"/>
    <n v="23"/>
    <s v="Debit Card"/>
    <s v="Every 3 Months"/>
    <s v="Quarterly"/>
    <n v="5"/>
  </r>
  <r>
    <x v="853"/>
    <n v="62"/>
    <x v="0"/>
    <s v="Hat"/>
    <x v="3"/>
    <n v="43"/>
    <x v="12"/>
    <s v="L"/>
    <s v="Orange"/>
    <s v="Winter"/>
    <n v="4"/>
    <s v="Yes"/>
    <s v="Free Shipping"/>
    <s v="Yes"/>
    <s v="Yes"/>
    <n v="35"/>
    <s v="Cash"/>
    <s v="Monthly"/>
    <s v="Monthly"/>
    <n v="4"/>
  </r>
  <r>
    <x v="854"/>
    <n v="21"/>
    <x v="0"/>
    <s v="Pants"/>
    <x v="0"/>
    <n v="44"/>
    <x v="18"/>
    <s v="L"/>
    <s v="Blue"/>
    <s v="Spring"/>
    <n v="4.3"/>
    <s v="Yes"/>
    <s v="Free Shipping"/>
    <s v="Yes"/>
    <s v="Yes"/>
    <n v="22"/>
    <s v="Venmo"/>
    <s v="Monthly"/>
    <s v="Monthly"/>
    <n v="4"/>
  </r>
  <r>
    <x v="855"/>
    <n v="70"/>
    <x v="0"/>
    <s v="Socks"/>
    <x v="0"/>
    <n v="76"/>
    <x v="4"/>
    <s v="L"/>
    <s v="Gold"/>
    <s v="Spring"/>
    <n v="3"/>
    <s v="Yes"/>
    <s v="2-Day Shipping"/>
    <s v="Yes"/>
    <s v="Yes"/>
    <n v="14"/>
    <s v="Credit Card"/>
    <s v="Quarterly"/>
    <s v="Quarterly"/>
    <n v="5"/>
  </r>
  <r>
    <x v="856"/>
    <n v="55"/>
    <x v="0"/>
    <s v="Shirt"/>
    <x v="0"/>
    <n v="33"/>
    <x v="29"/>
    <s v="M"/>
    <s v="Gold"/>
    <s v="Summer"/>
    <n v="3.5"/>
    <s v="Yes"/>
    <s v="Express"/>
    <s v="Yes"/>
    <s v="Yes"/>
    <n v="47"/>
    <s v="Debit Card"/>
    <s v="Fortnightly"/>
    <s v="Fortnightly"/>
    <n v="3"/>
  </r>
  <r>
    <x v="857"/>
    <n v="43"/>
    <x v="0"/>
    <s v="Shorts"/>
    <x v="0"/>
    <n v="60"/>
    <x v="9"/>
    <s v="L"/>
    <s v="Cyan"/>
    <s v="Fall"/>
    <n v="3"/>
    <s v="Yes"/>
    <s v="Standard"/>
    <s v="Yes"/>
    <s v="Yes"/>
    <n v="50"/>
    <s v="Debit Card"/>
    <s v="Every 3 Months"/>
    <s v="Quarterly"/>
    <n v="5"/>
  </r>
  <r>
    <x v="858"/>
    <n v="19"/>
    <x v="0"/>
    <s v="Jacket"/>
    <x v="2"/>
    <n v="26"/>
    <x v="19"/>
    <s v="L"/>
    <s v="Olive"/>
    <s v="Fall"/>
    <n v="3.1"/>
    <s v="Yes"/>
    <s v="Free Shipping"/>
    <s v="Yes"/>
    <s v="Yes"/>
    <n v="33"/>
    <s v="PayPal"/>
    <s v="Weekly"/>
    <s v="Weekly"/>
    <n v="1"/>
  </r>
  <r>
    <x v="859"/>
    <n v="47"/>
    <x v="0"/>
    <s v="Hoodie"/>
    <x v="0"/>
    <n v="73"/>
    <x v="48"/>
    <s v="M"/>
    <s v="Teal"/>
    <s v="Winter"/>
    <n v="4"/>
    <s v="Yes"/>
    <s v="Next Day Air"/>
    <s v="Yes"/>
    <s v="Yes"/>
    <n v="7"/>
    <s v="Debit Card"/>
    <s v="Monthly"/>
    <s v="Monthly"/>
    <n v="4"/>
  </r>
  <r>
    <x v="860"/>
    <n v="26"/>
    <x v="0"/>
    <s v="Shoes"/>
    <x v="1"/>
    <n v="87"/>
    <x v="36"/>
    <s v="M"/>
    <s v="Maroon"/>
    <s v="Spring"/>
    <n v="4.0999999999999996"/>
    <s v="Yes"/>
    <s v="Standard"/>
    <s v="Yes"/>
    <s v="Yes"/>
    <n v="3"/>
    <s v="Cash"/>
    <s v="Monthly"/>
    <s v="Monthly"/>
    <n v="4"/>
  </r>
  <r>
    <x v="861"/>
    <n v="46"/>
    <x v="0"/>
    <s v="Skirt"/>
    <x v="0"/>
    <n v="100"/>
    <x v="41"/>
    <s v="XL"/>
    <s v="Green"/>
    <s v="Spring"/>
    <n v="3.3"/>
    <s v="Yes"/>
    <s v="2-Day Shipping"/>
    <s v="Yes"/>
    <s v="Yes"/>
    <n v="35"/>
    <s v="Credit Card"/>
    <s v="Every 3 Months"/>
    <s v="Quarterly"/>
    <n v="5"/>
  </r>
  <r>
    <x v="862"/>
    <n v="19"/>
    <x v="0"/>
    <s v="Coat"/>
    <x v="2"/>
    <n v="84"/>
    <x v="10"/>
    <s v="M"/>
    <s v="Charcoal"/>
    <s v="Winter"/>
    <n v="4.9000000000000004"/>
    <s v="Yes"/>
    <s v="Standard"/>
    <s v="Yes"/>
    <s v="Yes"/>
    <n v="13"/>
    <s v="PayPal"/>
    <s v="Fortnightly"/>
    <s v="Fortnightly"/>
    <n v="3"/>
  </r>
  <r>
    <x v="863"/>
    <n v="49"/>
    <x v="0"/>
    <s v="Sneakers"/>
    <x v="1"/>
    <n v="41"/>
    <x v="34"/>
    <s v="M"/>
    <s v="Cyan"/>
    <s v="Summer"/>
    <n v="3.9"/>
    <s v="Yes"/>
    <s v="Standard"/>
    <s v="Yes"/>
    <s v="Yes"/>
    <n v="42"/>
    <s v="PayPal"/>
    <s v="Fortnightly"/>
    <s v="Fortnightly"/>
    <n v="3"/>
  </r>
  <r>
    <x v="864"/>
    <n v="51"/>
    <x v="0"/>
    <s v="Jeans"/>
    <x v="0"/>
    <n v="59"/>
    <x v="0"/>
    <s v="S"/>
    <s v="Charcoal"/>
    <s v="Winter"/>
    <n v="3.9"/>
    <s v="Yes"/>
    <s v="Next Day Air"/>
    <s v="Yes"/>
    <s v="Yes"/>
    <n v="5"/>
    <s v="PayPal"/>
    <s v="Annually"/>
    <s v="Annually"/>
    <n v="6"/>
  </r>
  <r>
    <x v="865"/>
    <n v="64"/>
    <x v="0"/>
    <s v="Blouse"/>
    <x v="0"/>
    <n v="26"/>
    <x v="24"/>
    <s v="L"/>
    <s v="Charcoal"/>
    <s v="Winter"/>
    <n v="4.8"/>
    <s v="Yes"/>
    <s v="Store Pickup"/>
    <s v="Yes"/>
    <s v="Yes"/>
    <n v="23"/>
    <s v="Venmo"/>
    <s v="Annually"/>
    <s v="Annually"/>
    <n v="6"/>
  </r>
  <r>
    <x v="866"/>
    <n v="67"/>
    <x v="0"/>
    <s v="Sunglasses"/>
    <x v="3"/>
    <n v="69"/>
    <x v="35"/>
    <s v="M"/>
    <s v="Lavender"/>
    <s v="Summer"/>
    <n v="2.7"/>
    <s v="Yes"/>
    <s v="Free Shipping"/>
    <s v="Yes"/>
    <s v="Yes"/>
    <n v="11"/>
    <s v="PayPal"/>
    <s v="Bi-Weekly"/>
    <s v="Bi-Weekly"/>
    <n v="2"/>
  </r>
  <r>
    <x v="867"/>
    <n v="37"/>
    <x v="0"/>
    <s v="Jacket"/>
    <x v="2"/>
    <n v="20"/>
    <x v="24"/>
    <s v="M"/>
    <s v="Turquoise"/>
    <s v="Spring"/>
    <n v="3.1"/>
    <s v="Yes"/>
    <s v="Free Shipping"/>
    <s v="Yes"/>
    <s v="Yes"/>
    <n v="23"/>
    <s v="Bank Transfer"/>
    <s v="Fortnightly"/>
    <s v="Fortnightly"/>
    <n v="3"/>
  </r>
  <r>
    <x v="868"/>
    <n v="40"/>
    <x v="0"/>
    <s v="Dress"/>
    <x v="0"/>
    <n v="83"/>
    <x v="17"/>
    <s v="M"/>
    <s v="Green"/>
    <s v="Summer"/>
    <n v="3.2"/>
    <s v="Yes"/>
    <s v="Next Day Air"/>
    <s v="Yes"/>
    <s v="Yes"/>
    <n v="2"/>
    <s v="Credit Card"/>
    <s v="Every 3 Months"/>
    <s v="Quarterly"/>
    <n v="5"/>
  </r>
  <r>
    <x v="869"/>
    <n v="38"/>
    <x v="0"/>
    <s v="Hat"/>
    <x v="3"/>
    <n v="54"/>
    <x v="13"/>
    <s v="M"/>
    <s v="Silver"/>
    <s v="Spring"/>
    <n v="2.7"/>
    <s v="Yes"/>
    <s v="2-Day Shipping"/>
    <s v="Yes"/>
    <s v="Yes"/>
    <n v="33"/>
    <s v="PayPal"/>
    <s v="Weekly"/>
    <s v="Weekly"/>
    <n v="1"/>
  </r>
  <r>
    <x v="870"/>
    <n v="66"/>
    <x v="0"/>
    <s v="Hoodie"/>
    <x v="0"/>
    <n v="66"/>
    <x v="8"/>
    <s v="M"/>
    <s v="Blue"/>
    <s v="Fall"/>
    <n v="2.5"/>
    <s v="Yes"/>
    <s v="Standard"/>
    <s v="Yes"/>
    <s v="Yes"/>
    <n v="6"/>
    <s v="Bank Transfer"/>
    <s v="Bi-Weekly"/>
    <s v="Bi-Weekly"/>
    <n v="2"/>
  </r>
  <r>
    <x v="871"/>
    <n v="47"/>
    <x v="0"/>
    <s v="Handbag"/>
    <x v="3"/>
    <n v="42"/>
    <x v="11"/>
    <s v="M"/>
    <s v="Charcoal"/>
    <s v="Spring"/>
    <n v="2.6"/>
    <s v="Yes"/>
    <s v="Next Day Air"/>
    <s v="Yes"/>
    <s v="Yes"/>
    <n v="45"/>
    <s v="Debit Card"/>
    <s v="Quarterly"/>
    <s v="Quarterly"/>
    <n v="5"/>
  </r>
  <r>
    <x v="872"/>
    <n v="56"/>
    <x v="0"/>
    <s v="Jeans"/>
    <x v="0"/>
    <n v="33"/>
    <x v="25"/>
    <s v="M"/>
    <s v="Pink"/>
    <s v="Spring"/>
    <n v="2.9"/>
    <s v="Yes"/>
    <s v="Standard"/>
    <s v="Yes"/>
    <s v="Yes"/>
    <n v="25"/>
    <s v="Cash"/>
    <s v="Quarterly"/>
    <s v="Quarterly"/>
    <n v="5"/>
  </r>
  <r>
    <x v="873"/>
    <n v="51"/>
    <x v="0"/>
    <s v="Boots"/>
    <x v="1"/>
    <n v="77"/>
    <x v="16"/>
    <s v="M"/>
    <s v="Pink"/>
    <s v="Summer"/>
    <n v="4.2"/>
    <s v="Yes"/>
    <s v="Free Shipping"/>
    <s v="Yes"/>
    <s v="Yes"/>
    <n v="24"/>
    <s v="Venmo"/>
    <s v="Quarterly"/>
    <s v="Quarterly"/>
    <n v="5"/>
  </r>
  <r>
    <x v="874"/>
    <n v="25"/>
    <x v="0"/>
    <s v="Jacket"/>
    <x v="2"/>
    <n v="65"/>
    <x v="1"/>
    <s v="M"/>
    <s v="Magenta"/>
    <s v="Fall"/>
    <n v="4.4000000000000004"/>
    <s v="Yes"/>
    <s v="Free Shipping"/>
    <s v="Yes"/>
    <s v="Yes"/>
    <n v="10"/>
    <s v="Venmo"/>
    <s v="Every 3 Months"/>
    <s v="Quarterly"/>
    <n v="5"/>
  </r>
  <r>
    <x v="875"/>
    <n v="37"/>
    <x v="0"/>
    <s v="Sandals"/>
    <x v="1"/>
    <n v="39"/>
    <x v="25"/>
    <s v="L"/>
    <s v="Gray"/>
    <s v="Summer"/>
    <n v="4.0999999999999996"/>
    <s v="Yes"/>
    <s v="Free Shipping"/>
    <s v="Yes"/>
    <s v="Yes"/>
    <n v="7"/>
    <s v="Bank Transfer"/>
    <s v="Every 3 Months"/>
    <s v="Quarterly"/>
    <n v="5"/>
  </r>
  <r>
    <x v="876"/>
    <n v="41"/>
    <x v="0"/>
    <s v="Belt"/>
    <x v="3"/>
    <n v="51"/>
    <x v="43"/>
    <s v="L"/>
    <s v="Gray"/>
    <s v="Summer"/>
    <n v="3.8"/>
    <s v="Yes"/>
    <s v="2-Day Shipping"/>
    <s v="Yes"/>
    <s v="Yes"/>
    <n v="1"/>
    <s v="Debit Card"/>
    <s v="Weekly"/>
    <s v="Weekly"/>
    <n v="1"/>
  </r>
  <r>
    <x v="877"/>
    <n v="64"/>
    <x v="0"/>
    <s v="Handbag"/>
    <x v="3"/>
    <n v="65"/>
    <x v="43"/>
    <s v="M"/>
    <s v="Orange"/>
    <s v="Winter"/>
    <n v="4.9000000000000004"/>
    <s v="Yes"/>
    <s v="Next Day Air"/>
    <s v="Yes"/>
    <s v="Yes"/>
    <n v="45"/>
    <s v="Venmo"/>
    <s v="Every 3 Months"/>
    <s v="Quarterly"/>
    <n v="5"/>
  </r>
  <r>
    <x v="878"/>
    <n v="23"/>
    <x v="0"/>
    <s v="Sunglasses"/>
    <x v="3"/>
    <n v="89"/>
    <x v="30"/>
    <s v="S"/>
    <s v="Black"/>
    <s v="Summer"/>
    <n v="4.9000000000000004"/>
    <s v="Yes"/>
    <s v="Express"/>
    <s v="Yes"/>
    <s v="Yes"/>
    <n v="37"/>
    <s v="Debit Card"/>
    <s v="Weekly"/>
    <s v="Weekly"/>
    <n v="1"/>
  </r>
  <r>
    <x v="879"/>
    <n v="62"/>
    <x v="0"/>
    <s v="Skirt"/>
    <x v="0"/>
    <n v="76"/>
    <x v="5"/>
    <s v="S"/>
    <s v="Lavender"/>
    <s v="Spring"/>
    <n v="4.0999999999999996"/>
    <s v="Yes"/>
    <s v="Free Shipping"/>
    <s v="Yes"/>
    <s v="Yes"/>
    <n v="14"/>
    <s v="PayPal"/>
    <s v="Quarterly"/>
    <s v="Quarterly"/>
    <n v="5"/>
  </r>
  <r>
    <x v="880"/>
    <n v="39"/>
    <x v="0"/>
    <s v="Backpack"/>
    <x v="3"/>
    <n v="75"/>
    <x v="22"/>
    <s v="L"/>
    <s v="Red"/>
    <s v="Spring"/>
    <n v="3.1"/>
    <s v="Yes"/>
    <s v="Express"/>
    <s v="Yes"/>
    <s v="Yes"/>
    <n v="25"/>
    <s v="Debit Card"/>
    <s v="Monthly"/>
    <s v="Monthly"/>
    <n v="4"/>
  </r>
  <r>
    <x v="881"/>
    <n v="52"/>
    <x v="0"/>
    <s v="Sandals"/>
    <x v="1"/>
    <n v="61"/>
    <x v="36"/>
    <s v="M"/>
    <s v="Silver"/>
    <s v="Summer"/>
    <n v="2.7"/>
    <s v="Yes"/>
    <s v="Next Day Air"/>
    <s v="Yes"/>
    <s v="Yes"/>
    <n v="18"/>
    <s v="Venmo"/>
    <s v="Annually"/>
    <s v="Annually"/>
    <n v="6"/>
  </r>
  <r>
    <x v="882"/>
    <n v="50"/>
    <x v="0"/>
    <s v="Boots"/>
    <x v="1"/>
    <n v="35"/>
    <x v="41"/>
    <s v="M"/>
    <s v="Cyan"/>
    <s v="Fall"/>
    <n v="3.8"/>
    <s v="Yes"/>
    <s v="Next Day Air"/>
    <s v="Yes"/>
    <s v="Yes"/>
    <n v="37"/>
    <s v="Cash"/>
    <s v="Every 3 Months"/>
    <s v="Quarterly"/>
    <n v="5"/>
  </r>
  <r>
    <x v="883"/>
    <n v="28"/>
    <x v="0"/>
    <s v="Sneakers"/>
    <x v="1"/>
    <n v="37"/>
    <x v="38"/>
    <s v="S"/>
    <s v="Gold"/>
    <s v="Fall"/>
    <n v="4.3"/>
    <s v="Yes"/>
    <s v="Free Shipping"/>
    <s v="Yes"/>
    <s v="Yes"/>
    <n v="30"/>
    <s v="Bank Transfer"/>
    <s v="Monthly"/>
    <s v="Monthly"/>
    <n v="4"/>
  </r>
  <r>
    <x v="884"/>
    <n v="67"/>
    <x v="0"/>
    <s v="Skirt"/>
    <x v="0"/>
    <n v="91"/>
    <x v="11"/>
    <s v="L"/>
    <s v="Yellow"/>
    <s v="Winter"/>
    <n v="4.0999999999999996"/>
    <s v="Yes"/>
    <s v="Express"/>
    <s v="Yes"/>
    <s v="Yes"/>
    <n v="34"/>
    <s v="Bank Transfer"/>
    <s v="Weekly"/>
    <s v="Weekly"/>
    <n v="1"/>
  </r>
  <r>
    <x v="885"/>
    <n v="41"/>
    <x v="0"/>
    <s v="Dress"/>
    <x v="0"/>
    <n v="99"/>
    <x v="31"/>
    <s v="L"/>
    <s v="Purple"/>
    <s v="Fall"/>
    <n v="4.4000000000000004"/>
    <s v="Yes"/>
    <s v="Free Shipping"/>
    <s v="Yes"/>
    <s v="Yes"/>
    <n v="49"/>
    <s v="Debit Card"/>
    <s v="Every 3 Months"/>
    <s v="Quarterly"/>
    <n v="5"/>
  </r>
  <r>
    <x v="886"/>
    <n v="19"/>
    <x v="0"/>
    <s v="Shorts"/>
    <x v="0"/>
    <n v="54"/>
    <x v="40"/>
    <s v="S"/>
    <s v="Brown"/>
    <s v="Summer"/>
    <n v="3.6"/>
    <s v="Yes"/>
    <s v="Express"/>
    <s v="Yes"/>
    <s v="Yes"/>
    <n v="48"/>
    <s v="Bank Transfer"/>
    <s v="Monthly"/>
    <s v="Monthly"/>
    <n v="4"/>
  </r>
  <r>
    <x v="887"/>
    <n v="70"/>
    <x v="0"/>
    <s v="Handbag"/>
    <x v="3"/>
    <n v="47"/>
    <x v="46"/>
    <s v="L"/>
    <s v="Turquoise"/>
    <s v="Winter"/>
    <n v="3.3"/>
    <s v="Yes"/>
    <s v="2-Day Shipping"/>
    <s v="Yes"/>
    <s v="Yes"/>
    <n v="33"/>
    <s v="PayPal"/>
    <s v="Fortnightly"/>
    <s v="Fortnightly"/>
    <n v="3"/>
  </r>
  <r>
    <x v="888"/>
    <n v="49"/>
    <x v="0"/>
    <s v="Scarf"/>
    <x v="3"/>
    <n v="77"/>
    <x v="13"/>
    <s v="S"/>
    <s v="Gold"/>
    <s v="Spring"/>
    <n v="3.6"/>
    <s v="Yes"/>
    <s v="Express"/>
    <s v="Yes"/>
    <s v="Yes"/>
    <n v="44"/>
    <s v="Cash"/>
    <s v="Annually"/>
    <s v="Annually"/>
    <n v="6"/>
  </r>
  <r>
    <x v="889"/>
    <n v="59"/>
    <x v="0"/>
    <s v="Belt"/>
    <x v="3"/>
    <n v="84"/>
    <x v="28"/>
    <s v="S"/>
    <s v="Olive"/>
    <s v="Fall"/>
    <n v="2.8"/>
    <s v="Yes"/>
    <s v="Free Shipping"/>
    <s v="Yes"/>
    <s v="Yes"/>
    <n v="50"/>
    <s v="Venmo"/>
    <s v="Weekly"/>
    <s v="Weekly"/>
    <n v="1"/>
  </r>
  <r>
    <x v="890"/>
    <n v="52"/>
    <x v="0"/>
    <s v="Gloves"/>
    <x v="3"/>
    <n v="51"/>
    <x v="14"/>
    <s v="S"/>
    <s v="Purple"/>
    <s v="Spring"/>
    <n v="4.3"/>
    <s v="Yes"/>
    <s v="2-Day Shipping"/>
    <s v="Yes"/>
    <s v="Yes"/>
    <n v="47"/>
    <s v="Credit Card"/>
    <s v="Monthly"/>
    <s v="Monthly"/>
    <n v="4"/>
  </r>
  <r>
    <x v="891"/>
    <n v="20"/>
    <x v="0"/>
    <s v="Skirt"/>
    <x v="0"/>
    <n v="26"/>
    <x v="38"/>
    <s v="S"/>
    <s v="Lavender"/>
    <s v="Summer"/>
    <n v="3.9"/>
    <s v="Yes"/>
    <s v="Store Pickup"/>
    <s v="Yes"/>
    <s v="Yes"/>
    <n v="24"/>
    <s v="PayPal"/>
    <s v="Every 3 Months"/>
    <s v="Quarterly"/>
    <n v="5"/>
  </r>
  <r>
    <x v="892"/>
    <n v="31"/>
    <x v="0"/>
    <s v="Shorts"/>
    <x v="0"/>
    <n v="64"/>
    <x v="35"/>
    <s v="L"/>
    <s v="Gray"/>
    <s v="Summer"/>
    <n v="2.7"/>
    <s v="Yes"/>
    <s v="Free Shipping"/>
    <s v="Yes"/>
    <s v="Yes"/>
    <n v="43"/>
    <s v="Debit Card"/>
    <s v="Monthly"/>
    <s v="Monthly"/>
    <n v="4"/>
  </r>
  <r>
    <x v="893"/>
    <n v="33"/>
    <x v="0"/>
    <s v="Backpack"/>
    <x v="3"/>
    <n v="51"/>
    <x v="43"/>
    <s v="M"/>
    <s v="Red"/>
    <s v="Spring"/>
    <n v="4.7"/>
    <s v="Yes"/>
    <s v="Express"/>
    <s v="Yes"/>
    <s v="Yes"/>
    <n v="14"/>
    <s v="Venmo"/>
    <s v="Monthly"/>
    <s v="Monthly"/>
    <n v="4"/>
  </r>
  <r>
    <x v="894"/>
    <n v="44"/>
    <x v="0"/>
    <s v="Hoodie"/>
    <x v="0"/>
    <n v="60"/>
    <x v="5"/>
    <s v="L"/>
    <s v="Purple"/>
    <s v="Spring"/>
    <n v="3.8"/>
    <s v="Yes"/>
    <s v="Free Shipping"/>
    <s v="Yes"/>
    <s v="Yes"/>
    <n v="3"/>
    <s v="Debit Card"/>
    <s v="Quarterly"/>
    <s v="Quarterly"/>
    <n v="5"/>
  </r>
  <r>
    <x v="895"/>
    <n v="40"/>
    <x v="0"/>
    <s v="Hat"/>
    <x v="3"/>
    <n v="69"/>
    <x v="16"/>
    <s v="XL"/>
    <s v="Olive"/>
    <s v="Spring"/>
    <n v="4.7"/>
    <s v="Yes"/>
    <s v="Next Day Air"/>
    <s v="Yes"/>
    <s v="Yes"/>
    <n v="33"/>
    <s v="Debit Card"/>
    <s v="Quarterly"/>
    <s v="Quarterly"/>
    <n v="5"/>
  </r>
  <r>
    <x v="896"/>
    <n v="69"/>
    <x v="0"/>
    <s v="Jewelry"/>
    <x v="3"/>
    <n v="29"/>
    <x v="10"/>
    <s v="M"/>
    <s v="Lavender"/>
    <s v="Spring"/>
    <n v="4.7"/>
    <s v="Yes"/>
    <s v="Express"/>
    <s v="Yes"/>
    <s v="Yes"/>
    <n v="38"/>
    <s v="Cash"/>
    <s v="Fortnightly"/>
    <s v="Fortnightly"/>
    <n v="3"/>
  </r>
  <r>
    <x v="897"/>
    <n v="29"/>
    <x v="0"/>
    <s v="Shirt"/>
    <x v="0"/>
    <n v="91"/>
    <x v="26"/>
    <s v="M"/>
    <s v="Gray"/>
    <s v="Spring"/>
    <n v="3.4"/>
    <s v="Yes"/>
    <s v="Express"/>
    <s v="Yes"/>
    <s v="Yes"/>
    <n v="46"/>
    <s v="Venmo"/>
    <s v="Weekly"/>
    <s v="Weekly"/>
    <n v="1"/>
  </r>
  <r>
    <x v="898"/>
    <n v="54"/>
    <x v="0"/>
    <s v="Belt"/>
    <x v="3"/>
    <n v="70"/>
    <x v="22"/>
    <s v="L"/>
    <s v="Red"/>
    <s v="Spring"/>
    <n v="3.5"/>
    <s v="Yes"/>
    <s v="2-Day Shipping"/>
    <s v="Yes"/>
    <s v="Yes"/>
    <n v="19"/>
    <s v="Bank Transfer"/>
    <s v="Every 3 Months"/>
    <s v="Quarterly"/>
    <n v="5"/>
  </r>
  <r>
    <x v="899"/>
    <n v="65"/>
    <x v="0"/>
    <s v="Sweater"/>
    <x v="0"/>
    <n v="58"/>
    <x v="3"/>
    <s v="M"/>
    <s v="Peach"/>
    <s v="Summer"/>
    <n v="4"/>
    <s v="Yes"/>
    <s v="Standard"/>
    <s v="Yes"/>
    <s v="Yes"/>
    <n v="20"/>
    <s v="PayPal"/>
    <s v="Annually"/>
    <s v="Annually"/>
    <n v="6"/>
  </r>
  <r>
    <x v="900"/>
    <n v="54"/>
    <x v="0"/>
    <s v="Hat"/>
    <x v="3"/>
    <n v="98"/>
    <x v="8"/>
    <s v="L"/>
    <s v="Gray"/>
    <s v="Fall"/>
    <n v="3.3"/>
    <s v="Yes"/>
    <s v="Free Shipping"/>
    <s v="Yes"/>
    <s v="Yes"/>
    <n v="42"/>
    <s v="Bank Transfer"/>
    <s v="Quarterly"/>
    <s v="Quarterly"/>
    <n v="5"/>
  </r>
  <r>
    <x v="901"/>
    <n v="60"/>
    <x v="0"/>
    <s v="Scarf"/>
    <x v="3"/>
    <n v="68"/>
    <x v="9"/>
    <s v="L"/>
    <s v="Violet"/>
    <s v="Summer"/>
    <n v="4.7"/>
    <s v="Yes"/>
    <s v="2-Day Shipping"/>
    <s v="Yes"/>
    <s v="Yes"/>
    <n v="34"/>
    <s v="Cash"/>
    <s v="Monthly"/>
    <s v="Monthly"/>
    <n v="4"/>
  </r>
  <r>
    <x v="902"/>
    <n v="43"/>
    <x v="0"/>
    <s v="Hat"/>
    <x v="3"/>
    <n v="44"/>
    <x v="0"/>
    <s v="M"/>
    <s v="Beige"/>
    <s v="Summer"/>
    <n v="2.8"/>
    <s v="Yes"/>
    <s v="Next Day Air"/>
    <s v="Yes"/>
    <s v="Yes"/>
    <n v="5"/>
    <s v="Cash"/>
    <s v="Monthly"/>
    <s v="Monthly"/>
    <n v="4"/>
  </r>
  <r>
    <x v="903"/>
    <n v="44"/>
    <x v="0"/>
    <s v="Jacket"/>
    <x v="2"/>
    <n v="45"/>
    <x v="47"/>
    <s v="M"/>
    <s v="Blue"/>
    <s v="Winter"/>
    <n v="3.3"/>
    <s v="Yes"/>
    <s v="Express"/>
    <s v="Yes"/>
    <s v="Yes"/>
    <n v="3"/>
    <s v="PayPal"/>
    <s v="Quarterly"/>
    <s v="Quarterly"/>
    <n v="5"/>
  </r>
  <r>
    <x v="904"/>
    <n v="69"/>
    <x v="0"/>
    <s v="T-shirt"/>
    <x v="0"/>
    <n v="99"/>
    <x v="29"/>
    <s v="L"/>
    <s v="Magenta"/>
    <s v="Spring"/>
    <n v="2.9"/>
    <s v="Yes"/>
    <s v="Free Shipping"/>
    <s v="Yes"/>
    <s v="Yes"/>
    <n v="46"/>
    <s v="PayPal"/>
    <s v="Every 3 Months"/>
    <s v="Quarterly"/>
    <n v="5"/>
  </r>
  <r>
    <x v="905"/>
    <n v="46"/>
    <x v="0"/>
    <s v="Dress"/>
    <x v="0"/>
    <n v="68"/>
    <x v="16"/>
    <s v="S"/>
    <s v="Cyan"/>
    <s v="Spring"/>
    <n v="2.8"/>
    <s v="Yes"/>
    <s v="Standard"/>
    <s v="Yes"/>
    <s v="Yes"/>
    <n v="16"/>
    <s v="Venmo"/>
    <s v="Annually"/>
    <s v="Annually"/>
    <n v="6"/>
  </r>
  <r>
    <x v="906"/>
    <n v="41"/>
    <x v="0"/>
    <s v="Pants"/>
    <x v="0"/>
    <n v="56"/>
    <x v="36"/>
    <s v="M"/>
    <s v="Red"/>
    <s v="Spring"/>
    <n v="4.2"/>
    <s v="Yes"/>
    <s v="Standard"/>
    <s v="Yes"/>
    <s v="Yes"/>
    <n v="21"/>
    <s v="Debit Card"/>
    <s v="Bi-Weekly"/>
    <s v="Bi-Weekly"/>
    <n v="2"/>
  </r>
  <r>
    <x v="907"/>
    <n v="32"/>
    <x v="0"/>
    <s v="Sweater"/>
    <x v="0"/>
    <n v="43"/>
    <x v="9"/>
    <s v="L"/>
    <s v="Cyan"/>
    <s v="Winter"/>
    <n v="4.4000000000000004"/>
    <s v="Yes"/>
    <s v="Express"/>
    <s v="Yes"/>
    <s v="Yes"/>
    <n v="34"/>
    <s v="Credit Card"/>
    <s v="Bi-Weekly"/>
    <s v="Bi-Weekly"/>
    <n v="2"/>
  </r>
  <r>
    <x v="908"/>
    <n v="26"/>
    <x v="0"/>
    <s v="Sunglasses"/>
    <x v="3"/>
    <n v="99"/>
    <x v="32"/>
    <s v="M"/>
    <s v="Turquoise"/>
    <s v="Winter"/>
    <n v="3.6"/>
    <s v="Yes"/>
    <s v="Free Shipping"/>
    <s v="Yes"/>
    <s v="Yes"/>
    <n v="9"/>
    <s v="PayPal"/>
    <s v="Every 3 Months"/>
    <s v="Quarterly"/>
    <n v="5"/>
  </r>
  <r>
    <x v="909"/>
    <n v="61"/>
    <x v="0"/>
    <s v="Belt"/>
    <x v="3"/>
    <n v="56"/>
    <x v="7"/>
    <s v="L"/>
    <s v="Silver"/>
    <s v="Fall"/>
    <n v="2.7"/>
    <s v="Yes"/>
    <s v="Express"/>
    <s v="Yes"/>
    <s v="Yes"/>
    <n v="36"/>
    <s v="PayPal"/>
    <s v="Weekly"/>
    <s v="Weekly"/>
    <n v="1"/>
  </r>
  <r>
    <x v="910"/>
    <n v="49"/>
    <x v="0"/>
    <s v="Hoodie"/>
    <x v="0"/>
    <n v="25"/>
    <x v="36"/>
    <s v="S"/>
    <s v="Pink"/>
    <s v="Spring"/>
    <n v="3.4"/>
    <s v="Yes"/>
    <s v="Express"/>
    <s v="Yes"/>
    <s v="Yes"/>
    <n v="22"/>
    <s v="Credit Card"/>
    <s v="Monthly"/>
    <s v="Monthly"/>
    <n v="4"/>
  </r>
  <r>
    <x v="911"/>
    <n v="53"/>
    <x v="0"/>
    <s v="Pants"/>
    <x v="0"/>
    <n v="74"/>
    <x v="34"/>
    <s v="M"/>
    <s v="Black"/>
    <s v="Winter"/>
    <n v="2.8"/>
    <s v="Yes"/>
    <s v="2-Day Shipping"/>
    <s v="Yes"/>
    <s v="Yes"/>
    <n v="2"/>
    <s v="Bank Transfer"/>
    <s v="Quarterly"/>
    <s v="Quarterly"/>
    <n v="5"/>
  </r>
  <r>
    <x v="912"/>
    <n v="24"/>
    <x v="0"/>
    <s v="Hoodie"/>
    <x v="0"/>
    <n v="56"/>
    <x v="10"/>
    <s v="M"/>
    <s v="Green"/>
    <s v="Winter"/>
    <n v="3.4"/>
    <s v="Yes"/>
    <s v="Next Day Air"/>
    <s v="Yes"/>
    <s v="Yes"/>
    <n v="32"/>
    <s v="Bank Transfer"/>
    <s v="Monthly"/>
    <s v="Monthly"/>
    <n v="4"/>
  </r>
  <r>
    <x v="913"/>
    <n v="37"/>
    <x v="0"/>
    <s v="Sneakers"/>
    <x v="1"/>
    <n v="47"/>
    <x v="40"/>
    <s v="M"/>
    <s v="Yellow"/>
    <s v="Fall"/>
    <n v="2.6"/>
    <s v="Yes"/>
    <s v="Next Day Air"/>
    <s v="Yes"/>
    <s v="Yes"/>
    <n v="29"/>
    <s v="Cash"/>
    <s v="Every 3 Months"/>
    <s v="Quarterly"/>
    <n v="5"/>
  </r>
  <r>
    <x v="914"/>
    <n v="43"/>
    <x v="0"/>
    <s v="Dress"/>
    <x v="0"/>
    <n v="67"/>
    <x v="47"/>
    <s v="L"/>
    <s v="Purple"/>
    <s v="Summer"/>
    <n v="4.0999999999999996"/>
    <s v="Yes"/>
    <s v="Standard"/>
    <s v="Yes"/>
    <s v="Yes"/>
    <n v="27"/>
    <s v="Venmo"/>
    <s v="Every 3 Months"/>
    <s v="Quarterly"/>
    <n v="5"/>
  </r>
  <r>
    <x v="915"/>
    <n v="31"/>
    <x v="0"/>
    <s v="Dress"/>
    <x v="0"/>
    <n v="22"/>
    <x v="3"/>
    <s v="L"/>
    <s v="Purple"/>
    <s v="Winter"/>
    <n v="2.9"/>
    <s v="Yes"/>
    <s v="Store Pickup"/>
    <s v="Yes"/>
    <s v="Yes"/>
    <n v="33"/>
    <s v="Credit Card"/>
    <s v="Fortnightly"/>
    <s v="Fortnightly"/>
    <n v="3"/>
  </r>
  <r>
    <x v="916"/>
    <n v="49"/>
    <x v="0"/>
    <s v="Jeans"/>
    <x v="0"/>
    <n v="34"/>
    <x v="26"/>
    <s v="S"/>
    <s v="Blue"/>
    <s v="Spring"/>
    <n v="2.7"/>
    <s v="Yes"/>
    <s v="Standard"/>
    <s v="Yes"/>
    <s v="Yes"/>
    <n v="16"/>
    <s v="Venmo"/>
    <s v="Monthly"/>
    <s v="Monthly"/>
    <n v="4"/>
  </r>
  <r>
    <x v="917"/>
    <n v="69"/>
    <x v="0"/>
    <s v="Sweater"/>
    <x v="0"/>
    <n v="64"/>
    <x v="9"/>
    <s v="M"/>
    <s v="Maroon"/>
    <s v="Spring"/>
    <n v="3.7"/>
    <s v="Yes"/>
    <s v="Standard"/>
    <s v="Yes"/>
    <s v="Yes"/>
    <n v="11"/>
    <s v="Bank Transfer"/>
    <s v="Quarterly"/>
    <s v="Quarterly"/>
    <n v="5"/>
  </r>
  <r>
    <x v="918"/>
    <n v="65"/>
    <x v="0"/>
    <s v="Shorts"/>
    <x v="0"/>
    <n v="42"/>
    <x v="17"/>
    <s v="M"/>
    <s v="Orange"/>
    <s v="Spring"/>
    <n v="4.3"/>
    <s v="Yes"/>
    <s v="2-Day Shipping"/>
    <s v="Yes"/>
    <s v="Yes"/>
    <n v="11"/>
    <s v="Cash"/>
    <s v="Fortnightly"/>
    <s v="Fortnightly"/>
    <n v="3"/>
  </r>
  <r>
    <x v="919"/>
    <n v="41"/>
    <x v="0"/>
    <s v="Shirt"/>
    <x v="0"/>
    <n v="82"/>
    <x v="2"/>
    <s v="L"/>
    <s v="Green"/>
    <s v="Winter"/>
    <n v="2.6"/>
    <s v="Yes"/>
    <s v="2-Day Shipping"/>
    <s v="Yes"/>
    <s v="Yes"/>
    <n v="17"/>
    <s v="Debit Card"/>
    <s v="Bi-Weekly"/>
    <s v="Bi-Weekly"/>
    <n v="2"/>
  </r>
  <r>
    <x v="920"/>
    <n v="37"/>
    <x v="0"/>
    <s v="Belt"/>
    <x v="3"/>
    <n v="81"/>
    <x v="10"/>
    <s v="XL"/>
    <s v="Gold"/>
    <s v="Summer"/>
    <n v="4.3"/>
    <s v="Yes"/>
    <s v="Free Shipping"/>
    <s v="Yes"/>
    <s v="Yes"/>
    <n v="37"/>
    <s v="Cash"/>
    <s v="Weekly"/>
    <s v="Weekly"/>
    <n v="1"/>
  </r>
  <r>
    <x v="921"/>
    <n v="70"/>
    <x v="0"/>
    <s v="Coat"/>
    <x v="2"/>
    <n v="24"/>
    <x v="45"/>
    <s v="L"/>
    <s v="Silver"/>
    <s v="Summer"/>
    <n v="4.0999999999999996"/>
    <s v="Yes"/>
    <s v="Express"/>
    <s v="Yes"/>
    <s v="Yes"/>
    <n v="18"/>
    <s v="PayPal"/>
    <s v="Weekly"/>
    <s v="Weekly"/>
    <n v="1"/>
  </r>
  <r>
    <x v="922"/>
    <n v="63"/>
    <x v="0"/>
    <s v="Sneakers"/>
    <x v="1"/>
    <n v="60"/>
    <x v="42"/>
    <s v="M"/>
    <s v="Cyan"/>
    <s v="Fall"/>
    <n v="4.2"/>
    <s v="Yes"/>
    <s v="Standard"/>
    <s v="Yes"/>
    <s v="Yes"/>
    <n v="13"/>
    <s v="Credit Card"/>
    <s v="Monthly"/>
    <s v="Monthly"/>
    <n v="4"/>
  </r>
  <r>
    <x v="923"/>
    <n v="55"/>
    <x v="0"/>
    <s v="Shirt"/>
    <x v="0"/>
    <n v="24"/>
    <x v="10"/>
    <s v="M"/>
    <s v="Silver"/>
    <s v="Spring"/>
    <n v="4.2"/>
    <s v="Yes"/>
    <s v="2-Day Shipping"/>
    <s v="Yes"/>
    <s v="Yes"/>
    <n v="7"/>
    <s v="PayPal"/>
    <s v="Weekly"/>
    <s v="Weekly"/>
    <n v="1"/>
  </r>
  <r>
    <x v="924"/>
    <n v="52"/>
    <x v="0"/>
    <s v="Socks"/>
    <x v="0"/>
    <n v="78"/>
    <x v="23"/>
    <s v="XL"/>
    <s v="Beige"/>
    <s v="Winter"/>
    <n v="3.1"/>
    <s v="Yes"/>
    <s v="Standard"/>
    <s v="Yes"/>
    <s v="Yes"/>
    <n v="37"/>
    <s v="Cash"/>
    <s v="Quarterly"/>
    <s v="Quarterly"/>
    <n v="5"/>
  </r>
  <r>
    <x v="925"/>
    <n v="22"/>
    <x v="0"/>
    <s v="Jeans"/>
    <x v="0"/>
    <n v="88"/>
    <x v="28"/>
    <s v="L"/>
    <s v="Teal"/>
    <s v="Winter"/>
    <n v="4.9000000000000004"/>
    <s v="Yes"/>
    <s v="Express"/>
    <s v="Yes"/>
    <s v="Yes"/>
    <n v="8"/>
    <s v="Cash"/>
    <s v="Monthly"/>
    <s v="Monthly"/>
    <n v="4"/>
  </r>
  <r>
    <x v="926"/>
    <n v="54"/>
    <x v="0"/>
    <s v="Jeans"/>
    <x v="0"/>
    <n v="63"/>
    <x v="2"/>
    <s v="XL"/>
    <s v="Green"/>
    <s v="Spring"/>
    <n v="4.4000000000000004"/>
    <s v="Yes"/>
    <s v="Express"/>
    <s v="Yes"/>
    <s v="Yes"/>
    <n v="11"/>
    <s v="Cash"/>
    <s v="Bi-Weekly"/>
    <s v="Bi-Weekly"/>
    <n v="2"/>
  </r>
  <r>
    <x v="927"/>
    <n v="28"/>
    <x v="0"/>
    <s v="Sneakers"/>
    <x v="1"/>
    <n v="78"/>
    <x v="35"/>
    <s v="L"/>
    <s v="Black"/>
    <s v="Summer"/>
    <n v="4.4000000000000004"/>
    <s v="Yes"/>
    <s v="Standard"/>
    <s v="Yes"/>
    <s v="Yes"/>
    <n v="8"/>
    <s v="Venmo"/>
    <s v="Bi-Weekly"/>
    <s v="Bi-Weekly"/>
    <n v="2"/>
  </r>
  <r>
    <x v="928"/>
    <n v="67"/>
    <x v="0"/>
    <s v="Dress"/>
    <x v="0"/>
    <n v="37"/>
    <x v="10"/>
    <s v="XL"/>
    <s v="Yellow"/>
    <s v="Winter"/>
    <n v="3.4"/>
    <s v="Yes"/>
    <s v="Store Pickup"/>
    <s v="Yes"/>
    <s v="Yes"/>
    <n v="31"/>
    <s v="Cash"/>
    <s v="Every 3 Months"/>
    <s v="Quarterly"/>
    <n v="5"/>
  </r>
  <r>
    <x v="929"/>
    <n v="59"/>
    <x v="0"/>
    <s v="Boots"/>
    <x v="1"/>
    <n v="94"/>
    <x v="43"/>
    <s v="M"/>
    <s v="White"/>
    <s v="Fall"/>
    <n v="4.5"/>
    <s v="Yes"/>
    <s v="2-Day Shipping"/>
    <s v="Yes"/>
    <s v="Yes"/>
    <n v="26"/>
    <s v="Debit Card"/>
    <s v="Fortnightly"/>
    <s v="Fortnightly"/>
    <n v="3"/>
  </r>
  <r>
    <x v="930"/>
    <n v="26"/>
    <x v="0"/>
    <s v="T-shirt"/>
    <x v="0"/>
    <n v="78"/>
    <x v="11"/>
    <s v="L"/>
    <s v="Green"/>
    <s v="Fall"/>
    <n v="4.5"/>
    <s v="Yes"/>
    <s v="Store Pickup"/>
    <s v="Yes"/>
    <s v="Yes"/>
    <n v="20"/>
    <s v="Credit Card"/>
    <s v="Bi-Weekly"/>
    <s v="Bi-Weekly"/>
    <n v="2"/>
  </r>
  <r>
    <x v="931"/>
    <n v="24"/>
    <x v="0"/>
    <s v="Coat"/>
    <x v="2"/>
    <n v="36"/>
    <x v="43"/>
    <s v="M"/>
    <s v="Silver"/>
    <s v="Winter"/>
    <n v="4.0999999999999996"/>
    <s v="Yes"/>
    <s v="Standard"/>
    <s v="Yes"/>
    <s v="Yes"/>
    <n v="24"/>
    <s v="Bank Transfer"/>
    <s v="Fortnightly"/>
    <s v="Fortnightly"/>
    <n v="3"/>
  </r>
  <r>
    <x v="932"/>
    <n v="62"/>
    <x v="0"/>
    <s v="Skirt"/>
    <x v="0"/>
    <n v="24"/>
    <x v="27"/>
    <s v="L"/>
    <s v="Blue"/>
    <s v="Winter"/>
    <n v="3.2"/>
    <s v="Yes"/>
    <s v="Standard"/>
    <s v="Yes"/>
    <s v="Yes"/>
    <n v="45"/>
    <s v="Debit Card"/>
    <s v="Bi-Weekly"/>
    <s v="Bi-Weekly"/>
    <n v="2"/>
  </r>
  <r>
    <x v="933"/>
    <n v="70"/>
    <x v="0"/>
    <s v="Sneakers"/>
    <x v="1"/>
    <n v="84"/>
    <x v="24"/>
    <s v="M"/>
    <s v="Magenta"/>
    <s v="Spring"/>
    <n v="2.7"/>
    <s v="Yes"/>
    <s v="Store Pickup"/>
    <s v="Yes"/>
    <s v="Yes"/>
    <n v="33"/>
    <s v="Debit Card"/>
    <s v="Monthly"/>
    <s v="Monthly"/>
    <n v="4"/>
  </r>
  <r>
    <x v="934"/>
    <n v="45"/>
    <x v="0"/>
    <s v="Jeans"/>
    <x v="0"/>
    <n v="47"/>
    <x v="4"/>
    <s v="S"/>
    <s v="Yellow"/>
    <s v="Spring"/>
    <n v="3.7"/>
    <s v="Yes"/>
    <s v="Express"/>
    <s v="Yes"/>
    <s v="Yes"/>
    <n v="21"/>
    <s v="Bank Transfer"/>
    <s v="Monthly"/>
    <s v="Monthly"/>
    <n v="4"/>
  </r>
  <r>
    <x v="935"/>
    <n v="58"/>
    <x v="0"/>
    <s v="Hoodie"/>
    <x v="0"/>
    <n v="51"/>
    <x v="31"/>
    <s v="L"/>
    <s v="White"/>
    <s v="Fall"/>
    <n v="2.6"/>
    <s v="Yes"/>
    <s v="Store Pickup"/>
    <s v="Yes"/>
    <s v="Yes"/>
    <n v="2"/>
    <s v="Bank Transfer"/>
    <s v="Fortnightly"/>
    <s v="Fortnightly"/>
    <n v="3"/>
  </r>
  <r>
    <x v="936"/>
    <n v="31"/>
    <x v="0"/>
    <s v="Shoes"/>
    <x v="1"/>
    <n v="84"/>
    <x v="1"/>
    <s v="M"/>
    <s v="Pink"/>
    <s v="Summer"/>
    <n v="2.7"/>
    <s v="Yes"/>
    <s v="Free Shipping"/>
    <s v="Yes"/>
    <s v="Yes"/>
    <n v="28"/>
    <s v="Cash"/>
    <s v="Weekly"/>
    <s v="Weekly"/>
    <n v="1"/>
  </r>
  <r>
    <x v="937"/>
    <n v="32"/>
    <x v="0"/>
    <s v="Shorts"/>
    <x v="0"/>
    <n v="24"/>
    <x v="44"/>
    <s v="M"/>
    <s v="Magenta"/>
    <s v="Summer"/>
    <n v="2.7"/>
    <s v="Yes"/>
    <s v="Express"/>
    <s v="Yes"/>
    <s v="Yes"/>
    <n v="18"/>
    <s v="Venmo"/>
    <s v="Quarterly"/>
    <s v="Quarterly"/>
    <n v="5"/>
  </r>
  <r>
    <x v="938"/>
    <n v="36"/>
    <x v="0"/>
    <s v="Blouse"/>
    <x v="0"/>
    <n v="97"/>
    <x v="48"/>
    <s v="S"/>
    <s v="Teal"/>
    <s v="Fall"/>
    <n v="4.8"/>
    <s v="Yes"/>
    <s v="Free Shipping"/>
    <s v="Yes"/>
    <s v="Yes"/>
    <n v="21"/>
    <s v="Debit Card"/>
    <s v="Fortnightly"/>
    <s v="Fortnightly"/>
    <n v="3"/>
  </r>
  <r>
    <x v="939"/>
    <n v="25"/>
    <x v="0"/>
    <s v="T-shirt"/>
    <x v="0"/>
    <n v="89"/>
    <x v="14"/>
    <s v="L"/>
    <s v="Indigo"/>
    <s v="Winter"/>
    <n v="4.8"/>
    <s v="Yes"/>
    <s v="Next Day Air"/>
    <s v="Yes"/>
    <s v="Yes"/>
    <n v="24"/>
    <s v="Credit Card"/>
    <s v="Monthly"/>
    <s v="Monthly"/>
    <n v="4"/>
  </r>
  <r>
    <x v="940"/>
    <n v="48"/>
    <x v="0"/>
    <s v="Belt"/>
    <x v="3"/>
    <n v="44"/>
    <x v="24"/>
    <s v="S"/>
    <s v="Maroon"/>
    <s v="Spring"/>
    <n v="2.6"/>
    <s v="Yes"/>
    <s v="Store Pickup"/>
    <s v="Yes"/>
    <s v="Yes"/>
    <n v="15"/>
    <s v="PayPal"/>
    <s v="Every 3 Months"/>
    <s v="Quarterly"/>
    <n v="5"/>
  </r>
  <r>
    <x v="941"/>
    <n v="39"/>
    <x v="0"/>
    <s v="Handbag"/>
    <x v="3"/>
    <n v="35"/>
    <x v="26"/>
    <s v="L"/>
    <s v="Black"/>
    <s v="Winter"/>
    <n v="4.5"/>
    <s v="Yes"/>
    <s v="2-Day Shipping"/>
    <s v="Yes"/>
    <s v="Yes"/>
    <n v="38"/>
    <s v="PayPal"/>
    <s v="Every 3 Months"/>
    <s v="Quarterly"/>
    <n v="5"/>
  </r>
  <r>
    <x v="942"/>
    <n v="26"/>
    <x v="0"/>
    <s v="Dress"/>
    <x v="0"/>
    <n v="91"/>
    <x v="28"/>
    <s v="M"/>
    <s v="Cyan"/>
    <s v="Winter"/>
    <n v="3.2"/>
    <s v="Yes"/>
    <s v="Express"/>
    <s v="Yes"/>
    <s v="Yes"/>
    <n v="38"/>
    <s v="PayPal"/>
    <s v="Bi-Weekly"/>
    <s v="Bi-Weekly"/>
    <n v="2"/>
  </r>
  <r>
    <x v="943"/>
    <n v="32"/>
    <x v="0"/>
    <s v="Hat"/>
    <x v="3"/>
    <n v="63"/>
    <x v="19"/>
    <s v="L"/>
    <s v="Cyan"/>
    <s v="Winter"/>
    <n v="3.8"/>
    <s v="Yes"/>
    <s v="Next Day Air"/>
    <s v="Yes"/>
    <s v="Yes"/>
    <n v="13"/>
    <s v="Venmo"/>
    <s v="Fortnightly"/>
    <s v="Fortnightly"/>
    <n v="3"/>
  </r>
  <r>
    <x v="944"/>
    <n v="54"/>
    <x v="0"/>
    <s v="Belt"/>
    <x v="3"/>
    <n v="97"/>
    <x v="27"/>
    <s v="S"/>
    <s v="Gray"/>
    <s v="Spring"/>
    <n v="4.8"/>
    <s v="Yes"/>
    <s v="Express"/>
    <s v="Yes"/>
    <s v="Yes"/>
    <n v="39"/>
    <s v="Cash"/>
    <s v="Bi-Weekly"/>
    <s v="Bi-Weekly"/>
    <n v="2"/>
  </r>
  <r>
    <x v="945"/>
    <n v="38"/>
    <x v="0"/>
    <s v="Boots"/>
    <x v="1"/>
    <n v="38"/>
    <x v="46"/>
    <s v="M"/>
    <s v="Violet"/>
    <s v="Summer"/>
    <n v="4.0999999999999996"/>
    <s v="Yes"/>
    <s v="Store Pickup"/>
    <s v="Yes"/>
    <s v="Yes"/>
    <n v="8"/>
    <s v="Venmo"/>
    <s v="Every 3 Months"/>
    <s v="Quarterly"/>
    <n v="5"/>
  </r>
  <r>
    <x v="946"/>
    <n v="46"/>
    <x v="0"/>
    <s v="Coat"/>
    <x v="2"/>
    <n v="24"/>
    <x v="38"/>
    <s v="XL"/>
    <s v="Blue"/>
    <s v="Spring"/>
    <n v="2.8"/>
    <s v="Yes"/>
    <s v="Next Day Air"/>
    <s v="Yes"/>
    <s v="Yes"/>
    <n v="4"/>
    <s v="PayPal"/>
    <s v="Quarterly"/>
    <s v="Quarterly"/>
    <n v="5"/>
  </r>
  <r>
    <x v="947"/>
    <n v="57"/>
    <x v="0"/>
    <s v="Blouse"/>
    <x v="0"/>
    <n v="32"/>
    <x v="27"/>
    <s v="M"/>
    <s v="Charcoal"/>
    <s v="Winter"/>
    <n v="3.9"/>
    <s v="Yes"/>
    <s v="Store Pickup"/>
    <s v="Yes"/>
    <s v="Yes"/>
    <n v="6"/>
    <s v="Cash"/>
    <s v="Every 3 Months"/>
    <s v="Quarterly"/>
    <n v="5"/>
  </r>
  <r>
    <x v="948"/>
    <n v="49"/>
    <x v="0"/>
    <s v="Hat"/>
    <x v="3"/>
    <n v="90"/>
    <x v="15"/>
    <s v="L"/>
    <s v="Olive"/>
    <s v="Summer"/>
    <n v="4.9000000000000004"/>
    <s v="Yes"/>
    <s v="Express"/>
    <s v="Yes"/>
    <s v="Yes"/>
    <n v="11"/>
    <s v="Venmo"/>
    <s v="Every 3 Months"/>
    <s v="Quarterly"/>
    <n v="5"/>
  </r>
  <r>
    <x v="949"/>
    <n v="33"/>
    <x v="0"/>
    <s v="Jeans"/>
    <x v="0"/>
    <n v="36"/>
    <x v="6"/>
    <s v="M"/>
    <s v="Olive"/>
    <s v="Summer"/>
    <n v="3.4"/>
    <s v="Yes"/>
    <s v="Standard"/>
    <s v="Yes"/>
    <s v="Yes"/>
    <n v="49"/>
    <s v="Venmo"/>
    <s v="Monthly"/>
    <s v="Monthly"/>
    <n v="4"/>
  </r>
  <r>
    <x v="950"/>
    <n v="54"/>
    <x v="0"/>
    <s v="Backpack"/>
    <x v="3"/>
    <n v="37"/>
    <x v="35"/>
    <s v="XL"/>
    <s v="Turquoise"/>
    <s v="Winter"/>
    <n v="4.0999999999999996"/>
    <s v="Yes"/>
    <s v="Free Shipping"/>
    <s v="Yes"/>
    <s v="Yes"/>
    <n v="30"/>
    <s v="PayPal"/>
    <s v="Quarterly"/>
    <s v="Quarterly"/>
    <n v="5"/>
  </r>
  <r>
    <x v="951"/>
    <n v="47"/>
    <x v="0"/>
    <s v="Dress"/>
    <x v="0"/>
    <n v="51"/>
    <x v="29"/>
    <s v="M"/>
    <s v="Cyan"/>
    <s v="Summer"/>
    <n v="2.9"/>
    <s v="Yes"/>
    <s v="Express"/>
    <s v="Yes"/>
    <s v="Yes"/>
    <n v="34"/>
    <s v="Bank Transfer"/>
    <s v="Monthly"/>
    <s v="Monthly"/>
    <n v="4"/>
  </r>
  <r>
    <x v="952"/>
    <n v="36"/>
    <x v="0"/>
    <s v="Hat"/>
    <x v="3"/>
    <n v="71"/>
    <x v="37"/>
    <s v="S"/>
    <s v="Red"/>
    <s v="Fall"/>
    <n v="3.1"/>
    <s v="Yes"/>
    <s v="2-Day Shipping"/>
    <s v="Yes"/>
    <s v="Yes"/>
    <n v="28"/>
    <s v="PayPal"/>
    <s v="Monthly"/>
    <s v="Monthly"/>
    <n v="4"/>
  </r>
  <r>
    <x v="953"/>
    <n v="68"/>
    <x v="0"/>
    <s v="Sunglasses"/>
    <x v="3"/>
    <n v="50"/>
    <x v="40"/>
    <s v="S"/>
    <s v="Cyan"/>
    <s v="Spring"/>
    <n v="3.6"/>
    <s v="Yes"/>
    <s v="2-Day Shipping"/>
    <s v="Yes"/>
    <s v="Yes"/>
    <n v="36"/>
    <s v="Venmo"/>
    <s v="Quarterly"/>
    <s v="Quarterly"/>
    <n v="5"/>
  </r>
  <r>
    <x v="954"/>
    <n v="60"/>
    <x v="0"/>
    <s v="Hat"/>
    <x v="3"/>
    <n v="74"/>
    <x v="7"/>
    <s v="S"/>
    <s v="Turquoise"/>
    <s v="Fall"/>
    <n v="3.5"/>
    <s v="Yes"/>
    <s v="Standard"/>
    <s v="Yes"/>
    <s v="Yes"/>
    <n v="18"/>
    <s v="Credit Card"/>
    <s v="Every 3 Months"/>
    <s v="Quarterly"/>
    <n v="5"/>
  </r>
  <r>
    <x v="955"/>
    <n v="55"/>
    <x v="0"/>
    <s v="Dress"/>
    <x v="0"/>
    <n v="75"/>
    <x v="16"/>
    <s v="L"/>
    <s v="Lavender"/>
    <s v="Summer"/>
    <n v="3.4"/>
    <s v="Yes"/>
    <s v="Free Shipping"/>
    <s v="Yes"/>
    <s v="Yes"/>
    <n v="4"/>
    <s v="PayPal"/>
    <s v="Monthly"/>
    <s v="Monthly"/>
    <n v="4"/>
  </r>
  <r>
    <x v="956"/>
    <n v="29"/>
    <x v="0"/>
    <s v="Shirt"/>
    <x v="0"/>
    <n v="99"/>
    <x v="16"/>
    <s v="XL"/>
    <s v="Cyan"/>
    <s v="Spring"/>
    <n v="2.9"/>
    <s v="Yes"/>
    <s v="2-Day Shipping"/>
    <s v="Yes"/>
    <s v="Yes"/>
    <n v="42"/>
    <s v="Debit Card"/>
    <s v="Quarterly"/>
    <s v="Quarterly"/>
    <n v="5"/>
  </r>
  <r>
    <x v="957"/>
    <n v="38"/>
    <x v="0"/>
    <s v="Scarf"/>
    <x v="3"/>
    <n v="23"/>
    <x v="27"/>
    <s v="XL"/>
    <s v="Violet"/>
    <s v="Spring"/>
    <n v="4.7"/>
    <s v="Yes"/>
    <s v="Store Pickup"/>
    <s v="Yes"/>
    <s v="Yes"/>
    <n v="11"/>
    <s v="Cash"/>
    <s v="Quarterly"/>
    <s v="Quarterly"/>
    <n v="5"/>
  </r>
  <r>
    <x v="958"/>
    <n v="70"/>
    <x v="0"/>
    <s v="Sneakers"/>
    <x v="1"/>
    <n v="53"/>
    <x v="47"/>
    <s v="XL"/>
    <s v="Beige"/>
    <s v="Winter"/>
    <n v="4.4000000000000004"/>
    <s v="Yes"/>
    <s v="Free Shipping"/>
    <s v="Yes"/>
    <s v="Yes"/>
    <n v="31"/>
    <s v="Credit Card"/>
    <s v="Bi-Weekly"/>
    <s v="Bi-Weekly"/>
    <n v="2"/>
  </r>
  <r>
    <x v="959"/>
    <n v="36"/>
    <x v="0"/>
    <s v="Skirt"/>
    <x v="0"/>
    <n v="99"/>
    <x v="22"/>
    <s v="M"/>
    <s v="Cyan"/>
    <s v="Spring"/>
    <n v="2.6"/>
    <s v="Yes"/>
    <s v="Standard"/>
    <s v="Yes"/>
    <s v="Yes"/>
    <n v="12"/>
    <s v="Cash"/>
    <s v="Fortnightly"/>
    <s v="Fortnightly"/>
    <n v="3"/>
  </r>
  <r>
    <x v="960"/>
    <n v="18"/>
    <x v="0"/>
    <s v="Jewelry"/>
    <x v="3"/>
    <n v="48"/>
    <x v="7"/>
    <s v="XL"/>
    <s v="Indigo"/>
    <s v="Spring"/>
    <n v="4.4000000000000004"/>
    <s v="Yes"/>
    <s v="Standard"/>
    <s v="Yes"/>
    <s v="Yes"/>
    <n v="20"/>
    <s v="Venmo"/>
    <s v="Quarterly"/>
    <s v="Quarterly"/>
    <n v="5"/>
  </r>
  <r>
    <x v="961"/>
    <n v="62"/>
    <x v="0"/>
    <s v="Boots"/>
    <x v="1"/>
    <n v="72"/>
    <x v="38"/>
    <s v="L"/>
    <s v="Olive"/>
    <s v="Fall"/>
    <n v="3.7"/>
    <s v="Yes"/>
    <s v="Next Day Air"/>
    <s v="Yes"/>
    <s v="Yes"/>
    <n v="37"/>
    <s v="Debit Card"/>
    <s v="Quarterly"/>
    <s v="Quarterly"/>
    <n v="5"/>
  </r>
  <r>
    <x v="962"/>
    <n v="29"/>
    <x v="0"/>
    <s v="Sunglasses"/>
    <x v="3"/>
    <n v="64"/>
    <x v="49"/>
    <s v="L"/>
    <s v="Green"/>
    <s v="Spring"/>
    <n v="4.4000000000000004"/>
    <s v="Yes"/>
    <s v="Standard"/>
    <s v="Yes"/>
    <s v="Yes"/>
    <n v="26"/>
    <s v="Debit Card"/>
    <s v="Fortnightly"/>
    <s v="Fortnightly"/>
    <n v="3"/>
  </r>
  <r>
    <x v="963"/>
    <n v="21"/>
    <x v="0"/>
    <s v="Boots"/>
    <x v="1"/>
    <n v="63"/>
    <x v="36"/>
    <s v="L"/>
    <s v="Green"/>
    <s v="Spring"/>
    <n v="2.5"/>
    <s v="Yes"/>
    <s v="2-Day Shipping"/>
    <s v="Yes"/>
    <s v="Yes"/>
    <n v="14"/>
    <s v="Credit Card"/>
    <s v="Weekly"/>
    <s v="Weekly"/>
    <n v="1"/>
  </r>
  <r>
    <x v="964"/>
    <n v="42"/>
    <x v="0"/>
    <s v="Sandals"/>
    <x v="1"/>
    <n v="51"/>
    <x v="28"/>
    <s v="M"/>
    <s v="Beige"/>
    <s v="Spring"/>
    <n v="2.6"/>
    <s v="Yes"/>
    <s v="Next Day Air"/>
    <s v="Yes"/>
    <s v="Yes"/>
    <n v="12"/>
    <s v="Venmo"/>
    <s v="Bi-Weekly"/>
    <s v="Bi-Weekly"/>
    <n v="2"/>
  </r>
  <r>
    <x v="965"/>
    <n v="43"/>
    <x v="0"/>
    <s v="Boots"/>
    <x v="1"/>
    <n v="55"/>
    <x v="12"/>
    <s v="L"/>
    <s v="Black"/>
    <s v="Spring"/>
    <n v="5"/>
    <s v="Yes"/>
    <s v="Store Pickup"/>
    <s v="Yes"/>
    <s v="Yes"/>
    <n v="10"/>
    <s v="Credit Card"/>
    <s v="Annually"/>
    <s v="Annually"/>
    <n v="6"/>
  </r>
  <r>
    <x v="966"/>
    <n v="58"/>
    <x v="0"/>
    <s v="Dress"/>
    <x v="0"/>
    <n v="55"/>
    <x v="0"/>
    <s v="M"/>
    <s v="Brown"/>
    <s v="Spring"/>
    <n v="4.9000000000000004"/>
    <s v="Yes"/>
    <s v="Express"/>
    <s v="Yes"/>
    <s v="Yes"/>
    <n v="19"/>
    <s v="Cash"/>
    <s v="Annually"/>
    <s v="Annually"/>
    <n v="6"/>
  </r>
  <r>
    <x v="967"/>
    <n v="27"/>
    <x v="0"/>
    <s v="Hoodie"/>
    <x v="0"/>
    <n v="26"/>
    <x v="42"/>
    <s v="S"/>
    <s v="Silver"/>
    <s v="Summer"/>
    <n v="3.7"/>
    <s v="Yes"/>
    <s v="Store Pickup"/>
    <s v="Yes"/>
    <s v="Yes"/>
    <n v="4"/>
    <s v="Cash"/>
    <s v="Weekly"/>
    <s v="Weekly"/>
    <n v="1"/>
  </r>
  <r>
    <x v="968"/>
    <n v="57"/>
    <x v="0"/>
    <s v="Shorts"/>
    <x v="0"/>
    <n v="67"/>
    <x v="17"/>
    <s v="L"/>
    <s v="Gray"/>
    <s v="Summer"/>
    <n v="3.1"/>
    <s v="Yes"/>
    <s v="Next Day Air"/>
    <s v="Yes"/>
    <s v="Yes"/>
    <n v="48"/>
    <s v="Bank Transfer"/>
    <s v="Quarterly"/>
    <s v="Quarterly"/>
    <n v="5"/>
  </r>
  <r>
    <x v="969"/>
    <n v="40"/>
    <x v="0"/>
    <s v="Coat"/>
    <x v="2"/>
    <n v="31"/>
    <x v="18"/>
    <s v="S"/>
    <s v="Pink"/>
    <s v="Fall"/>
    <n v="3.2"/>
    <s v="Yes"/>
    <s v="Express"/>
    <s v="Yes"/>
    <s v="Yes"/>
    <n v="37"/>
    <s v="PayPal"/>
    <s v="Monthly"/>
    <s v="Monthly"/>
    <n v="4"/>
  </r>
  <r>
    <x v="970"/>
    <n v="45"/>
    <x v="0"/>
    <s v="Jeans"/>
    <x v="0"/>
    <n v="66"/>
    <x v="18"/>
    <s v="S"/>
    <s v="Maroon"/>
    <s v="Winter"/>
    <n v="4.4000000000000004"/>
    <s v="Yes"/>
    <s v="Free Shipping"/>
    <s v="Yes"/>
    <s v="Yes"/>
    <n v="4"/>
    <s v="Cash"/>
    <s v="Monthly"/>
    <s v="Monthly"/>
    <n v="4"/>
  </r>
  <r>
    <x v="971"/>
    <n v="47"/>
    <x v="0"/>
    <s v="Sunglasses"/>
    <x v="3"/>
    <n v="67"/>
    <x v="27"/>
    <s v="M"/>
    <s v="Cyan"/>
    <s v="Summer"/>
    <n v="4.3"/>
    <s v="Yes"/>
    <s v="Next Day Air"/>
    <s v="Yes"/>
    <s v="Yes"/>
    <n v="15"/>
    <s v="Credit Card"/>
    <s v="Weekly"/>
    <s v="Weekly"/>
    <n v="1"/>
  </r>
  <r>
    <x v="972"/>
    <n v="61"/>
    <x v="0"/>
    <s v="Sneakers"/>
    <x v="1"/>
    <n v="61"/>
    <x v="24"/>
    <s v="L"/>
    <s v="Gold"/>
    <s v="Winter"/>
    <n v="3"/>
    <s v="Yes"/>
    <s v="Standard"/>
    <s v="Yes"/>
    <s v="Yes"/>
    <n v="33"/>
    <s v="Credit Card"/>
    <s v="Weekly"/>
    <s v="Weekly"/>
    <n v="1"/>
  </r>
  <r>
    <x v="973"/>
    <n v="60"/>
    <x v="0"/>
    <s v="Jacket"/>
    <x v="2"/>
    <n v="75"/>
    <x v="24"/>
    <s v="M"/>
    <s v="Teal"/>
    <s v="Fall"/>
    <n v="3.5"/>
    <s v="Yes"/>
    <s v="2-Day Shipping"/>
    <s v="Yes"/>
    <s v="Yes"/>
    <n v="30"/>
    <s v="Bank Transfer"/>
    <s v="Quarterly"/>
    <s v="Quarterly"/>
    <n v="5"/>
  </r>
  <r>
    <x v="974"/>
    <n v="69"/>
    <x v="0"/>
    <s v="Skirt"/>
    <x v="0"/>
    <n v="90"/>
    <x v="17"/>
    <s v="M"/>
    <s v="Beige"/>
    <s v="Spring"/>
    <n v="3.6"/>
    <s v="Yes"/>
    <s v="2-Day Shipping"/>
    <s v="Yes"/>
    <s v="Yes"/>
    <n v="23"/>
    <s v="Bank Transfer"/>
    <s v="Monthly"/>
    <s v="Monthly"/>
    <n v="4"/>
  </r>
  <r>
    <x v="975"/>
    <n v="58"/>
    <x v="0"/>
    <s v="Sweater"/>
    <x v="0"/>
    <n v="40"/>
    <x v="47"/>
    <s v="M"/>
    <s v="Olive"/>
    <s v="Summer"/>
    <n v="3.8"/>
    <s v="Yes"/>
    <s v="2-Day Shipping"/>
    <s v="Yes"/>
    <s v="Yes"/>
    <n v="2"/>
    <s v="Bank Transfer"/>
    <s v="Weekly"/>
    <s v="Weekly"/>
    <n v="1"/>
  </r>
  <r>
    <x v="976"/>
    <n v="34"/>
    <x v="0"/>
    <s v="T-shirt"/>
    <x v="0"/>
    <n v="90"/>
    <x v="20"/>
    <s v="M"/>
    <s v="Gray"/>
    <s v="Fall"/>
    <n v="3.6"/>
    <s v="Yes"/>
    <s v="Express"/>
    <s v="Yes"/>
    <s v="Yes"/>
    <n v="50"/>
    <s v="Credit Card"/>
    <s v="Every 3 Months"/>
    <s v="Quarterly"/>
    <n v="5"/>
  </r>
  <r>
    <x v="977"/>
    <n v="20"/>
    <x v="0"/>
    <s v="Belt"/>
    <x v="3"/>
    <n v="20"/>
    <x v="47"/>
    <s v="M"/>
    <s v="Black"/>
    <s v="Spring"/>
    <n v="4.5999999999999996"/>
    <s v="Yes"/>
    <s v="Express"/>
    <s v="Yes"/>
    <s v="Yes"/>
    <n v="34"/>
    <s v="Cash"/>
    <s v="Bi-Weekly"/>
    <s v="Bi-Weekly"/>
    <n v="2"/>
  </r>
  <r>
    <x v="978"/>
    <n v="56"/>
    <x v="0"/>
    <s v="Gloves"/>
    <x v="3"/>
    <n v="40"/>
    <x v="24"/>
    <s v="M"/>
    <s v="Turquoise"/>
    <s v="Summer"/>
    <n v="2.5"/>
    <s v="Yes"/>
    <s v="Standard"/>
    <s v="Yes"/>
    <s v="Yes"/>
    <n v="33"/>
    <s v="Credit Card"/>
    <s v="Weekly"/>
    <s v="Weekly"/>
    <n v="1"/>
  </r>
  <r>
    <x v="979"/>
    <n v="64"/>
    <x v="0"/>
    <s v="Hat"/>
    <x v="3"/>
    <n v="33"/>
    <x v="13"/>
    <s v="S"/>
    <s v="Brown"/>
    <s v="Fall"/>
    <n v="3.5"/>
    <s v="Yes"/>
    <s v="Store Pickup"/>
    <s v="Yes"/>
    <s v="Yes"/>
    <n v="34"/>
    <s v="Debit Card"/>
    <s v="Monthly"/>
    <s v="Monthly"/>
    <n v="4"/>
  </r>
  <r>
    <x v="980"/>
    <n v="56"/>
    <x v="0"/>
    <s v="Boots"/>
    <x v="1"/>
    <n v="98"/>
    <x v="33"/>
    <s v="S"/>
    <s v="Magenta"/>
    <s v="Spring"/>
    <n v="4"/>
    <s v="Yes"/>
    <s v="Free Shipping"/>
    <s v="Yes"/>
    <s v="Yes"/>
    <n v="39"/>
    <s v="PayPal"/>
    <s v="Every 3 Months"/>
    <s v="Quarterly"/>
    <n v="5"/>
  </r>
  <r>
    <x v="981"/>
    <n v="27"/>
    <x v="0"/>
    <s v="Belt"/>
    <x v="3"/>
    <n v="42"/>
    <x v="33"/>
    <s v="M"/>
    <s v="Silver"/>
    <s v="Spring"/>
    <n v="3.5"/>
    <s v="Yes"/>
    <s v="Next Day Air"/>
    <s v="Yes"/>
    <s v="Yes"/>
    <n v="47"/>
    <s v="Credit Card"/>
    <s v="Quarterly"/>
    <s v="Quarterly"/>
    <n v="5"/>
  </r>
  <r>
    <x v="982"/>
    <n v="35"/>
    <x v="0"/>
    <s v="Coat"/>
    <x v="2"/>
    <n v="62"/>
    <x v="21"/>
    <s v="S"/>
    <s v="Red"/>
    <s v="Summer"/>
    <n v="3.2"/>
    <s v="Yes"/>
    <s v="Standard"/>
    <s v="Yes"/>
    <s v="Yes"/>
    <n v="37"/>
    <s v="PayPal"/>
    <s v="Monthly"/>
    <s v="Monthly"/>
    <n v="4"/>
  </r>
  <r>
    <x v="983"/>
    <n v="24"/>
    <x v="0"/>
    <s v="Hat"/>
    <x v="3"/>
    <n v="45"/>
    <x v="35"/>
    <s v="L"/>
    <s v="Indigo"/>
    <s v="Winter"/>
    <n v="3.5"/>
    <s v="Yes"/>
    <s v="Free Shipping"/>
    <s v="Yes"/>
    <s v="Yes"/>
    <n v="40"/>
    <s v="Venmo"/>
    <s v="Bi-Weekly"/>
    <s v="Bi-Weekly"/>
    <n v="2"/>
  </r>
  <r>
    <x v="984"/>
    <n v="26"/>
    <x v="0"/>
    <s v="Shoes"/>
    <x v="1"/>
    <n v="78"/>
    <x v="40"/>
    <s v="M"/>
    <s v="Green"/>
    <s v="Summer"/>
    <n v="3.4"/>
    <s v="Yes"/>
    <s v="Free Shipping"/>
    <s v="Yes"/>
    <s v="Yes"/>
    <n v="8"/>
    <s v="Credit Card"/>
    <s v="Bi-Weekly"/>
    <s v="Bi-Weekly"/>
    <n v="2"/>
  </r>
  <r>
    <x v="985"/>
    <n v="32"/>
    <x v="0"/>
    <s v="Handbag"/>
    <x v="3"/>
    <n v="80"/>
    <x v="8"/>
    <s v="M"/>
    <s v="Gray"/>
    <s v="Fall"/>
    <n v="5"/>
    <s v="Yes"/>
    <s v="Express"/>
    <s v="Yes"/>
    <s v="Yes"/>
    <n v="12"/>
    <s v="Bank Transfer"/>
    <s v="Annually"/>
    <s v="Annually"/>
    <n v="6"/>
  </r>
  <r>
    <x v="986"/>
    <n v="54"/>
    <x v="0"/>
    <s v="Scarf"/>
    <x v="3"/>
    <n v="96"/>
    <x v="39"/>
    <s v="S"/>
    <s v="Peach"/>
    <s v="Spring"/>
    <n v="4.5"/>
    <s v="Yes"/>
    <s v="Store Pickup"/>
    <s v="Yes"/>
    <s v="Yes"/>
    <n v="36"/>
    <s v="Bank Transfer"/>
    <s v="Monthly"/>
    <s v="Monthly"/>
    <n v="4"/>
  </r>
  <r>
    <x v="987"/>
    <n v="62"/>
    <x v="0"/>
    <s v="Handbag"/>
    <x v="3"/>
    <n v="47"/>
    <x v="8"/>
    <s v="M"/>
    <s v="Charcoal"/>
    <s v="Summer"/>
    <n v="2.8"/>
    <s v="Yes"/>
    <s v="Express"/>
    <s v="Yes"/>
    <s v="Yes"/>
    <n v="48"/>
    <s v="PayPal"/>
    <s v="Weekly"/>
    <s v="Weekly"/>
    <n v="1"/>
  </r>
  <r>
    <x v="988"/>
    <n v="50"/>
    <x v="0"/>
    <s v="Pants"/>
    <x v="0"/>
    <n v="84"/>
    <x v="31"/>
    <s v="M"/>
    <s v="Orange"/>
    <s v="Winter"/>
    <n v="4.9000000000000004"/>
    <s v="Yes"/>
    <s v="2-Day Shipping"/>
    <s v="Yes"/>
    <s v="Yes"/>
    <n v="47"/>
    <s v="PayPal"/>
    <s v="Fortnightly"/>
    <s v="Fortnightly"/>
    <n v="3"/>
  </r>
  <r>
    <x v="989"/>
    <n v="70"/>
    <x v="0"/>
    <s v="Shoes"/>
    <x v="1"/>
    <n v="31"/>
    <x v="21"/>
    <s v="M"/>
    <s v="Beige"/>
    <s v="Spring"/>
    <n v="3.1"/>
    <s v="Yes"/>
    <s v="Store Pickup"/>
    <s v="Yes"/>
    <s v="Yes"/>
    <n v="2"/>
    <s v="Bank Transfer"/>
    <s v="Monthly"/>
    <s v="Monthly"/>
    <n v="4"/>
  </r>
  <r>
    <x v="990"/>
    <n v="48"/>
    <x v="0"/>
    <s v="Sunglasses"/>
    <x v="3"/>
    <n v="63"/>
    <x v="47"/>
    <s v="S"/>
    <s v="Yellow"/>
    <s v="Spring"/>
    <n v="4.8"/>
    <s v="Yes"/>
    <s v="Store Pickup"/>
    <s v="Yes"/>
    <s v="Yes"/>
    <n v="24"/>
    <s v="Cash"/>
    <s v="Weekly"/>
    <s v="Weekly"/>
    <n v="1"/>
  </r>
  <r>
    <x v="991"/>
    <n v="20"/>
    <x v="0"/>
    <s v="Shorts"/>
    <x v="0"/>
    <n v="97"/>
    <x v="48"/>
    <s v="XL"/>
    <s v="White"/>
    <s v="Spring"/>
    <n v="2.7"/>
    <s v="Yes"/>
    <s v="Standard"/>
    <s v="Yes"/>
    <s v="Yes"/>
    <n v="40"/>
    <s v="Bank Transfer"/>
    <s v="Bi-Weekly"/>
    <s v="Bi-Weekly"/>
    <n v="2"/>
  </r>
  <r>
    <x v="992"/>
    <n v="46"/>
    <x v="0"/>
    <s v="Jacket"/>
    <x v="2"/>
    <n v="99"/>
    <x v="7"/>
    <s v="M"/>
    <s v="Gray"/>
    <s v="Winter"/>
    <n v="4.5999999999999996"/>
    <s v="Yes"/>
    <s v="Express"/>
    <s v="Yes"/>
    <s v="Yes"/>
    <n v="50"/>
    <s v="Debit Card"/>
    <s v="Weekly"/>
    <s v="Weekly"/>
    <n v="1"/>
  </r>
  <r>
    <x v="993"/>
    <n v="51"/>
    <x v="0"/>
    <s v="Sandals"/>
    <x v="1"/>
    <n v="90"/>
    <x v="44"/>
    <s v="M"/>
    <s v="Peach"/>
    <s v="Winter"/>
    <n v="4.4000000000000004"/>
    <s v="Yes"/>
    <s v="Store Pickup"/>
    <s v="Yes"/>
    <s v="Yes"/>
    <n v="25"/>
    <s v="Cash"/>
    <s v="Weekly"/>
    <s v="Weekly"/>
    <n v="1"/>
  </r>
  <r>
    <x v="994"/>
    <n v="53"/>
    <x v="0"/>
    <s v="Shoes"/>
    <x v="1"/>
    <n v="68"/>
    <x v="14"/>
    <s v="L"/>
    <s v="Violet"/>
    <s v="Fall"/>
    <n v="3.2"/>
    <s v="Yes"/>
    <s v="Express"/>
    <s v="Yes"/>
    <s v="Yes"/>
    <n v="20"/>
    <s v="Debit Card"/>
    <s v="Monthly"/>
    <s v="Monthly"/>
    <n v="4"/>
  </r>
  <r>
    <x v="995"/>
    <n v="44"/>
    <x v="0"/>
    <s v="Jewelry"/>
    <x v="3"/>
    <n v="80"/>
    <x v="37"/>
    <s v="M"/>
    <s v="Magenta"/>
    <s v="Spring"/>
    <n v="3"/>
    <s v="Yes"/>
    <s v="2-Day Shipping"/>
    <s v="Yes"/>
    <s v="Yes"/>
    <n v="10"/>
    <s v="Venmo"/>
    <s v="Weekly"/>
    <s v="Weekly"/>
    <n v="1"/>
  </r>
  <r>
    <x v="996"/>
    <n v="29"/>
    <x v="0"/>
    <s v="Sandals"/>
    <x v="1"/>
    <n v="91"/>
    <x v="12"/>
    <s v="L"/>
    <s v="Maroon"/>
    <s v="Summer"/>
    <n v="4.9000000000000004"/>
    <s v="Yes"/>
    <s v="Standard"/>
    <s v="Yes"/>
    <s v="Yes"/>
    <n v="32"/>
    <s v="Bank Transfer"/>
    <s v="Quarterly"/>
    <s v="Quarterly"/>
    <n v="5"/>
  </r>
  <r>
    <x v="997"/>
    <n v="64"/>
    <x v="0"/>
    <s v="Pants"/>
    <x v="0"/>
    <n v="30"/>
    <x v="0"/>
    <s v="M"/>
    <s v="Cyan"/>
    <s v="Spring"/>
    <n v="3.6"/>
    <s v="Yes"/>
    <s v="Express"/>
    <s v="Yes"/>
    <s v="Yes"/>
    <n v="31"/>
    <s v="Cash"/>
    <s v="Fortnightly"/>
    <s v="Fortnightly"/>
    <n v="3"/>
  </r>
  <r>
    <x v="998"/>
    <n v="51"/>
    <x v="0"/>
    <s v="Shoes"/>
    <x v="1"/>
    <n v="90"/>
    <x v="39"/>
    <s v="M"/>
    <s v="White"/>
    <s v="Spring"/>
    <n v="3.8"/>
    <s v="Yes"/>
    <s v="Next Day Air"/>
    <s v="Yes"/>
    <s v="Yes"/>
    <n v="48"/>
    <s v="Bank Transfer"/>
    <s v="Bi-Weekly"/>
    <s v="Bi-Weekly"/>
    <n v="2"/>
  </r>
  <r>
    <x v="999"/>
    <n v="50"/>
    <x v="0"/>
    <s v="Socks"/>
    <x v="0"/>
    <n v="28"/>
    <x v="35"/>
    <s v="L"/>
    <s v="Brown"/>
    <s v="Spring"/>
    <n v="2.9"/>
    <s v="Yes"/>
    <s v="Standard"/>
    <s v="Yes"/>
    <s v="Yes"/>
    <n v="23"/>
    <s v="Debit Card"/>
    <s v="Monthly"/>
    <s v="Monthly"/>
    <n v="4"/>
  </r>
  <r>
    <x v="1000"/>
    <n v="43"/>
    <x v="0"/>
    <s v="Socks"/>
    <x v="0"/>
    <n v="46"/>
    <x v="42"/>
    <s v="M"/>
    <s v="Red"/>
    <s v="Winter"/>
    <n v="3.9"/>
    <s v="Yes"/>
    <s v="Express"/>
    <s v="Yes"/>
    <s v="Yes"/>
    <n v="1"/>
    <s v="Bank Transfer"/>
    <s v="Bi-Weekly"/>
    <s v="Bi-Weekly"/>
    <n v="2"/>
  </r>
  <r>
    <x v="1001"/>
    <n v="61"/>
    <x v="0"/>
    <s v="Dress"/>
    <x v="0"/>
    <n v="60"/>
    <x v="47"/>
    <s v="M"/>
    <s v="Orange"/>
    <s v="Fall"/>
    <n v="3.6"/>
    <s v="Yes"/>
    <s v="Standard"/>
    <s v="Yes"/>
    <s v="Yes"/>
    <n v="4"/>
    <s v="Debit Card"/>
    <s v="Fortnightly"/>
    <s v="Fortnightly"/>
    <n v="3"/>
  </r>
  <r>
    <x v="1002"/>
    <n v="55"/>
    <x v="0"/>
    <s v="Shoes"/>
    <x v="1"/>
    <n v="59"/>
    <x v="25"/>
    <s v="M"/>
    <s v="White"/>
    <s v="Spring"/>
    <n v="3.5"/>
    <s v="Yes"/>
    <s v="Store Pickup"/>
    <s v="Yes"/>
    <s v="Yes"/>
    <n v="3"/>
    <s v="Bank Transfer"/>
    <s v="Bi-Weekly"/>
    <s v="Bi-Weekly"/>
    <n v="2"/>
  </r>
  <r>
    <x v="1003"/>
    <n v="56"/>
    <x v="0"/>
    <s v="Hat"/>
    <x v="3"/>
    <n v="68"/>
    <x v="31"/>
    <s v="M"/>
    <s v="Green"/>
    <s v="Fall"/>
    <n v="4"/>
    <s v="Yes"/>
    <s v="Store Pickup"/>
    <s v="Yes"/>
    <s v="Yes"/>
    <n v="3"/>
    <s v="Cash"/>
    <s v="Bi-Weekly"/>
    <s v="Bi-Weekly"/>
    <n v="2"/>
  </r>
  <r>
    <x v="1004"/>
    <n v="33"/>
    <x v="0"/>
    <s v="Backpack"/>
    <x v="3"/>
    <n v="79"/>
    <x v="30"/>
    <s v="M"/>
    <s v="Black"/>
    <s v="Summer"/>
    <n v="4.8"/>
    <s v="Yes"/>
    <s v="2-Day Shipping"/>
    <s v="Yes"/>
    <s v="Yes"/>
    <n v="44"/>
    <s v="Cash"/>
    <s v="Annually"/>
    <s v="Annually"/>
    <n v="6"/>
  </r>
  <r>
    <x v="1005"/>
    <n v="43"/>
    <x v="0"/>
    <s v="Backpack"/>
    <x v="3"/>
    <n v="94"/>
    <x v="14"/>
    <s v="M"/>
    <s v="Gold"/>
    <s v="Winter"/>
    <n v="3.9"/>
    <s v="Yes"/>
    <s v="Store Pickup"/>
    <s v="Yes"/>
    <s v="Yes"/>
    <n v="5"/>
    <s v="Debit Card"/>
    <s v="Bi-Weekly"/>
    <s v="Bi-Weekly"/>
    <n v="2"/>
  </r>
  <r>
    <x v="1006"/>
    <n v="21"/>
    <x v="0"/>
    <s v="Pants"/>
    <x v="0"/>
    <n v="83"/>
    <x v="49"/>
    <s v="S"/>
    <s v="Lavender"/>
    <s v="Summer"/>
    <n v="4.5"/>
    <s v="Yes"/>
    <s v="Next Day Air"/>
    <s v="Yes"/>
    <s v="Yes"/>
    <n v="50"/>
    <s v="Venmo"/>
    <s v="Quarterly"/>
    <s v="Quarterly"/>
    <n v="5"/>
  </r>
  <r>
    <x v="1007"/>
    <n v="58"/>
    <x v="0"/>
    <s v="Gloves"/>
    <x v="3"/>
    <n v="62"/>
    <x v="42"/>
    <s v="XL"/>
    <s v="Turquoise"/>
    <s v="Spring"/>
    <n v="4.8"/>
    <s v="Yes"/>
    <s v="Standard"/>
    <s v="Yes"/>
    <s v="Yes"/>
    <n v="2"/>
    <s v="Credit Card"/>
    <s v="Annually"/>
    <s v="Annually"/>
    <n v="6"/>
  </r>
  <r>
    <x v="1008"/>
    <n v="41"/>
    <x v="0"/>
    <s v="Scarf"/>
    <x v="3"/>
    <n v="85"/>
    <x v="35"/>
    <s v="M"/>
    <s v="Pink"/>
    <s v="Spring"/>
    <n v="2.6"/>
    <s v="Yes"/>
    <s v="Store Pickup"/>
    <s v="Yes"/>
    <s v="Yes"/>
    <n v="29"/>
    <s v="PayPal"/>
    <s v="Annually"/>
    <s v="Annually"/>
    <n v="6"/>
  </r>
  <r>
    <x v="1009"/>
    <n v="39"/>
    <x v="0"/>
    <s v="Hoodie"/>
    <x v="0"/>
    <n v="30"/>
    <x v="7"/>
    <s v="M"/>
    <s v="Silver"/>
    <s v="Summer"/>
    <n v="3.1"/>
    <s v="Yes"/>
    <s v="Express"/>
    <s v="Yes"/>
    <s v="Yes"/>
    <n v="11"/>
    <s v="Venmo"/>
    <s v="Annually"/>
    <s v="Annually"/>
    <n v="6"/>
  </r>
  <r>
    <x v="1010"/>
    <n v="54"/>
    <x v="0"/>
    <s v="Jeans"/>
    <x v="0"/>
    <n v="24"/>
    <x v="45"/>
    <s v="XL"/>
    <s v="Gray"/>
    <s v="Spring"/>
    <n v="4.7"/>
    <s v="Yes"/>
    <s v="2-Day Shipping"/>
    <s v="Yes"/>
    <s v="Yes"/>
    <n v="37"/>
    <s v="Credit Card"/>
    <s v="Fortnightly"/>
    <s v="Fortnightly"/>
    <n v="3"/>
  </r>
  <r>
    <x v="1011"/>
    <n v="43"/>
    <x v="0"/>
    <s v="Backpack"/>
    <x v="3"/>
    <n v="25"/>
    <x v="6"/>
    <s v="L"/>
    <s v="Indigo"/>
    <s v="Spring"/>
    <n v="2.9"/>
    <s v="Yes"/>
    <s v="Next Day Air"/>
    <s v="Yes"/>
    <s v="Yes"/>
    <n v="32"/>
    <s v="Debit Card"/>
    <s v="Fortnightly"/>
    <s v="Fortnightly"/>
    <n v="3"/>
  </r>
  <r>
    <x v="1012"/>
    <n v="28"/>
    <x v="0"/>
    <s v="Sandals"/>
    <x v="1"/>
    <n v="37"/>
    <x v="35"/>
    <s v="L"/>
    <s v="Teal"/>
    <s v="Summer"/>
    <n v="3.8"/>
    <s v="Yes"/>
    <s v="Express"/>
    <s v="Yes"/>
    <s v="Yes"/>
    <n v="27"/>
    <s v="Credit Card"/>
    <s v="Annually"/>
    <s v="Annually"/>
    <n v="6"/>
  </r>
  <r>
    <x v="1013"/>
    <n v="59"/>
    <x v="0"/>
    <s v="Belt"/>
    <x v="3"/>
    <n v="69"/>
    <x v="36"/>
    <s v="XL"/>
    <s v="Green"/>
    <s v="Summer"/>
    <n v="3.8"/>
    <s v="Yes"/>
    <s v="2-Day Shipping"/>
    <s v="Yes"/>
    <s v="Yes"/>
    <n v="31"/>
    <s v="Venmo"/>
    <s v="Bi-Weekly"/>
    <s v="Bi-Weekly"/>
    <n v="2"/>
  </r>
  <r>
    <x v="1014"/>
    <n v="28"/>
    <x v="0"/>
    <s v="Shoes"/>
    <x v="1"/>
    <n v="97"/>
    <x v="31"/>
    <s v="M"/>
    <s v="Violet"/>
    <s v="Summer"/>
    <n v="3"/>
    <s v="Yes"/>
    <s v="Standard"/>
    <s v="Yes"/>
    <s v="Yes"/>
    <n v="36"/>
    <s v="Debit Card"/>
    <s v="Fortnightly"/>
    <s v="Fortnightly"/>
    <n v="3"/>
  </r>
  <r>
    <x v="1015"/>
    <n v="68"/>
    <x v="0"/>
    <s v="Gloves"/>
    <x v="3"/>
    <n v="24"/>
    <x v="17"/>
    <s v="M"/>
    <s v="Cyan"/>
    <s v="Summer"/>
    <n v="4.0999999999999996"/>
    <s v="Yes"/>
    <s v="Standard"/>
    <s v="Yes"/>
    <s v="Yes"/>
    <n v="34"/>
    <s v="Cash"/>
    <s v="Weekly"/>
    <s v="Weekly"/>
    <n v="1"/>
  </r>
  <r>
    <x v="1016"/>
    <n v="20"/>
    <x v="0"/>
    <s v="Belt"/>
    <x v="3"/>
    <n v="30"/>
    <x v="37"/>
    <s v="XL"/>
    <s v="Blue"/>
    <s v="Summer"/>
    <n v="3.4"/>
    <s v="Yes"/>
    <s v="Express"/>
    <s v="Yes"/>
    <s v="Yes"/>
    <n v="15"/>
    <s v="Bank Transfer"/>
    <s v="Every 3 Months"/>
    <s v="Quarterly"/>
    <n v="5"/>
  </r>
  <r>
    <x v="1017"/>
    <n v="21"/>
    <x v="0"/>
    <s v="Jacket"/>
    <x v="2"/>
    <n v="53"/>
    <x v="19"/>
    <s v="L"/>
    <s v="Orange"/>
    <s v="Fall"/>
    <n v="2.5"/>
    <s v="Yes"/>
    <s v="Express"/>
    <s v="Yes"/>
    <s v="Yes"/>
    <n v="14"/>
    <s v="Credit Card"/>
    <s v="Annually"/>
    <s v="Annually"/>
    <n v="6"/>
  </r>
  <r>
    <x v="1018"/>
    <n v="50"/>
    <x v="0"/>
    <s v="Dress"/>
    <x v="0"/>
    <n v="70"/>
    <x v="42"/>
    <s v="XL"/>
    <s v="Charcoal"/>
    <s v="Spring"/>
    <n v="4.9000000000000004"/>
    <s v="Yes"/>
    <s v="Next Day Air"/>
    <s v="Yes"/>
    <s v="Yes"/>
    <n v="46"/>
    <s v="Cash"/>
    <s v="Weekly"/>
    <s v="Weekly"/>
    <n v="1"/>
  </r>
  <r>
    <x v="1019"/>
    <n v="32"/>
    <x v="0"/>
    <s v="Shirt"/>
    <x v="0"/>
    <n v="76"/>
    <x v="0"/>
    <s v="S"/>
    <s v="Beige"/>
    <s v="Winter"/>
    <n v="2.8"/>
    <s v="Yes"/>
    <s v="Standard"/>
    <s v="Yes"/>
    <s v="Yes"/>
    <n v="33"/>
    <s v="Venmo"/>
    <s v="Bi-Weekly"/>
    <s v="Bi-Weekly"/>
    <n v="2"/>
  </r>
  <r>
    <x v="1020"/>
    <n v="24"/>
    <x v="0"/>
    <s v="Scarf"/>
    <x v="3"/>
    <n v="95"/>
    <x v="12"/>
    <s v="M"/>
    <s v="Black"/>
    <s v="Fall"/>
    <n v="4.5"/>
    <s v="Yes"/>
    <s v="Express"/>
    <s v="Yes"/>
    <s v="Yes"/>
    <n v="41"/>
    <s v="Debit Card"/>
    <s v="Annually"/>
    <s v="Annually"/>
    <n v="6"/>
  </r>
  <r>
    <x v="1021"/>
    <n v="55"/>
    <x v="0"/>
    <s v="Coat"/>
    <x v="2"/>
    <n v="51"/>
    <x v="2"/>
    <s v="S"/>
    <s v="Lavender"/>
    <s v="Winter"/>
    <n v="4.9000000000000004"/>
    <s v="Yes"/>
    <s v="2-Day Shipping"/>
    <s v="Yes"/>
    <s v="Yes"/>
    <n v="39"/>
    <s v="PayPal"/>
    <s v="Weekly"/>
    <s v="Weekly"/>
    <n v="1"/>
  </r>
  <r>
    <x v="1022"/>
    <n v="61"/>
    <x v="0"/>
    <s v="Handbag"/>
    <x v="3"/>
    <n v="41"/>
    <x v="43"/>
    <s v="M"/>
    <s v="Lavender"/>
    <s v="Winter"/>
    <n v="4.9000000000000004"/>
    <s v="Yes"/>
    <s v="Store Pickup"/>
    <s v="Yes"/>
    <s v="Yes"/>
    <n v="7"/>
    <s v="Cash"/>
    <s v="Annually"/>
    <s v="Annually"/>
    <n v="6"/>
  </r>
  <r>
    <x v="1023"/>
    <n v="61"/>
    <x v="0"/>
    <s v="Sunglasses"/>
    <x v="3"/>
    <n v="71"/>
    <x v="1"/>
    <s v="S"/>
    <s v="Turquoise"/>
    <s v="Winter"/>
    <n v="3.5"/>
    <s v="Yes"/>
    <s v="Free Shipping"/>
    <s v="Yes"/>
    <s v="Yes"/>
    <n v="29"/>
    <s v="Bank Transfer"/>
    <s v="Every 3 Months"/>
    <s v="Quarterly"/>
    <n v="5"/>
  </r>
  <r>
    <x v="1024"/>
    <n v="28"/>
    <x v="0"/>
    <s v="T-shirt"/>
    <x v="0"/>
    <n v="66"/>
    <x v="38"/>
    <s v="M"/>
    <s v="Purple"/>
    <s v="Summer"/>
    <n v="3.5"/>
    <s v="Yes"/>
    <s v="Free Shipping"/>
    <s v="Yes"/>
    <s v="Yes"/>
    <n v="18"/>
    <s v="Venmo"/>
    <s v="Quarterly"/>
    <s v="Quarterly"/>
    <n v="5"/>
  </r>
  <r>
    <x v="1025"/>
    <n v="60"/>
    <x v="0"/>
    <s v="Shirt"/>
    <x v="0"/>
    <n v="84"/>
    <x v="43"/>
    <s v="M"/>
    <s v="Olive"/>
    <s v="Winter"/>
    <n v="4.9000000000000004"/>
    <s v="Yes"/>
    <s v="Free Shipping"/>
    <s v="Yes"/>
    <s v="Yes"/>
    <n v="15"/>
    <s v="Credit Card"/>
    <s v="Annually"/>
    <s v="Annually"/>
    <n v="6"/>
  </r>
  <r>
    <x v="1026"/>
    <n v="49"/>
    <x v="0"/>
    <s v="Handbag"/>
    <x v="3"/>
    <n v="95"/>
    <x v="41"/>
    <s v="L"/>
    <s v="Turquoise"/>
    <s v="Winter"/>
    <n v="3"/>
    <s v="Yes"/>
    <s v="Express"/>
    <s v="Yes"/>
    <s v="Yes"/>
    <n v="39"/>
    <s v="PayPal"/>
    <s v="Bi-Weekly"/>
    <s v="Bi-Weekly"/>
    <n v="2"/>
  </r>
  <r>
    <x v="1027"/>
    <n v="33"/>
    <x v="0"/>
    <s v="Jewelry"/>
    <x v="3"/>
    <n v="90"/>
    <x v="31"/>
    <s v="L"/>
    <s v="Teal"/>
    <s v="Summer"/>
    <n v="2.8"/>
    <s v="Yes"/>
    <s v="Next Day Air"/>
    <s v="Yes"/>
    <s v="Yes"/>
    <n v="11"/>
    <s v="Cash"/>
    <s v="Monthly"/>
    <s v="Monthly"/>
    <n v="4"/>
  </r>
  <r>
    <x v="1028"/>
    <n v="45"/>
    <x v="0"/>
    <s v="Hoodie"/>
    <x v="0"/>
    <n v="36"/>
    <x v="43"/>
    <s v="S"/>
    <s v="Lavender"/>
    <s v="Summer"/>
    <n v="3.7"/>
    <s v="Yes"/>
    <s v="Standard"/>
    <s v="Yes"/>
    <s v="Yes"/>
    <n v="4"/>
    <s v="Cash"/>
    <s v="Fortnightly"/>
    <s v="Fortnightly"/>
    <n v="3"/>
  </r>
  <r>
    <x v="1029"/>
    <n v="29"/>
    <x v="0"/>
    <s v="Gloves"/>
    <x v="3"/>
    <n v="22"/>
    <x v="31"/>
    <s v="M"/>
    <s v="Purple"/>
    <s v="Spring"/>
    <n v="3.6"/>
    <s v="Yes"/>
    <s v="2-Day Shipping"/>
    <s v="Yes"/>
    <s v="Yes"/>
    <n v="33"/>
    <s v="Venmo"/>
    <s v="Bi-Weekly"/>
    <s v="Bi-Weekly"/>
    <n v="2"/>
  </r>
  <r>
    <x v="1030"/>
    <n v="58"/>
    <x v="0"/>
    <s v="Coat"/>
    <x v="2"/>
    <n v="89"/>
    <x v="0"/>
    <s v="L"/>
    <s v="Blue"/>
    <s v="Winter"/>
    <n v="3.3"/>
    <s v="Yes"/>
    <s v="Next Day Air"/>
    <s v="Yes"/>
    <s v="Yes"/>
    <n v="37"/>
    <s v="Debit Card"/>
    <s v="Quarterly"/>
    <s v="Quarterly"/>
    <n v="5"/>
  </r>
  <r>
    <x v="1031"/>
    <n v="22"/>
    <x v="0"/>
    <s v="Sandals"/>
    <x v="1"/>
    <n v="50"/>
    <x v="30"/>
    <s v="M"/>
    <s v="Teal"/>
    <s v="Spring"/>
    <n v="3.4"/>
    <s v="Yes"/>
    <s v="Free Shipping"/>
    <s v="Yes"/>
    <s v="Yes"/>
    <n v="32"/>
    <s v="Cash"/>
    <s v="Quarterly"/>
    <s v="Quarterly"/>
    <n v="5"/>
  </r>
  <r>
    <x v="1032"/>
    <n v="55"/>
    <x v="0"/>
    <s v="Boots"/>
    <x v="1"/>
    <n v="36"/>
    <x v="1"/>
    <s v="M"/>
    <s v="Lavender"/>
    <s v="Fall"/>
    <n v="4"/>
    <s v="Yes"/>
    <s v="Free Shipping"/>
    <s v="Yes"/>
    <s v="Yes"/>
    <n v="44"/>
    <s v="Credit Card"/>
    <s v="Quarterly"/>
    <s v="Quarterly"/>
    <n v="5"/>
  </r>
  <r>
    <x v="1033"/>
    <n v="19"/>
    <x v="0"/>
    <s v="Pants"/>
    <x v="0"/>
    <n v="52"/>
    <x v="6"/>
    <s v="S"/>
    <s v="Silver"/>
    <s v="Spring"/>
    <n v="4.5999999999999996"/>
    <s v="Yes"/>
    <s v="Free Shipping"/>
    <s v="Yes"/>
    <s v="Yes"/>
    <n v="41"/>
    <s v="Bank Transfer"/>
    <s v="Quarterly"/>
    <s v="Quarterly"/>
    <n v="5"/>
  </r>
  <r>
    <x v="1034"/>
    <n v="68"/>
    <x v="0"/>
    <s v="Socks"/>
    <x v="0"/>
    <n v="29"/>
    <x v="33"/>
    <s v="M"/>
    <s v="Olive"/>
    <s v="Fall"/>
    <n v="4.2"/>
    <s v="Yes"/>
    <s v="Next Day Air"/>
    <s v="Yes"/>
    <s v="Yes"/>
    <n v="44"/>
    <s v="Bank Transfer"/>
    <s v="Weekly"/>
    <s v="Weekly"/>
    <n v="1"/>
  </r>
  <r>
    <x v="1035"/>
    <n v="61"/>
    <x v="0"/>
    <s v="Blouse"/>
    <x v="0"/>
    <n v="89"/>
    <x v="42"/>
    <s v="M"/>
    <s v="Brown"/>
    <s v="Fall"/>
    <n v="2.8"/>
    <s v="Yes"/>
    <s v="Express"/>
    <s v="Yes"/>
    <s v="Yes"/>
    <n v="32"/>
    <s v="Venmo"/>
    <s v="Annually"/>
    <s v="Annually"/>
    <n v="6"/>
  </r>
  <r>
    <x v="1036"/>
    <n v="68"/>
    <x v="0"/>
    <s v="Handbag"/>
    <x v="3"/>
    <n v="47"/>
    <x v="11"/>
    <s v="M"/>
    <s v="Yellow"/>
    <s v="Fall"/>
    <n v="3.7"/>
    <s v="Yes"/>
    <s v="2-Day Shipping"/>
    <s v="Yes"/>
    <s v="Yes"/>
    <n v="13"/>
    <s v="Bank Transfer"/>
    <s v="Monthly"/>
    <s v="Monthly"/>
    <n v="4"/>
  </r>
  <r>
    <x v="1037"/>
    <n v="52"/>
    <x v="0"/>
    <s v="Jewelry"/>
    <x v="3"/>
    <n v="25"/>
    <x v="3"/>
    <s v="XL"/>
    <s v="Brown"/>
    <s v="Spring"/>
    <n v="3.4"/>
    <s v="Yes"/>
    <s v="Standard"/>
    <s v="Yes"/>
    <s v="Yes"/>
    <n v="48"/>
    <s v="Debit Card"/>
    <s v="Quarterly"/>
    <s v="Quarterly"/>
    <n v="5"/>
  </r>
  <r>
    <x v="1038"/>
    <n v="41"/>
    <x v="0"/>
    <s v="Pants"/>
    <x v="0"/>
    <n v="74"/>
    <x v="43"/>
    <s v="XL"/>
    <s v="Cyan"/>
    <s v="Fall"/>
    <n v="3"/>
    <s v="Yes"/>
    <s v="Express"/>
    <s v="Yes"/>
    <s v="Yes"/>
    <n v="3"/>
    <s v="Bank Transfer"/>
    <s v="Weekly"/>
    <s v="Weekly"/>
    <n v="1"/>
  </r>
  <r>
    <x v="1039"/>
    <n v="29"/>
    <x v="0"/>
    <s v="Belt"/>
    <x v="3"/>
    <n v="46"/>
    <x v="49"/>
    <s v="M"/>
    <s v="Magenta"/>
    <s v="Fall"/>
    <n v="4.8"/>
    <s v="Yes"/>
    <s v="Standard"/>
    <s v="Yes"/>
    <s v="Yes"/>
    <n v="39"/>
    <s v="Venmo"/>
    <s v="Monthly"/>
    <s v="Monthly"/>
    <n v="4"/>
  </r>
  <r>
    <x v="1040"/>
    <n v="68"/>
    <x v="0"/>
    <s v="Jeans"/>
    <x v="0"/>
    <n v="22"/>
    <x v="17"/>
    <s v="S"/>
    <s v="Magenta"/>
    <s v="Fall"/>
    <n v="4"/>
    <s v="Yes"/>
    <s v="Next Day Air"/>
    <s v="Yes"/>
    <s v="Yes"/>
    <n v="7"/>
    <s v="Cash"/>
    <s v="Fortnightly"/>
    <s v="Fortnightly"/>
    <n v="3"/>
  </r>
  <r>
    <x v="1041"/>
    <n v="36"/>
    <x v="0"/>
    <s v="Shirt"/>
    <x v="0"/>
    <n v="25"/>
    <x v="46"/>
    <s v="M"/>
    <s v="Orange"/>
    <s v="Summer"/>
    <n v="4.9000000000000004"/>
    <s v="Yes"/>
    <s v="Next Day Air"/>
    <s v="Yes"/>
    <s v="Yes"/>
    <n v="11"/>
    <s v="Cash"/>
    <s v="Fortnightly"/>
    <s v="Fortnightly"/>
    <n v="3"/>
  </r>
  <r>
    <x v="1042"/>
    <n v="55"/>
    <x v="0"/>
    <s v="Belt"/>
    <x v="3"/>
    <n v="80"/>
    <x v="33"/>
    <s v="M"/>
    <s v="Maroon"/>
    <s v="Spring"/>
    <n v="4.9000000000000004"/>
    <s v="Yes"/>
    <s v="Next Day Air"/>
    <s v="Yes"/>
    <s v="Yes"/>
    <n v="47"/>
    <s v="Credit Card"/>
    <s v="Weekly"/>
    <s v="Weekly"/>
    <n v="1"/>
  </r>
  <r>
    <x v="1043"/>
    <n v="28"/>
    <x v="0"/>
    <s v="Jeans"/>
    <x v="0"/>
    <n v="76"/>
    <x v="11"/>
    <s v="M"/>
    <s v="Green"/>
    <s v="Spring"/>
    <n v="3.3"/>
    <s v="Yes"/>
    <s v="2-Day Shipping"/>
    <s v="Yes"/>
    <s v="Yes"/>
    <n v="28"/>
    <s v="Debit Card"/>
    <s v="Fortnightly"/>
    <s v="Fortnightly"/>
    <n v="3"/>
  </r>
  <r>
    <x v="1044"/>
    <n v="39"/>
    <x v="0"/>
    <s v="Jeans"/>
    <x v="0"/>
    <n v="30"/>
    <x v="4"/>
    <s v="L"/>
    <s v="Teal"/>
    <s v="Summer"/>
    <n v="4.4000000000000004"/>
    <s v="Yes"/>
    <s v="Next Day Air"/>
    <s v="Yes"/>
    <s v="Yes"/>
    <n v="17"/>
    <s v="Bank Transfer"/>
    <s v="Every 3 Months"/>
    <s v="Quarterly"/>
    <n v="5"/>
  </r>
  <r>
    <x v="1045"/>
    <n v="54"/>
    <x v="0"/>
    <s v="Sweater"/>
    <x v="0"/>
    <n v="79"/>
    <x v="35"/>
    <s v="L"/>
    <s v="Black"/>
    <s v="Fall"/>
    <n v="3.5"/>
    <s v="Yes"/>
    <s v="2-Day Shipping"/>
    <s v="Yes"/>
    <s v="Yes"/>
    <n v="11"/>
    <s v="PayPal"/>
    <s v="Bi-Weekly"/>
    <s v="Bi-Weekly"/>
    <n v="2"/>
  </r>
  <r>
    <x v="1046"/>
    <n v="40"/>
    <x v="0"/>
    <s v="Sneakers"/>
    <x v="1"/>
    <n v="22"/>
    <x v="26"/>
    <s v="M"/>
    <s v="Magenta"/>
    <s v="Winter"/>
    <n v="4.2"/>
    <s v="Yes"/>
    <s v="Standard"/>
    <s v="Yes"/>
    <s v="Yes"/>
    <n v="12"/>
    <s v="Venmo"/>
    <s v="Annually"/>
    <s v="Annually"/>
    <n v="6"/>
  </r>
  <r>
    <x v="1047"/>
    <n v="31"/>
    <x v="0"/>
    <s v="Socks"/>
    <x v="0"/>
    <n v="36"/>
    <x v="40"/>
    <s v="S"/>
    <s v="Olive"/>
    <s v="Fall"/>
    <n v="4.2"/>
    <s v="Yes"/>
    <s v="Standard"/>
    <s v="Yes"/>
    <s v="Yes"/>
    <n v="7"/>
    <s v="Credit Card"/>
    <s v="Fortnightly"/>
    <s v="Fortnightly"/>
    <n v="3"/>
  </r>
  <r>
    <x v="1048"/>
    <n v="30"/>
    <x v="0"/>
    <s v="Socks"/>
    <x v="0"/>
    <n v="77"/>
    <x v="1"/>
    <s v="L"/>
    <s v="Yellow"/>
    <s v="Fall"/>
    <n v="2.7"/>
    <s v="Yes"/>
    <s v="Standard"/>
    <s v="Yes"/>
    <s v="Yes"/>
    <n v="19"/>
    <s v="Venmo"/>
    <s v="Fortnightly"/>
    <s v="Fortnightly"/>
    <n v="3"/>
  </r>
  <r>
    <x v="1049"/>
    <n v="45"/>
    <x v="0"/>
    <s v="Sunglasses"/>
    <x v="3"/>
    <n v="33"/>
    <x v="41"/>
    <s v="S"/>
    <s v="Purple"/>
    <s v="Fall"/>
    <n v="2.8"/>
    <s v="Yes"/>
    <s v="Store Pickup"/>
    <s v="Yes"/>
    <s v="Yes"/>
    <n v="24"/>
    <s v="Cash"/>
    <s v="Quarterly"/>
    <s v="Quarterly"/>
    <n v="5"/>
  </r>
  <r>
    <x v="1050"/>
    <n v="48"/>
    <x v="0"/>
    <s v="Sneakers"/>
    <x v="1"/>
    <n v="64"/>
    <x v="20"/>
    <s v="M"/>
    <s v="Beige"/>
    <s v="Winter"/>
    <n v="3.8"/>
    <s v="Yes"/>
    <s v="Next Day Air"/>
    <s v="Yes"/>
    <s v="Yes"/>
    <n v="19"/>
    <s v="Venmo"/>
    <s v="Monthly"/>
    <s v="Monthly"/>
    <n v="4"/>
  </r>
  <r>
    <x v="1051"/>
    <n v="45"/>
    <x v="0"/>
    <s v="Socks"/>
    <x v="0"/>
    <n v="53"/>
    <x v="31"/>
    <s v="M"/>
    <s v="Indigo"/>
    <s v="Fall"/>
    <n v="2.6"/>
    <s v="Yes"/>
    <s v="Free Shipping"/>
    <s v="Yes"/>
    <s v="Yes"/>
    <n v="39"/>
    <s v="PayPal"/>
    <s v="Annually"/>
    <s v="Annually"/>
    <n v="6"/>
  </r>
  <r>
    <x v="1052"/>
    <n v="60"/>
    <x v="0"/>
    <s v="Shoes"/>
    <x v="1"/>
    <n v="36"/>
    <x v="41"/>
    <s v="XL"/>
    <s v="Pink"/>
    <s v="Fall"/>
    <n v="3"/>
    <s v="Yes"/>
    <s v="2-Day Shipping"/>
    <s v="Yes"/>
    <s v="Yes"/>
    <n v="1"/>
    <s v="Credit Card"/>
    <s v="Fortnightly"/>
    <s v="Fortnightly"/>
    <n v="3"/>
  </r>
  <r>
    <x v="1053"/>
    <n v="59"/>
    <x v="0"/>
    <s v="Blouse"/>
    <x v="0"/>
    <n v="70"/>
    <x v="23"/>
    <s v="M"/>
    <s v="Blue"/>
    <s v="Spring"/>
    <n v="3.3"/>
    <s v="No"/>
    <s v="2-Day Shipping"/>
    <s v="Yes"/>
    <s v="Yes"/>
    <n v="10"/>
    <s v="Debit Card"/>
    <s v="Bi-Weekly"/>
    <s v="Bi-Weekly"/>
    <n v="2"/>
  </r>
  <r>
    <x v="1054"/>
    <n v="18"/>
    <x v="0"/>
    <s v="Shorts"/>
    <x v="0"/>
    <n v="96"/>
    <x v="10"/>
    <s v="L"/>
    <s v="Cyan"/>
    <s v="Winter"/>
    <n v="4.9000000000000004"/>
    <s v="No"/>
    <s v="Express"/>
    <s v="Yes"/>
    <s v="Yes"/>
    <n v="48"/>
    <s v="PayPal"/>
    <s v="Quarterly"/>
    <s v="Quarterly"/>
    <n v="5"/>
  </r>
  <r>
    <x v="1055"/>
    <n v="70"/>
    <x v="0"/>
    <s v="Jacket"/>
    <x v="2"/>
    <n v="27"/>
    <x v="2"/>
    <s v="M"/>
    <s v="Orange"/>
    <s v="Spring"/>
    <n v="3.3"/>
    <s v="No"/>
    <s v="Next Day Air"/>
    <s v="Yes"/>
    <s v="Yes"/>
    <n v="24"/>
    <s v="Debit Card"/>
    <s v="Annually"/>
    <s v="Annually"/>
    <n v="6"/>
  </r>
  <r>
    <x v="1056"/>
    <n v="20"/>
    <x v="0"/>
    <s v="Sweater"/>
    <x v="0"/>
    <n v="64"/>
    <x v="37"/>
    <s v="L"/>
    <s v="Black"/>
    <s v="Winter"/>
    <n v="2.9"/>
    <s v="No"/>
    <s v="2-Day Shipping"/>
    <s v="Yes"/>
    <s v="Yes"/>
    <n v="42"/>
    <s v="Venmo"/>
    <s v="Fortnightly"/>
    <s v="Fortnightly"/>
    <n v="3"/>
  </r>
  <r>
    <x v="1057"/>
    <n v="65"/>
    <x v="0"/>
    <s v="Jacket"/>
    <x v="2"/>
    <n v="23"/>
    <x v="48"/>
    <s v="S"/>
    <s v="Maroon"/>
    <s v="Spring"/>
    <n v="4.4000000000000004"/>
    <s v="No"/>
    <s v="2-Day Shipping"/>
    <s v="Yes"/>
    <s v="Yes"/>
    <n v="20"/>
    <s v="Credit Card"/>
    <s v="Weekly"/>
    <s v="Weekly"/>
    <n v="1"/>
  </r>
  <r>
    <x v="1058"/>
    <n v="29"/>
    <x v="0"/>
    <s v="Scarf"/>
    <x v="3"/>
    <n v="33"/>
    <x v="35"/>
    <s v="L"/>
    <s v="Violet"/>
    <s v="Summer"/>
    <n v="3.1"/>
    <s v="No"/>
    <s v="Next Day Air"/>
    <s v="Yes"/>
    <s v="Yes"/>
    <n v="49"/>
    <s v="Bank Transfer"/>
    <s v="Every 3 Months"/>
    <s v="Quarterly"/>
    <n v="5"/>
  </r>
  <r>
    <x v="1059"/>
    <n v="22"/>
    <x v="0"/>
    <s v="Jacket"/>
    <x v="2"/>
    <n v="34"/>
    <x v="17"/>
    <s v="M"/>
    <s v="Beige"/>
    <s v="Winter"/>
    <n v="2.5"/>
    <s v="No"/>
    <s v="Standard"/>
    <s v="Yes"/>
    <s v="Yes"/>
    <n v="25"/>
    <s v="Debit Card"/>
    <s v="Monthly"/>
    <s v="Monthly"/>
    <n v="4"/>
  </r>
  <r>
    <x v="1060"/>
    <n v="27"/>
    <x v="0"/>
    <s v="Sweater"/>
    <x v="0"/>
    <n v="35"/>
    <x v="44"/>
    <s v="S"/>
    <s v="Gray"/>
    <s v="Summer"/>
    <n v="2.6"/>
    <s v="No"/>
    <s v="Next Day Air"/>
    <s v="Yes"/>
    <s v="Yes"/>
    <n v="21"/>
    <s v="Debit Card"/>
    <s v="Every 3 Months"/>
    <s v="Quarterly"/>
    <n v="5"/>
  </r>
  <r>
    <x v="1061"/>
    <n v="36"/>
    <x v="0"/>
    <s v="Coat"/>
    <x v="2"/>
    <n v="62"/>
    <x v="37"/>
    <s v="M"/>
    <s v="Gray"/>
    <s v="Summer"/>
    <n v="4.4000000000000004"/>
    <s v="No"/>
    <s v="Free Shipping"/>
    <s v="Yes"/>
    <s v="Yes"/>
    <n v="12"/>
    <s v="Venmo"/>
    <s v="Every 3 Months"/>
    <s v="Quarterly"/>
    <n v="5"/>
  </r>
  <r>
    <x v="1062"/>
    <n v="59"/>
    <x v="0"/>
    <s v="Boots"/>
    <x v="1"/>
    <n v="75"/>
    <x v="31"/>
    <s v="M"/>
    <s v="Brown"/>
    <s v="Fall"/>
    <n v="2.6"/>
    <s v="No"/>
    <s v="Next Day Air"/>
    <s v="Yes"/>
    <s v="Yes"/>
    <n v="21"/>
    <s v="Debit Card"/>
    <s v="Every 3 Months"/>
    <s v="Quarterly"/>
    <n v="5"/>
  </r>
  <r>
    <x v="1063"/>
    <n v="62"/>
    <x v="0"/>
    <s v="Hoodie"/>
    <x v="0"/>
    <n v="29"/>
    <x v="15"/>
    <s v="S"/>
    <s v="Indigo"/>
    <s v="Summer"/>
    <n v="3.3"/>
    <s v="No"/>
    <s v="Free Shipping"/>
    <s v="Yes"/>
    <s v="Yes"/>
    <n v="35"/>
    <s v="Cash"/>
    <s v="Monthly"/>
    <s v="Monthly"/>
    <n v="4"/>
  </r>
  <r>
    <x v="1064"/>
    <n v="34"/>
    <x v="0"/>
    <s v="Hat"/>
    <x v="3"/>
    <n v="28"/>
    <x v="5"/>
    <s v="M"/>
    <s v="Violet"/>
    <s v="Spring"/>
    <n v="3.5"/>
    <s v="No"/>
    <s v="Express"/>
    <s v="Yes"/>
    <s v="Yes"/>
    <n v="42"/>
    <s v="Credit Card"/>
    <s v="Every 3 Months"/>
    <s v="Quarterly"/>
    <n v="5"/>
  </r>
  <r>
    <x v="1065"/>
    <n v="59"/>
    <x v="0"/>
    <s v="T-shirt"/>
    <x v="0"/>
    <n v="20"/>
    <x v="15"/>
    <s v="XL"/>
    <s v="Blue"/>
    <s v="Spring"/>
    <n v="4.0999999999999996"/>
    <s v="No"/>
    <s v="Store Pickup"/>
    <s v="Yes"/>
    <s v="Yes"/>
    <n v="3"/>
    <s v="PayPal"/>
    <s v="Every 3 Months"/>
    <s v="Quarterly"/>
    <n v="5"/>
  </r>
  <r>
    <x v="1066"/>
    <n v="49"/>
    <x v="0"/>
    <s v="Coat"/>
    <x v="2"/>
    <n v="96"/>
    <x v="16"/>
    <s v="M"/>
    <s v="Red"/>
    <s v="Winter"/>
    <n v="4"/>
    <s v="No"/>
    <s v="Store Pickup"/>
    <s v="Yes"/>
    <s v="Yes"/>
    <n v="11"/>
    <s v="PayPal"/>
    <s v="Bi-Weekly"/>
    <s v="Bi-Weekly"/>
    <n v="2"/>
  </r>
  <r>
    <x v="1067"/>
    <n v="18"/>
    <x v="0"/>
    <s v="Dress"/>
    <x v="0"/>
    <n v="43"/>
    <x v="38"/>
    <s v="S"/>
    <s v="Peach"/>
    <s v="Summer"/>
    <n v="2.7"/>
    <s v="No"/>
    <s v="2-Day Shipping"/>
    <s v="Yes"/>
    <s v="Yes"/>
    <n v="22"/>
    <s v="PayPal"/>
    <s v="Quarterly"/>
    <s v="Quarterly"/>
    <n v="5"/>
  </r>
  <r>
    <x v="1068"/>
    <n v="55"/>
    <x v="0"/>
    <s v="Shirt"/>
    <x v="0"/>
    <n v="94"/>
    <x v="5"/>
    <s v="M"/>
    <s v="Olive"/>
    <s v="Fall"/>
    <n v="2.5"/>
    <s v="No"/>
    <s v="Standard"/>
    <s v="Yes"/>
    <s v="Yes"/>
    <n v="47"/>
    <s v="Credit Card"/>
    <s v="Weekly"/>
    <s v="Weekly"/>
    <n v="1"/>
  </r>
  <r>
    <x v="1069"/>
    <n v="38"/>
    <x v="0"/>
    <s v="Skirt"/>
    <x v="0"/>
    <n v="81"/>
    <x v="33"/>
    <s v="XL"/>
    <s v="White"/>
    <s v="Fall"/>
    <n v="4.3"/>
    <s v="No"/>
    <s v="Next Day Air"/>
    <s v="Yes"/>
    <s v="Yes"/>
    <n v="33"/>
    <s v="Venmo"/>
    <s v="Every 3 Months"/>
    <s v="Quarterly"/>
    <n v="5"/>
  </r>
  <r>
    <x v="1070"/>
    <n v="50"/>
    <x v="0"/>
    <s v="Jewelry"/>
    <x v="3"/>
    <n v="75"/>
    <x v="17"/>
    <s v="M"/>
    <s v="Magenta"/>
    <s v="Summer"/>
    <n v="3.3"/>
    <s v="No"/>
    <s v="Free Shipping"/>
    <s v="Yes"/>
    <s v="Yes"/>
    <n v="50"/>
    <s v="Debit Card"/>
    <s v="Weekly"/>
    <s v="Weekly"/>
    <n v="1"/>
  </r>
  <r>
    <x v="1071"/>
    <n v="61"/>
    <x v="0"/>
    <s v="Hat"/>
    <x v="3"/>
    <n v="81"/>
    <x v="38"/>
    <s v="M"/>
    <s v="Beige"/>
    <s v="Summer"/>
    <n v="2.6"/>
    <s v="No"/>
    <s v="Express"/>
    <s v="Yes"/>
    <s v="Yes"/>
    <n v="46"/>
    <s v="Credit Card"/>
    <s v="Monthly"/>
    <s v="Monthly"/>
    <n v="4"/>
  </r>
  <r>
    <x v="1072"/>
    <n v="48"/>
    <x v="0"/>
    <s v="Shorts"/>
    <x v="0"/>
    <n v="92"/>
    <x v="37"/>
    <s v="L"/>
    <s v="Gold"/>
    <s v="Fall"/>
    <n v="3.5"/>
    <s v="No"/>
    <s v="Express"/>
    <s v="Yes"/>
    <s v="Yes"/>
    <n v="34"/>
    <s v="Debit Card"/>
    <s v="Fortnightly"/>
    <s v="Fortnightly"/>
    <n v="3"/>
  </r>
  <r>
    <x v="1073"/>
    <n v="22"/>
    <x v="0"/>
    <s v="Scarf"/>
    <x v="3"/>
    <n v="96"/>
    <x v="18"/>
    <s v="XL"/>
    <s v="Purple"/>
    <s v="Spring"/>
    <n v="4"/>
    <s v="No"/>
    <s v="Store Pickup"/>
    <s v="Yes"/>
    <s v="Yes"/>
    <n v="33"/>
    <s v="Credit Card"/>
    <s v="Monthly"/>
    <s v="Monthly"/>
    <n v="4"/>
  </r>
  <r>
    <x v="1074"/>
    <n v="48"/>
    <x v="0"/>
    <s v="Jewelry"/>
    <x v="3"/>
    <n v="71"/>
    <x v="30"/>
    <s v="S"/>
    <s v="White"/>
    <s v="Fall"/>
    <n v="2.6"/>
    <s v="No"/>
    <s v="Standard"/>
    <s v="Yes"/>
    <s v="Yes"/>
    <n v="45"/>
    <s v="Bank Transfer"/>
    <s v="Fortnightly"/>
    <s v="Fortnightly"/>
    <n v="3"/>
  </r>
  <r>
    <x v="1075"/>
    <n v="57"/>
    <x v="0"/>
    <s v="Sunglasses"/>
    <x v="3"/>
    <n v="50"/>
    <x v="9"/>
    <s v="L"/>
    <s v="Indigo"/>
    <s v="Summer"/>
    <n v="4.9000000000000004"/>
    <s v="No"/>
    <s v="Next Day Air"/>
    <s v="Yes"/>
    <s v="Yes"/>
    <n v="32"/>
    <s v="Debit Card"/>
    <s v="Bi-Weekly"/>
    <s v="Bi-Weekly"/>
    <n v="2"/>
  </r>
  <r>
    <x v="1076"/>
    <n v="33"/>
    <x v="0"/>
    <s v="Coat"/>
    <x v="2"/>
    <n v="72"/>
    <x v="25"/>
    <s v="L"/>
    <s v="Charcoal"/>
    <s v="Spring"/>
    <n v="2.9"/>
    <s v="No"/>
    <s v="Standard"/>
    <s v="Yes"/>
    <s v="Yes"/>
    <n v="47"/>
    <s v="Venmo"/>
    <s v="Bi-Weekly"/>
    <s v="Bi-Weekly"/>
    <n v="2"/>
  </r>
  <r>
    <x v="1077"/>
    <n v="58"/>
    <x v="0"/>
    <s v="Jacket"/>
    <x v="2"/>
    <n v="28"/>
    <x v="8"/>
    <s v="M"/>
    <s v="Pink"/>
    <s v="Winter"/>
    <n v="3.7"/>
    <s v="No"/>
    <s v="Standard"/>
    <s v="Yes"/>
    <s v="Yes"/>
    <n v="5"/>
    <s v="PayPal"/>
    <s v="Quarterly"/>
    <s v="Quarterly"/>
    <n v="5"/>
  </r>
  <r>
    <x v="1078"/>
    <n v="37"/>
    <x v="0"/>
    <s v="Sweater"/>
    <x v="0"/>
    <n v="59"/>
    <x v="28"/>
    <s v="M"/>
    <s v="Silver"/>
    <s v="Fall"/>
    <n v="4.4000000000000004"/>
    <s v="No"/>
    <s v="Express"/>
    <s v="Yes"/>
    <s v="Yes"/>
    <n v="49"/>
    <s v="Credit Card"/>
    <s v="Fortnightly"/>
    <s v="Fortnightly"/>
    <n v="3"/>
  </r>
  <r>
    <x v="1079"/>
    <n v="18"/>
    <x v="0"/>
    <s v="Coat"/>
    <x v="2"/>
    <n v="33"/>
    <x v="19"/>
    <s v="S"/>
    <s v="Blue"/>
    <s v="Summer"/>
    <n v="4.4000000000000004"/>
    <s v="No"/>
    <s v="Free Shipping"/>
    <s v="Yes"/>
    <s v="Yes"/>
    <n v="48"/>
    <s v="Bank Transfer"/>
    <s v="Monthly"/>
    <s v="Monthly"/>
    <n v="4"/>
  </r>
  <r>
    <x v="1080"/>
    <n v="65"/>
    <x v="0"/>
    <s v="Scarf"/>
    <x v="3"/>
    <n v="59"/>
    <x v="38"/>
    <s v="L"/>
    <s v="Blue"/>
    <s v="Fall"/>
    <n v="3.8"/>
    <s v="No"/>
    <s v="Express"/>
    <s v="Yes"/>
    <s v="Yes"/>
    <n v="22"/>
    <s v="Cash"/>
    <s v="Every 3 Months"/>
    <s v="Quarterly"/>
    <n v="5"/>
  </r>
  <r>
    <x v="1081"/>
    <n v="62"/>
    <x v="0"/>
    <s v="Belt"/>
    <x v="3"/>
    <n v="30"/>
    <x v="37"/>
    <s v="XL"/>
    <s v="Brown"/>
    <s v="Spring"/>
    <n v="4.5"/>
    <s v="No"/>
    <s v="Standard"/>
    <s v="Yes"/>
    <s v="Yes"/>
    <n v="45"/>
    <s v="Credit Card"/>
    <s v="Annually"/>
    <s v="Annually"/>
    <n v="6"/>
  </r>
  <r>
    <x v="1082"/>
    <n v="54"/>
    <x v="0"/>
    <s v="Hat"/>
    <x v="3"/>
    <n v="85"/>
    <x v="36"/>
    <s v="XL"/>
    <s v="Cyan"/>
    <s v="Winter"/>
    <n v="2.6"/>
    <s v="No"/>
    <s v="Next Day Air"/>
    <s v="Yes"/>
    <s v="Yes"/>
    <n v="30"/>
    <s v="Venmo"/>
    <s v="Quarterly"/>
    <s v="Quarterly"/>
    <n v="5"/>
  </r>
  <r>
    <x v="1083"/>
    <n v="35"/>
    <x v="0"/>
    <s v="Backpack"/>
    <x v="3"/>
    <n v="97"/>
    <x v="47"/>
    <s v="L"/>
    <s v="Teal"/>
    <s v="Summer"/>
    <n v="3.3"/>
    <s v="No"/>
    <s v="Store Pickup"/>
    <s v="Yes"/>
    <s v="Yes"/>
    <n v="43"/>
    <s v="Cash"/>
    <s v="Weekly"/>
    <s v="Weekly"/>
    <n v="1"/>
  </r>
  <r>
    <x v="1084"/>
    <n v="34"/>
    <x v="0"/>
    <s v="T-shirt"/>
    <x v="0"/>
    <n v="36"/>
    <x v="10"/>
    <s v="S"/>
    <s v="Purple"/>
    <s v="Fall"/>
    <n v="4.0999999999999996"/>
    <s v="No"/>
    <s v="Next Day Air"/>
    <s v="Yes"/>
    <s v="Yes"/>
    <n v="48"/>
    <s v="Cash"/>
    <s v="Quarterly"/>
    <s v="Quarterly"/>
    <n v="5"/>
  </r>
  <r>
    <x v="1085"/>
    <n v="25"/>
    <x v="0"/>
    <s v="Jewelry"/>
    <x v="3"/>
    <n v="85"/>
    <x v="40"/>
    <s v="M"/>
    <s v="Turquoise"/>
    <s v="Winter"/>
    <n v="3"/>
    <s v="No"/>
    <s v="Store Pickup"/>
    <s v="Yes"/>
    <s v="Yes"/>
    <n v="23"/>
    <s v="Venmo"/>
    <s v="Fortnightly"/>
    <s v="Fortnightly"/>
    <n v="3"/>
  </r>
  <r>
    <x v="1086"/>
    <n v="53"/>
    <x v="0"/>
    <s v="Sunglasses"/>
    <x v="3"/>
    <n v="62"/>
    <x v="29"/>
    <s v="M"/>
    <s v="Olive"/>
    <s v="Winter"/>
    <n v="3"/>
    <s v="No"/>
    <s v="Free Shipping"/>
    <s v="Yes"/>
    <s v="Yes"/>
    <n v="27"/>
    <s v="PayPal"/>
    <s v="Bi-Weekly"/>
    <s v="Bi-Weekly"/>
    <n v="2"/>
  </r>
  <r>
    <x v="1087"/>
    <n v="45"/>
    <x v="0"/>
    <s v="Jeans"/>
    <x v="0"/>
    <n v="71"/>
    <x v="8"/>
    <s v="S"/>
    <s v="White"/>
    <s v="Winter"/>
    <n v="3.4"/>
    <s v="No"/>
    <s v="Next Day Air"/>
    <s v="Yes"/>
    <s v="Yes"/>
    <n v="7"/>
    <s v="Bank Transfer"/>
    <s v="Monthly"/>
    <s v="Monthly"/>
    <n v="4"/>
  </r>
  <r>
    <x v="1088"/>
    <n v="49"/>
    <x v="0"/>
    <s v="Pants"/>
    <x v="0"/>
    <n v="21"/>
    <x v="7"/>
    <s v="M"/>
    <s v="Turquoise"/>
    <s v="Winter"/>
    <n v="2.7"/>
    <s v="No"/>
    <s v="Free Shipping"/>
    <s v="Yes"/>
    <s v="Yes"/>
    <n v="2"/>
    <s v="PayPal"/>
    <s v="Weekly"/>
    <s v="Weekly"/>
    <n v="1"/>
  </r>
  <r>
    <x v="1089"/>
    <n v="40"/>
    <x v="0"/>
    <s v="Backpack"/>
    <x v="3"/>
    <n v="61"/>
    <x v="28"/>
    <s v="M"/>
    <s v="Silver"/>
    <s v="Spring"/>
    <n v="3.8"/>
    <s v="No"/>
    <s v="Next Day Air"/>
    <s v="Yes"/>
    <s v="Yes"/>
    <n v="33"/>
    <s v="PayPal"/>
    <s v="Bi-Weekly"/>
    <s v="Bi-Weekly"/>
    <n v="2"/>
  </r>
  <r>
    <x v="1090"/>
    <n v="38"/>
    <x v="0"/>
    <s v="Scarf"/>
    <x v="3"/>
    <n v="58"/>
    <x v="39"/>
    <s v="M"/>
    <s v="Violet"/>
    <s v="Spring"/>
    <n v="4.2"/>
    <s v="No"/>
    <s v="Store Pickup"/>
    <s v="Yes"/>
    <s v="Yes"/>
    <n v="27"/>
    <s v="Cash"/>
    <s v="Fortnightly"/>
    <s v="Fortnightly"/>
    <n v="3"/>
  </r>
  <r>
    <x v="1091"/>
    <n v="44"/>
    <x v="0"/>
    <s v="Sweater"/>
    <x v="0"/>
    <n v="80"/>
    <x v="17"/>
    <s v="L"/>
    <s v="Lavender"/>
    <s v="Spring"/>
    <n v="4.7"/>
    <s v="No"/>
    <s v="Store Pickup"/>
    <s v="Yes"/>
    <s v="Yes"/>
    <n v="6"/>
    <s v="Credit Card"/>
    <s v="Fortnightly"/>
    <s v="Fortnightly"/>
    <n v="3"/>
  </r>
  <r>
    <x v="1092"/>
    <n v="68"/>
    <x v="0"/>
    <s v="Jewelry"/>
    <x v="3"/>
    <n v="50"/>
    <x v="45"/>
    <s v="L"/>
    <s v="Magenta"/>
    <s v="Spring"/>
    <n v="4.0999999999999996"/>
    <s v="No"/>
    <s v="2-Day Shipping"/>
    <s v="Yes"/>
    <s v="Yes"/>
    <n v="20"/>
    <s v="Venmo"/>
    <s v="Quarterly"/>
    <s v="Quarterly"/>
    <n v="5"/>
  </r>
  <r>
    <x v="1093"/>
    <n v="60"/>
    <x v="0"/>
    <s v="Sneakers"/>
    <x v="1"/>
    <n v="48"/>
    <x v="12"/>
    <s v="S"/>
    <s v="Indigo"/>
    <s v="Winter"/>
    <n v="4.2"/>
    <s v="No"/>
    <s v="2-Day Shipping"/>
    <s v="Yes"/>
    <s v="Yes"/>
    <n v="46"/>
    <s v="Venmo"/>
    <s v="Every 3 Months"/>
    <s v="Quarterly"/>
    <n v="5"/>
  </r>
  <r>
    <x v="1094"/>
    <n v="25"/>
    <x v="0"/>
    <s v="Jewelry"/>
    <x v="3"/>
    <n v="40"/>
    <x v="39"/>
    <s v="M"/>
    <s v="Black"/>
    <s v="Winter"/>
    <n v="4.8"/>
    <s v="No"/>
    <s v="Next Day Air"/>
    <s v="Yes"/>
    <s v="Yes"/>
    <n v="25"/>
    <s v="Cash"/>
    <s v="Quarterly"/>
    <s v="Quarterly"/>
    <n v="5"/>
  </r>
  <r>
    <x v="1095"/>
    <n v="19"/>
    <x v="0"/>
    <s v="Coat"/>
    <x v="2"/>
    <n v="34"/>
    <x v="30"/>
    <s v="S"/>
    <s v="Peach"/>
    <s v="Summer"/>
    <n v="3"/>
    <s v="No"/>
    <s v="Free Shipping"/>
    <s v="Yes"/>
    <s v="Yes"/>
    <n v="30"/>
    <s v="Bank Transfer"/>
    <s v="Quarterly"/>
    <s v="Quarterly"/>
    <n v="5"/>
  </r>
  <r>
    <x v="1096"/>
    <n v="57"/>
    <x v="0"/>
    <s v="Coat"/>
    <x v="2"/>
    <n v="46"/>
    <x v="13"/>
    <s v="S"/>
    <s v="Beige"/>
    <s v="Fall"/>
    <n v="2.6"/>
    <s v="No"/>
    <s v="Standard"/>
    <s v="Yes"/>
    <s v="Yes"/>
    <n v="48"/>
    <s v="Credit Card"/>
    <s v="Annually"/>
    <s v="Annually"/>
    <n v="6"/>
  </r>
  <r>
    <x v="1097"/>
    <n v="58"/>
    <x v="0"/>
    <s v="Sunglasses"/>
    <x v="3"/>
    <n v="27"/>
    <x v="34"/>
    <s v="M"/>
    <s v="Black"/>
    <s v="Summer"/>
    <n v="3.2"/>
    <s v="No"/>
    <s v="Store Pickup"/>
    <s v="Yes"/>
    <s v="Yes"/>
    <n v="47"/>
    <s v="Bank Transfer"/>
    <s v="Weekly"/>
    <s v="Weekly"/>
    <n v="1"/>
  </r>
  <r>
    <x v="1098"/>
    <n v="49"/>
    <x v="0"/>
    <s v="Handbag"/>
    <x v="3"/>
    <n v="98"/>
    <x v="37"/>
    <s v="S"/>
    <s v="Turquoise"/>
    <s v="Spring"/>
    <n v="3.6"/>
    <s v="No"/>
    <s v="Next Day Air"/>
    <s v="Yes"/>
    <s v="Yes"/>
    <n v="27"/>
    <s v="Credit Card"/>
    <s v="Weekly"/>
    <s v="Weekly"/>
    <n v="1"/>
  </r>
  <r>
    <x v="1099"/>
    <n v="19"/>
    <x v="0"/>
    <s v="Sweater"/>
    <x v="0"/>
    <n v="73"/>
    <x v="17"/>
    <s v="M"/>
    <s v="Peach"/>
    <s v="Fall"/>
    <n v="2.6"/>
    <s v="No"/>
    <s v="Next Day Air"/>
    <s v="Yes"/>
    <s v="Yes"/>
    <n v="45"/>
    <s v="Bank Transfer"/>
    <s v="Fortnightly"/>
    <s v="Fortnightly"/>
    <n v="3"/>
  </r>
  <r>
    <x v="1100"/>
    <n v="50"/>
    <x v="0"/>
    <s v="Pants"/>
    <x v="0"/>
    <n v="28"/>
    <x v="22"/>
    <s v="L"/>
    <s v="Gold"/>
    <s v="Spring"/>
    <n v="4.4000000000000004"/>
    <s v="No"/>
    <s v="Express"/>
    <s v="Yes"/>
    <s v="Yes"/>
    <n v="2"/>
    <s v="Credit Card"/>
    <s v="Weekly"/>
    <s v="Weekly"/>
    <n v="1"/>
  </r>
  <r>
    <x v="1101"/>
    <n v="30"/>
    <x v="0"/>
    <s v="Gloves"/>
    <x v="3"/>
    <n v="76"/>
    <x v="12"/>
    <s v="XL"/>
    <s v="Silver"/>
    <s v="Fall"/>
    <n v="3"/>
    <s v="No"/>
    <s v="Free Shipping"/>
    <s v="Yes"/>
    <s v="Yes"/>
    <n v="39"/>
    <s v="Cash"/>
    <s v="Fortnightly"/>
    <s v="Fortnightly"/>
    <n v="3"/>
  </r>
  <r>
    <x v="1102"/>
    <n v="52"/>
    <x v="0"/>
    <s v="Sweater"/>
    <x v="0"/>
    <n v="83"/>
    <x v="21"/>
    <s v="M"/>
    <s v="Peach"/>
    <s v="Fall"/>
    <n v="2.9"/>
    <s v="No"/>
    <s v="Express"/>
    <s v="Yes"/>
    <s v="Yes"/>
    <n v="24"/>
    <s v="Cash"/>
    <s v="Fortnightly"/>
    <s v="Fortnightly"/>
    <n v="3"/>
  </r>
  <r>
    <x v="1103"/>
    <n v="35"/>
    <x v="0"/>
    <s v="Hoodie"/>
    <x v="0"/>
    <n v="23"/>
    <x v="30"/>
    <s v="S"/>
    <s v="Charcoal"/>
    <s v="Spring"/>
    <n v="4.3"/>
    <s v="No"/>
    <s v="Free Shipping"/>
    <s v="Yes"/>
    <s v="Yes"/>
    <n v="8"/>
    <s v="Debit Card"/>
    <s v="Bi-Weekly"/>
    <s v="Bi-Weekly"/>
    <n v="2"/>
  </r>
  <r>
    <x v="1104"/>
    <n v="35"/>
    <x v="0"/>
    <s v="Hat"/>
    <x v="3"/>
    <n v="28"/>
    <x v="12"/>
    <s v="M"/>
    <s v="Beige"/>
    <s v="Fall"/>
    <n v="3.1"/>
    <s v="No"/>
    <s v="Express"/>
    <s v="Yes"/>
    <s v="Yes"/>
    <n v="8"/>
    <s v="Bank Transfer"/>
    <s v="Quarterly"/>
    <s v="Quarterly"/>
    <n v="5"/>
  </r>
  <r>
    <x v="1105"/>
    <n v="33"/>
    <x v="0"/>
    <s v="T-shirt"/>
    <x v="0"/>
    <n v="83"/>
    <x v="2"/>
    <s v="S"/>
    <s v="Olive"/>
    <s v="Spring"/>
    <n v="3"/>
    <s v="No"/>
    <s v="Next Day Air"/>
    <s v="Yes"/>
    <s v="Yes"/>
    <n v="6"/>
    <s v="Venmo"/>
    <s v="Every 3 Months"/>
    <s v="Quarterly"/>
    <n v="5"/>
  </r>
  <r>
    <x v="1106"/>
    <n v="52"/>
    <x v="0"/>
    <s v="Skirt"/>
    <x v="0"/>
    <n v="96"/>
    <x v="46"/>
    <s v="L"/>
    <s v="Violet"/>
    <s v="Winter"/>
    <n v="3.6"/>
    <s v="No"/>
    <s v="Store Pickup"/>
    <s v="Yes"/>
    <s v="Yes"/>
    <n v="12"/>
    <s v="Venmo"/>
    <s v="Fortnightly"/>
    <s v="Fortnightly"/>
    <n v="3"/>
  </r>
  <r>
    <x v="1107"/>
    <n v="69"/>
    <x v="0"/>
    <s v="Sneakers"/>
    <x v="1"/>
    <n v="62"/>
    <x v="21"/>
    <s v="M"/>
    <s v="Peach"/>
    <s v="Fall"/>
    <n v="2.8"/>
    <s v="No"/>
    <s v="Store Pickup"/>
    <s v="Yes"/>
    <s v="Yes"/>
    <n v="26"/>
    <s v="Bank Transfer"/>
    <s v="Weekly"/>
    <s v="Weekly"/>
    <n v="1"/>
  </r>
  <r>
    <x v="1108"/>
    <n v="27"/>
    <x v="0"/>
    <s v="Shorts"/>
    <x v="0"/>
    <n v="25"/>
    <x v="43"/>
    <s v="M"/>
    <s v="Teal"/>
    <s v="Fall"/>
    <n v="2.8"/>
    <s v="No"/>
    <s v="Standard"/>
    <s v="Yes"/>
    <s v="Yes"/>
    <n v="50"/>
    <s v="Cash"/>
    <s v="Fortnightly"/>
    <s v="Fortnightly"/>
    <n v="3"/>
  </r>
  <r>
    <x v="1109"/>
    <n v="66"/>
    <x v="0"/>
    <s v="Hoodie"/>
    <x v="0"/>
    <n v="97"/>
    <x v="19"/>
    <s v="L"/>
    <s v="Violet"/>
    <s v="Winter"/>
    <n v="4.9000000000000004"/>
    <s v="No"/>
    <s v="Next Day Air"/>
    <s v="Yes"/>
    <s v="Yes"/>
    <n v="2"/>
    <s v="Venmo"/>
    <s v="Weekly"/>
    <s v="Weekly"/>
    <n v="1"/>
  </r>
  <r>
    <x v="1110"/>
    <n v="28"/>
    <x v="0"/>
    <s v="Hoodie"/>
    <x v="0"/>
    <n v="61"/>
    <x v="21"/>
    <s v="L"/>
    <s v="Cyan"/>
    <s v="Fall"/>
    <n v="3"/>
    <s v="No"/>
    <s v="Standard"/>
    <s v="Yes"/>
    <s v="Yes"/>
    <n v="31"/>
    <s v="Cash"/>
    <s v="Bi-Weekly"/>
    <s v="Bi-Weekly"/>
    <n v="2"/>
  </r>
  <r>
    <x v="1111"/>
    <n v="22"/>
    <x v="0"/>
    <s v="Shoes"/>
    <x v="1"/>
    <n v="66"/>
    <x v="14"/>
    <s v="S"/>
    <s v="Olive"/>
    <s v="Summer"/>
    <n v="4.0999999999999996"/>
    <s v="No"/>
    <s v="Next Day Air"/>
    <s v="Yes"/>
    <s v="Yes"/>
    <n v="4"/>
    <s v="Credit Card"/>
    <s v="Bi-Weekly"/>
    <s v="Bi-Weekly"/>
    <n v="2"/>
  </r>
  <r>
    <x v="1112"/>
    <n v="69"/>
    <x v="0"/>
    <s v="Hoodie"/>
    <x v="0"/>
    <n v="67"/>
    <x v="47"/>
    <s v="XL"/>
    <s v="Pink"/>
    <s v="Spring"/>
    <n v="4.5999999999999996"/>
    <s v="No"/>
    <s v="Free Shipping"/>
    <s v="Yes"/>
    <s v="Yes"/>
    <n v="32"/>
    <s v="PayPal"/>
    <s v="Quarterly"/>
    <s v="Quarterly"/>
    <n v="5"/>
  </r>
  <r>
    <x v="1113"/>
    <n v="28"/>
    <x v="0"/>
    <s v="Sunglasses"/>
    <x v="3"/>
    <n v="80"/>
    <x v="33"/>
    <s v="M"/>
    <s v="Purple"/>
    <s v="Summer"/>
    <n v="4.8"/>
    <s v="No"/>
    <s v="Next Day Air"/>
    <s v="Yes"/>
    <s v="Yes"/>
    <n v="11"/>
    <s v="PayPal"/>
    <s v="Bi-Weekly"/>
    <s v="Bi-Weekly"/>
    <n v="2"/>
  </r>
  <r>
    <x v="1114"/>
    <n v="55"/>
    <x v="0"/>
    <s v="Skirt"/>
    <x v="0"/>
    <n v="25"/>
    <x v="13"/>
    <s v="L"/>
    <s v="Violet"/>
    <s v="Fall"/>
    <n v="2.6"/>
    <s v="No"/>
    <s v="Next Day Air"/>
    <s v="Yes"/>
    <s v="Yes"/>
    <n v="47"/>
    <s v="Bank Transfer"/>
    <s v="Every 3 Months"/>
    <s v="Quarterly"/>
    <n v="5"/>
  </r>
  <r>
    <x v="1115"/>
    <n v="30"/>
    <x v="0"/>
    <s v="Hat"/>
    <x v="3"/>
    <n v="58"/>
    <x v="14"/>
    <s v="S"/>
    <s v="Peach"/>
    <s v="Fall"/>
    <n v="4"/>
    <s v="No"/>
    <s v="2-Day Shipping"/>
    <s v="Yes"/>
    <s v="Yes"/>
    <n v="37"/>
    <s v="Cash"/>
    <s v="Weekly"/>
    <s v="Weekly"/>
    <n v="1"/>
  </r>
  <r>
    <x v="1116"/>
    <n v="67"/>
    <x v="0"/>
    <s v="Backpack"/>
    <x v="3"/>
    <n v="96"/>
    <x v="11"/>
    <s v="M"/>
    <s v="Charcoal"/>
    <s v="Winter"/>
    <n v="4.2"/>
    <s v="No"/>
    <s v="Express"/>
    <s v="Yes"/>
    <s v="Yes"/>
    <n v="39"/>
    <s v="PayPal"/>
    <s v="Fortnightly"/>
    <s v="Fortnightly"/>
    <n v="3"/>
  </r>
  <r>
    <x v="1117"/>
    <n v="25"/>
    <x v="0"/>
    <s v="Sunglasses"/>
    <x v="3"/>
    <n v="77"/>
    <x v="18"/>
    <s v="L"/>
    <s v="Lavender"/>
    <s v="Spring"/>
    <n v="4.5"/>
    <s v="No"/>
    <s v="Store Pickup"/>
    <s v="Yes"/>
    <s v="Yes"/>
    <n v="24"/>
    <s v="Credit Card"/>
    <s v="Monthly"/>
    <s v="Monthly"/>
    <n v="4"/>
  </r>
  <r>
    <x v="1118"/>
    <n v="49"/>
    <x v="0"/>
    <s v="Belt"/>
    <x v="3"/>
    <n v="65"/>
    <x v="27"/>
    <s v="M"/>
    <s v="Purple"/>
    <s v="Summer"/>
    <n v="4.9000000000000004"/>
    <s v="No"/>
    <s v="Standard"/>
    <s v="Yes"/>
    <s v="Yes"/>
    <n v="11"/>
    <s v="PayPal"/>
    <s v="Every 3 Months"/>
    <s v="Quarterly"/>
    <n v="5"/>
  </r>
  <r>
    <x v="1119"/>
    <n v="34"/>
    <x v="0"/>
    <s v="Jewelry"/>
    <x v="3"/>
    <n v="36"/>
    <x v="7"/>
    <s v="M"/>
    <s v="Indigo"/>
    <s v="Spring"/>
    <n v="3.1"/>
    <s v="No"/>
    <s v="Standard"/>
    <s v="Yes"/>
    <s v="Yes"/>
    <n v="36"/>
    <s v="Credit Card"/>
    <s v="Weekly"/>
    <s v="Weekly"/>
    <n v="1"/>
  </r>
  <r>
    <x v="1120"/>
    <n v="22"/>
    <x v="0"/>
    <s v="Sneakers"/>
    <x v="1"/>
    <n v="84"/>
    <x v="38"/>
    <s v="M"/>
    <s v="Magenta"/>
    <s v="Winter"/>
    <n v="4"/>
    <s v="No"/>
    <s v="Next Day Air"/>
    <s v="Yes"/>
    <s v="Yes"/>
    <n v="40"/>
    <s v="Debit Card"/>
    <s v="Monthly"/>
    <s v="Monthly"/>
    <n v="4"/>
  </r>
  <r>
    <x v="1121"/>
    <n v="63"/>
    <x v="0"/>
    <s v="T-shirt"/>
    <x v="0"/>
    <n v="58"/>
    <x v="20"/>
    <s v="XL"/>
    <s v="Peach"/>
    <s v="Fall"/>
    <n v="3.2"/>
    <s v="No"/>
    <s v="Express"/>
    <s v="Yes"/>
    <s v="Yes"/>
    <n v="25"/>
    <s v="Cash"/>
    <s v="Quarterly"/>
    <s v="Quarterly"/>
    <n v="5"/>
  </r>
  <r>
    <x v="1122"/>
    <n v="70"/>
    <x v="0"/>
    <s v="Handbag"/>
    <x v="3"/>
    <n v="62"/>
    <x v="17"/>
    <s v="S"/>
    <s v="Charcoal"/>
    <s v="Spring"/>
    <n v="4.3"/>
    <s v="No"/>
    <s v="2-Day Shipping"/>
    <s v="Yes"/>
    <s v="Yes"/>
    <n v="12"/>
    <s v="Credit Card"/>
    <s v="Annually"/>
    <s v="Annually"/>
    <n v="6"/>
  </r>
  <r>
    <x v="1123"/>
    <n v="36"/>
    <x v="0"/>
    <s v="Hat"/>
    <x v="3"/>
    <n v="67"/>
    <x v="2"/>
    <s v="S"/>
    <s v="Purple"/>
    <s v="Fall"/>
    <n v="2.5"/>
    <s v="No"/>
    <s v="Store Pickup"/>
    <s v="Yes"/>
    <s v="Yes"/>
    <n v="38"/>
    <s v="Cash"/>
    <s v="Monthly"/>
    <s v="Monthly"/>
    <n v="4"/>
  </r>
  <r>
    <x v="1124"/>
    <n v="42"/>
    <x v="0"/>
    <s v="Sweater"/>
    <x v="0"/>
    <n v="20"/>
    <x v="44"/>
    <s v="M"/>
    <s v="Orange"/>
    <s v="Spring"/>
    <n v="4.9000000000000004"/>
    <s v="No"/>
    <s v="Express"/>
    <s v="Yes"/>
    <s v="Yes"/>
    <n v="40"/>
    <s v="Cash"/>
    <s v="Quarterly"/>
    <s v="Quarterly"/>
    <n v="5"/>
  </r>
  <r>
    <x v="1125"/>
    <n v="27"/>
    <x v="0"/>
    <s v="Sandals"/>
    <x v="1"/>
    <n v="90"/>
    <x v="25"/>
    <s v="M"/>
    <s v="Lavender"/>
    <s v="Summer"/>
    <n v="2.7"/>
    <s v="No"/>
    <s v="2-Day Shipping"/>
    <s v="Yes"/>
    <s v="Yes"/>
    <n v="10"/>
    <s v="Bank Transfer"/>
    <s v="Weekly"/>
    <s v="Weekly"/>
    <n v="1"/>
  </r>
  <r>
    <x v="1126"/>
    <n v="23"/>
    <x v="0"/>
    <s v="Scarf"/>
    <x v="3"/>
    <n v="58"/>
    <x v="44"/>
    <s v="L"/>
    <s v="Beige"/>
    <s v="Winter"/>
    <n v="3.4"/>
    <s v="No"/>
    <s v="Standard"/>
    <s v="Yes"/>
    <s v="Yes"/>
    <n v="47"/>
    <s v="Venmo"/>
    <s v="Fortnightly"/>
    <s v="Fortnightly"/>
    <n v="3"/>
  </r>
  <r>
    <x v="1127"/>
    <n v="50"/>
    <x v="0"/>
    <s v="Shirt"/>
    <x v="0"/>
    <n v="53"/>
    <x v="12"/>
    <s v="XL"/>
    <s v="Maroon"/>
    <s v="Spring"/>
    <n v="4.8"/>
    <s v="No"/>
    <s v="Store Pickup"/>
    <s v="Yes"/>
    <s v="Yes"/>
    <n v="22"/>
    <s v="Debit Card"/>
    <s v="Monthly"/>
    <s v="Monthly"/>
    <n v="4"/>
  </r>
  <r>
    <x v="1128"/>
    <n v="56"/>
    <x v="0"/>
    <s v="Gloves"/>
    <x v="3"/>
    <n v="30"/>
    <x v="14"/>
    <s v="L"/>
    <s v="Charcoal"/>
    <s v="Winter"/>
    <n v="4.7"/>
    <s v="No"/>
    <s v="Next Day Air"/>
    <s v="Yes"/>
    <s v="Yes"/>
    <n v="35"/>
    <s v="Debit Card"/>
    <s v="Monthly"/>
    <s v="Monthly"/>
    <n v="4"/>
  </r>
  <r>
    <x v="1129"/>
    <n v="37"/>
    <x v="0"/>
    <s v="Hoodie"/>
    <x v="0"/>
    <n v="65"/>
    <x v="13"/>
    <s v="XL"/>
    <s v="White"/>
    <s v="Winter"/>
    <n v="4.7"/>
    <s v="No"/>
    <s v="Express"/>
    <s v="Yes"/>
    <s v="Yes"/>
    <n v="46"/>
    <s v="Venmo"/>
    <s v="Fortnightly"/>
    <s v="Fortnightly"/>
    <n v="3"/>
  </r>
  <r>
    <x v="1130"/>
    <n v="67"/>
    <x v="0"/>
    <s v="Jewelry"/>
    <x v="3"/>
    <n v="41"/>
    <x v="0"/>
    <s v="M"/>
    <s v="Lavender"/>
    <s v="Summer"/>
    <n v="3.9"/>
    <s v="No"/>
    <s v="Standard"/>
    <s v="Yes"/>
    <s v="Yes"/>
    <n v="30"/>
    <s v="PayPal"/>
    <s v="Bi-Weekly"/>
    <s v="Bi-Weekly"/>
    <n v="2"/>
  </r>
  <r>
    <x v="1131"/>
    <n v="67"/>
    <x v="0"/>
    <s v="Shirt"/>
    <x v="0"/>
    <n v="73"/>
    <x v="26"/>
    <s v="M"/>
    <s v="Black"/>
    <s v="Spring"/>
    <n v="3.7"/>
    <s v="No"/>
    <s v="Express"/>
    <s v="Yes"/>
    <s v="Yes"/>
    <n v="20"/>
    <s v="Bank Transfer"/>
    <s v="Monthly"/>
    <s v="Monthly"/>
    <n v="4"/>
  </r>
  <r>
    <x v="1132"/>
    <n v="50"/>
    <x v="0"/>
    <s v="Hoodie"/>
    <x v="0"/>
    <n v="98"/>
    <x v="17"/>
    <s v="S"/>
    <s v="Teal"/>
    <s v="Spring"/>
    <n v="4.3"/>
    <s v="No"/>
    <s v="Store Pickup"/>
    <s v="Yes"/>
    <s v="Yes"/>
    <n v="25"/>
    <s v="Cash"/>
    <s v="Fortnightly"/>
    <s v="Fortnightly"/>
    <n v="3"/>
  </r>
  <r>
    <x v="1133"/>
    <n v="36"/>
    <x v="0"/>
    <s v="Shoes"/>
    <x v="1"/>
    <n v="36"/>
    <x v="39"/>
    <s v="XL"/>
    <s v="Magenta"/>
    <s v="Winter"/>
    <n v="4.0999999999999996"/>
    <s v="No"/>
    <s v="2-Day Shipping"/>
    <s v="Yes"/>
    <s v="Yes"/>
    <n v="29"/>
    <s v="Cash"/>
    <s v="Weekly"/>
    <s v="Weekly"/>
    <n v="1"/>
  </r>
  <r>
    <x v="1134"/>
    <n v="62"/>
    <x v="0"/>
    <s v="T-shirt"/>
    <x v="0"/>
    <n v="81"/>
    <x v="48"/>
    <s v="M"/>
    <s v="Brown"/>
    <s v="Summer"/>
    <n v="4.5999999999999996"/>
    <s v="No"/>
    <s v="Express"/>
    <s v="Yes"/>
    <s v="Yes"/>
    <n v="2"/>
    <s v="Venmo"/>
    <s v="Every 3 Months"/>
    <s v="Quarterly"/>
    <n v="5"/>
  </r>
  <r>
    <x v="1135"/>
    <n v="65"/>
    <x v="0"/>
    <s v="Skirt"/>
    <x v="0"/>
    <n v="90"/>
    <x v="2"/>
    <s v="L"/>
    <s v="Peach"/>
    <s v="Winter"/>
    <n v="3.6"/>
    <s v="No"/>
    <s v="2-Day Shipping"/>
    <s v="Yes"/>
    <s v="Yes"/>
    <n v="32"/>
    <s v="Bank Transfer"/>
    <s v="Quarterly"/>
    <s v="Quarterly"/>
    <n v="5"/>
  </r>
  <r>
    <x v="1136"/>
    <n v="23"/>
    <x v="0"/>
    <s v="Handbag"/>
    <x v="3"/>
    <n v="83"/>
    <x v="26"/>
    <s v="S"/>
    <s v="Cyan"/>
    <s v="Summer"/>
    <n v="4.8"/>
    <s v="No"/>
    <s v="Free Shipping"/>
    <s v="Yes"/>
    <s v="Yes"/>
    <n v="37"/>
    <s v="Cash"/>
    <s v="Monthly"/>
    <s v="Monthly"/>
    <n v="4"/>
  </r>
  <r>
    <x v="1137"/>
    <n v="46"/>
    <x v="0"/>
    <s v="Shirt"/>
    <x v="0"/>
    <n v="91"/>
    <x v="35"/>
    <s v="XL"/>
    <s v="Pink"/>
    <s v="Winter"/>
    <n v="2.8"/>
    <s v="No"/>
    <s v="2-Day Shipping"/>
    <s v="Yes"/>
    <s v="Yes"/>
    <n v="16"/>
    <s v="Bank Transfer"/>
    <s v="Every 3 Months"/>
    <s v="Quarterly"/>
    <n v="5"/>
  </r>
  <r>
    <x v="1138"/>
    <n v="18"/>
    <x v="0"/>
    <s v="Pants"/>
    <x v="0"/>
    <n v="36"/>
    <x v="44"/>
    <s v="M"/>
    <s v="Purple"/>
    <s v="Summer"/>
    <n v="4.7"/>
    <s v="No"/>
    <s v="Express"/>
    <s v="Yes"/>
    <s v="Yes"/>
    <n v="32"/>
    <s v="Venmo"/>
    <s v="Fortnightly"/>
    <s v="Fortnightly"/>
    <n v="3"/>
  </r>
  <r>
    <x v="1139"/>
    <n v="58"/>
    <x v="0"/>
    <s v="Coat"/>
    <x v="2"/>
    <n v="53"/>
    <x v="15"/>
    <s v="L"/>
    <s v="Purple"/>
    <s v="Spring"/>
    <n v="3.9"/>
    <s v="No"/>
    <s v="Standard"/>
    <s v="Yes"/>
    <s v="Yes"/>
    <n v="42"/>
    <s v="Debit Card"/>
    <s v="Bi-Weekly"/>
    <s v="Bi-Weekly"/>
    <n v="2"/>
  </r>
  <r>
    <x v="1140"/>
    <n v="31"/>
    <x v="0"/>
    <s v="Jeans"/>
    <x v="0"/>
    <n v="39"/>
    <x v="33"/>
    <s v="M"/>
    <s v="White"/>
    <s v="Winter"/>
    <n v="2.6"/>
    <s v="No"/>
    <s v="Store Pickup"/>
    <s v="Yes"/>
    <s v="Yes"/>
    <n v="6"/>
    <s v="Credit Card"/>
    <s v="Every 3 Months"/>
    <s v="Quarterly"/>
    <n v="5"/>
  </r>
  <r>
    <x v="1141"/>
    <n v="39"/>
    <x v="0"/>
    <s v="Gloves"/>
    <x v="3"/>
    <n v="33"/>
    <x v="31"/>
    <s v="S"/>
    <s v="Silver"/>
    <s v="Winter"/>
    <n v="4.7"/>
    <s v="No"/>
    <s v="Next Day Air"/>
    <s v="Yes"/>
    <s v="Yes"/>
    <n v="23"/>
    <s v="PayPal"/>
    <s v="Fortnightly"/>
    <s v="Fortnightly"/>
    <n v="3"/>
  </r>
  <r>
    <x v="1142"/>
    <n v="69"/>
    <x v="0"/>
    <s v="T-shirt"/>
    <x v="0"/>
    <n v="76"/>
    <x v="31"/>
    <s v="L"/>
    <s v="Green"/>
    <s v="Spring"/>
    <n v="3.5"/>
    <s v="No"/>
    <s v="Store Pickup"/>
    <s v="Yes"/>
    <s v="Yes"/>
    <n v="27"/>
    <s v="Venmo"/>
    <s v="Bi-Weekly"/>
    <s v="Bi-Weekly"/>
    <n v="2"/>
  </r>
  <r>
    <x v="1143"/>
    <n v="68"/>
    <x v="0"/>
    <s v="Boots"/>
    <x v="1"/>
    <n v="23"/>
    <x v="22"/>
    <s v="L"/>
    <s v="Teal"/>
    <s v="Winter"/>
    <n v="4.4000000000000004"/>
    <s v="No"/>
    <s v="Standard"/>
    <s v="Yes"/>
    <s v="Yes"/>
    <n v="43"/>
    <s v="PayPal"/>
    <s v="Quarterly"/>
    <s v="Quarterly"/>
    <n v="5"/>
  </r>
  <r>
    <x v="1144"/>
    <n v="41"/>
    <x v="0"/>
    <s v="Jeans"/>
    <x v="0"/>
    <n v="54"/>
    <x v="36"/>
    <s v="S"/>
    <s v="Indigo"/>
    <s v="Fall"/>
    <n v="4.4000000000000004"/>
    <s v="No"/>
    <s v="2-Day Shipping"/>
    <s v="Yes"/>
    <s v="Yes"/>
    <n v="25"/>
    <s v="Bank Transfer"/>
    <s v="Fortnightly"/>
    <s v="Fortnightly"/>
    <n v="3"/>
  </r>
  <r>
    <x v="1145"/>
    <n v="31"/>
    <x v="0"/>
    <s v="Sneakers"/>
    <x v="1"/>
    <n v="89"/>
    <x v="22"/>
    <s v="L"/>
    <s v="Pink"/>
    <s v="Summer"/>
    <n v="3"/>
    <s v="No"/>
    <s v="Express"/>
    <s v="Yes"/>
    <s v="Yes"/>
    <n v="30"/>
    <s v="Cash"/>
    <s v="Every 3 Months"/>
    <s v="Quarterly"/>
    <n v="5"/>
  </r>
  <r>
    <x v="1146"/>
    <n v="48"/>
    <x v="0"/>
    <s v="Sneakers"/>
    <x v="1"/>
    <n v="38"/>
    <x v="48"/>
    <s v="M"/>
    <s v="Indigo"/>
    <s v="Summer"/>
    <n v="4.2"/>
    <s v="No"/>
    <s v="Standard"/>
    <s v="Yes"/>
    <s v="Yes"/>
    <n v="7"/>
    <s v="Bank Transfer"/>
    <s v="Every 3 Months"/>
    <s v="Quarterly"/>
    <n v="5"/>
  </r>
  <r>
    <x v="1147"/>
    <n v="59"/>
    <x v="0"/>
    <s v="Hat"/>
    <x v="3"/>
    <n v="36"/>
    <x v="30"/>
    <s v="XL"/>
    <s v="Red"/>
    <s v="Winter"/>
    <n v="4.3"/>
    <s v="No"/>
    <s v="Next Day Air"/>
    <s v="Yes"/>
    <s v="Yes"/>
    <n v="17"/>
    <s v="Debit Card"/>
    <s v="Annually"/>
    <s v="Annually"/>
    <n v="6"/>
  </r>
  <r>
    <x v="1148"/>
    <n v="34"/>
    <x v="0"/>
    <s v="Pants"/>
    <x v="0"/>
    <n v="66"/>
    <x v="20"/>
    <s v="M"/>
    <s v="Violet"/>
    <s v="Spring"/>
    <n v="2.6"/>
    <s v="No"/>
    <s v="Store Pickup"/>
    <s v="Yes"/>
    <s v="Yes"/>
    <n v="10"/>
    <s v="PayPal"/>
    <s v="Fortnightly"/>
    <s v="Fortnightly"/>
    <n v="3"/>
  </r>
  <r>
    <x v="1149"/>
    <n v="21"/>
    <x v="0"/>
    <s v="Jewelry"/>
    <x v="3"/>
    <n v="42"/>
    <x v="42"/>
    <s v="L"/>
    <s v="Cyan"/>
    <s v="Spring"/>
    <n v="3.3"/>
    <s v="No"/>
    <s v="Store Pickup"/>
    <s v="Yes"/>
    <s v="Yes"/>
    <n v="40"/>
    <s v="Venmo"/>
    <s v="Annually"/>
    <s v="Annually"/>
    <n v="6"/>
  </r>
  <r>
    <x v="1150"/>
    <n v="29"/>
    <x v="0"/>
    <s v="Jewelry"/>
    <x v="3"/>
    <n v="36"/>
    <x v="0"/>
    <s v="S"/>
    <s v="Red"/>
    <s v="Winter"/>
    <n v="2.7"/>
    <s v="No"/>
    <s v="Next Day Air"/>
    <s v="Yes"/>
    <s v="Yes"/>
    <n v="50"/>
    <s v="Venmo"/>
    <s v="Bi-Weekly"/>
    <s v="Bi-Weekly"/>
    <n v="2"/>
  </r>
  <r>
    <x v="1151"/>
    <n v="41"/>
    <x v="0"/>
    <s v="Blouse"/>
    <x v="0"/>
    <n v="86"/>
    <x v="31"/>
    <s v="M"/>
    <s v="Gray"/>
    <s v="Spring"/>
    <n v="4.2"/>
    <s v="No"/>
    <s v="Express"/>
    <s v="Yes"/>
    <s v="Yes"/>
    <n v="24"/>
    <s v="Credit Card"/>
    <s v="Weekly"/>
    <s v="Weekly"/>
    <n v="1"/>
  </r>
  <r>
    <x v="1152"/>
    <n v="62"/>
    <x v="0"/>
    <s v="Handbag"/>
    <x v="3"/>
    <n v="49"/>
    <x v="39"/>
    <s v="M"/>
    <s v="Gold"/>
    <s v="Fall"/>
    <n v="4"/>
    <s v="No"/>
    <s v="Standard"/>
    <s v="Yes"/>
    <s v="Yes"/>
    <n v="8"/>
    <s v="PayPal"/>
    <s v="Every 3 Months"/>
    <s v="Quarterly"/>
    <n v="5"/>
  </r>
  <r>
    <x v="1153"/>
    <n v="27"/>
    <x v="0"/>
    <s v="Shirt"/>
    <x v="0"/>
    <n v="41"/>
    <x v="37"/>
    <s v="M"/>
    <s v="Pink"/>
    <s v="Summer"/>
    <n v="4"/>
    <s v="No"/>
    <s v="Free Shipping"/>
    <s v="Yes"/>
    <s v="Yes"/>
    <n v="6"/>
    <s v="Bank Transfer"/>
    <s v="Quarterly"/>
    <s v="Quarterly"/>
    <n v="5"/>
  </r>
  <r>
    <x v="1154"/>
    <n v="49"/>
    <x v="0"/>
    <s v="Dress"/>
    <x v="0"/>
    <n v="82"/>
    <x v="42"/>
    <s v="L"/>
    <s v="Cyan"/>
    <s v="Spring"/>
    <n v="2.9"/>
    <s v="No"/>
    <s v="2-Day Shipping"/>
    <s v="Yes"/>
    <s v="Yes"/>
    <n v="44"/>
    <s v="Credit Card"/>
    <s v="Bi-Weekly"/>
    <s v="Bi-Weekly"/>
    <n v="2"/>
  </r>
  <r>
    <x v="1155"/>
    <n v="67"/>
    <x v="0"/>
    <s v="T-shirt"/>
    <x v="0"/>
    <n v="53"/>
    <x v="30"/>
    <s v="S"/>
    <s v="Red"/>
    <s v="Fall"/>
    <n v="2.6"/>
    <s v="No"/>
    <s v="Express"/>
    <s v="Yes"/>
    <s v="Yes"/>
    <n v="47"/>
    <s v="PayPal"/>
    <s v="Quarterly"/>
    <s v="Quarterly"/>
    <n v="5"/>
  </r>
  <r>
    <x v="1156"/>
    <n v="20"/>
    <x v="0"/>
    <s v="Shoes"/>
    <x v="1"/>
    <n v="21"/>
    <x v="11"/>
    <s v="M"/>
    <s v="Gold"/>
    <s v="Summer"/>
    <n v="4.8"/>
    <s v="No"/>
    <s v="Express"/>
    <s v="Yes"/>
    <s v="Yes"/>
    <n v="6"/>
    <s v="Venmo"/>
    <s v="Every 3 Months"/>
    <s v="Quarterly"/>
    <n v="5"/>
  </r>
  <r>
    <x v="1157"/>
    <n v="37"/>
    <x v="0"/>
    <s v="Belt"/>
    <x v="3"/>
    <n v="66"/>
    <x v="33"/>
    <s v="M"/>
    <s v="Charcoal"/>
    <s v="Fall"/>
    <n v="4.4000000000000004"/>
    <s v="No"/>
    <s v="Standard"/>
    <s v="Yes"/>
    <s v="Yes"/>
    <n v="11"/>
    <s v="Cash"/>
    <s v="Quarterly"/>
    <s v="Quarterly"/>
    <n v="5"/>
  </r>
  <r>
    <x v="1158"/>
    <n v="69"/>
    <x v="0"/>
    <s v="Belt"/>
    <x v="3"/>
    <n v="89"/>
    <x v="22"/>
    <s v="L"/>
    <s v="Orange"/>
    <s v="Summer"/>
    <n v="4"/>
    <s v="No"/>
    <s v="2-Day Shipping"/>
    <s v="Yes"/>
    <s v="Yes"/>
    <n v="41"/>
    <s v="Bank Transfer"/>
    <s v="Annually"/>
    <s v="Annually"/>
    <n v="6"/>
  </r>
  <r>
    <x v="1159"/>
    <n v="66"/>
    <x v="0"/>
    <s v="Handbag"/>
    <x v="3"/>
    <n v="55"/>
    <x v="13"/>
    <s v="L"/>
    <s v="Blue"/>
    <s v="Fall"/>
    <n v="3.6"/>
    <s v="No"/>
    <s v="2-Day Shipping"/>
    <s v="Yes"/>
    <s v="Yes"/>
    <n v="46"/>
    <s v="Venmo"/>
    <s v="Every 3 Months"/>
    <s v="Quarterly"/>
    <n v="5"/>
  </r>
  <r>
    <x v="1160"/>
    <n v="37"/>
    <x v="0"/>
    <s v="Scarf"/>
    <x v="3"/>
    <n v="42"/>
    <x v="25"/>
    <s v="S"/>
    <s v="Blue"/>
    <s v="Summer"/>
    <n v="3.2"/>
    <s v="No"/>
    <s v="Next Day Air"/>
    <s v="Yes"/>
    <s v="Yes"/>
    <n v="9"/>
    <s v="Venmo"/>
    <s v="Bi-Weekly"/>
    <s v="Bi-Weekly"/>
    <n v="2"/>
  </r>
  <r>
    <x v="1161"/>
    <n v="63"/>
    <x v="0"/>
    <s v="Shorts"/>
    <x v="0"/>
    <n v="52"/>
    <x v="19"/>
    <s v="S"/>
    <s v="Orange"/>
    <s v="Fall"/>
    <n v="3.1"/>
    <s v="No"/>
    <s v="2-Day Shipping"/>
    <s v="Yes"/>
    <s v="Yes"/>
    <n v="37"/>
    <s v="PayPal"/>
    <s v="Monthly"/>
    <s v="Monthly"/>
    <n v="4"/>
  </r>
  <r>
    <x v="1162"/>
    <n v="47"/>
    <x v="0"/>
    <s v="Sandals"/>
    <x v="1"/>
    <n v="92"/>
    <x v="17"/>
    <s v="M"/>
    <s v="Blue"/>
    <s v="Winter"/>
    <n v="4.2"/>
    <s v="No"/>
    <s v="Express"/>
    <s v="Yes"/>
    <s v="Yes"/>
    <n v="13"/>
    <s v="PayPal"/>
    <s v="Weekly"/>
    <s v="Weekly"/>
    <n v="1"/>
  </r>
  <r>
    <x v="1163"/>
    <n v="26"/>
    <x v="0"/>
    <s v="Pants"/>
    <x v="0"/>
    <n v="56"/>
    <x v="30"/>
    <s v="L"/>
    <s v="White"/>
    <s v="Summer"/>
    <n v="3"/>
    <s v="No"/>
    <s v="2-Day Shipping"/>
    <s v="Yes"/>
    <s v="Yes"/>
    <n v="24"/>
    <s v="Debit Card"/>
    <s v="Monthly"/>
    <s v="Monthly"/>
    <n v="4"/>
  </r>
  <r>
    <x v="1164"/>
    <n v="68"/>
    <x v="0"/>
    <s v="Dress"/>
    <x v="0"/>
    <n v="96"/>
    <x v="6"/>
    <s v="M"/>
    <s v="Green"/>
    <s v="Winter"/>
    <n v="4.2"/>
    <s v="No"/>
    <s v="Standard"/>
    <s v="Yes"/>
    <s v="Yes"/>
    <n v="47"/>
    <s v="PayPal"/>
    <s v="Quarterly"/>
    <s v="Quarterly"/>
    <n v="5"/>
  </r>
  <r>
    <x v="1165"/>
    <n v="51"/>
    <x v="0"/>
    <s v="T-shirt"/>
    <x v="0"/>
    <n v="64"/>
    <x v="48"/>
    <s v="M"/>
    <s v="Silver"/>
    <s v="Winter"/>
    <n v="2.9"/>
    <s v="No"/>
    <s v="Next Day Air"/>
    <s v="Yes"/>
    <s v="Yes"/>
    <n v="21"/>
    <s v="Venmo"/>
    <s v="Every 3 Months"/>
    <s v="Quarterly"/>
    <n v="5"/>
  </r>
  <r>
    <x v="1166"/>
    <n v="48"/>
    <x v="0"/>
    <s v="Dress"/>
    <x v="0"/>
    <n v="48"/>
    <x v="39"/>
    <s v="S"/>
    <s v="Lavender"/>
    <s v="Winter"/>
    <n v="3.7"/>
    <s v="No"/>
    <s v="Store Pickup"/>
    <s v="Yes"/>
    <s v="Yes"/>
    <n v="22"/>
    <s v="Venmo"/>
    <s v="Fortnightly"/>
    <s v="Fortnightly"/>
    <n v="3"/>
  </r>
  <r>
    <x v="1167"/>
    <n v="60"/>
    <x v="0"/>
    <s v="Socks"/>
    <x v="0"/>
    <n v="83"/>
    <x v="32"/>
    <s v="XL"/>
    <s v="Beige"/>
    <s v="Summer"/>
    <n v="3.6"/>
    <s v="No"/>
    <s v="Free Shipping"/>
    <s v="Yes"/>
    <s v="Yes"/>
    <n v="16"/>
    <s v="PayPal"/>
    <s v="Quarterly"/>
    <s v="Quarterly"/>
    <n v="5"/>
  </r>
  <r>
    <x v="1168"/>
    <n v="68"/>
    <x v="0"/>
    <s v="Scarf"/>
    <x v="3"/>
    <n v="91"/>
    <x v="16"/>
    <s v="L"/>
    <s v="Violet"/>
    <s v="Summer"/>
    <n v="3.6"/>
    <s v="No"/>
    <s v="Standard"/>
    <s v="Yes"/>
    <s v="Yes"/>
    <n v="37"/>
    <s v="Debit Card"/>
    <s v="Fortnightly"/>
    <s v="Fortnightly"/>
    <n v="3"/>
  </r>
  <r>
    <x v="1169"/>
    <n v="25"/>
    <x v="0"/>
    <s v="Backpack"/>
    <x v="3"/>
    <n v="94"/>
    <x v="5"/>
    <s v="S"/>
    <s v="Gray"/>
    <s v="Fall"/>
    <n v="4.5"/>
    <s v="No"/>
    <s v="2-Day Shipping"/>
    <s v="Yes"/>
    <s v="Yes"/>
    <n v="3"/>
    <s v="Cash"/>
    <s v="Annually"/>
    <s v="Annually"/>
    <n v="6"/>
  </r>
  <r>
    <x v="1170"/>
    <n v="57"/>
    <x v="0"/>
    <s v="Skirt"/>
    <x v="0"/>
    <n v="62"/>
    <x v="26"/>
    <s v="S"/>
    <s v="Red"/>
    <s v="Spring"/>
    <n v="3.2"/>
    <s v="No"/>
    <s v="Express"/>
    <s v="Yes"/>
    <s v="Yes"/>
    <n v="33"/>
    <s v="Cash"/>
    <s v="Bi-Weekly"/>
    <s v="Bi-Weekly"/>
    <n v="2"/>
  </r>
  <r>
    <x v="1171"/>
    <n v="41"/>
    <x v="0"/>
    <s v="Socks"/>
    <x v="0"/>
    <n v="55"/>
    <x v="7"/>
    <s v="M"/>
    <s v="Lavender"/>
    <s v="Spring"/>
    <n v="3.9"/>
    <s v="No"/>
    <s v="Next Day Air"/>
    <s v="Yes"/>
    <s v="Yes"/>
    <n v="15"/>
    <s v="Debit Card"/>
    <s v="Annually"/>
    <s v="Annually"/>
    <n v="6"/>
  </r>
  <r>
    <x v="1172"/>
    <n v="59"/>
    <x v="0"/>
    <s v="Coat"/>
    <x v="2"/>
    <n v="68"/>
    <x v="4"/>
    <s v="L"/>
    <s v="Peach"/>
    <s v="Spring"/>
    <n v="4.5999999999999996"/>
    <s v="No"/>
    <s v="Store Pickup"/>
    <s v="Yes"/>
    <s v="Yes"/>
    <n v="42"/>
    <s v="Bank Transfer"/>
    <s v="Bi-Weekly"/>
    <s v="Bi-Weekly"/>
    <n v="2"/>
  </r>
  <r>
    <x v="1173"/>
    <n v="44"/>
    <x v="0"/>
    <s v="Jewelry"/>
    <x v="3"/>
    <n v="76"/>
    <x v="45"/>
    <s v="M"/>
    <s v="Indigo"/>
    <s v="Winter"/>
    <n v="2.5"/>
    <s v="No"/>
    <s v="Express"/>
    <s v="Yes"/>
    <s v="Yes"/>
    <n v="42"/>
    <s v="Cash"/>
    <s v="Bi-Weekly"/>
    <s v="Bi-Weekly"/>
    <n v="2"/>
  </r>
  <r>
    <x v="1174"/>
    <n v="42"/>
    <x v="0"/>
    <s v="Backpack"/>
    <x v="3"/>
    <n v="31"/>
    <x v="49"/>
    <s v="M"/>
    <s v="Black"/>
    <s v="Winter"/>
    <n v="4.3"/>
    <s v="No"/>
    <s v="Express"/>
    <s v="Yes"/>
    <s v="Yes"/>
    <n v="19"/>
    <s v="Bank Transfer"/>
    <s v="Bi-Weekly"/>
    <s v="Bi-Weekly"/>
    <n v="2"/>
  </r>
  <r>
    <x v="1175"/>
    <n v="35"/>
    <x v="0"/>
    <s v="Belt"/>
    <x v="3"/>
    <n v="81"/>
    <x v="32"/>
    <s v="M"/>
    <s v="Beige"/>
    <s v="Spring"/>
    <n v="4.0999999999999996"/>
    <s v="No"/>
    <s v="Store Pickup"/>
    <s v="Yes"/>
    <s v="Yes"/>
    <n v="26"/>
    <s v="PayPal"/>
    <s v="Quarterly"/>
    <s v="Quarterly"/>
    <n v="5"/>
  </r>
  <r>
    <x v="1176"/>
    <n v="36"/>
    <x v="0"/>
    <s v="Dress"/>
    <x v="0"/>
    <n v="83"/>
    <x v="4"/>
    <s v="M"/>
    <s v="Red"/>
    <s v="Winter"/>
    <n v="4.5999999999999996"/>
    <s v="No"/>
    <s v="Free Shipping"/>
    <s v="Yes"/>
    <s v="Yes"/>
    <n v="39"/>
    <s v="PayPal"/>
    <s v="Quarterly"/>
    <s v="Quarterly"/>
    <n v="5"/>
  </r>
  <r>
    <x v="1177"/>
    <n v="54"/>
    <x v="0"/>
    <s v="Skirt"/>
    <x v="0"/>
    <n v="21"/>
    <x v="44"/>
    <s v="M"/>
    <s v="Black"/>
    <s v="Spring"/>
    <n v="4.8"/>
    <s v="No"/>
    <s v="Standard"/>
    <s v="Yes"/>
    <s v="Yes"/>
    <n v="24"/>
    <s v="Debit Card"/>
    <s v="Monthly"/>
    <s v="Monthly"/>
    <n v="4"/>
  </r>
  <r>
    <x v="1178"/>
    <n v="37"/>
    <x v="0"/>
    <s v="Dress"/>
    <x v="0"/>
    <n v="22"/>
    <x v="36"/>
    <s v="M"/>
    <s v="Teal"/>
    <s v="Spring"/>
    <n v="4.9000000000000004"/>
    <s v="No"/>
    <s v="Express"/>
    <s v="Yes"/>
    <s v="Yes"/>
    <n v="23"/>
    <s v="Debit Card"/>
    <s v="Annually"/>
    <s v="Annually"/>
    <n v="6"/>
  </r>
  <r>
    <x v="1179"/>
    <n v="20"/>
    <x v="0"/>
    <s v="T-shirt"/>
    <x v="0"/>
    <n v="33"/>
    <x v="27"/>
    <s v="M"/>
    <s v="Blue"/>
    <s v="Summer"/>
    <n v="2.8"/>
    <s v="No"/>
    <s v="Free Shipping"/>
    <s v="Yes"/>
    <s v="Yes"/>
    <n v="44"/>
    <s v="Bank Transfer"/>
    <s v="Annually"/>
    <s v="Annually"/>
    <n v="6"/>
  </r>
  <r>
    <x v="1180"/>
    <n v="23"/>
    <x v="0"/>
    <s v="Skirt"/>
    <x v="0"/>
    <n v="23"/>
    <x v="4"/>
    <s v="S"/>
    <s v="Beige"/>
    <s v="Spring"/>
    <n v="4.9000000000000004"/>
    <s v="No"/>
    <s v="Standard"/>
    <s v="Yes"/>
    <s v="Yes"/>
    <n v="34"/>
    <s v="Cash"/>
    <s v="Monthly"/>
    <s v="Monthly"/>
    <n v="4"/>
  </r>
  <r>
    <x v="1181"/>
    <n v="61"/>
    <x v="0"/>
    <s v="Shorts"/>
    <x v="0"/>
    <n v="96"/>
    <x v="14"/>
    <s v="L"/>
    <s v="Teal"/>
    <s v="Summer"/>
    <n v="3.5"/>
    <s v="No"/>
    <s v="Free Shipping"/>
    <s v="Yes"/>
    <s v="Yes"/>
    <n v="43"/>
    <s v="Bank Transfer"/>
    <s v="Quarterly"/>
    <s v="Quarterly"/>
    <n v="5"/>
  </r>
  <r>
    <x v="1182"/>
    <n v="37"/>
    <x v="0"/>
    <s v="Jewelry"/>
    <x v="3"/>
    <n v="21"/>
    <x v="35"/>
    <s v="M"/>
    <s v="Maroon"/>
    <s v="Spring"/>
    <n v="3.8"/>
    <s v="No"/>
    <s v="Express"/>
    <s v="Yes"/>
    <s v="Yes"/>
    <n v="45"/>
    <s v="PayPal"/>
    <s v="Quarterly"/>
    <s v="Quarterly"/>
    <n v="5"/>
  </r>
  <r>
    <x v="1183"/>
    <n v="23"/>
    <x v="0"/>
    <s v="Pants"/>
    <x v="0"/>
    <n v="39"/>
    <x v="7"/>
    <s v="M"/>
    <s v="Yellow"/>
    <s v="Spring"/>
    <n v="4.5"/>
    <s v="No"/>
    <s v="2-Day Shipping"/>
    <s v="Yes"/>
    <s v="Yes"/>
    <n v="4"/>
    <s v="Credit Card"/>
    <s v="Weekly"/>
    <s v="Weekly"/>
    <n v="1"/>
  </r>
  <r>
    <x v="1184"/>
    <n v="63"/>
    <x v="0"/>
    <s v="Belt"/>
    <x v="3"/>
    <n v="73"/>
    <x v="36"/>
    <s v="S"/>
    <s v="Indigo"/>
    <s v="Fall"/>
    <n v="3.4"/>
    <s v="No"/>
    <s v="Express"/>
    <s v="Yes"/>
    <s v="Yes"/>
    <n v="19"/>
    <s v="Credit Card"/>
    <s v="Annually"/>
    <s v="Annually"/>
    <n v="6"/>
  </r>
  <r>
    <x v="1185"/>
    <n v="47"/>
    <x v="0"/>
    <s v="Jeans"/>
    <x v="0"/>
    <n v="64"/>
    <x v="1"/>
    <s v="M"/>
    <s v="Magenta"/>
    <s v="Spring"/>
    <n v="3.9"/>
    <s v="No"/>
    <s v="Standard"/>
    <s v="Yes"/>
    <s v="Yes"/>
    <n v="29"/>
    <s v="Credit Card"/>
    <s v="Monthly"/>
    <s v="Monthly"/>
    <n v="4"/>
  </r>
  <r>
    <x v="1186"/>
    <n v="63"/>
    <x v="0"/>
    <s v="Jeans"/>
    <x v="0"/>
    <n v="68"/>
    <x v="27"/>
    <s v="M"/>
    <s v="Beige"/>
    <s v="Summer"/>
    <n v="4.0999999999999996"/>
    <s v="No"/>
    <s v="2-Day Shipping"/>
    <s v="Yes"/>
    <s v="Yes"/>
    <n v="27"/>
    <s v="Credit Card"/>
    <s v="Annually"/>
    <s v="Annually"/>
    <n v="6"/>
  </r>
  <r>
    <x v="1187"/>
    <n v="56"/>
    <x v="0"/>
    <s v="Hat"/>
    <x v="3"/>
    <n v="89"/>
    <x v="44"/>
    <s v="L"/>
    <s v="Maroon"/>
    <s v="Fall"/>
    <n v="3"/>
    <s v="No"/>
    <s v="Express"/>
    <s v="Yes"/>
    <s v="Yes"/>
    <n v="37"/>
    <s v="Credit Card"/>
    <s v="Every 3 Months"/>
    <s v="Quarterly"/>
    <n v="5"/>
  </r>
  <r>
    <x v="1188"/>
    <n v="68"/>
    <x v="0"/>
    <s v="Blouse"/>
    <x v="0"/>
    <n v="29"/>
    <x v="16"/>
    <s v="M"/>
    <s v="Magenta"/>
    <s v="Summer"/>
    <n v="3.3"/>
    <s v="No"/>
    <s v="Next Day Air"/>
    <s v="Yes"/>
    <s v="Yes"/>
    <n v="11"/>
    <s v="Credit Card"/>
    <s v="Weekly"/>
    <s v="Weekly"/>
    <n v="1"/>
  </r>
  <r>
    <x v="1189"/>
    <n v="64"/>
    <x v="0"/>
    <s v="Shirt"/>
    <x v="0"/>
    <n v="97"/>
    <x v="10"/>
    <s v="XL"/>
    <s v="Teal"/>
    <s v="Summer"/>
    <n v="4.9000000000000004"/>
    <s v="No"/>
    <s v="Free Shipping"/>
    <s v="Yes"/>
    <s v="Yes"/>
    <n v="28"/>
    <s v="Debit Card"/>
    <s v="Annually"/>
    <s v="Annually"/>
    <n v="6"/>
  </r>
  <r>
    <x v="1190"/>
    <n v="62"/>
    <x v="0"/>
    <s v="Shirt"/>
    <x v="0"/>
    <n v="45"/>
    <x v="36"/>
    <s v="M"/>
    <s v="Orange"/>
    <s v="Winter"/>
    <n v="4.3"/>
    <s v="No"/>
    <s v="Next Day Air"/>
    <s v="Yes"/>
    <s v="Yes"/>
    <n v="31"/>
    <s v="Credit Card"/>
    <s v="Weekly"/>
    <s v="Weekly"/>
    <n v="1"/>
  </r>
  <r>
    <x v="1191"/>
    <n v="34"/>
    <x v="0"/>
    <s v="T-shirt"/>
    <x v="0"/>
    <n v="70"/>
    <x v="27"/>
    <s v="L"/>
    <s v="Charcoal"/>
    <s v="Winter"/>
    <n v="4.0999999999999996"/>
    <s v="No"/>
    <s v="Free Shipping"/>
    <s v="Yes"/>
    <s v="Yes"/>
    <n v="50"/>
    <s v="Venmo"/>
    <s v="Quarterly"/>
    <s v="Quarterly"/>
    <n v="5"/>
  </r>
  <r>
    <x v="1192"/>
    <n v="49"/>
    <x v="0"/>
    <s v="Coat"/>
    <x v="2"/>
    <n v="56"/>
    <x v="20"/>
    <s v="M"/>
    <s v="Turquoise"/>
    <s v="Summer"/>
    <n v="4"/>
    <s v="No"/>
    <s v="2-Day Shipping"/>
    <s v="Yes"/>
    <s v="Yes"/>
    <n v="42"/>
    <s v="Venmo"/>
    <s v="Quarterly"/>
    <s v="Quarterly"/>
    <n v="5"/>
  </r>
  <r>
    <x v="1193"/>
    <n v="40"/>
    <x v="0"/>
    <s v="Jacket"/>
    <x v="2"/>
    <n v="55"/>
    <x v="29"/>
    <s v="L"/>
    <s v="Pink"/>
    <s v="Fall"/>
    <n v="5"/>
    <s v="No"/>
    <s v="2-Day Shipping"/>
    <s v="Yes"/>
    <s v="Yes"/>
    <n v="18"/>
    <s v="Credit Card"/>
    <s v="Fortnightly"/>
    <s v="Fortnightly"/>
    <n v="3"/>
  </r>
  <r>
    <x v="1194"/>
    <n v="50"/>
    <x v="0"/>
    <s v="Hoodie"/>
    <x v="0"/>
    <n v="46"/>
    <x v="14"/>
    <s v="S"/>
    <s v="Teal"/>
    <s v="Winter"/>
    <n v="3.1"/>
    <s v="No"/>
    <s v="2-Day Shipping"/>
    <s v="Yes"/>
    <s v="Yes"/>
    <n v="6"/>
    <s v="Credit Card"/>
    <s v="Fortnightly"/>
    <s v="Fortnightly"/>
    <n v="3"/>
  </r>
  <r>
    <x v="1195"/>
    <n v="25"/>
    <x v="0"/>
    <s v="Scarf"/>
    <x v="3"/>
    <n v="95"/>
    <x v="21"/>
    <s v="M"/>
    <s v="White"/>
    <s v="Winter"/>
    <n v="4"/>
    <s v="No"/>
    <s v="2-Day Shipping"/>
    <s v="Yes"/>
    <s v="Yes"/>
    <n v="33"/>
    <s v="Venmo"/>
    <s v="Monthly"/>
    <s v="Monthly"/>
    <n v="4"/>
  </r>
  <r>
    <x v="1196"/>
    <n v="30"/>
    <x v="0"/>
    <s v="Belt"/>
    <x v="3"/>
    <n v="88"/>
    <x v="25"/>
    <s v="M"/>
    <s v="Maroon"/>
    <s v="Winter"/>
    <n v="3.2"/>
    <s v="No"/>
    <s v="2-Day Shipping"/>
    <s v="Yes"/>
    <s v="Yes"/>
    <n v="13"/>
    <s v="Bank Transfer"/>
    <s v="Bi-Weekly"/>
    <s v="Bi-Weekly"/>
    <n v="2"/>
  </r>
  <r>
    <x v="1197"/>
    <n v="54"/>
    <x v="0"/>
    <s v="Sneakers"/>
    <x v="1"/>
    <n v="92"/>
    <x v="34"/>
    <s v="L"/>
    <s v="Violet"/>
    <s v="Fall"/>
    <n v="3.9"/>
    <s v="No"/>
    <s v="Standard"/>
    <s v="Yes"/>
    <s v="Yes"/>
    <n v="26"/>
    <s v="PayPal"/>
    <s v="Annually"/>
    <s v="Annually"/>
    <n v="6"/>
  </r>
  <r>
    <x v="1198"/>
    <n v="40"/>
    <x v="0"/>
    <s v="Socks"/>
    <x v="0"/>
    <n v="49"/>
    <x v="32"/>
    <s v="M"/>
    <s v="Brown"/>
    <s v="Summer"/>
    <n v="3.9"/>
    <s v="No"/>
    <s v="2-Day Shipping"/>
    <s v="Yes"/>
    <s v="Yes"/>
    <n v="17"/>
    <s v="Cash"/>
    <s v="Annually"/>
    <s v="Annually"/>
    <n v="6"/>
  </r>
  <r>
    <x v="1199"/>
    <n v="49"/>
    <x v="0"/>
    <s v="Sandals"/>
    <x v="1"/>
    <n v="89"/>
    <x v="33"/>
    <s v="M"/>
    <s v="Indigo"/>
    <s v="Fall"/>
    <n v="4.5"/>
    <s v="No"/>
    <s v="Free Shipping"/>
    <s v="Yes"/>
    <s v="Yes"/>
    <n v="3"/>
    <s v="Debit Card"/>
    <s v="Weekly"/>
    <s v="Weekly"/>
    <n v="1"/>
  </r>
  <r>
    <x v="1200"/>
    <n v="27"/>
    <x v="0"/>
    <s v="Coat"/>
    <x v="2"/>
    <n v="22"/>
    <x v="39"/>
    <s v="XL"/>
    <s v="Black"/>
    <s v="Winter"/>
    <n v="4.4000000000000004"/>
    <s v="No"/>
    <s v="Store Pickup"/>
    <s v="Yes"/>
    <s v="Yes"/>
    <n v="7"/>
    <s v="PayPal"/>
    <s v="Weekly"/>
    <s v="Weekly"/>
    <n v="1"/>
  </r>
  <r>
    <x v="1201"/>
    <n v="27"/>
    <x v="0"/>
    <s v="Shoes"/>
    <x v="1"/>
    <n v="61"/>
    <x v="26"/>
    <s v="XL"/>
    <s v="Black"/>
    <s v="Summer"/>
    <n v="3.1"/>
    <s v="No"/>
    <s v="2-Day Shipping"/>
    <s v="Yes"/>
    <s v="Yes"/>
    <n v="46"/>
    <s v="Venmo"/>
    <s v="Fortnightly"/>
    <s v="Fortnightly"/>
    <n v="3"/>
  </r>
  <r>
    <x v="1202"/>
    <n v="48"/>
    <x v="0"/>
    <s v="Scarf"/>
    <x v="3"/>
    <n v="29"/>
    <x v="33"/>
    <s v="S"/>
    <s v="Olive"/>
    <s v="Spring"/>
    <n v="2.9"/>
    <s v="No"/>
    <s v="Standard"/>
    <s v="Yes"/>
    <s v="Yes"/>
    <n v="14"/>
    <s v="Venmo"/>
    <s v="Every 3 Months"/>
    <s v="Quarterly"/>
    <n v="5"/>
  </r>
  <r>
    <x v="1203"/>
    <n v="40"/>
    <x v="0"/>
    <s v="Sneakers"/>
    <x v="1"/>
    <n v="82"/>
    <x v="46"/>
    <s v="M"/>
    <s v="Orange"/>
    <s v="Winter"/>
    <n v="3.7"/>
    <s v="No"/>
    <s v="Free Shipping"/>
    <s v="Yes"/>
    <s v="Yes"/>
    <n v="23"/>
    <s v="Bank Transfer"/>
    <s v="Annually"/>
    <s v="Annually"/>
    <n v="6"/>
  </r>
  <r>
    <x v="1204"/>
    <n v="67"/>
    <x v="0"/>
    <s v="Belt"/>
    <x v="3"/>
    <n v="94"/>
    <x v="20"/>
    <s v="M"/>
    <s v="Pink"/>
    <s v="Spring"/>
    <n v="3.2"/>
    <s v="No"/>
    <s v="2-Day Shipping"/>
    <s v="Yes"/>
    <s v="Yes"/>
    <n v="20"/>
    <s v="Credit Card"/>
    <s v="Every 3 Months"/>
    <s v="Quarterly"/>
    <n v="5"/>
  </r>
  <r>
    <x v="1205"/>
    <n v="52"/>
    <x v="0"/>
    <s v="Handbag"/>
    <x v="3"/>
    <n v="99"/>
    <x v="18"/>
    <s v="M"/>
    <s v="Olive"/>
    <s v="Spring"/>
    <n v="3.5"/>
    <s v="No"/>
    <s v="Standard"/>
    <s v="Yes"/>
    <s v="Yes"/>
    <n v="38"/>
    <s v="Bank Transfer"/>
    <s v="Fortnightly"/>
    <s v="Fortnightly"/>
    <n v="3"/>
  </r>
  <r>
    <x v="1206"/>
    <n v="22"/>
    <x v="0"/>
    <s v="Handbag"/>
    <x v="3"/>
    <n v="59"/>
    <x v="16"/>
    <s v="S"/>
    <s v="Cyan"/>
    <s v="Fall"/>
    <n v="3"/>
    <s v="No"/>
    <s v="Free Shipping"/>
    <s v="Yes"/>
    <s v="Yes"/>
    <n v="16"/>
    <s v="Venmo"/>
    <s v="Every 3 Months"/>
    <s v="Quarterly"/>
    <n v="5"/>
  </r>
  <r>
    <x v="1207"/>
    <n v="62"/>
    <x v="0"/>
    <s v="Boots"/>
    <x v="1"/>
    <n v="90"/>
    <x v="47"/>
    <s v="M"/>
    <s v="White"/>
    <s v="Summer"/>
    <n v="4.0999999999999996"/>
    <s v="No"/>
    <s v="Next Day Air"/>
    <s v="Yes"/>
    <s v="Yes"/>
    <n v="48"/>
    <s v="Credit Card"/>
    <s v="Every 3 Months"/>
    <s v="Quarterly"/>
    <n v="5"/>
  </r>
  <r>
    <x v="1208"/>
    <n v="20"/>
    <x v="0"/>
    <s v="Boots"/>
    <x v="1"/>
    <n v="100"/>
    <x v="48"/>
    <s v="S"/>
    <s v="Red"/>
    <s v="Winter"/>
    <n v="2.9"/>
    <s v="No"/>
    <s v="2-Day Shipping"/>
    <s v="Yes"/>
    <s v="Yes"/>
    <n v="8"/>
    <s v="Debit Card"/>
    <s v="Annually"/>
    <s v="Annually"/>
    <n v="6"/>
  </r>
  <r>
    <x v="1209"/>
    <n v="41"/>
    <x v="0"/>
    <s v="Pants"/>
    <x v="0"/>
    <n v="62"/>
    <x v="38"/>
    <s v="M"/>
    <s v="Blue"/>
    <s v="Winter"/>
    <n v="3.8"/>
    <s v="No"/>
    <s v="Next Day Air"/>
    <s v="Yes"/>
    <s v="Yes"/>
    <n v="16"/>
    <s v="Bank Transfer"/>
    <s v="Monthly"/>
    <s v="Monthly"/>
    <n v="4"/>
  </r>
  <r>
    <x v="1210"/>
    <n v="34"/>
    <x v="0"/>
    <s v="Sunglasses"/>
    <x v="3"/>
    <n v="78"/>
    <x v="9"/>
    <s v="M"/>
    <s v="Olive"/>
    <s v="Fall"/>
    <n v="4.0999999999999996"/>
    <s v="No"/>
    <s v="Next Day Air"/>
    <s v="Yes"/>
    <s v="Yes"/>
    <n v="5"/>
    <s v="Cash"/>
    <s v="Quarterly"/>
    <s v="Quarterly"/>
    <n v="5"/>
  </r>
  <r>
    <x v="1211"/>
    <n v="23"/>
    <x v="0"/>
    <s v="Hoodie"/>
    <x v="0"/>
    <n v="94"/>
    <x v="19"/>
    <s v="M"/>
    <s v="Green"/>
    <s v="Spring"/>
    <n v="4.5999999999999996"/>
    <s v="No"/>
    <s v="Store Pickup"/>
    <s v="Yes"/>
    <s v="Yes"/>
    <n v="14"/>
    <s v="Venmo"/>
    <s v="Every 3 Months"/>
    <s v="Quarterly"/>
    <n v="5"/>
  </r>
  <r>
    <x v="1212"/>
    <n v="32"/>
    <x v="0"/>
    <s v="Shoes"/>
    <x v="1"/>
    <n v="74"/>
    <x v="38"/>
    <s v="M"/>
    <s v="Yellow"/>
    <s v="Summer"/>
    <n v="2.5"/>
    <s v="No"/>
    <s v="Free Shipping"/>
    <s v="Yes"/>
    <s v="Yes"/>
    <n v="18"/>
    <s v="Credit Card"/>
    <s v="Weekly"/>
    <s v="Weekly"/>
    <n v="1"/>
  </r>
  <r>
    <x v="1213"/>
    <n v="68"/>
    <x v="0"/>
    <s v="Handbag"/>
    <x v="3"/>
    <n v="52"/>
    <x v="0"/>
    <s v="XL"/>
    <s v="Black"/>
    <s v="Spring"/>
    <n v="3.7"/>
    <s v="No"/>
    <s v="Express"/>
    <s v="Yes"/>
    <s v="Yes"/>
    <n v="14"/>
    <s v="Debit Card"/>
    <s v="Every 3 Months"/>
    <s v="Quarterly"/>
    <n v="5"/>
  </r>
  <r>
    <x v="1214"/>
    <n v="30"/>
    <x v="0"/>
    <s v="Jacket"/>
    <x v="2"/>
    <n v="81"/>
    <x v="34"/>
    <s v="M"/>
    <s v="Blue"/>
    <s v="Fall"/>
    <n v="3.8"/>
    <s v="No"/>
    <s v="Free Shipping"/>
    <s v="Yes"/>
    <s v="Yes"/>
    <n v="5"/>
    <s v="Cash"/>
    <s v="Every 3 Months"/>
    <s v="Quarterly"/>
    <n v="5"/>
  </r>
  <r>
    <x v="1215"/>
    <n v="66"/>
    <x v="0"/>
    <s v="Blouse"/>
    <x v="0"/>
    <n v="20"/>
    <x v="4"/>
    <s v="L"/>
    <s v="Pink"/>
    <s v="Winter"/>
    <n v="2.6"/>
    <s v="No"/>
    <s v="2-Day Shipping"/>
    <s v="Yes"/>
    <s v="Yes"/>
    <n v="15"/>
    <s v="Credit Card"/>
    <s v="Every 3 Months"/>
    <s v="Quarterly"/>
    <n v="5"/>
  </r>
  <r>
    <x v="1216"/>
    <n v="62"/>
    <x v="0"/>
    <s v="Pants"/>
    <x v="0"/>
    <n v="32"/>
    <x v="40"/>
    <s v="XL"/>
    <s v="Lavender"/>
    <s v="Summer"/>
    <n v="3.7"/>
    <s v="No"/>
    <s v="Free Shipping"/>
    <s v="Yes"/>
    <s v="Yes"/>
    <n v="3"/>
    <s v="Venmo"/>
    <s v="Every 3 Months"/>
    <s v="Quarterly"/>
    <n v="5"/>
  </r>
  <r>
    <x v="1217"/>
    <n v="50"/>
    <x v="0"/>
    <s v="Boots"/>
    <x v="1"/>
    <n v="63"/>
    <x v="43"/>
    <s v="XL"/>
    <s v="Cyan"/>
    <s v="Fall"/>
    <n v="2.6"/>
    <s v="No"/>
    <s v="Free Shipping"/>
    <s v="Yes"/>
    <s v="Yes"/>
    <n v="12"/>
    <s v="Cash"/>
    <s v="Every 3 Months"/>
    <s v="Quarterly"/>
    <n v="5"/>
  </r>
  <r>
    <x v="1218"/>
    <n v="55"/>
    <x v="0"/>
    <s v="Boots"/>
    <x v="1"/>
    <n v="79"/>
    <x v="38"/>
    <s v="M"/>
    <s v="Cyan"/>
    <s v="Spring"/>
    <n v="3.1"/>
    <s v="No"/>
    <s v="Store Pickup"/>
    <s v="Yes"/>
    <s v="Yes"/>
    <n v="43"/>
    <s v="Cash"/>
    <s v="Every 3 Months"/>
    <s v="Quarterly"/>
    <n v="5"/>
  </r>
  <r>
    <x v="1219"/>
    <n v="19"/>
    <x v="0"/>
    <s v="Sweater"/>
    <x v="0"/>
    <n v="23"/>
    <x v="34"/>
    <s v="M"/>
    <s v="Gold"/>
    <s v="Winter"/>
    <n v="2.5"/>
    <s v="No"/>
    <s v="Next Day Air"/>
    <s v="Yes"/>
    <s v="Yes"/>
    <n v="35"/>
    <s v="Credit Card"/>
    <s v="Bi-Weekly"/>
    <s v="Bi-Weekly"/>
    <n v="2"/>
  </r>
  <r>
    <x v="1220"/>
    <n v="67"/>
    <x v="0"/>
    <s v="Gloves"/>
    <x v="3"/>
    <n v="64"/>
    <x v="0"/>
    <s v="M"/>
    <s v="Green"/>
    <s v="Winter"/>
    <n v="4.9000000000000004"/>
    <s v="No"/>
    <s v="Express"/>
    <s v="Yes"/>
    <s v="Yes"/>
    <n v="36"/>
    <s v="Bank Transfer"/>
    <s v="Quarterly"/>
    <s v="Quarterly"/>
    <n v="5"/>
  </r>
  <r>
    <x v="1221"/>
    <n v="18"/>
    <x v="0"/>
    <s v="Socks"/>
    <x v="0"/>
    <n v="69"/>
    <x v="44"/>
    <s v="M"/>
    <s v="Red"/>
    <s v="Winter"/>
    <n v="4.5"/>
    <s v="No"/>
    <s v="Standard"/>
    <s v="Yes"/>
    <s v="Yes"/>
    <n v="3"/>
    <s v="Cash"/>
    <s v="Quarterly"/>
    <s v="Quarterly"/>
    <n v="5"/>
  </r>
  <r>
    <x v="1222"/>
    <n v="58"/>
    <x v="0"/>
    <s v="Jeans"/>
    <x v="0"/>
    <n v="69"/>
    <x v="27"/>
    <s v="L"/>
    <s v="Magenta"/>
    <s v="Fall"/>
    <n v="3.4"/>
    <s v="No"/>
    <s v="Store Pickup"/>
    <s v="Yes"/>
    <s v="Yes"/>
    <n v="27"/>
    <s v="Bank Transfer"/>
    <s v="Annually"/>
    <s v="Annually"/>
    <n v="6"/>
  </r>
  <r>
    <x v="1223"/>
    <n v="69"/>
    <x v="0"/>
    <s v="Pants"/>
    <x v="0"/>
    <n v="24"/>
    <x v="23"/>
    <s v="L"/>
    <s v="Red"/>
    <s v="Winter"/>
    <n v="3.9"/>
    <s v="No"/>
    <s v="Free Shipping"/>
    <s v="Yes"/>
    <s v="Yes"/>
    <n v="21"/>
    <s v="Bank Transfer"/>
    <s v="Weekly"/>
    <s v="Weekly"/>
    <n v="1"/>
  </r>
  <r>
    <x v="1224"/>
    <n v="62"/>
    <x v="0"/>
    <s v="Shorts"/>
    <x v="0"/>
    <n v="50"/>
    <x v="26"/>
    <s v="M"/>
    <s v="Yellow"/>
    <s v="Summer"/>
    <n v="3.7"/>
    <s v="No"/>
    <s v="Store Pickup"/>
    <s v="Yes"/>
    <s v="Yes"/>
    <n v="18"/>
    <s v="Venmo"/>
    <s v="Weekly"/>
    <s v="Weekly"/>
    <n v="1"/>
  </r>
  <r>
    <x v="1225"/>
    <n v="28"/>
    <x v="0"/>
    <s v="Gloves"/>
    <x v="3"/>
    <n v="97"/>
    <x v="17"/>
    <s v="S"/>
    <s v="Turquoise"/>
    <s v="Fall"/>
    <n v="2.6"/>
    <s v="No"/>
    <s v="Free Shipping"/>
    <s v="Yes"/>
    <s v="Yes"/>
    <n v="16"/>
    <s v="Debit Card"/>
    <s v="Weekly"/>
    <s v="Weekly"/>
    <n v="1"/>
  </r>
  <r>
    <x v="1226"/>
    <n v="53"/>
    <x v="0"/>
    <s v="Sandals"/>
    <x v="1"/>
    <n v="91"/>
    <x v="31"/>
    <s v="S"/>
    <s v="Cyan"/>
    <s v="Fall"/>
    <n v="3.4"/>
    <s v="No"/>
    <s v="Store Pickup"/>
    <s v="Yes"/>
    <s v="Yes"/>
    <n v="18"/>
    <s v="Venmo"/>
    <s v="Bi-Weekly"/>
    <s v="Bi-Weekly"/>
    <n v="2"/>
  </r>
  <r>
    <x v="1227"/>
    <n v="27"/>
    <x v="0"/>
    <s v="Blouse"/>
    <x v="0"/>
    <n v="37"/>
    <x v="26"/>
    <s v="L"/>
    <s v="Yellow"/>
    <s v="Spring"/>
    <n v="4.9000000000000004"/>
    <s v="No"/>
    <s v="Store Pickup"/>
    <s v="Yes"/>
    <s v="Yes"/>
    <n v="19"/>
    <s v="Bank Transfer"/>
    <s v="Bi-Weekly"/>
    <s v="Bi-Weekly"/>
    <n v="2"/>
  </r>
  <r>
    <x v="1228"/>
    <n v="55"/>
    <x v="0"/>
    <s v="Jacket"/>
    <x v="2"/>
    <n v="55"/>
    <x v="27"/>
    <s v="S"/>
    <s v="Yellow"/>
    <s v="Winter"/>
    <n v="3.9"/>
    <s v="No"/>
    <s v="Express"/>
    <s v="Yes"/>
    <s v="Yes"/>
    <n v="1"/>
    <s v="Cash"/>
    <s v="Annually"/>
    <s v="Annually"/>
    <n v="6"/>
  </r>
  <r>
    <x v="1229"/>
    <n v="34"/>
    <x v="0"/>
    <s v="Jewelry"/>
    <x v="3"/>
    <n v="52"/>
    <x v="23"/>
    <s v="XL"/>
    <s v="Maroon"/>
    <s v="Winter"/>
    <n v="3.6"/>
    <s v="No"/>
    <s v="Express"/>
    <s v="Yes"/>
    <s v="Yes"/>
    <n v="39"/>
    <s v="Bank Transfer"/>
    <s v="Annually"/>
    <s v="Annually"/>
    <n v="6"/>
  </r>
  <r>
    <x v="1230"/>
    <n v="25"/>
    <x v="0"/>
    <s v="Hat"/>
    <x v="3"/>
    <n v="80"/>
    <x v="26"/>
    <s v="L"/>
    <s v="Brown"/>
    <s v="Spring"/>
    <n v="4.5999999999999996"/>
    <s v="No"/>
    <s v="Standard"/>
    <s v="Yes"/>
    <s v="Yes"/>
    <n v="49"/>
    <s v="Venmo"/>
    <s v="Monthly"/>
    <s v="Monthly"/>
    <n v="4"/>
  </r>
  <r>
    <x v="1231"/>
    <n v="66"/>
    <x v="0"/>
    <s v="Socks"/>
    <x v="0"/>
    <n v="79"/>
    <x v="38"/>
    <s v="M"/>
    <s v="Gold"/>
    <s v="Spring"/>
    <n v="4"/>
    <s v="No"/>
    <s v="2-Day Shipping"/>
    <s v="Yes"/>
    <s v="Yes"/>
    <n v="43"/>
    <s v="Credit Card"/>
    <s v="Fortnightly"/>
    <s v="Fortnightly"/>
    <n v="3"/>
  </r>
  <r>
    <x v="1232"/>
    <n v="57"/>
    <x v="0"/>
    <s v="Handbag"/>
    <x v="3"/>
    <n v="23"/>
    <x v="14"/>
    <s v="M"/>
    <s v="Charcoal"/>
    <s v="Summer"/>
    <n v="3.6"/>
    <s v="No"/>
    <s v="Free Shipping"/>
    <s v="Yes"/>
    <s v="Yes"/>
    <n v="31"/>
    <s v="Debit Card"/>
    <s v="Every 3 Months"/>
    <s v="Quarterly"/>
    <n v="5"/>
  </r>
  <r>
    <x v="1233"/>
    <n v="46"/>
    <x v="0"/>
    <s v="Pants"/>
    <x v="0"/>
    <n v="73"/>
    <x v="40"/>
    <s v="L"/>
    <s v="Beige"/>
    <s v="Winter"/>
    <n v="3.5"/>
    <s v="No"/>
    <s v="Next Day Air"/>
    <s v="Yes"/>
    <s v="Yes"/>
    <n v="40"/>
    <s v="Venmo"/>
    <s v="Every 3 Months"/>
    <s v="Quarterly"/>
    <n v="5"/>
  </r>
  <r>
    <x v="1234"/>
    <n v="38"/>
    <x v="0"/>
    <s v="Gloves"/>
    <x v="3"/>
    <n v="99"/>
    <x v="32"/>
    <s v="M"/>
    <s v="Indigo"/>
    <s v="Fall"/>
    <n v="4.0999999999999996"/>
    <s v="No"/>
    <s v="Store Pickup"/>
    <s v="Yes"/>
    <s v="Yes"/>
    <n v="2"/>
    <s v="Bank Transfer"/>
    <s v="Bi-Weekly"/>
    <s v="Bi-Weekly"/>
    <n v="2"/>
  </r>
  <r>
    <x v="1235"/>
    <n v="23"/>
    <x v="0"/>
    <s v="Sweater"/>
    <x v="0"/>
    <n v="22"/>
    <x v="37"/>
    <s v="M"/>
    <s v="Red"/>
    <s v="Spring"/>
    <n v="3"/>
    <s v="No"/>
    <s v="Store Pickup"/>
    <s v="Yes"/>
    <s v="Yes"/>
    <n v="46"/>
    <s v="PayPal"/>
    <s v="Every 3 Months"/>
    <s v="Quarterly"/>
    <n v="5"/>
  </r>
  <r>
    <x v="1236"/>
    <n v="42"/>
    <x v="0"/>
    <s v="Hat"/>
    <x v="3"/>
    <n v="68"/>
    <x v="35"/>
    <s v="M"/>
    <s v="White"/>
    <s v="Summer"/>
    <n v="4.4000000000000004"/>
    <s v="No"/>
    <s v="Store Pickup"/>
    <s v="Yes"/>
    <s v="Yes"/>
    <n v="35"/>
    <s v="Debit Card"/>
    <s v="Every 3 Months"/>
    <s v="Quarterly"/>
    <n v="5"/>
  </r>
  <r>
    <x v="1237"/>
    <n v="25"/>
    <x v="0"/>
    <s v="Dress"/>
    <x v="0"/>
    <n v="92"/>
    <x v="49"/>
    <s v="S"/>
    <s v="Charcoal"/>
    <s v="Spring"/>
    <n v="4.4000000000000004"/>
    <s v="No"/>
    <s v="2-Day Shipping"/>
    <s v="Yes"/>
    <s v="Yes"/>
    <n v="42"/>
    <s v="Credit Card"/>
    <s v="Quarterly"/>
    <s v="Quarterly"/>
    <n v="5"/>
  </r>
  <r>
    <x v="1238"/>
    <n v="55"/>
    <x v="0"/>
    <s v="Pants"/>
    <x v="0"/>
    <n v="77"/>
    <x v="5"/>
    <s v="M"/>
    <s v="Violet"/>
    <s v="Winter"/>
    <n v="3.7"/>
    <s v="No"/>
    <s v="Express"/>
    <s v="Yes"/>
    <s v="Yes"/>
    <n v="3"/>
    <s v="Venmo"/>
    <s v="Fortnightly"/>
    <s v="Fortnightly"/>
    <n v="3"/>
  </r>
  <r>
    <x v="1239"/>
    <n v="62"/>
    <x v="0"/>
    <s v="Coat"/>
    <x v="2"/>
    <n v="37"/>
    <x v="32"/>
    <s v="XL"/>
    <s v="Magenta"/>
    <s v="Spring"/>
    <n v="4.8"/>
    <s v="No"/>
    <s v="Standard"/>
    <s v="Yes"/>
    <s v="Yes"/>
    <n v="32"/>
    <s v="Debit Card"/>
    <s v="Every 3 Months"/>
    <s v="Quarterly"/>
    <n v="5"/>
  </r>
  <r>
    <x v="1240"/>
    <n v="41"/>
    <x v="0"/>
    <s v="Scarf"/>
    <x v="3"/>
    <n v="79"/>
    <x v="32"/>
    <s v="L"/>
    <s v="White"/>
    <s v="Winter"/>
    <n v="2.9"/>
    <s v="No"/>
    <s v="Store Pickup"/>
    <s v="Yes"/>
    <s v="Yes"/>
    <n v="48"/>
    <s v="Debit Card"/>
    <s v="Annually"/>
    <s v="Annually"/>
    <n v="6"/>
  </r>
  <r>
    <x v="1241"/>
    <n v="58"/>
    <x v="0"/>
    <s v="Hoodie"/>
    <x v="0"/>
    <n v="51"/>
    <x v="11"/>
    <s v="XL"/>
    <s v="Pink"/>
    <s v="Winter"/>
    <n v="3.1"/>
    <s v="No"/>
    <s v="Express"/>
    <s v="Yes"/>
    <s v="Yes"/>
    <n v="34"/>
    <s v="Credit Card"/>
    <s v="Weekly"/>
    <s v="Weekly"/>
    <n v="1"/>
  </r>
  <r>
    <x v="1242"/>
    <n v="56"/>
    <x v="0"/>
    <s v="Socks"/>
    <x v="0"/>
    <n v="27"/>
    <x v="22"/>
    <s v="M"/>
    <s v="Lavender"/>
    <s v="Summer"/>
    <n v="4"/>
    <s v="No"/>
    <s v="Next Day Air"/>
    <s v="Yes"/>
    <s v="Yes"/>
    <n v="15"/>
    <s v="Bank Transfer"/>
    <s v="Quarterly"/>
    <s v="Quarterly"/>
    <n v="5"/>
  </r>
  <r>
    <x v="1243"/>
    <n v="25"/>
    <x v="0"/>
    <s v="Blouse"/>
    <x v="0"/>
    <n v="23"/>
    <x v="13"/>
    <s v="S"/>
    <s v="Pink"/>
    <s v="Spring"/>
    <n v="3"/>
    <s v="No"/>
    <s v="Store Pickup"/>
    <s v="Yes"/>
    <s v="Yes"/>
    <n v="22"/>
    <s v="Debit Card"/>
    <s v="Annually"/>
    <s v="Annually"/>
    <n v="6"/>
  </r>
  <r>
    <x v="1244"/>
    <n v="70"/>
    <x v="0"/>
    <s v="Socks"/>
    <x v="0"/>
    <n v="76"/>
    <x v="27"/>
    <s v="S"/>
    <s v="Silver"/>
    <s v="Summer"/>
    <n v="3.9"/>
    <s v="No"/>
    <s v="2-Day Shipping"/>
    <s v="Yes"/>
    <s v="Yes"/>
    <n v="2"/>
    <s v="Cash"/>
    <s v="Monthly"/>
    <s v="Monthly"/>
    <n v="4"/>
  </r>
  <r>
    <x v="1245"/>
    <n v="42"/>
    <x v="0"/>
    <s v="Dress"/>
    <x v="0"/>
    <n v="31"/>
    <x v="14"/>
    <s v="M"/>
    <s v="Violet"/>
    <s v="Fall"/>
    <n v="3.4"/>
    <s v="No"/>
    <s v="Standard"/>
    <s v="Yes"/>
    <s v="Yes"/>
    <n v="30"/>
    <s v="Bank Transfer"/>
    <s v="Weekly"/>
    <s v="Weekly"/>
    <n v="1"/>
  </r>
  <r>
    <x v="1246"/>
    <n v="27"/>
    <x v="0"/>
    <s v="Hoodie"/>
    <x v="0"/>
    <n v="60"/>
    <x v="7"/>
    <s v="M"/>
    <s v="Charcoal"/>
    <s v="Winter"/>
    <n v="2.7"/>
    <s v="No"/>
    <s v="Standard"/>
    <s v="Yes"/>
    <s v="Yes"/>
    <n v="27"/>
    <s v="Cash"/>
    <s v="Monthly"/>
    <s v="Monthly"/>
    <n v="4"/>
  </r>
  <r>
    <x v="1247"/>
    <n v="65"/>
    <x v="0"/>
    <s v="T-shirt"/>
    <x v="0"/>
    <n v="99"/>
    <x v="41"/>
    <s v="M"/>
    <s v="Charcoal"/>
    <s v="Spring"/>
    <n v="3.5"/>
    <s v="No"/>
    <s v="Express"/>
    <s v="Yes"/>
    <s v="Yes"/>
    <n v="18"/>
    <s v="Venmo"/>
    <s v="Bi-Weekly"/>
    <s v="Bi-Weekly"/>
    <n v="2"/>
  </r>
  <r>
    <x v="1248"/>
    <n v="62"/>
    <x v="0"/>
    <s v="Hat"/>
    <x v="3"/>
    <n v="37"/>
    <x v="48"/>
    <s v="XL"/>
    <s v="Red"/>
    <s v="Winter"/>
    <n v="3"/>
    <s v="No"/>
    <s v="Free Shipping"/>
    <s v="Yes"/>
    <s v="Yes"/>
    <n v="8"/>
    <s v="Credit Card"/>
    <s v="Annually"/>
    <s v="Annually"/>
    <n v="6"/>
  </r>
  <r>
    <x v="1249"/>
    <n v="62"/>
    <x v="0"/>
    <s v="Boots"/>
    <x v="1"/>
    <n v="50"/>
    <x v="4"/>
    <s v="M"/>
    <s v="Peach"/>
    <s v="Winter"/>
    <n v="4.5"/>
    <s v="No"/>
    <s v="Express"/>
    <s v="Yes"/>
    <s v="Yes"/>
    <n v="48"/>
    <s v="Venmo"/>
    <s v="Fortnightly"/>
    <s v="Fortnightly"/>
    <n v="3"/>
  </r>
  <r>
    <x v="1250"/>
    <n v="52"/>
    <x v="0"/>
    <s v="Jeans"/>
    <x v="0"/>
    <n v="26"/>
    <x v="13"/>
    <s v="XL"/>
    <s v="Purple"/>
    <s v="Winter"/>
    <n v="4.0999999999999996"/>
    <s v="No"/>
    <s v="Free Shipping"/>
    <s v="Yes"/>
    <s v="Yes"/>
    <n v="24"/>
    <s v="Cash"/>
    <s v="Monthly"/>
    <s v="Monthly"/>
    <n v="4"/>
  </r>
  <r>
    <x v="1251"/>
    <n v="56"/>
    <x v="0"/>
    <s v="Shorts"/>
    <x v="0"/>
    <n v="86"/>
    <x v="27"/>
    <s v="XL"/>
    <s v="Orange"/>
    <s v="Spring"/>
    <n v="5"/>
    <s v="No"/>
    <s v="Next Day Air"/>
    <s v="Yes"/>
    <s v="Yes"/>
    <n v="43"/>
    <s v="Credit Card"/>
    <s v="Monthly"/>
    <s v="Monthly"/>
    <n v="4"/>
  </r>
  <r>
    <x v="1252"/>
    <n v="28"/>
    <x v="0"/>
    <s v="Sandals"/>
    <x v="1"/>
    <n v="41"/>
    <x v="2"/>
    <s v="L"/>
    <s v="Magenta"/>
    <s v="Fall"/>
    <n v="4"/>
    <s v="No"/>
    <s v="Standard"/>
    <s v="Yes"/>
    <s v="Yes"/>
    <n v="8"/>
    <s v="Cash"/>
    <s v="Quarterly"/>
    <s v="Quarterly"/>
    <n v="5"/>
  </r>
  <r>
    <x v="1253"/>
    <n v="39"/>
    <x v="0"/>
    <s v="Sandals"/>
    <x v="1"/>
    <n v="23"/>
    <x v="6"/>
    <s v="XL"/>
    <s v="Red"/>
    <s v="Winter"/>
    <n v="4.9000000000000004"/>
    <s v="No"/>
    <s v="Express"/>
    <s v="Yes"/>
    <s v="Yes"/>
    <n v="49"/>
    <s v="PayPal"/>
    <s v="Annually"/>
    <s v="Annually"/>
    <n v="6"/>
  </r>
  <r>
    <x v="1254"/>
    <n v="54"/>
    <x v="0"/>
    <s v="Sneakers"/>
    <x v="1"/>
    <n v="56"/>
    <x v="18"/>
    <s v="XL"/>
    <s v="Black"/>
    <s v="Spring"/>
    <n v="3.3"/>
    <s v="No"/>
    <s v="2-Day Shipping"/>
    <s v="Yes"/>
    <s v="Yes"/>
    <n v="2"/>
    <s v="Credit Card"/>
    <s v="Bi-Weekly"/>
    <s v="Bi-Weekly"/>
    <n v="2"/>
  </r>
  <r>
    <x v="1255"/>
    <n v="30"/>
    <x v="0"/>
    <s v="Hat"/>
    <x v="3"/>
    <n v="68"/>
    <x v="27"/>
    <s v="M"/>
    <s v="Peach"/>
    <s v="Fall"/>
    <n v="4.0999999999999996"/>
    <s v="No"/>
    <s v="Standard"/>
    <s v="Yes"/>
    <s v="Yes"/>
    <n v="38"/>
    <s v="Cash"/>
    <s v="Fortnightly"/>
    <s v="Fortnightly"/>
    <n v="3"/>
  </r>
  <r>
    <x v="1256"/>
    <n v="45"/>
    <x v="0"/>
    <s v="Coat"/>
    <x v="2"/>
    <n v="48"/>
    <x v="8"/>
    <s v="S"/>
    <s v="Olive"/>
    <s v="Winter"/>
    <n v="3.6"/>
    <s v="No"/>
    <s v="Express"/>
    <s v="Yes"/>
    <s v="Yes"/>
    <n v="4"/>
    <s v="Cash"/>
    <s v="Fortnightly"/>
    <s v="Fortnightly"/>
    <n v="3"/>
  </r>
  <r>
    <x v="1257"/>
    <n v="68"/>
    <x v="0"/>
    <s v="Dress"/>
    <x v="0"/>
    <n v="67"/>
    <x v="46"/>
    <s v="L"/>
    <s v="Gold"/>
    <s v="Spring"/>
    <n v="3"/>
    <s v="No"/>
    <s v="Free Shipping"/>
    <s v="Yes"/>
    <s v="Yes"/>
    <n v="31"/>
    <s v="Cash"/>
    <s v="Every 3 Months"/>
    <s v="Quarterly"/>
    <n v="5"/>
  </r>
  <r>
    <x v="1258"/>
    <n v="47"/>
    <x v="0"/>
    <s v="Boots"/>
    <x v="1"/>
    <n v="87"/>
    <x v="31"/>
    <s v="XL"/>
    <s v="Gold"/>
    <s v="Spring"/>
    <n v="4.0999999999999996"/>
    <s v="No"/>
    <s v="2-Day Shipping"/>
    <s v="Yes"/>
    <s v="Yes"/>
    <n v="34"/>
    <s v="Debit Card"/>
    <s v="Every 3 Months"/>
    <s v="Quarterly"/>
    <n v="5"/>
  </r>
  <r>
    <x v="1259"/>
    <n v="68"/>
    <x v="0"/>
    <s v="Skirt"/>
    <x v="0"/>
    <n v="64"/>
    <x v="46"/>
    <s v="M"/>
    <s v="Turquoise"/>
    <s v="Fall"/>
    <n v="3.9"/>
    <s v="No"/>
    <s v="Standard"/>
    <s v="Yes"/>
    <s v="Yes"/>
    <n v="45"/>
    <s v="Credit Card"/>
    <s v="Monthly"/>
    <s v="Monthly"/>
    <n v="4"/>
  </r>
  <r>
    <x v="1260"/>
    <n v="63"/>
    <x v="0"/>
    <s v="Shirt"/>
    <x v="0"/>
    <n v="93"/>
    <x v="41"/>
    <s v="XL"/>
    <s v="Green"/>
    <s v="Spring"/>
    <n v="4.0999999999999996"/>
    <s v="No"/>
    <s v="Store Pickup"/>
    <s v="Yes"/>
    <s v="Yes"/>
    <n v="30"/>
    <s v="Debit Card"/>
    <s v="Quarterly"/>
    <s v="Quarterly"/>
    <n v="5"/>
  </r>
  <r>
    <x v="1261"/>
    <n v="20"/>
    <x v="0"/>
    <s v="Shirt"/>
    <x v="0"/>
    <n v="29"/>
    <x v="39"/>
    <s v="L"/>
    <s v="Maroon"/>
    <s v="Summer"/>
    <n v="2.8"/>
    <s v="No"/>
    <s v="Next Day Air"/>
    <s v="Yes"/>
    <s v="Yes"/>
    <n v="2"/>
    <s v="Credit Card"/>
    <s v="Fortnightly"/>
    <s v="Fortnightly"/>
    <n v="3"/>
  </r>
  <r>
    <x v="1262"/>
    <n v="29"/>
    <x v="0"/>
    <s v="Boots"/>
    <x v="1"/>
    <n v="62"/>
    <x v="30"/>
    <s v="L"/>
    <s v="Brown"/>
    <s v="Winter"/>
    <n v="4.8"/>
    <s v="No"/>
    <s v="Store Pickup"/>
    <s v="Yes"/>
    <s v="Yes"/>
    <n v="44"/>
    <s v="Venmo"/>
    <s v="Monthly"/>
    <s v="Monthly"/>
    <n v="4"/>
  </r>
  <r>
    <x v="1263"/>
    <n v="41"/>
    <x v="0"/>
    <s v="Hoodie"/>
    <x v="0"/>
    <n v="70"/>
    <x v="12"/>
    <s v="L"/>
    <s v="Brown"/>
    <s v="Winter"/>
    <n v="4.5999999999999996"/>
    <s v="No"/>
    <s v="2-Day Shipping"/>
    <s v="Yes"/>
    <s v="Yes"/>
    <n v="1"/>
    <s v="Credit Card"/>
    <s v="Bi-Weekly"/>
    <s v="Bi-Weekly"/>
    <n v="2"/>
  </r>
  <r>
    <x v="1264"/>
    <n v="52"/>
    <x v="0"/>
    <s v="Sweater"/>
    <x v="0"/>
    <n v="92"/>
    <x v="34"/>
    <s v="S"/>
    <s v="Blue"/>
    <s v="Winter"/>
    <n v="2.5"/>
    <s v="No"/>
    <s v="Next Day Air"/>
    <s v="Yes"/>
    <s v="Yes"/>
    <n v="1"/>
    <s v="Venmo"/>
    <s v="Bi-Weekly"/>
    <s v="Bi-Weekly"/>
    <n v="2"/>
  </r>
  <r>
    <x v="1265"/>
    <n v="32"/>
    <x v="0"/>
    <s v="Shirt"/>
    <x v="0"/>
    <n v="79"/>
    <x v="7"/>
    <s v="M"/>
    <s v="Lavender"/>
    <s v="Spring"/>
    <n v="2.7"/>
    <s v="No"/>
    <s v="Next Day Air"/>
    <s v="Yes"/>
    <s v="Yes"/>
    <n v="27"/>
    <s v="Bank Transfer"/>
    <s v="Weekly"/>
    <s v="Weekly"/>
    <n v="1"/>
  </r>
  <r>
    <x v="1266"/>
    <n v="20"/>
    <x v="0"/>
    <s v="Blouse"/>
    <x v="0"/>
    <n v="31"/>
    <x v="25"/>
    <s v="M"/>
    <s v="Peach"/>
    <s v="Fall"/>
    <n v="4"/>
    <s v="No"/>
    <s v="Standard"/>
    <s v="Yes"/>
    <s v="Yes"/>
    <n v="14"/>
    <s v="Debit Card"/>
    <s v="Every 3 Months"/>
    <s v="Quarterly"/>
    <n v="5"/>
  </r>
  <r>
    <x v="1267"/>
    <n v="47"/>
    <x v="0"/>
    <s v="T-shirt"/>
    <x v="0"/>
    <n v="83"/>
    <x v="4"/>
    <s v="S"/>
    <s v="Gray"/>
    <s v="Spring"/>
    <n v="2.7"/>
    <s v="No"/>
    <s v="Standard"/>
    <s v="Yes"/>
    <s v="Yes"/>
    <n v="41"/>
    <s v="Cash"/>
    <s v="Weekly"/>
    <s v="Weekly"/>
    <n v="1"/>
  </r>
  <r>
    <x v="1268"/>
    <n v="23"/>
    <x v="0"/>
    <s v="Jacket"/>
    <x v="2"/>
    <n v="88"/>
    <x v="37"/>
    <s v="XL"/>
    <s v="Charcoal"/>
    <s v="Winter"/>
    <n v="2.9"/>
    <s v="No"/>
    <s v="Next Day Air"/>
    <s v="Yes"/>
    <s v="Yes"/>
    <n v="25"/>
    <s v="Debit Card"/>
    <s v="Bi-Weekly"/>
    <s v="Bi-Weekly"/>
    <n v="2"/>
  </r>
  <r>
    <x v="1269"/>
    <n v="43"/>
    <x v="0"/>
    <s v="Jewelry"/>
    <x v="3"/>
    <n v="53"/>
    <x v="34"/>
    <s v="M"/>
    <s v="Lavender"/>
    <s v="Spring"/>
    <n v="3"/>
    <s v="No"/>
    <s v="Standard"/>
    <s v="Yes"/>
    <s v="Yes"/>
    <n v="47"/>
    <s v="PayPal"/>
    <s v="Quarterly"/>
    <s v="Quarterly"/>
    <n v="5"/>
  </r>
  <r>
    <x v="1270"/>
    <n v="67"/>
    <x v="0"/>
    <s v="Hoodie"/>
    <x v="0"/>
    <n v="98"/>
    <x v="8"/>
    <s v="M"/>
    <s v="Green"/>
    <s v="Fall"/>
    <n v="3.3"/>
    <s v="No"/>
    <s v="Standard"/>
    <s v="Yes"/>
    <s v="Yes"/>
    <n v="20"/>
    <s v="Cash"/>
    <s v="Annually"/>
    <s v="Annually"/>
    <n v="6"/>
  </r>
  <r>
    <x v="1271"/>
    <n v="70"/>
    <x v="0"/>
    <s v="Jewelry"/>
    <x v="3"/>
    <n v="57"/>
    <x v="0"/>
    <s v="S"/>
    <s v="Gray"/>
    <s v="Spring"/>
    <n v="4.3"/>
    <s v="No"/>
    <s v="Store Pickup"/>
    <s v="Yes"/>
    <s v="Yes"/>
    <n v="42"/>
    <s v="PayPal"/>
    <s v="Annually"/>
    <s v="Annually"/>
    <n v="6"/>
  </r>
  <r>
    <x v="1272"/>
    <n v="35"/>
    <x v="0"/>
    <s v="Sandals"/>
    <x v="1"/>
    <n v="80"/>
    <x v="48"/>
    <s v="M"/>
    <s v="Orange"/>
    <s v="Winter"/>
    <n v="4.4000000000000004"/>
    <s v="No"/>
    <s v="Express"/>
    <s v="Yes"/>
    <s v="Yes"/>
    <n v="16"/>
    <s v="Bank Transfer"/>
    <s v="Monthly"/>
    <s v="Monthly"/>
    <n v="4"/>
  </r>
  <r>
    <x v="1273"/>
    <n v="41"/>
    <x v="0"/>
    <s v="Jeans"/>
    <x v="0"/>
    <n v="29"/>
    <x v="16"/>
    <s v="L"/>
    <s v="Silver"/>
    <s v="Spring"/>
    <n v="4.0999999999999996"/>
    <s v="No"/>
    <s v="Next Day Air"/>
    <s v="Yes"/>
    <s v="Yes"/>
    <n v="32"/>
    <s v="Credit Card"/>
    <s v="Every 3 Months"/>
    <s v="Quarterly"/>
    <n v="5"/>
  </r>
  <r>
    <x v="1274"/>
    <n v="54"/>
    <x v="0"/>
    <s v="Hat"/>
    <x v="3"/>
    <n v="73"/>
    <x v="9"/>
    <s v="M"/>
    <s v="Olive"/>
    <s v="Spring"/>
    <n v="3.1"/>
    <s v="No"/>
    <s v="2-Day Shipping"/>
    <s v="Yes"/>
    <s v="Yes"/>
    <n v="37"/>
    <s v="PayPal"/>
    <s v="Quarterly"/>
    <s v="Quarterly"/>
    <n v="5"/>
  </r>
  <r>
    <x v="1275"/>
    <n v="55"/>
    <x v="0"/>
    <s v="Sweater"/>
    <x v="0"/>
    <n v="32"/>
    <x v="10"/>
    <s v="S"/>
    <s v="Turquoise"/>
    <s v="Fall"/>
    <n v="4.5"/>
    <s v="No"/>
    <s v="Standard"/>
    <s v="Yes"/>
    <s v="Yes"/>
    <n v="1"/>
    <s v="PayPal"/>
    <s v="Monthly"/>
    <s v="Monthly"/>
    <n v="4"/>
  </r>
  <r>
    <x v="1276"/>
    <n v="51"/>
    <x v="0"/>
    <s v="Boots"/>
    <x v="1"/>
    <n v="68"/>
    <x v="5"/>
    <s v="L"/>
    <s v="Turquoise"/>
    <s v="Spring"/>
    <n v="4.8"/>
    <s v="No"/>
    <s v="Next Day Air"/>
    <s v="Yes"/>
    <s v="Yes"/>
    <n v="37"/>
    <s v="Bank Transfer"/>
    <s v="Weekly"/>
    <s v="Weekly"/>
    <n v="1"/>
  </r>
  <r>
    <x v="1277"/>
    <n v="19"/>
    <x v="0"/>
    <s v="Blouse"/>
    <x v="0"/>
    <n v="97"/>
    <x v="3"/>
    <s v="L"/>
    <s v="Green"/>
    <s v="Spring"/>
    <n v="5"/>
    <s v="No"/>
    <s v="Express"/>
    <s v="Yes"/>
    <s v="Yes"/>
    <n v="5"/>
    <s v="Venmo"/>
    <s v="Quarterly"/>
    <s v="Quarterly"/>
    <n v="5"/>
  </r>
  <r>
    <x v="1278"/>
    <n v="28"/>
    <x v="0"/>
    <s v="Shorts"/>
    <x v="0"/>
    <n v="98"/>
    <x v="40"/>
    <s v="M"/>
    <s v="Violet"/>
    <s v="Fall"/>
    <n v="2.8"/>
    <s v="No"/>
    <s v="Next Day Air"/>
    <s v="Yes"/>
    <s v="Yes"/>
    <n v="31"/>
    <s v="Venmo"/>
    <s v="Fortnightly"/>
    <s v="Fortnightly"/>
    <n v="3"/>
  </r>
  <r>
    <x v="1279"/>
    <n v="63"/>
    <x v="0"/>
    <s v="Hoodie"/>
    <x v="0"/>
    <n v="56"/>
    <x v="33"/>
    <s v="L"/>
    <s v="Charcoal"/>
    <s v="Fall"/>
    <n v="3.7"/>
    <s v="No"/>
    <s v="Express"/>
    <s v="Yes"/>
    <s v="Yes"/>
    <n v="18"/>
    <s v="Debit Card"/>
    <s v="Annually"/>
    <s v="Annually"/>
    <n v="6"/>
  </r>
  <r>
    <x v="1280"/>
    <n v="30"/>
    <x v="0"/>
    <s v="Pants"/>
    <x v="0"/>
    <n v="78"/>
    <x v="42"/>
    <s v="L"/>
    <s v="White"/>
    <s v="Winter"/>
    <n v="4.4000000000000004"/>
    <s v="No"/>
    <s v="2-Day Shipping"/>
    <s v="Yes"/>
    <s v="Yes"/>
    <n v="39"/>
    <s v="Venmo"/>
    <s v="Every 3 Months"/>
    <s v="Quarterly"/>
    <n v="5"/>
  </r>
  <r>
    <x v="1281"/>
    <n v="29"/>
    <x v="0"/>
    <s v="Belt"/>
    <x v="3"/>
    <n v="81"/>
    <x v="32"/>
    <s v="M"/>
    <s v="Olive"/>
    <s v="Spring"/>
    <n v="4.5"/>
    <s v="No"/>
    <s v="Store Pickup"/>
    <s v="Yes"/>
    <s v="Yes"/>
    <n v="8"/>
    <s v="Venmo"/>
    <s v="Bi-Weekly"/>
    <s v="Bi-Weekly"/>
    <n v="2"/>
  </r>
  <r>
    <x v="1282"/>
    <n v="24"/>
    <x v="0"/>
    <s v="Shirt"/>
    <x v="0"/>
    <n v="68"/>
    <x v="13"/>
    <s v="L"/>
    <s v="Violet"/>
    <s v="Winter"/>
    <n v="3"/>
    <s v="No"/>
    <s v="Free Shipping"/>
    <s v="Yes"/>
    <s v="Yes"/>
    <n v="20"/>
    <s v="Venmo"/>
    <s v="Monthly"/>
    <s v="Monthly"/>
    <n v="4"/>
  </r>
  <r>
    <x v="1283"/>
    <n v="69"/>
    <x v="0"/>
    <s v="Shirt"/>
    <x v="0"/>
    <n v="94"/>
    <x v="4"/>
    <s v="M"/>
    <s v="Violet"/>
    <s v="Winter"/>
    <n v="3.9"/>
    <s v="No"/>
    <s v="2-Day Shipping"/>
    <s v="Yes"/>
    <s v="Yes"/>
    <n v="23"/>
    <s v="Debit Card"/>
    <s v="Every 3 Months"/>
    <s v="Quarterly"/>
    <n v="5"/>
  </r>
  <r>
    <x v="1284"/>
    <n v="65"/>
    <x v="0"/>
    <s v="Dress"/>
    <x v="0"/>
    <n v="93"/>
    <x v="10"/>
    <s v="M"/>
    <s v="Black"/>
    <s v="Spring"/>
    <n v="3.9"/>
    <s v="No"/>
    <s v="Express"/>
    <s v="Yes"/>
    <s v="Yes"/>
    <n v="38"/>
    <s v="PayPal"/>
    <s v="Fortnightly"/>
    <s v="Fortnightly"/>
    <n v="3"/>
  </r>
  <r>
    <x v="1285"/>
    <n v="64"/>
    <x v="0"/>
    <s v="Gloves"/>
    <x v="3"/>
    <n v="99"/>
    <x v="17"/>
    <s v="M"/>
    <s v="Charcoal"/>
    <s v="Fall"/>
    <n v="3.5"/>
    <s v="No"/>
    <s v="Next Day Air"/>
    <s v="Yes"/>
    <s v="Yes"/>
    <n v="45"/>
    <s v="Bank Transfer"/>
    <s v="Fortnightly"/>
    <s v="Fortnightly"/>
    <n v="3"/>
  </r>
  <r>
    <x v="1286"/>
    <n v="40"/>
    <x v="0"/>
    <s v="Gloves"/>
    <x v="3"/>
    <n v="49"/>
    <x v="8"/>
    <s v="L"/>
    <s v="Yellow"/>
    <s v="Winter"/>
    <n v="4.9000000000000004"/>
    <s v="No"/>
    <s v="Next Day Air"/>
    <s v="Yes"/>
    <s v="Yes"/>
    <n v="44"/>
    <s v="Debit Card"/>
    <s v="Fortnightly"/>
    <s v="Fortnightly"/>
    <n v="3"/>
  </r>
  <r>
    <x v="1287"/>
    <n v="24"/>
    <x v="0"/>
    <s v="Jeans"/>
    <x v="0"/>
    <n v="28"/>
    <x v="40"/>
    <s v="XL"/>
    <s v="Blue"/>
    <s v="Winter"/>
    <n v="3.4"/>
    <s v="No"/>
    <s v="Standard"/>
    <s v="Yes"/>
    <s v="Yes"/>
    <n v="20"/>
    <s v="PayPal"/>
    <s v="Monthly"/>
    <s v="Monthly"/>
    <n v="4"/>
  </r>
  <r>
    <x v="1288"/>
    <n v="66"/>
    <x v="0"/>
    <s v="Belt"/>
    <x v="3"/>
    <n v="93"/>
    <x v="45"/>
    <s v="XL"/>
    <s v="Charcoal"/>
    <s v="Winter"/>
    <n v="4.0999999999999996"/>
    <s v="No"/>
    <s v="Standard"/>
    <s v="Yes"/>
    <s v="Yes"/>
    <n v="34"/>
    <s v="PayPal"/>
    <s v="Bi-Weekly"/>
    <s v="Bi-Weekly"/>
    <n v="2"/>
  </r>
  <r>
    <x v="1289"/>
    <n v="35"/>
    <x v="0"/>
    <s v="Jacket"/>
    <x v="2"/>
    <n v="24"/>
    <x v="13"/>
    <s v="M"/>
    <s v="Red"/>
    <s v="Fall"/>
    <n v="2.9"/>
    <s v="No"/>
    <s v="Next Day Air"/>
    <s v="Yes"/>
    <s v="Yes"/>
    <n v="10"/>
    <s v="PayPal"/>
    <s v="Weekly"/>
    <s v="Weekly"/>
    <n v="1"/>
  </r>
  <r>
    <x v="1290"/>
    <n v="67"/>
    <x v="0"/>
    <s v="Skirt"/>
    <x v="0"/>
    <n v="35"/>
    <x v="33"/>
    <s v="M"/>
    <s v="Indigo"/>
    <s v="Spring"/>
    <n v="3.4"/>
    <s v="No"/>
    <s v="Free Shipping"/>
    <s v="Yes"/>
    <s v="Yes"/>
    <n v="3"/>
    <s v="PayPal"/>
    <s v="Annually"/>
    <s v="Annually"/>
    <n v="6"/>
  </r>
  <r>
    <x v="1291"/>
    <n v="69"/>
    <x v="0"/>
    <s v="Sandals"/>
    <x v="1"/>
    <n v="68"/>
    <x v="45"/>
    <s v="S"/>
    <s v="Beige"/>
    <s v="Spring"/>
    <n v="3.2"/>
    <s v="No"/>
    <s v="2-Day Shipping"/>
    <s v="Yes"/>
    <s v="Yes"/>
    <n v="23"/>
    <s v="Debit Card"/>
    <s v="Fortnightly"/>
    <s v="Fortnightly"/>
    <n v="3"/>
  </r>
  <r>
    <x v="1292"/>
    <n v="26"/>
    <x v="0"/>
    <s v="Belt"/>
    <x v="3"/>
    <n v="61"/>
    <x v="0"/>
    <s v="M"/>
    <s v="Maroon"/>
    <s v="Summer"/>
    <n v="3.9"/>
    <s v="No"/>
    <s v="Free Shipping"/>
    <s v="Yes"/>
    <s v="Yes"/>
    <n v="42"/>
    <s v="Bank Transfer"/>
    <s v="Annually"/>
    <s v="Annually"/>
    <n v="6"/>
  </r>
  <r>
    <x v="1293"/>
    <n v="23"/>
    <x v="0"/>
    <s v="Sweater"/>
    <x v="0"/>
    <n v="74"/>
    <x v="20"/>
    <s v="XL"/>
    <s v="Yellow"/>
    <s v="Fall"/>
    <n v="4.0999999999999996"/>
    <s v="No"/>
    <s v="Standard"/>
    <s v="Yes"/>
    <s v="Yes"/>
    <n v="30"/>
    <s v="Debit Card"/>
    <s v="Annually"/>
    <s v="Annually"/>
    <n v="6"/>
  </r>
  <r>
    <x v="1294"/>
    <n v="27"/>
    <x v="0"/>
    <s v="Shirt"/>
    <x v="0"/>
    <n v="64"/>
    <x v="21"/>
    <s v="M"/>
    <s v="Silver"/>
    <s v="Summer"/>
    <n v="4.5"/>
    <s v="No"/>
    <s v="Standard"/>
    <s v="Yes"/>
    <s v="Yes"/>
    <n v="21"/>
    <s v="Cash"/>
    <s v="Every 3 Months"/>
    <s v="Quarterly"/>
    <n v="5"/>
  </r>
  <r>
    <x v="1295"/>
    <n v="30"/>
    <x v="0"/>
    <s v="Sneakers"/>
    <x v="1"/>
    <n v="60"/>
    <x v="35"/>
    <s v="M"/>
    <s v="Olive"/>
    <s v="Fall"/>
    <n v="2.8"/>
    <s v="No"/>
    <s v="Standard"/>
    <s v="Yes"/>
    <s v="Yes"/>
    <n v="50"/>
    <s v="PayPal"/>
    <s v="Weekly"/>
    <s v="Weekly"/>
    <n v="1"/>
  </r>
  <r>
    <x v="1296"/>
    <n v="48"/>
    <x v="0"/>
    <s v="Jeans"/>
    <x v="0"/>
    <n v="29"/>
    <x v="45"/>
    <s v="S"/>
    <s v="Teal"/>
    <s v="Spring"/>
    <n v="2.8"/>
    <s v="No"/>
    <s v="Express"/>
    <s v="Yes"/>
    <s v="Yes"/>
    <n v="16"/>
    <s v="Cash"/>
    <s v="Bi-Weekly"/>
    <s v="Bi-Weekly"/>
    <n v="2"/>
  </r>
  <r>
    <x v="1297"/>
    <n v="44"/>
    <x v="0"/>
    <s v="Sandals"/>
    <x v="1"/>
    <n v="85"/>
    <x v="32"/>
    <s v="M"/>
    <s v="Silver"/>
    <s v="Summer"/>
    <n v="4.5999999999999996"/>
    <s v="No"/>
    <s v="Standard"/>
    <s v="Yes"/>
    <s v="Yes"/>
    <n v="32"/>
    <s v="Venmo"/>
    <s v="Annually"/>
    <s v="Annually"/>
    <n v="6"/>
  </r>
  <r>
    <x v="1298"/>
    <n v="29"/>
    <x v="0"/>
    <s v="Pants"/>
    <x v="0"/>
    <n v="81"/>
    <x v="27"/>
    <s v="S"/>
    <s v="Indigo"/>
    <s v="Summer"/>
    <n v="3"/>
    <s v="No"/>
    <s v="Free Shipping"/>
    <s v="Yes"/>
    <s v="Yes"/>
    <n v="14"/>
    <s v="Bank Transfer"/>
    <s v="Fortnightly"/>
    <s v="Fortnightly"/>
    <n v="3"/>
  </r>
  <r>
    <x v="1299"/>
    <n v="29"/>
    <x v="0"/>
    <s v="Belt"/>
    <x v="3"/>
    <n v="23"/>
    <x v="7"/>
    <s v="L"/>
    <s v="Teal"/>
    <s v="Fall"/>
    <n v="3.6"/>
    <s v="No"/>
    <s v="2-Day Shipping"/>
    <s v="Yes"/>
    <s v="Yes"/>
    <n v="42"/>
    <s v="Venmo"/>
    <s v="Bi-Weekly"/>
    <s v="Bi-Weekly"/>
    <n v="2"/>
  </r>
  <r>
    <x v="1300"/>
    <n v="67"/>
    <x v="0"/>
    <s v="T-shirt"/>
    <x v="0"/>
    <n v="100"/>
    <x v="8"/>
    <s v="M"/>
    <s v="Charcoal"/>
    <s v="Spring"/>
    <n v="4.5"/>
    <s v="No"/>
    <s v="Next Day Air"/>
    <s v="Yes"/>
    <s v="Yes"/>
    <n v="47"/>
    <s v="Credit Card"/>
    <s v="Every 3 Months"/>
    <s v="Quarterly"/>
    <n v="5"/>
  </r>
  <r>
    <x v="1301"/>
    <n v="42"/>
    <x v="0"/>
    <s v="Shirt"/>
    <x v="0"/>
    <n v="54"/>
    <x v="1"/>
    <s v="M"/>
    <s v="Orange"/>
    <s v="Fall"/>
    <n v="5"/>
    <s v="No"/>
    <s v="Express"/>
    <s v="Yes"/>
    <s v="Yes"/>
    <n v="21"/>
    <s v="Debit Card"/>
    <s v="Weekly"/>
    <s v="Weekly"/>
    <n v="1"/>
  </r>
  <r>
    <x v="1302"/>
    <n v="23"/>
    <x v="0"/>
    <s v="Sneakers"/>
    <x v="1"/>
    <n v="25"/>
    <x v="37"/>
    <s v="M"/>
    <s v="Gold"/>
    <s v="Fall"/>
    <n v="2.9"/>
    <s v="No"/>
    <s v="Next Day Air"/>
    <s v="Yes"/>
    <s v="Yes"/>
    <n v="37"/>
    <s v="Credit Card"/>
    <s v="Monthly"/>
    <s v="Monthly"/>
    <n v="4"/>
  </r>
  <r>
    <x v="1303"/>
    <n v="34"/>
    <x v="0"/>
    <s v="Blouse"/>
    <x v="0"/>
    <n v="32"/>
    <x v="14"/>
    <s v="L"/>
    <s v="Silver"/>
    <s v="Summer"/>
    <n v="3.1"/>
    <s v="No"/>
    <s v="Next Day Air"/>
    <s v="Yes"/>
    <s v="Yes"/>
    <n v="10"/>
    <s v="Credit Card"/>
    <s v="Annually"/>
    <s v="Annually"/>
    <n v="6"/>
  </r>
  <r>
    <x v="1304"/>
    <n v="64"/>
    <x v="0"/>
    <s v="Backpack"/>
    <x v="3"/>
    <n v="63"/>
    <x v="6"/>
    <s v="S"/>
    <s v="Orange"/>
    <s v="Spring"/>
    <n v="4"/>
    <s v="No"/>
    <s v="2-Day Shipping"/>
    <s v="Yes"/>
    <s v="Yes"/>
    <n v="18"/>
    <s v="PayPal"/>
    <s v="Every 3 Months"/>
    <s v="Quarterly"/>
    <n v="5"/>
  </r>
  <r>
    <x v="1305"/>
    <n v="31"/>
    <x v="0"/>
    <s v="Pants"/>
    <x v="0"/>
    <n v="56"/>
    <x v="16"/>
    <s v="XL"/>
    <s v="Peach"/>
    <s v="Spring"/>
    <n v="4.5"/>
    <s v="No"/>
    <s v="Express"/>
    <s v="Yes"/>
    <s v="Yes"/>
    <n v="2"/>
    <s v="PayPal"/>
    <s v="Every 3 Months"/>
    <s v="Quarterly"/>
    <n v="5"/>
  </r>
  <r>
    <x v="1306"/>
    <n v="54"/>
    <x v="0"/>
    <s v="Sweater"/>
    <x v="0"/>
    <n v="33"/>
    <x v="29"/>
    <s v="L"/>
    <s v="Brown"/>
    <s v="Winter"/>
    <n v="4.5"/>
    <s v="No"/>
    <s v="Next Day Air"/>
    <s v="Yes"/>
    <s v="Yes"/>
    <n v="40"/>
    <s v="PayPal"/>
    <s v="Annually"/>
    <s v="Annually"/>
    <n v="6"/>
  </r>
  <r>
    <x v="1307"/>
    <n v="23"/>
    <x v="0"/>
    <s v="Coat"/>
    <x v="2"/>
    <n v="32"/>
    <x v="9"/>
    <s v="L"/>
    <s v="Black"/>
    <s v="Summer"/>
    <n v="3.1"/>
    <s v="No"/>
    <s v="Express"/>
    <s v="Yes"/>
    <s v="Yes"/>
    <n v="43"/>
    <s v="PayPal"/>
    <s v="Annually"/>
    <s v="Annually"/>
    <n v="6"/>
  </r>
  <r>
    <x v="1308"/>
    <n v="59"/>
    <x v="0"/>
    <s v="Dress"/>
    <x v="0"/>
    <n v="38"/>
    <x v="3"/>
    <s v="L"/>
    <s v="Red"/>
    <s v="Summer"/>
    <n v="4.4000000000000004"/>
    <s v="No"/>
    <s v="Next Day Air"/>
    <s v="Yes"/>
    <s v="Yes"/>
    <n v="14"/>
    <s v="Credit Card"/>
    <s v="Every 3 Months"/>
    <s v="Quarterly"/>
    <n v="5"/>
  </r>
  <r>
    <x v="1309"/>
    <n v="32"/>
    <x v="0"/>
    <s v="Blouse"/>
    <x v="0"/>
    <n v="21"/>
    <x v="11"/>
    <s v="L"/>
    <s v="Lavender"/>
    <s v="Summer"/>
    <n v="4.7"/>
    <s v="No"/>
    <s v="Store Pickup"/>
    <s v="Yes"/>
    <s v="Yes"/>
    <n v="41"/>
    <s v="Cash"/>
    <s v="Quarterly"/>
    <s v="Quarterly"/>
    <n v="5"/>
  </r>
  <r>
    <x v="1310"/>
    <n v="43"/>
    <x v="0"/>
    <s v="Hoodie"/>
    <x v="0"/>
    <n v="59"/>
    <x v="36"/>
    <s v="L"/>
    <s v="Brown"/>
    <s v="Winter"/>
    <n v="3.1"/>
    <s v="No"/>
    <s v="Store Pickup"/>
    <s v="Yes"/>
    <s v="Yes"/>
    <n v="38"/>
    <s v="Credit Card"/>
    <s v="Every 3 Months"/>
    <s v="Quarterly"/>
    <n v="5"/>
  </r>
  <r>
    <x v="1311"/>
    <n v="32"/>
    <x v="0"/>
    <s v="Shoes"/>
    <x v="1"/>
    <n v="87"/>
    <x v="30"/>
    <s v="M"/>
    <s v="Maroon"/>
    <s v="Fall"/>
    <n v="4.2"/>
    <s v="No"/>
    <s v="Express"/>
    <s v="Yes"/>
    <s v="Yes"/>
    <n v="12"/>
    <s v="Venmo"/>
    <s v="Annually"/>
    <s v="Annually"/>
    <n v="6"/>
  </r>
  <r>
    <x v="1312"/>
    <n v="66"/>
    <x v="0"/>
    <s v="T-shirt"/>
    <x v="0"/>
    <n v="79"/>
    <x v="9"/>
    <s v="M"/>
    <s v="Violet"/>
    <s v="Winter"/>
    <n v="3"/>
    <s v="No"/>
    <s v="Store Pickup"/>
    <s v="Yes"/>
    <s v="Yes"/>
    <n v="19"/>
    <s v="Bank Transfer"/>
    <s v="Monthly"/>
    <s v="Monthly"/>
    <n v="4"/>
  </r>
  <r>
    <x v="1313"/>
    <n v="70"/>
    <x v="0"/>
    <s v="Shoes"/>
    <x v="1"/>
    <n v="28"/>
    <x v="9"/>
    <s v="M"/>
    <s v="Lavender"/>
    <s v="Summer"/>
    <n v="2.6"/>
    <s v="No"/>
    <s v="Free Shipping"/>
    <s v="Yes"/>
    <s v="Yes"/>
    <n v="23"/>
    <s v="Credit Card"/>
    <s v="Bi-Weekly"/>
    <s v="Bi-Weekly"/>
    <n v="2"/>
  </r>
  <r>
    <x v="1314"/>
    <n v="42"/>
    <x v="0"/>
    <s v="Boots"/>
    <x v="1"/>
    <n v="67"/>
    <x v="9"/>
    <s v="S"/>
    <s v="Magenta"/>
    <s v="Summer"/>
    <n v="3.4"/>
    <s v="No"/>
    <s v="Free Shipping"/>
    <s v="Yes"/>
    <s v="Yes"/>
    <n v="49"/>
    <s v="Debit Card"/>
    <s v="Annually"/>
    <s v="Annually"/>
    <n v="6"/>
  </r>
  <r>
    <x v="1315"/>
    <n v="56"/>
    <x v="0"/>
    <s v="Shorts"/>
    <x v="0"/>
    <n v="75"/>
    <x v="16"/>
    <s v="L"/>
    <s v="Green"/>
    <s v="Spring"/>
    <n v="4.2"/>
    <s v="No"/>
    <s v="2-Day Shipping"/>
    <s v="Yes"/>
    <s v="Yes"/>
    <n v="29"/>
    <s v="Debit Card"/>
    <s v="Quarterly"/>
    <s v="Quarterly"/>
    <n v="5"/>
  </r>
  <r>
    <x v="1316"/>
    <n v="28"/>
    <x v="0"/>
    <s v="Belt"/>
    <x v="3"/>
    <n v="32"/>
    <x v="10"/>
    <s v="S"/>
    <s v="Lavender"/>
    <s v="Spring"/>
    <n v="4.5999999999999996"/>
    <s v="No"/>
    <s v="Standard"/>
    <s v="Yes"/>
    <s v="Yes"/>
    <n v="14"/>
    <s v="Debit Card"/>
    <s v="Bi-Weekly"/>
    <s v="Bi-Weekly"/>
    <n v="2"/>
  </r>
  <r>
    <x v="1317"/>
    <n v="28"/>
    <x v="0"/>
    <s v="Pants"/>
    <x v="0"/>
    <n v="43"/>
    <x v="0"/>
    <s v="M"/>
    <s v="Green"/>
    <s v="Spring"/>
    <n v="2.8"/>
    <s v="No"/>
    <s v="Free Shipping"/>
    <s v="Yes"/>
    <s v="Yes"/>
    <n v="19"/>
    <s v="Cash"/>
    <s v="Monthly"/>
    <s v="Monthly"/>
    <n v="4"/>
  </r>
  <r>
    <x v="1318"/>
    <n v="52"/>
    <x v="0"/>
    <s v="Shorts"/>
    <x v="0"/>
    <n v="93"/>
    <x v="39"/>
    <s v="M"/>
    <s v="Maroon"/>
    <s v="Spring"/>
    <n v="2.7"/>
    <s v="No"/>
    <s v="Express"/>
    <s v="Yes"/>
    <s v="Yes"/>
    <n v="19"/>
    <s v="Credit Card"/>
    <s v="Bi-Weekly"/>
    <s v="Bi-Weekly"/>
    <n v="2"/>
  </r>
  <r>
    <x v="1319"/>
    <n v="65"/>
    <x v="0"/>
    <s v="Sunglasses"/>
    <x v="3"/>
    <n v="24"/>
    <x v="19"/>
    <s v="M"/>
    <s v="Magenta"/>
    <s v="Spring"/>
    <n v="4"/>
    <s v="No"/>
    <s v="Standard"/>
    <s v="Yes"/>
    <s v="Yes"/>
    <n v="48"/>
    <s v="Bank Transfer"/>
    <s v="Weekly"/>
    <s v="Weekly"/>
    <n v="1"/>
  </r>
  <r>
    <x v="1320"/>
    <n v="56"/>
    <x v="0"/>
    <s v="Hat"/>
    <x v="3"/>
    <n v="31"/>
    <x v="18"/>
    <s v="XL"/>
    <s v="Teal"/>
    <s v="Fall"/>
    <n v="3.1"/>
    <s v="No"/>
    <s v="Free Shipping"/>
    <s v="Yes"/>
    <s v="Yes"/>
    <n v="19"/>
    <s v="Debit Card"/>
    <s v="Annually"/>
    <s v="Annually"/>
    <n v="6"/>
  </r>
  <r>
    <x v="1321"/>
    <n v="59"/>
    <x v="0"/>
    <s v="T-shirt"/>
    <x v="0"/>
    <n v="84"/>
    <x v="9"/>
    <s v="L"/>
    <s v="Orange"/>
    <s v="Winter"/>
    <n v="3.7"/>
    <s v="No"/>
    <s v="Express"/>
    <s v="Yes"/>
    <s v="Yes"/>
    <n v="45"/>
    <s v="Bank Transfer"/>
    <s v="Every 3 Months"/>
    <s v="Quarterly"/>
    <n v="5"/>
  </r>
  <r>
    <x v="1322"/>
    <n v="23"/>
    <x v="0"/>
    <s v="Pants"/>
    <x v="0"/>
    <n v="74"/>
    <x v="47"/>
    <s v="M"/>
    <s v="Violet"/>
    <s v="Winter"/>
    <n v="4"/>
    <s v="No"/>
    <s v="Next Day Air"/>
    <s v="Yes"/>
    <s v="Yes"/>
    <n v="17"/>
    <s v="Bank Transfer"/>
    <s v="Quarterly"/>
    <s v="Quarterly"/>
    <n v="5"/>
  </r>
  <r>
    <x v="1323"/>
    <n v="58"/>
    <x v="0"/>
    <s v="Shorts"/>
    <x v="0"/>
    <n v="62"/>
    <x v="14"/>
    <s v="M"/>
    <s v="Yellow"/>
    <s v="Spring"/>
    <n v="4.5999999999999996"/>
    <s v="No"/>
    <s v="Standard"/>
    <s v="Yes"/>
    <s v="Yes"/>
    <n v="15"/>
    <s v="Debit Card"/>
    <s v="Every 3 Months"/>
    <s v="Quarterly"/>
    <n v="5"/>
  </r>
  <r>
    <x v="1324"/>
    <n v="39"/>
    <x v="0"/>
    <s v="Jewelry"/>
    <x v="3"/>
    <n v="77"/>
    <x v="27"/>
    <s v="S"/>
    <s v="Orange"/>
    <s v="Summer"/>
    <n v="3.8"/>
    <s v="No"/>
    <s v="Free Shipping"/>
    <s v="Yes"/>
    <s v="Yes"/>
    <n v="11"/>
    <s v="Credit Card"/>
    <s v="Fortnightly"/>
    <s v="Fortnightly"/>
    <n v="3"/>
  </r>
  <r>
    <x v="1325"/>
    <n v="28"/>
    <x v="0"/>
    <s v="Backpack"/>
    <x v="3"/>
    <n v="73"/>
    <x v="4"/>
    <s v="L"/>
    <s v="Gold"/>
    <s v="Summer"/>
    <n v="3.5"/>
    <s v="No"/>
    <s v="Express"/>
    <s v="Yes"/>
    <s v="Yes"/>
    <n v="1"/>
    <s v="Cash"/>
    <s v="Monthly"/>
    <s v="Monthly"/>
    <n v="4"/>
  </r>
  <r>
    <x v="1326"/>
    <n v="40"/>
    <x v="0"/>
    <s v="Shoes"/>
    <x v="1"/>
    <n v="50"/>
    <x v="21"/>
    <s v="M"/>
    <s v="Indigo"/>
    <s v="Spring"/>
    <n v="4.5999999999999996"/>
    <s v="No"/>
    <s v="Free Shipping"/>
    <s v="Yes"/>
    <s v="Yes"/>
    <n v="17"/>
    <s v="Cash"/>
    <s v="Monthly"/>
    <s v="Monthly"/>
    <n v="4"/>
  </r>
  <r>
    <x v="1327"/>
    <n v="52"/>
    <x v="0"/>
    <s v="Coat"/>
    <x v="2"/>
    <n v="40"/>
    <x v="20"/>
    <s v="M"/>
    <s v="Turquoise"/>
    <s v="Winter"/>
    <n v="2.8"/>
    <s v="No"/>
    <s v="Standard"/>
    <s v="Yes"/>
    <s v="Yes"/>
    <n v="37"/>
    <s v="Cash"/>
    <s v="Weekly"/>
    <s v="Weekly"/>
    <n v="1"/>
  </r>
  <r>
    <x v="1328"/>
    <n v="37"/>
    <x v="0"/>
    <s v="Sweater"/>
    <x v="0"/>
    <n v="97"/>
    <x v="3"/>
    <s v="M"/>
    <s v="Orange"/>
    <s v="Winter"/>
    <n v="3.7"/>
    <s v="No"/>
    <s v="Standard"/>
    <s v="Yes"/>
    <s v="Yes"/>
    <n v="40"/>
    <s v="Bank Transfer"/>
    <s v="Weekly"/>
    <s v="Weekly"/>
    <n v="1"/>
  </r>
  <r>
    <x v="1329"/>
    <n v="70"/>
    <x v="0"/>
    <s v="Gloves"/>
    <x v="3"/>
    <n v="63"/>
    <x v="21"/>
    <s v="M"/>
    <s v="Indigo"/>
    <s v="Fall"/>
    <n v="3.3"/>
    <s v="No"/>
    <s v="Express"/>
    <s v="Yes"/>
    <s v="Yes"/>
    <n v="50"/>
    <s v="PayPal"/>
    <s v="Every 3 Months"/>
    <s v="Quarterly"/>
    <n v="5"/>
  </r>
  <r>
    <x v="1330"/>
    <n v="30"/>
    <x v="0"/>
    <s v="Handbag"/>
    <x v="3"/>
    <n v="65"/>
    <x v="34"/>
    <s v="M"/>
    <s v="Charcoal"/>
    <s v="Fall"/>
    <n v="2.9"/>
    <s v="No"/>
    <s v="Standard"/>
    <s v="Yes"/>
    <s v="Yes"/>
    <n v="20"/>
    <s v="PayPal"/>
    <s v="Bi-Weekly"/>
    <s v="Bi-Weekly"/>
    <n v="2"/>
  </r>
  <r>
    <x v="1331"/>
    <n v="38"/>
    <x v="0"/>
    <s v="Socks"/>
    <x v="0"/>
    <n v="91"/>
    <x v="33"/>
    <s v="M"/>
    <s v="Lavender"/>
    <s v="Spring"/>
    <n v="3.2"/>
    <s v="No"/>
    <s v="Standard"/>
    <s v="Yes"/>
    <s v="Yes"/>
    <n v="8"/>
    <s v="PayPal"/>
    <s v="Bi-Weekly"/>
    <s v="Bi-Weekly"/>
    <n v="2"/>
  </r>
  <r>
    <x v="1332"/>
    <n v="66"/>
    <x v="0"/>
    <s v="Hoodie"/>
    <x v="0"/>
    <n v="60"/>
    <x v="29"/>
    <s v="S"/>
    <s v="Gold"/>
    <s v="Spring"/>
    <n v="4.3"/>
    <s v="No"/>
    <s v="Store Pickup"/>
    <s v="Yes"/>
    <s v="Yes"/>
    <n v="16"/>
    <s v="Bank Transfer"/>
    <s v="Quarterly"/>
    <s v="Quarterly"/>
    <n v="5"/>
  </r>
  <r>
    <x v="1333"/>
    <n v="29"/>
    <x v="0"/>
    <s v="Pants"/>
    <x v="0"/>
    <n v="69"/>
    <x v="37"/>
    <s v="M"/>
    <s v="Lavender"/>
    <s v="Winter"/>
    <n v="2.7"/>
    <s v="No"/>
    <s v="Next Day Air"/>
    <s v="Yes"/>
    <s v="Yes"/>
    <n v="9"/>
    <s v="Bank Transfer"/>
    <s v="Quarterly"/>
    <s v="Quarterly"/>
    <n v="5"/>
  </r>
  <r>
    <x v="1334"/>
    <n v="46"/>
    <x v="0"/>
    <s v="Coat"/>
    <x v="2"/>
    <n v="52"/>
    <x v="8"/>
    <s v="S"/>
    <s v="White"/>
    <s v="Spring"/>
    <n v="4.2"/>
    <s v="No"/>
    <s v="Store Pickup"/>
    <s v="Yes"/>
    <s v="Yes"/>
    <n v="12"/>
    <s v="Venmo"/>
    <s v="Monthly"/>
    <s v="Monthly"/>
    <n v="4"/>
  </r>
  <r>
    <x v="1335"/>
    <n v="56"/>
    <x v="0"/>
    <s v="Boots"/>
    <x v="1"/>
    <n v="49"/>
    <x v="22"/>
    <s v="M"/>
    <s v="Lavender"/>
    <s v="Fall"/>
    <n v="4.8"/>
    <s v="No"/>
    <s v="2-Day Shipping"/>
    <s v="Yes"/>
    <s v="Yes"/>
    <n v="26"/>
    <s v="Credit Card"/>
    <s v="Weekly"/>
    <s v="Weekly"/>
    <n v="1"/>
  </r>
  <r>
    <x v="1336"/>
    <n v="23"/>
    <x v="0"/>
    <s v="Sneakers"/>
    <x v="1"/>
    <n v="85"/>
    <x v="4"/>
    <s v="M"/>
    <s v="Charcoal"/>
    <s v="Spring"/>
    <n v="4.8"/>
    <s v="No"/>
    <s v="Store Pickup"/>
    <s v="Yes"/>
    <s v="Yes"/>
    <n v="44"/>
    <s v="Debit Card"/>
    <s v="Fortnightly"/>
    <s v="Fortnightly"/>
    <n v="3"/>
  </r>
  <r>
    <x v="1337"/>
    <n v="37"/>
    <x v="0"/>
    <s v="Sweater"/>
    <x v="0"/>
    <n v="86"/>
    <x v="30"/>
    <s v="L"/>
    <s v="Silver"/>
    <s v="Spring"/>
    <n v="3.4"/>
    <s v="No"/>
    <s v="Express"/>
    <s v="Yes"/>
    <s v="Yes"/>
    <n v="19"/>
    <s v="Credit Card"/>
    <s v="Bi-Weekly"/>
    <s v="Bi-Weekly"/>
    <n v="2"/>
  </r>
  <r>
    <x v="1338"/>
    <n v="56"/>
    <x v="0"/>
    <s v="Handbag"/>
    <x v="3"/>
    <n v="51"/>
    <x v="15"/>
    <s v="S"/>
    <s v="Yellow"/>
    <s v="Winter"/>
    <n v="2.6"/>
    <s v="No"/>
    <s v="Standard"/>
    <s v="Yes"/>
    <s v="Yes"/>
    <n v="43"/>
    <s v="PayPal"/>
    <s v="Fortnightly"/>
    <s v="Fortnightly"/>
    <n v="3"/>
  </r>
  <r>
    <x v="1339"/>
    <n v="36"/>
    <x v="0"/>
    <s v="Belt"/>
    <x v="3"/>
    <n v="56"/>
    <x v="27"/>
    <s v="L"/>
    <s v="Olive"/>
    <s v="Winter"/>
    <n v="5"/>
    <s v="No"/>
    <s v="Next Day Air"/>
    <s v="Yes"/>
    <s v="Yes"/>
    <n v="5"/>
    <s v="Bank Transfer"/>
    <s v="Every 3 Months"/>
    <s v="Quarterly"/>
    <n v="5"/>
  </r>
  <r>
    <x v="1340"/>
    <n v="40"/>
    <x v="0"/>
    <s v="Belt"/>
    <x v="3"/>
    <n v="72"/>
    <x v="37"/>
    <s v="M"/>
    <s v="Peach"/>
    <s v="Fall"/>
    <n v="4.4000000000000004"/>
    <s v="No"/>
    <s v="Next Day Air"/>
    <s v="Yes"/>
    <s v="Yes"/>
    <n v="5"/>
    <s v="Debit Card"/>
    <s v="Every 3 Months"/>
    <s v="Quarterly"/>
    <n v="5"/>
  </r>
  <r>
    <x v="1341"/>
    <n v="26"/>
    <x v="0"/>
    <s v="Hoodie"/>
    <x v="0"/>
    <n v="27"/>
    <x v="3"/>
    <s v="XL"/>
    <s v="Yellow"/>
    <s v="Fall"/>
    <n v="2.9"/>
    <s v="No"/>
    <s v="Standard"/>
    <s v="Yes"/>
    <s v="Yes"/>
    <n v="31"/>
    <s v="Bank Transfer"/>
    <s v="Quarterly"/>
    <s v="Quarterly"/>
    <n v="5"/>
  </r>
  <r>
    <x v="1342"/>
    <n v="57"/>
    <x v="0"/>
    <s v="Sunglasses"/>
    <x v="3"/>
    <n v="43"/>
    <x v="28"/>
    <s v="XL"/>
    <s v="Yellow"/>
    <s v="Summer"/>
    <n v="3.4"/>
    <s v="No"/>
    <s v="2-Day Shipping"/>
    <s v="Yes"/>
    <s v="Yes"/>
    <n v="11"/>
    <s v="Bank Transfer"/>
    <s v="Monthly"/>
    <s v="Monthly"/>
    <n v="4"/>
  </r>
  <r>
    <x v="1343"/>
    <n v="68"/>
    <x v="0"/>
    <s v="Sneakers"/>
    <x v="1"/>
    <n v="56"/>
    <x v="20"/>
    <s v="M"/>
    <s v="Indigo"/>
    <s v="Spring"/>
    <n v="3.4"/>
    <s v="No"/>
    <s v="Standard"/>
    <s v="Yes"/>
    <s v="Yes"/>
    <n v="34"/>
    <s v="Bank Transfer"/>
    <s v="Monthly"/>
    <s v="Monthly"/>
    <n v="4"/>
  </r>
  <r>
    <x v="1344"/>
    <n v="56"/>
    <x v="0"/>
    <s v="T-shirt"/>
    <x v="0"/>
    <n v="37"/>
    <x v="14"/>
    <s v="S"/>
    <s v="Violet"/>
    <s v="Fall"/>
    <n v="4.9000000000000004"/>
    <s v="No"/>
    <s v="Next Day Air"/>
    <s v="Yes"/>
    <s v="Yes"/>
    <n v="14"/>
    <s v="Cash"/>
    <s v="Annually"/>
    <s v="Annually"/>
    <n v="6"/>
  </r>
  <r>
    <x v="1345"/>
    <n v="40"/>
    <x v="0"/>
    <s v="Dress"/>
    <x v="0"/>
    <n v="21"/>
    <x v="43"/>
    <s v="M"/>
    <s v="White"/>
    <s v="Fall"/>
    <n v="3.6"/>
    <s v="No"/>
    <s v="Standard"/>
    <s v="Yes"/>
    <s v="Yes"/>
    <n v="42"/>
    <s v="Venmo"/>
    <s v="Weekly"/>
    <s v="Weekly"/>
    <n v="1"/>
  </r>
  <r>
    <x v="1346"/>
    <n v="44"/>
    <x v="0"/>
    <s v="Hoodie"/>
    <x v="0"/>
    <n v="91"/>
    <x v="16"/>
    <s v="L"/>
    <s v="White"/>
    <s v="Winter"/>
    <n v="3"/>
    <s v="No"/>
    <s v="Free Shipping"/>
    <s v="Yes"/>
    <s v="Yes"/>
    <n v="15"/>
    <s v="Venmo"/>
    <s v="Bi-Weekly"/>
    <s v="Bi-Weekly"/>
    <n v="2"/>
  </r>
  <r>
    <x v="1347"/>
    <n v="44"/>
    <x v="0"/>
    <s v="Sweater"/>
    <x v="0"/>
    <n v="95"/>
    <x v="34"/>
    <s v="M"/>
    <s v="Cyan"/>
    <s v="Summer"/>
    <n v="3.9"/>
    <s v="No"/>
    <s v="2-Day Shipping"/>
    <s v="Yes"/>
    <s v="Yes"/>
    <n v="47"/>
    <s v="Bank Transfer"/>
    <s v="Monthly"/>
    <s v="Monthly"/>
    <n v="4"/>
  </r>
  <r>
    <x v="1348"/>
    <n v="19"/>
    <x v="0"/>
    <s v="Belt"/>
    <x v="3"/>
    <n v="54"/>
    <x v="43"/>
    <s v="XL"/>
    <s v="Purple"/>
    <s v="Spring"/>
    <n v="3.2"/>
    <s v="No"/>
    <s v="Standard"/>
    <s v="Yes"/>
    <s v="Yes"/>
    <n v="23"/>
    <s v="Credit Card"/>
    <s v="Fortnightly"/>
    <s v="Fortnightly"/>
    <n v="3"/>
  </r>
  <r>
    <x v="1349"/>
    <n v="21"/>
    <x v="0"/>
    <s v="Socks"/>
    <x v="0"/>
    <n v="36"/>
    <x v="36"/>
    <s v="XL"/>
    <s v="Black"/>
    <s v="Spring"/>
    <n v="3.2"/>
    <s v="No"/>
    <s v="Next Day Air"/>
    <s v="Yes"/>
    <s v="Yes"/>
    <n v="23"/>
    <s v="Cash"/>
    <s v="Bi-Weekly"/>
    <s v="Bi-Weekly"/>
    <n v="2"/>
  </r>
  <r>
    <x v="1350"/>
    <n v="31"/>
    <x v="0"/>
    <s v="Sunglasses"/>
    <x v="3"/>
    <n v="71"/>
    <x v="12"/>
    <s v="M"/>
    <s v="Orange"/>
    <s v="Fall"/>
    <n v="4.3"/>
    <s v="No"/>
    <s v="Next Day Air"/>
    <s v="Yes"/>
    <s v="Yes"/>
    <n v="1"/>
    <s v="Cash"/>
    <s v="Every 3 Months"/>
    <s v="Quarterly"/>
    <n v="5"/>
  </r>
  <r>
    <x v="1351"/>
    <n v="30"/>
    <x v="0"/>
    <s v="Coat"/>
    <x v="2"/>
    <n v="31"/>
    <x v="34"/>
    <s v="L"/>
    <s v="Maroon"/>
    <s v="Summer"/>
    <n v="2.8"/>
    <s v="No"/>
    <s v="2-Day Shipping"/>
    <s v="Yes"/>
    <s v="Yes"/>
    <n v="28"/>
    <s v="Bank Transfer"/>
    <s v="Quarterly"/>
    <s v="Quarterly"/>
    <n v="5"/>
  </r>
  <r>
    <x v="1352"/>
    <n v="65"/>
    <x v="0"/>
    <s v="Hat"/>
    <x v="3"/>
    <n v="89"/>
    <x v="27"/>
    <s v="XL"/>
    <s v="Orange"/>
    <s v="Spring"/>
    <n v="4.5"/>
    <s v="No"/>
    <s v="Next Day Air"/>
    <s v="Yes"/>
    <s v="Yes"/>
    <n v="37"/>
    <s v="Credit Card"/>
    <s v="Bi-Weekly"/>
    <s v="Bi-Weekly"/>
    <n v="2"/>
  </r>
  <r>
    <x v="1353"/>
    <n v="39"/>
    <x v="0"/>
    <s v="Pants"/>
    <x v="0"/>
    <n v="83"/>
    <x v="4"/>
    <s v="M"/>
    <s v="Teal"/>
    <s v="Winter"/>
    <n v="4.0999999999999996"/>
    <s v="No"/>
    <s v="Next Day Air"/>
    <s v="Yes"/>
    <s v="Yes"/>
    <n v="4"/>
    <s v="Cash"/>
    <s v="Every 3 Months"/>
    <s v="Quarterly"/>
    <n v="5"/>
  </r>
  <r>
    <x v="1354"/>
    <n v="64"/>
    <x v="0"/>
    <s v="Backpack"/>
    <x v="3"/>
    <n v="42"/>
    <x v="33"/>
    <s v="M"/>
    <s v="Gray"/>
    <s v="Spring"/>
    <n v="3.6"/>
    <s v="No"/>
    <s v="2-Day Shipping"/>
    <s v="Yes"/>
    <s v="Yes"/>
    <n v="21"/>
    <s v="Bank Transfer"/>
    <s v="Quarterly"/>
    <s v="Quarterly"/>
    <n v="5"/>
  </r>
  <r>
    <x v="1355"/>
    <n v="59"/>
    <x v="0"/>
    <s v="Shorts"/>
    <x v="0"/>
    <n v="91"/>
    <x v="20"/>
    <s v="M"/>
    <s v="Blue"/>
    <s v="Summer"/>
    <n v="3"/>
    <s v="No"/>
    <s v="2-Day Shipping"/>
    <s v="Yes"/>
    <s v="Yes"/>
    <n v="50"/>
    <s v="PayPal"/>
    <s v="Bi-Weekly"/>
    <s v="Bi-Weekly"/>
    <n v="2"/>
  </r>
  <r>
    <x v="1356"/>
    <n v="49"/>
    <x v="0"/>
    <s v="Jacket"/>
    <x v="2"/>
    <n v="61"/>
    <x v="27"/>
    <s v="M"/>
    <s v="Cyan"/>
    <s v="Spring"/>
    <n v="4"/>
    <s v="No"/>
    <s v="Free Shipping"/>
    <s v="Yes"/>
    <s v="Yes"/>
    <n v="34"/>
    <s v="Bank Transfer"/>
    <s v="Annually"/>
    <s v="Annually"/>
    <n v="6"/>
  </r>
  <r>
    <x v="1357"/>
    <n v="24"/>
    <x v="0"/>
    <s v="Backpack"/>
    <x v="3"/>
    <n v="66"/>
    <x v="21"/>
    <s v="S"/>
    <s v="Red"/>
    <s v="Summer"/>
    <n v="3.5"/>
    <s v="No"/>
    <s v="Next Day Air"/>
    <s v="Yes"/>
    <s v="Yes"/>
    <n v="20"/>
    <s v="Cash"/>
    <s v="Quarterly"/>
    <s v="Quarterly"/>
    <n v="5"/>
  </r>
  <r>
    <x v="1358"/>
    <n v="19"/>
    <x v="0"/>
    <s v="Scarf"/>
    <x v="3"/>
    <n v="22"/>
    <x v="43"/>
    <s v="XL"/>
    <s v="Pink"/>
    <s v="Spring"/>
    <n v="2.5"/>
    <s v="No"/>
    <s v="Store Pickup"/>
    <s v="Yes"/>
    <s v="Yes"/>
    <n v="25"/>
    <s v="Venmo"/>
    <s v="Every 3 Months"/>
    <s v="Quarterly"/>
    <n v="5"/>
  </r>
  <r>
    <x v="1359"/>
    <n v="27"/>
    <x v="0"/>
    <s v="Hoodie"/>
    <x v="0"/>
    <n v="68"/>
    <x v="17"/>
    <s v="S"/>
    <s v="Cyan"/>
    <s v="Winter"/>
    <n v="4.3"/>
    <s v="No"/>
    <s v="Store Pickup"/>
    <s v="Yes"/>
    <s v="Yes"/>
    <n v="26"/>
    <s v="Bank Transfer"/>
    <s v="Fortnightly"/>
    <s v="Fortnightly"/>
    <n v="3"/>
  </r>
  <r>
    <x v="1360"/>
    <n v="56"/>
    <x v="0"/>
    <s v="Skirt"/>
    <x v="0"/>
    <n v="43"/>
    <x v="15"/>
    <s v="L"/>
    <s v="Black"/>
    <s v="Fall"/>
    <n v="2.8"/>
    <s v="No"/>
    <s v="Express"/>
    <s v="Yes"/>
    <s v="Yes"/>
    <n v="4"/>
    <s v="Bank Transfer"/>
    <s v="Annually"/>
    <s v="Annually"/>
    <n v="6"/>
  </r>
  <r>
    <x v="1361"/>
    <n v="49"/>
    <x v="0"/>
    <s v="Dress"/>
    <x v="0"/>
    <n v="32"/>
    <x v="15"/>
    <s v="M"/>
    <s v="Beige"/>
    <s v="Fall"/>
    <n v="3.7"/>
    <s v="No"/>
    <s v="Next Day Air"/>
    <s v="Yes"/>
    <s v="Yes"/>
    <n v="39"/>
    <s v="Debit Card"/>
    <s v="Monthly"/>
    <s v="Monthly"/>
    <n v="4"/>
  </r>
  <r>
    <x v="1362"/>
    <n v="41"/>
    <x v="0"/>
    <s v="Coat"/>
    <x v="2"/>
    <n v="46"/>
    <x v="24"/>
    <s v="M"/>
    <s v="Gray"/>
    <s v="Fall"/>
    <n v="4.3"/>
    <s v="No"/>
    <s v="Express"/>
    <s v="Yes"/>
    <s v="Yes"/>
    <n v="29"/>
    <s v="Cash"/>
    <s v="Weekly"/>
    <s v="Weekly"/>
    <n v="1"/>
  </r>
  <r>
    <x v="1363"/>
    <n v="36"/>
    <x v="0"/>
    <s v="Blouse"/>
    <x v="0"/>
    <n v="90"/>
    <x v="48"/>
    <s v="L"/>
    <s v="Red"/>
    <s v="Summer"/>
    <n v="4"/>
    <s v="No"/>
    <s v="Express"/>
    <s v="Yes"/>
    <s v="Yes"/>
    <n v="47"/>
    <s v="PayPal"/>
    <s v="Quarterly"/>
    <s v="Quarterly"/>
    <n v="5"/>
  </r>
  <r>
    <x v="1364"/>
    <n v="68"/>
    <x v="0"/>
    <s v="Hat"/>
    <x v="3"/>
    <n v="75"/>
    <x v="12"/>
    <s v="L"/>
    <s v="Yellow"/>
    <s v="Fall"/>
    <n v="4.7"/>
    <s v="No"/>
    <s v="Express"/>
    <s v="Yes"/>
    <s v="Yes"/>
    <n v="5"/>
    <s v="Cash"/>
    <s v="Every 3 Months"/>
    <s v="Quarterly"/>
    <n v="5"/>
  </r>
  <r>
    <x v="1365"/>
    <n v="28"/>
    <x v="0"/>
    <s v="Handbag"/>
    <x v="3"/>
    <n v="69"/>
    <x v="27"/>
    <s v="M"/>
    <s v="Magenta"/>
    <s v="Winter"/>
    <n v="4.5"/>
    <s v="No"/>
    <s v="Store Pickup"/>
    <s v="Yes"/>
    <s v="Yes"/>
    <n v="18"/>
    <s v="Bank Transfer"/>
    <s v="Fortnightly"/>
    <s v="Fortnightly"/>
    <n v="3"/>
  </r>
  <r>
    <x v="1366"/>
    <n v="45"/>
    <x v="0"/>
    <s v="Belt"/>
    <x v="3"/>
    <n v="40"/>
    <x v="44"/>
    <s v="M"/>
    <s v="Magenta"/>
    <s v="Fall"/>
    <n v="3.1"/>
    <s v="No"/>
    <s v="Free Shipping"/>
    <s v="Yes"/>
    <s v="Yes"/>
    <n v="10"/>
    <s v="Credit Card"/>
    <s v="Fortnightly"/>
    <s v="Fortnightly"/>
    <n v="3"/>
  </r>
  <r>
    <x v="1367"/>
    <n v="60"/>
    <x v="0"/>
    <s v="Belt"/>
    <x v="3"/>
    <n v="63"/>
    <x v="44"/>
    <s v="S"/>
    <s v="Black"/>
    <s v="Fall"/>
    <n v="3.8"/>
    <s v="No"/>
    <s v="Express"/>
    <s v="Yes"/>
    <s v="Yes"/>
    <n v="25"/>
    <s v="Cash"/>
    <s v="Quarterly"/>
    <s v="Quarterly"/>
    <n v="5"/>
  </r>
  <r>
    <x v="1368"/>
    <n v="21"/>
    <x v="0"/>
    <s v="Shirt"/>
    <x v="0"/>
    <n v="36"/>
    <x v="48"/>
    <s v="L"/>
    <s v="Orange"/>
    <s v="Summer"/>
    <n v="4.9000000000000004"/>
    <s v="No"/>
    <s v="Express"/>
    <s v="Yes"/>
    <s v="Yes"/>
    <n v="2"/>
    <s v="Cash"/>
    <s v="Weekly"/>
    <s v="Weekly"/>
    <n v="1"/>
  </r>
  <r>
    <x v="1369"/>
    <n v="32"/>
    <x v="0"/>
    <s v="Shoes"/>
    <x v="1"/>
    <n v="75"/>
    <x v="44"/>
    <s v="M"/>
    <s v="Green"/>
    <s v="Winter"/>
    <n v="3.2"/>
    <s v="No"/>
    <s v="Standard"/>
    <s v="Yes"/>
    <s v="Yes"/>
    <n v="48"/>
    <s v="Venmo"/>
    <s v="Fortnightly"/>
    <s v="Fortnightly"/>
    <n v="3"/>
  </r>
  <r>
    <x v="1370"/>
    <n v="27"/>
    <x v="0"/>
    <s v="Scarf"/>
    <x v="3"/>
    <n v="67"/>
    <x v="6"/>
    <s v="L"/>
    <s v="Peach"/>
    <s v="Summer"/>
    <n v="2.9"/>
    <s v="No"/>
    <s v="2-Day Shipping"/>
    <s v="Yes"/>
    <s v="Yes"/>
    <n v="41"/>
    <s v="Bank Transfer"/>
    <s v="Every 3 Months"/>
    <s v="Quarterly"/>
    <n v="5"/>
  </r>
  <r>
    <x v="1371"/>
    <n v="40"/>
    <x v="0"/>
    <s v="Pants"/>
    <x v="0"/>
    <n v="64"/>
    <x v="16"/>
    <s v="M"/>
    <s v="Charcoal"/>
    <s v="Spring"/>
    <n v="2.8"/>
    <s v="No"/>
    <s v="Store Pickup"/>
    <s v="Yes"/>
    <s v="Yes"/>
    <n v="42"/>
    <s v="Credit Card"/>
    <s v="Monthly"/>
    <s v="Monthly"/>
    <n v="4"/>
  </r>
  <r>
    <x v="1372"/>
    <n v="64"/>
    <x v="0"/>
    <s v="Blouse"/>
    <x v="0"/>
    <n v="61"/>
    <x v="49"/>
    <s v="M"/>
    <s v="Gray"/>
    <s v="Fall"/>
    <n v="4"/>
    <s v="No"/>
    <s v="2-Day Shipping"/>
    <s v="Yes"/>
    <s v="Yes"/>
    <n v="44"/>
    <s v="PayPal"/>
    <s v="Bi-Weekly"/>
    <s v="Bi-Weekly"/>
    <n v="2"/>
  </r>
  <r>
    <x v="1373"/>
    <n v="18"/>
    <x v="0"/>
    <s v="Gloves"/>
    <x v="3"/>
    <n v="40"/>
    <x v="41"/>
    <s v="L"/>
    <s v="Turquoise"/>
    <s v="Winter"/>
    <n v="2.6"/>
    <s v="No"/>
    <s v="Store Pickup"/>
    <s v="Yes"/>
    <s v="Yes"/>
    <n v="6"/>
    <s v="Cash"/>
    <s v="Quarterly"/>
    <s v="Quarterly"/>
    <n v="5"/>
  </r>
  <r>
    <x v="1374"/>
    <n v="22"/>
    <x v="0"/>
    <s v="Handbag"/>
    <x v="3"/>
    <n v="97"/>
    <x v="14"/>
    <s v="M"/>
    <s v="Red"/>
    <s v="Fall"/>
    <n v="2.7"/>
    <s v="No"/>
    <s v="Free Shipping"/>
    <s v="Yes"/>
    <s v="Yes"/>
    <n v="5"/>
    <s v="Bank Transfer"/>
    <s v="Quarterly"/>
    <s v="Quarterly"/>
    <n v="5"/>
  </r>
  <r>
    <x v="1375"/>
    <n v="42"/>
    <x v="0"/>
    <s v="Sneakers"/>
    <x v="1"/>
    <n v="31"/>
    <x v="1"/>
    <s v="L"/>
    <s v="Brown"/>
    <s v="Spring"/>
    <n v="4.0999999999999996"/>
    <s v="No"/>
    <s v="2-Day Shipping"/>
    <s v="Yes"/>
    <s v="Yes"/>
    <n v="8"/>
    <s v="Credit Card"/>
    <s v="Annually"/>
    <s v="Annually"/>
    <n v="6"/>
  </r>
  <r>
    <x v="1376"/>
    <n v="57"/>
    <x v="0"/>
    <s v="Sandals"/>
    <x v="1"/>
    <n v="65"/>
    <x v="32"/>
    <s v="L"/>
    <s v="Pink"/>
    <s v="Spring"/>
    <n v="5"/>
    <s v="No"/>
    <s v="Free Shipping"/>
    <s v="Yes"/>
    <s v="Yes"/>
    <n v="24"/>
    <s v="PayPal"/>
    <s v="Annually"/>
    <s v="Annually"/>
    <n v="6"/>
  </r>
  <r>
    <x v="1377"/>
    <n v="33"/>
    <x v="0"/>
    <s v="Sunglasses"/>
    <x v="3"/>
    <n v="54"/>
    <x v="33"/>
    <s v="L"/>
    <s v="Olive"/>
    <s v="Spring"/>
    <n v="3"/>
    <s v="No"/>
    <s v="Next Day Air"/>
    <s v="Yes"/>
    <s v="Yes"/>
    <n v="42"/>
    <s v="Venmo"/>
    <s v="Monthly"/>
    <s v="Monthly"/>
    <n v="4"/>
  </r>
  <r>
    <x v="1378"/>
    <n v="37"/>
    <x v="0"/>
    <s v="Jacket"/>
    <x v="2"/>
    <n v="49"/>
    <x v="0"/>
    <s v="XL"/>
    <s v="Lavender"/>
    <s v="Fall"/>
    <n v="3.6"/>
    <s v="No"/>
    <s v="Free Shipping"/>
    <s v="Yes"/>
    <s v="Yes"/>
    <n v="24"/>
    <s v="Venmo"/>
    <s v="Weekly"/>
    <s v="Weekly"/>
    <n v="1"/>
  </r>
  <r>
    <x v="1379"/>
    <n v="21"/>
    <x v="0"/>
    <s v="T-shirt"/>
    <x v="0"/>
    <n v="64"/>
    <x v="46"/>
    <s v="L"/>
    <s v="Purple"/>
    <s v="Fall"/>
    <n v="2.8"/>
    <s v="No"/>
    <s v="2-Day Shipping"/>
    <s v="Yes"/>
    <s v="Yes"/>
    <n v="38"/>
    <s v="Venmo"/>
    <s v="Bi-Weekly"/>
    <s v="Bi-Weekly"/>
    <n v="2"/>
  </r>
  <r>
    <x v="1380"/>
    <n v="51"/>
    <x v="0"/>
    <s v="Sneakers"/>
    <x v="1"/>
    <n v="35"/>
    <x v="2"/>
    <s v="S"/>
    <s v="Beige"/>
    <s v="Winter"/>
    <n v="4.5999999999999996"/>
    <s v="No"/>
    <s v="Standard"/>
    <s v="Yes"/>
    <s v="Yes"/>
    <n v="41"/>
    <s v="Cash"/>
    <s v="Fortnightly"/>
    <s v="Fortnightly"/>
    <n v="3"/>
  </r>
  <r>
    <x v="1381"/>
    <n v="30"/>
    <x v="0"/>
    <s v="Shoes"/>
    <x v="1"/>
    <n v="86"/>
    <x v="26"/>
    <s v="L"/>
    <s v="Green"/>
    <s v="Winter"/>
    <n v="2.9"/>
    <s v="No"/>
    <s v="Standard"/>
    <s v="Yes"/>
    <s v="Yes"/>
    <n v="48"/>
    <s v="Venmo"/>
    <s v="Quarterly"/>
    <s v="Quarterly"/>
    <n v="5"/>
  </r>
  <r>
    <x v="1382"/>
    <n v="68"/>
    <x v="0"/>
    <s v="Jacket"/>
    <x v="2"/>
    <n v="55"/>
    <x v="49"/>
    <s v="L"/>
    <s v="Brown"/>
    <s v="Winter"/>
    <n v="4.8"/>
    <s v="No"/>
    <s v="Express"/>
    <s v="Yes"/>
    <s v="Yes"/>
    <n v="16"/>
    <s v="Bank Transfer"/>
    <s v="Quarterly"/>
    <s v="Quarterly"/>
    <n v="5"/>
  </r>
  <r>
    <x v="1383"/>
    <n v="36"/>
    <x v="0"/>
    <s v="Scarf"/>
    <x v="3"/>
    <n v="58"/>
    <x v="48"/>
    <s v="M"/>
    <s v="Beige"/>
    <s v="Spring"/>
    <n v="3.3"/>
    <s v="No"/>
    <s v="Express"/>
    <s v="Yes"/>
    <s v="Yes"/>
    <n v="4"/>
    <s v="Venmo"/>
    <s v="Monthly"/>
    <s v="Monthly"/>
    <n v="4"/>
  </r>
  <r>
    <x v="1384"/>
    <n v="46"/>
    <x v="0"/>
    <s v="Sneakers"/>
    <x v="1"/>
    <n v="96"/>
    <x v="29"/>
    <s v="M"/>
    <s v="Beige"/>
    <s v="Fall"/>
    <n v="4.5999999999999996"/>
    <s v="No"/>
    <s v="Standard"/>
    <s v="Yes"/>
    <s v="Yes"/>
    <n v="8"/>
    <s v="Bank Transfer"/>
    <s v="Weekly"/>
    <s v="Weekly"/>
    <n v="1"/>
  </r>
  <r>
    <x v="1385"/>
    <n v="41"/>
    <x v="0"/>
    <s v="Jewelry"/>
    <x v="3"/>
    <n v="64"/>
    <x v="16"/>
    <s v="M"/>
    <s v="Indigo"/>
    <s v="Fall"/>
    <n v="2.6"/>
    <s v="No"/>
    <s v="Store Pickup"/>
    <s v="Yes"/>
    <s v="Yes"/>
    <n v="1"/>
    <s v="Bank Transfer"/>
    <s v="Bi-Weekly"/>
    <s v="Bi-Weekly"/>
    <n v="2"/>
  </r>
  <r>
    <x v="1386"/>
    <n v="68"/>
    <x v="0"/>
    <s v="Jacket"/>
    <x v="2"/>
    <n v="56"/>
    <x v="4"/>
    <s v="M"/>
    <s v="Silver"/>
    <s v="Fall"/>
    <n v="4"/>
    <s v="No"/>
    <s v="Next Day Air"/>
    <s v="Yes"/>
    <s v="Yes"/>
    <n v="4"/>
    <s v="Debit Card"/>
    <s v="Quarterly"/>
    <s v="Quarterly"/>
    <n v="5"/>
  </r>
  <r>
    <x v="1387"/>
    <n v="21"/>
    <x v="0"/>
    <s v="Blouse"/>
    <x v="0"/>
    <n v="85"/>
    <x v="33"/>
    <s v="M"/>
    <s v="Gold"/>
    <s v="Winter"/>
    <n v="3.8"/>
    <s v="No"/>
    <s v="Standard"/>
    <s v="Yes"/>
    <s v="Yes"/>
    <n v="20"/>
    <s v="Credit Card"/>
    <s v="Monthly"/>
    <s v="Monthly"/>
    <n v="4"/>
  </r>
  <r>
    <x v="1388"/>
    <n v="62"/>
    <x v="0"/>
    <s v="Dress"/>
    <x v="0"/>
    <n v="23"/>
    <x v="10"/>
    <s v="M"/>
    <s v="Lavender"/>
    <s v="Spring"/>
    <n v="3.9"/>
    <s v="No"/>
    <s v="Express"/>
    <s v="Yes"/>
    <s v="Yes"/>
    <n v="40"/>
    <s v="Cash"/>
    <s v="Quarterly"/>
    <s v="Quarterly"/>
    <n v="5"/>
  </r>
  <r>
    <x v="1389"/>
    <n v="59"/>
    <x v="0"/>
    <s v="Scarf"/>
    <x v="3"/>
    <n v="72"/>
    <x v="26"/>
    <s v="L"/>
    <s v="Orange"/>
    <s v="Fall"/>
    <n v="2.6"/>
    <s v="No"/>
    <s v="Store Pickup"/>
    <s v="Yes"/>
    <s v="Yes"/>
    <n v="8"/>
    <s v="Debit Card"/>
    <s v="Fortnightly"/>
    <s v="Fortnightly"/>
    <n v="3"/>
  </r>
  <r>
    <x v="1390"/>
    <n v="25"/>
    <x v="0"/>
    <s v="Hat"/>
    <x v="3"/>
    <n v="38"/>
    <x v="10"/>
    <s v="M"/>
    <s v="Maroon"/>
    <s v="Summer"/>
    <n v="4.3"/>
    <s v="No"/>
    <s v="Standard"/>
    <s v="Yes"/>
    <s v="Yes"/>
    <n v="42"/>
    <s v="Debit Card"/>
    <s v="Weekly"/>
    <s v="Weekly"/>
    <n v="1"/>
  </r>
  <r>
    <x v="1391"/>
    <n v="53"/>
    <x v="0"/>
    <s v="Blouse"/>
    <x v="0"/>
    <n v="29"/>
    <x v="16"/>
    <s v="S"/>
    <s v="White"/>
    <s v="Winter"/>
    <n v="3.6"/>
    <s v="No"/>
    <s v="Express"/>
    <s v="Yes"/>
    <s v="Yes"/>
    <n v="38"/>
    <s v="Credit Card"/>
    <s v="Annually"/>
    <s v="Annually"/>
    <n v="6"/>
  </r>
  <r>
    <x v="1392"/>
    <n v="31"/>
    <x v="0"/>
    <s v="Gloves"/>
    <x v="3"/>
    <n v="46"/>
    <x v="10"/>
    <s v="M"/>
    <s v="Yellow"/>
    <s v="Spring"/>
    <n v="4.2"/>
    <s v="No"/>
    <s v="Express"/>
    <s v="Yes"/>
    <s v="Yes"/>
    <n v="34"/>
    <s v="Venmo"/>
    <s v="Every 3 Months"/>
    <s v="Quarterly"/>
    <n v="5"/>
  </r>
  <r>
    <x v="1393"/>
    <n v="46"/>
    <x v="0"/>
    <s v="Gloves"/>
    <x v="3"/>
    <n v="58"/>
    <x v="37"/>
    <s v="L"/>
    <s v="Yellow"/>
    <s v="Spring"/>
    <n v="3.9"/>
    <s v="No"/>
    <s v="Express"/>
    <s v="Yes"/>
    <s v="Yes"/>
    <n v="14"/>
    <s v="PayPal"/>
    <s v="Fortnightly"/>
    <s v="Fortnightly"/>
    <n v="3"/>
  </r>
  <r>
    <x v="1394"/>
    <n v="26"/>
    <x v="0"/>
    <s v="Coat"/>
    <x v="2"/>
    <n v="43"/>
    <x v="44"/>
    <s v="L"/>
    <s v="Magenta"/>
    <s v="Fall"/>
    <n v="4.7"/>
    <s v="No"/>
    <s v="Next Day Air"/>
    <s v="Yes"/>
    <s v="Yes"/>
    <n v="39"/>
    <s v="Cash"/>
    <s v="Weekly"/>
    <s v="Weekly"/>
    <n v="1"/>
  </r>
  <r>
    <x v="1395"/>
    <n v="47"/>
    <x v="0"/>
    <s v="Scarf"/>
    <x v="3"/>
    <n v="32"/>
    <x v="8"/>
    <s v="L"/>
    <s v="Turquoise"/>
    <s v="Spring"/>
    <n v="2.8"/>
    <s v="No"/>
    <s v="Next Day Air"/>
    <s v="Yes"/>
    <s v="Yes"/>
    <n v="40"/>
    <s v="PayPal"/>
    <s v="Bi-Weekly"/>
    <s v="Bi-Weekly"/>
    <n v="2"/>
  </r>
  <r>
    <x v="1396"/>
    <n v="37"/>
    <x v="0"/>
    <s v="Pants"/>
    <x v="0"/>
    <n v="30"/>
    <x v="48"/>
    <s v="XL"/>
    <s v="Lavender"/>
    <s v="Winter"/>
    <n v="3"/>
    <s v="No"/>
    <s v="Next Day Air"/>
    <s v="Yes"/>
    <s v="Yes"/>
    <n v="49"/>
    <s v="Debit Card"/>
    <s v="Monthly"/>
    <s v="Monthly"/>
    <n v="4"/>
  </r>
  <r>
    <x v="1397"/>
    <n v="55"/>
    <x v="0"/>
    <s v="Sunglasses"/>
    <x v="3"/>
    <n v="67"/>
    <x v="2"/>
    <s v="S"/>
    <s v="Magenta"/>
    <s v="Summer"/>
    <n v="4.7"/>
    <s v="No"/>
    <s v="Store Pickup"/>
    <s v="Yes"/>
    <s v="Yes"/>
    <n v="33"/>
    <s v="PayPal"/>
    <s v="Annually"/>
    <s v="Annually"/>
    <n v="6"/>
  </r>
  <r>
    <x v="1398"/>
    <n v="30"/>
    <x v="0"/>
    <s v="Dress"/>
    <x v="0"/>
    <n v="45"/>
    <x v="21"/>
    <s v="M"/>
    <s v="Cyan"/>
    <s v="Summer"/>
    <n v="2.5"/>
    <s v="No"/>
    <s v="Free Shipping"/>
    <s v="Yes"/>
    <s v="Yes"/>
    <n v="25"/>
    <s v="Credit Card"/>
    <s v="Weekly"/>
    <s v="Weekly"/>
    <n v="1"/>
  </r>
  <r>
    <x v="1399"/>
    <n v="19"/>
    <x v="0"/>
    <s v="Hat"/>
    <x v="3"/>
    <n v="81"/>
    <x v="43"/>
    <s v="M"/>
    <s v="Olive"/>
    <s v="Winter"/>
    <n v="3.1"/>
    <s v="No"/>
    <s v="Store Pickup"/>
    <s v="Yes"/>
    <s v="Yes"/>
    <n v="48"/>
    <s v="Venmo"/>
    <s v="Annually"/>
    <s v="Annually"/>
    <n v="6"/>
  </r>
  <r>
    <x v="1400"/>
    <n v="36"/>
    <x v="0"/>
    <s v="Backpack"/>
    <x v="3"/>
    <n v="23"/>
    <x v="22"/>
    <s v="M"/>
    <s v="Red"/>
    <s v="Fall"/>
    <n v="3.6"/>
    <s v="No"/>
    <s v="Next Day Air"/>
    <s v="Yes"/>
    <s v="Yes"/>
    <n v="22"/>
    <s v="Credit Card"/>
    <s v="Every 3 Months"/>
    <s v="Quarterly"/>
    <n v="5"/>
  </r>
  <r>
    <x v="1401"/>
    <n v="23"/>
    <x v="0"/>
    <s v="Sandals"/>
    <x v="1"/>
    <n v="59"/>
    <x v="27"/>
    <s v="M"/>
    <s v="Blue"/>
    <s v="Fall"/>
    <n v="3.5"/>
    <s v="No"/>
    <s v="2-Day Shipping"/>
    <s v="Yes"/>
    <s v="Yes"/>
    <n v="1"/>
    <s v="PayPal"/>
    <s v="Weekly"/>
    <s v="Weekly"/>
    <n v="1"/>
  </r>
  <r>
    <x v="1402"/>
    <n v="62"/>
    <x v="0"/>
    <s v="Sunglasses"/>
    <x v="3"/>
    <n v="21"/>
    <x v="25"/>
    <s v="L"/>
    <s v="White"/>
    <s v="Summer"/>
    <n v="3.1"/>
    <s v="No"/>
    <s v="Express"/>
    <s v="Yes"/>
    <s v="Yes"/>
    <n v="47"/>
    <s v="PayPal"/>
    <s v="Monthly"/>
    <s v="Monthly"/>
    <n v="4"/>
  </r>
  <r>
    <x v="1403"/>
    <n v="26"/>
    <x v="0"/>
    <s v="Backpack"/>
    <x v="3"/>
    <n v="20"/>
    <x v="42"/>
    <s v="M"/>
    <s v="Peach"/>
    <s v="Spring"/>
    <n v="3.6"/>
    <s v="No"/>
    <s v="Store Pickup"/>
    <s v="Yes"/>
    <s v="Yes"/>
    <n v="20"/>
    <s v="Credit Card"/>
    <s v="Bi-Weekly"/>
    <s v="Bi-Weekly"/>
    <n v="2"/>
  </r>
  <r>
    <x v="1404"/>
    <n v="36"/>
    <x v="0"/>
    <s v="Jewelry"/>
    <x v="3"/>
    <n v="28"/>
    <x v="35"/>
    <s v="M"/>
    <s v="Charcoal"/>
    <s v="Winter"/>
    <n v="3.5"/>
    <s v="No"/>
    <s v="Next Day Air"/>
    <s v="Yes"/>
    <s v="Yes"/>
    <n v="10"/>
    <s v="Debit Card"/>
    <s v="Weekly"/>
    <s v="Weekly"/>
    <n v="1"/>
  </r>
  <r>
    <x v="1405"/>
    <n v="33"/>
    <x v="0"/>
    <s v="Socks"/>
    <x v="0"/>
    <n v="100"/>
    <x v="13"/>
    <s v="M"/>
    <s v="Peach"/>
    <s v="Winter"/>
    <n v="2.7"/>
    <s v="No"/>
    <s v="Store Pickup"/>
    <s v="Yes"/>
    <s v="Yes"/>
    <n v="39"/>
    <s v="Credit Card"/>
    <s v="Monthly"/>
    <s v="Monthly"/>
    <n v="4"/>
  </r>
  <r>
    <x v="1406"/>
    <n v="32"/>
    <x v="0"/>
    <s v="Shirt"/>
    <x v="0"/>
    <n v="46"/>
    <x v="47"/>
    <s v="L"/>
    <s v="Turquoise"/>
    <s v="Spring"/>
    <n v="3.6"/>
    <s v="No"/>
    <s v="Express"/>
    <s v="Yes"/>
    <s v="Yes"/>
    <n v="15"/>
    <s v="Debit Card"/>
    <s v="Monthly"/>
    <s v="Monthly"/>
    <n v="4"/>
  </r>
  <r>
    <x v="1407"/>
    <n v="56"/>
    <x v="0"/>
    <s v="Handbag"/>
    <x v="3"/>
    <n v="61"/>
    <x v="22"/>
    <s v="XL"/>
    <s v="Charcoal"/>
    <s v="Spring"/>
    <n v="4.5"/>
    <s v="No"/>
    <s v="Express"/>
    <s v="Yes"/>
    <s v="Yes"/>
    <n v="11"/>
    <s v="Credit Card"/>
    <s v="Annually"/>
    <s v="Annually"/>
    <n v="6"/>
  </r>
  <r>
    <x v="1408"/>
    <n v="58"/>
    <x v="0"/>
    <s v="Blouse"/>
    <x v="0"/>
    <n v="58"/>
    <x v="1"/>
    <s v="M"/>
    <s v="Yellow"/>
    <s v="Winter"/>
    <n v="4.0999999999999996"/>
    <s v="No"/>
    <s v="Free Shipping"/>
    <s v="Yes"/>
    <s v="Yes"/>
    <n v="38"/>
    <s v="Venmo"/>
    <s v="Weekly"/>
    <s v="Weekly"/>
    <n v="1"/>
  </r>
  <r>
    <x v="1409"/>
    <n v="34"/>
    <x v="0"/>
    <s v="Backpack"/>
    <x v="3"/>
    <n v="50"/>
    <x v="37"/>
    <s v="M"/>
    <s v="Blue"/>
    <s v="Spring"/>
    <n v="4.2"/>
    <s v="No"/>
    <s v="Standard"/>
    <s v="Yes"/>
    <s v="Yes"/>
    <n v="41"/>
    <s v="Cash"/>
    <s v="Fortnightly"/>
    <s v="Fortnightly"/>
    <n v="3"/>
  </r>
  <r>
    <x v="1410"/>
    <n v="61"/>
    <x v="0"/>
    <s v="Hat"/>
    <x v="3"/>
    <n v="93"/>
    <x v="30"/>
    <s v="M"/>
    <s v="Purple"/>
    <s v="Summer"/>
    <n v="4"/>
    <s v="No"/>
    <s v="Store Pickup"/>
    <s v="Yes"/>
    <s v="Yes"/>
    <n v="18"/>
    <s v="Debit Card"/>
    <s v="Annually"/>
    <s v="Annually"/>
    <n v="6"/>
  </r>
  <r>
    <x v="1411"/>
    <n v="48"/>
    <x v="0"/>
    <s v="Skirt"/>
    <x v="0"/>
    <n v="24"/>
    <x v="7"/>
    <s v="L"/>
    <s v="Green"/>
    <s v="Summer"/>
    <n v="2.8"/>
    <s v="No"/>
    <s v="Store Pickup"/>
    <s v="Yes"/>
    <s v="Yes"/>
    <n v="13"/>
    <s v="Venmo"/>
    <s v="Quarterly"/>
    <s v="Quarterly"/>
    <n v="5"/>
  </r>
  <r>
    <x v="1412"/>
    <n v="25"/>
    <x v="0"/>
    <s v="Shorts"/>
    <x v="0"/>
    <n v="100"/>
    <x v="49"/>
    <s v="M"/>
    <s v="Charcoal"/>
    <s v="Summer"/>
    <n v="2.6"/>
    <s v="No"/>
    <s v="2-Day Shipping"/>
    <s v="Yes"/>
    <s v="Yes"/>
    <n v="43"/>
    <s v="Venmo"/>
    <s v="Annually"/>
    <s v="Annually"/>
    <n v="6"/>
  </r>
  <r>
    <x v="1413"/>
    <n v="51"/>
    <x v="0"/>
    <s v="Blouse"/>
    <x v="0"/>
    <n v="79"/>
    <x v="13"/>
    <s v="S"/>
    <s v="Indigo"/>
    <s v="Fall"/>
    <n v="2.7"/>
    <s v="No"/>
    <s v="Store Pickup"/>
    <s v="Yes"/>
    <s v="Yes"/>
    <n v="12"/>
    <s v="Bank Transfer"/>
    <s v="Quarterly"/>
    <s v="Quarterly"/>
    <n v="5"/>
  </r>
  <r>
    <x v="1414"/>
    <n v="29"/>
    <x v="0"/>
    <s v="Socks"/>
    <x v="0"/>
    <n v="51"/>
    <x v="46"/>
    <s v="M"/>
    <s v="Black"/>
    <s v="Summer"/>
    <n v="4.5"/>
    <s v="No"/>
    <s v="Store Pickup"/>
    <s v="Yes"/>
    <s v="Yes"/>
    <n v="3"/>
    <s v="Credit Card"/>
    <s v="Bi-Weekly"/>
    <s v="Bi-Weekly"/>
    <n v="2"/>
  </r>
  <r>
    <x v="1415"/>
    <n v="54"/>
    <x v="0"/>
    <s v="Belt"/>
    <x v="3"/>
    <n v="90"/>
    <x v="26"/>
    <s v="M"/>
    <s v="Blue"/>
    <s v="Winter"/>
    <n v="3.7"/>
    <s v="No"/>
    <s v="Free Shipping"/>
    <s v="Yes"/>
    <s v="Yes"/>
    <n v="12"/>
    <s v="Credit Card"/>
    <s v="Every 3 Months"/>
    <s v="Quarterly"/>
    <n v="5"/>
  </r>
  <r>
    <x v="1416"/>
    <n v="48"/>
    <x v="0"/>
    <s v="Boots"/>
    <x v="1"/>
    <n v="56"/>
    <x v="37"/>
    <s v="L"/>
    <s v="Silver"/>
    <s v="Summer"/>
    <n v="3.4"/>
    <s v="No"/>
    <s v="Free Shipping"/>
    <s v="Yes"/>
    <s v="Yes"/>
    <n v="46"/>
    <s v="Cash"/>
    <s v="Quarterly"/>
    <s v="Quarterly"/>
    <n v="5"/>
  </r>
  <r>
    <x v="1417"/>
    <n v="62"/>
    <x v="0"/>
    <s v="Shorts"/>
    <x v="0"/>
    <n v="25"/>
    <x v="6"/>
    <s v="S"/>
    <s v="Brown"/>
    <s v="Spring"/>
    <n v="4.5999999999999996"/>
    <s v="No"/>
    <s v="Standard"/>
    <s v="Yes"/>
    <s v="Yes"/>
    <n v="21"/>
    <s v="Debit Card"/>
    <s v="Fortnightly"/>
    <s v="Fortnightly"/>
    <n v="3"/>
  </r>
  <r>
    <x v="1418"/>
    <n v="18"/>
    <x v="0"/>
    <s v="Shirt"/>
    <x v="0"/>
    <n v="75"/>
    <x v="15"/>
    <s v="M"/>
    <s v="Violet"/>
    <s v="Summer"/>
    <n v="4.0999999999999996"/>
    <s v="No"/>
    <s v="2-Day Shipping"/>
    <s v="Yes"/>
    <s v="Yes"/>
    <n v="23"/>
    <s v="Venmo"/>
    <s v="Every 3 Months"/>
    <s v="Quarterly"/>
    <n v="5"/>
  </r>
  <r>
    <x v="1419"/>
    <n v="43"/>
    <x v="0"/>
    <s v="Handbag"/>
    <x v="3"/>
    <n v="75"/>
    <x v="6"/>
    <s v="M"/>
    <s v="Orange"/>
    <s v="Summer"/>
    <n v="2.6"/>
    <s v="No"/>
    <s v="Free Shipping"/>
    <s v="Yes"/>
    <s v="Yes"/>
    <n v="4"/>
    <s v="Debit Card"/>
    <s v="Quarterly"/>
    <s v="Quarterly"/>
    <n v="5"/>
  </r>
  <r>
    <x v="1420"/>
    <n v="22"/>
    <x v="0"/>
    <s v="Jeans"/>
    <x v="0"/>
    <n v="53"/>
    <x v="18"/>
    <s v="XL"/>
    <s v="Gray"/>
    <s v="Summer"/>
    <n v="4.5999999999999996"/>
    <s v="No"/>
    <s v="Store Pickup"/>
    <s v="Yes"/>
    <s v="Yes"/>
    <n v="45"/>
    <s v="PayPal"/>
    <s v="Every 3 Months"/>
    <s v="Quarterly"/>
    <n v="5"/>
  </r>
  <r>
    <x v="1421"/>
    <n v="68"/>
    <x v="0"/>
    <s v="Dress"/>
    <x v="0"/>
    <n v="100"/>
    <x v="38"/>
    <s v="S"/>
    <s v="Gold"/>
    <s v="Spring"/>
    <n v="3"/>
    <s v="No"/>
    <s v="Standard"/>
    <s v="Yes"/>
    <s v="Yes"/>
    <n v="24"/>
    <s v="Bank Transfer"/>
    <s v="Fortnightly"/>
    <s v="Fortnightly"/>
    <n v="3"/>
  </r>
  <r>
    <x v="1422"/>
    <n v="44"/>
    <x v="0"/>
    <s v="Dress"/>
    <x v="0"/>
    <n v="27"/>
    <x v="21"/>
    <s v="L"/>
    <s v="Charcoal"/>
    <s v="Fall"/>
    <n v="3.4"/>
    <s v="No"/>
    <s v="Free Shipping"/>
    <s v="Yes"/>
    <s v="Yes"/>
    <n v="3"/>
    <s v="PayPal"/>
    <s v="Bi-Weekly"/>
    <s v="Bi-Weekly"/>
    <n v="2"/>
  </r>
  <r>
    <x v="1423"/>
    <n v="51"/>
    <x v="0"/>
    <s v="Sandals"/>
    <x v="1"/>
    <n v="60"/>
    <x v="49"/>
    <s v="S"/>
    <s v="Black"/>
    <s v="Fall"/>
    <n v="3.5"/>
    <s v="No"/>
    <s v="Free Shipping"/>
    <s v="Yes"/>
    <s v="Yes"/>
    <n v="12"/>
    <s v="Venmo"/>
    <s v="Every 3 Months"/>
    <s v="Quarterly"/>
    <n v="5"/>
  </r>
  <r>
    <x v="1424"/>
    <n v="66"/>
    <x v="0"/>
    <s v="Jacket"/>
    <x v="2"/>
    <n v="23"/>
    <x v="39"/>
    <s v="S"/>
    <s v="Indigo"/>
    <s v="Fall"/>
    <n v="3.5"/>
    <s v="No"/>
    <s v="Standard"/>
    <s v="Yes"/>
    <s v="Yes"/>
    <n v="34"/>
    <s v="Bank Transfer"/>
    <s v="Every 3 Months"/>
    <s v="Quarterly"/>
    <n v="5"/>
  </r>
  <r>
    <x v="1425"/>
    <n v="59"/>
    <x v="0"/>
    <s v="Coat"/>
    <x v="2"/>
    <n v="40"/>
    <x v="5"/>
    <s v="S"/>
    <s v="White"/>
    <s v="Winter"/>
    <n v="3.7"/>
    <s v="No"/>
    <s v="Next Day Air"/>
    <s v="Yes"/>
    <s v="Yes"/>
    <n v="39"/>
    <s v="Credit Card"/>
    <s v="Annually"/>
    <s v="Annually"/>
    <n v="6"/>
  </r>
  <r>
    <x v="1426"/>
    <n v="60"/>
    <x v="0"/>
    <s v="Pants"/>
    <x v="0"/>
    <n v="38"/>
    <x v="49"/>
    <s v="M"/>
    <s v="Yellow"/>
    <s v="Summer"/>
    <n v="4.8"/>
    <s v="No"/>
    <s v="Free Shipping"/>
    <s v="Yes"/>
    <s v="Yes"/>
    <n v="35"/>
    <s v="PayPal"/>
    <s v="Every 3 Months"/>
    <s v="Quarterly"/>
    <n v="5"/>
  </r>
  <r>
    <x v="1427"/>
    <n v="31"/>
    <x v="0"/>
    <s v="Backpack"/>
    <x v="3"/>
    <n v="90"/>
    <x v="45"/>
    <s v="S"/>
    <s v="Orange"/>
    <s v="Summer"/>
    <n v="4.9000000000000004"/>
    <s v="No"/>
    <s v="Store Pickup"/>
    <s v="Yes"/>
    <s v="Yes"/>
    <n v="8"/>
    <s v="Credit Card"/>
    <s v="Annually"/>
    <s v="Annually"/>
    <n v="6"/>
  </r>
  <r>
    <x v="1428"/>
    <n v="20"/>
    <x v="0"/>
    <s v="Blouse"/>
    <x v="0"/>
    <n v="97"/>
    <x v="25"/>
    <s v="S"/>
    <s v="Green"/>
    <s v="Summer"/>
    <n v="4.9000000000000004"/>
    <s v="No"/>
    <s v="Express"/>
    <s v="Yes"/>
    <s v="Yes"/>
    <n v="42"/>
    <s v="PayPal"/>
    <s v="Quarterly"/>
    <s v="Quarterly"/>
    <n v="5"/>
  </r>
  <r>
    <x v="1429"/>
    <n v="24"/>
    <x v="0"/>
    <s v="Skirt"/>
    <x v="0"/>
    <n v="38"/>
    <x v="33"/>
    <s v="L"/>
    <s v="Gold"/>
    <s v="Fall"/>
    <n v="4.7"/>
    <s v="No"/>
    <s v="Standard"/>
    <s v="Yes"/>
    <s v="Yes"/>
    <n v="6"/>
    <s v="Credit Card"/>
    <s v="Every 3 Months"/>
    <s v="Quarterly"/>
    <n v="5"/>
  </r>
  <r>
    <x v="1430"/>
    <n v="48"/>
    <x v="0"/>
    <s v="Sandals"/>
    <x v="1"/>
    <n v="30"/>
    <x v="49"/>
    <s v="S"/>
    <s v="Orange"/>
    <s v="Summer"/>
    <n v="4.9000000000000004"/>
    <s v="No"/>
    <s v="Free Shipping"/>
    <s v="Yes"/>
    <s v="Yes"/>
    <n v="3"/>
    <s v="Credit Card"/>
    <s v="Fortnightly"/>
    <s v="Fortnightly"/>
    <n v="3"/>
  </r>
  <r>
    <x v="1431"/>
    <n v="39"/>
    <x v="0"/>
    <s v="Pants"/>
    <x v="0"/>
    <n v="88"/>
    <x v="45"/>
    <s v="M"/>
    <s v="Cyan"/>
    <s v="Fall"/>
    <n v="2.9"/>
    <s v="No"/>
    <s v="Express"/>
    <s v="Yes"/>
    <s v="Yes"/>
    <n v="29"/>
    <s v="Venmo"/>
    <s v="Quarterly"/>
    <s v="Quarterly"/>
    <n v="5"/>
  </r>
  <r>
    <x v="1432"/>
    <n v="34"/>
    <x v="0"/>
    <s v="Hat"/>
    <x v="3"/>
    <n v="33"/>
    <x v="20"/>
    <s v="L"/>
    <s v="Black"/>
    <s v="Winter"/>
    <n v="4.4000000000000004"/>
    <s v="No"/>
    <s v="Express"/>
    <s v="Yes"/>
    <s v="Yes"/>
    <n v="32"/>
    <s v="Debit Card"/>
    <s v="Quarterly"/>
    <s v="Quarterly"/>
    <n v="5"/>
  </r>
  <r>
    <x v="1433"/>
    <n v="70"/>
    <x v="0"/>
    <s v="Hoodie"/>
    <x v="0"/>
    <n v="60"/>
    <x v="46"/>
    <s v="L"/>
    <s v="Yellow"/>
    <s v="Winter"/>
    <n v="3.2"/>
    <s v="No"/>
    <s v="Next Day Air"/>
    <s v="Yes"/>
    <s v="Yes"/>
    <n v="45"/>
    <s v="Debit Card"/>
    <s v="Weekly"/>
    <s v="Weekly"/>
    <n v="1"/>
  </r>
  <r>
    <x v="1434"/>
    <n v="59"/>
    <x v="0"/>
    <s v="Sweater"/>
    <x v="0"/>
    <n v="64"/>
    <x v="14"/>
    <s v="L"/>
    <s v="Maroon"/>
    <s v="Summer"/>
    <n v="4.5999999999999996"/>
    <s v="No"/>
    <s v="Free Shipping"/>
    <s v="Yes"/>
    <s v="Yes"/>
    <n v="21"/>
    <s v="Debit Card"/>
    <s v="Bi-Weekly"/>
    <s v="Bi-Weekly"/>
    <n v="2"/>
  </r>
  <r>
    <x v="1435"/>
    <n v="45"/>
    <x v="0"/>
    <s v="Scarf"/>
    <x v="3"/>
    <n v="95"/>
    <x v="4"/>
    <s v="XL"/>
    <s v="Black"/>
    <s v="Fall"/>
    <n v="4"/>
    <s v="No"/>
    <s v="Standard"/>
    <s v="Yes"/>
    <s v="Yes"/>
    <n v="41"/>
    <s v="Cash"/>
    <s v="Weekly"/>
    <s v="Weekly"/>
    <n v="1"/>
  </r>
  <r>
    <x v="1436"/>
    <n v="35"/>
    <x v="0"/>
    <s v="Sneakers"/>
    <x v="1"/>
    <n v="83"/>
    <x v="46"/>
    <s v="M"/>
    <s v="Gray"/>
    <s v="Winter"/>
    <n v="3.7"/>
    <s v="No"/>
    <s v="Free Shipping"/>
    <s v="Yes"/>
    <s v="Yes"/>
    <n v="23"/>
    <s v="PayPal"/>
    <s v="Fortnightly"/>
    <s v="Fortnightly"/>
    <n v="3"/>
  </r>
  <r>
    <x v="1437"/>
    <n v="69"/>
    <x v="0"/>
    <s v="Boots"/>
    <x v="1"/>
    <n v="97"/>
    <x v="6"/>
    <s v="XL"/>
    <s v="Orange"/>
    <s v="Winter"/>
    <n v="4.2"/>
    <s v="No"/>
    <s v="Free Shipping"/>
    <s v="Yes"/>
    <s v="Yes"/>
    <n v="14"/>
    <s v="Cash"/>
    <s v="Annually"/>
    <s v="Annually"/>
    <n v="6"/>
  </r>
  <r>
    <x v="1438"/>
    <n v="58"/>
    <x v="0"/>
    <s v="Coat"/>
    <x v="2"/>
    <n v="38"/>
    <x v="47"/>
    <s v="M"/>
    <s v="Cyan"/>
    <s v="Spring"/>
    <n v="2.9"/>
    <s v="No"/>
    <s v="Standard"/>
    <s v="Yes"/>
    <s v="Yes"/>
    <n v="24"/>
    <s v="Debit Card"/>
    <s v="Monthly"/>
    <s v="Monthly"/>
    <n v="4"/>
  </r>
  <r>
    <x v="1439"/>
    <n v="25"/>
    <x v="0"/>
    <s v="Boots"/>
    <x v="1"/>
    <n v="48"/>
    <x v="35"/>
    <s v="M"/>
    <s v="Magenta"/>
    <s v="Summer"/>
    <n v="4.8"/>
    <s v="No"/>
    <s v="Next Day Air"/>
    <s v="Yes"/>
    <s v="Yes"/>
    <n v="25"/>
    <s v="Cash"/>
    <s v="Fortnightly"/>
    <s v="Fortnightly"/>
    <n v="3"/>
  </r>
  <r>
    <x v="1440"/>
    <n v="27"/>
    <x v="0"/>
    <s v="Sandals"/>
    <x v="1"/>
    <n v="76"/>
    <x v="28"/>
    <s v="M"/>
    <s v="Pink"/>
    <s v="Spring"/>
    <n v="4.4000000000000004"/>
    <s v="No"/>
    <s v="Standard"/>
    <s v="Yes"/>
    <s v="Yes"/>
    <n v="13"/>
    <s v="Venmo"/>
    <s v="Monthly"/>
    <s v="Monthly"/>
    <n v="4"/>
  </r>
  <r>
    <x v="1441"/>
    <n v="34"/>
    <x v="0"/>
    <s v="Pants"/>
    <x v="0"/>
    <n v="25"/>
    <x v="43"/>
    <s v="S"/>
    <s v="Turquoise"/>
    <s v="Summer"/>
    <n v="3.4"/>
    <s v="No"/>
    <s v="Free Shipping"/>
    <s v="Yes"/>
    <s v="Yes"/>
    <n v="3"/>
    <s v="Venmo"/>
    <s v="Every 3 Months"/>
    <s v="Quarterly"/>
    <n v="5"/>
  </r>
  <r>
    <x v="1442"/>
    <n v="53"/>
    <x v="0"/>
    <s v="Hoodie"/>
    <x v="0"/>
    <n v="92"/>
    <x v="37"/>
    <s v="S"/>
    <s v="Violet"/>
    <s v="Spring"/>
    <n v="2.8"/>
    <s v="No"/>
    <s v="2-Day Shipping"/>
    <s v="Yes"/>
    <s v="Yes"/>
    <n v="42"/>
    <s v="Credit Card"/>
    <s v="Annually"/>
    <s v="Annually"/>
    <n v="6"/>
  </r>
  <r>
    <x v="1443"/>
    <n v="58"/>
    <x v="0"/>
    <s v="Sandals"/>
    <x v="1"/>
    <n v="47"/>
    <x v="37"/>
    <s v="L"/>
    <s v="Teal"/>
    <s v="Fall"/>
    <n v="4.2"/>
    <s v="No"/>
    <s v="Next Day Air"/>
    <s v="Yes"/>
    <s v="Yes"/>
    <n v="2"/>
    <s v="Cash"/>
    <s v="Monthly"/>
    <s v="Monthly"/>
    <n v="4"/>
  </r>
  <r>
    <x v="1444"/>
    <n v="32"/>
    <x v="0"/>
    <s v="Sweater"/>
    <x v="0"/>
    <n v="36"/>
    <x v="34"/>
    <s v="L"/>
    <s v="Pink"/>
    <s v="Fall"/>
    <n v="3.8"/>
    <s v="No"/>
    <s v="Express"/>
    <s v="Yes"/>
    <s v="Yes"/>
    <n v="26"/>
    <s v="Cash"/>
    <s v="Quarterly"/>
    <s v="Quarterly"/>
    <n v="5"/>
  </r>
  <r>
    <x v="1445"/>
    <n v="64"/>
    <x v="0"/>
    <s v="Belt"/>
    <x v="3"/>
    <n v="51"/>
    <x v="10"/>
    <s v="M"/>
    <s v="Gold"/>
    <s v="Fall"/>
    <n v="3.1"/>
    <s v="No"/>
    <s v="2-Day Shipping"/>
    <s v="Yes"/>
    <s v="Yes"/>
    <n v="24"/>
    <s v="Credit Card"/>
    <s v="Annually"/>
    <s v="Annually"/>
    <n v="6"/>
  </r>
  <r>
    <x v="1446"/>
    <n v="63"/>
    <x v="0"/>
    <s v="Jeans"/>
    <x v="0"/>
    <n v="35"/>
    <x v="5"/>
    <s v="XL"/>
    <s v="Red"/>
    <s v="Summer"/>
    <n v="3.2"/>
    <s v="No"/>
    <s v="Express"/>
    <s v="Yes"/>
    <s v="Yes"/>
    <n v="6"/>
    <s v="Credit Card"/>
    <s v="Quarterly"/>
    <s v="Quarterly"/>
    <n v="5"/>
  </r>
  <r>
    <x v="1447"/>
    <n v="23"/>
    <x v="0"/>
    <s v="Hoodie"/>
    <x v="0"/>
    <n v="57"/>
    <x v="35"/>
    <s v="S"/>
    <s v="Beige"/>
    <s v="Summer"/>
    <n v="3"/>
    <s v="No"/>
    <s v="Next Day Air"/>
    <s v="Yes"/>
    <s v="Yes"/>
    <n v="25"/>
    <s v="PayPal"/>
    <s v="Monthly"/>
    <s v="Monthly"/>
    <n v="4"/>
  </r>
  <r>
    <x v="1448"/>
    <n v="64"/>
    <x v="0"/>
    <s v="Boots"/>
    <x v="1"/>
    <n v="95"/>
    <x v="8"/>
    <s v="M"/>
    <s v="Black"/>
    <s v="Summer"/>
    <n v="3.6"/>
    <s v="No"/>
    <s v="Free Shipping"/>
    <s v="Yes"/>
    <s v="Yes"/>
    <n v="11"/>
    <s v="Credit Card"/>
    <s v="Every 3 Months"/>
    <s v="Quarterly"/>
    <n v="5"/>
  </r>
  <r>
    <x v="1449"/>
    <n v="18"/>
    <x v="0"/>
    <s v="Socks"/>
    <x v="0"/>
    <n v="41"/>
    <x v="14"/>
    <s v="L"/>
    <s v="Lavender"/>
    <s v="Winter"/>
    <n v="2.5"/>
    <s v="No"/>
    <s v="Store Pickup"/>
    <s v="Yes"/>
    <s v="Yes"/>
    <n v="20"/>
    <s v="Cash"/>
    <s v="Every 3 Months"/>
    <s v="Quarterly"/>
    <n v="5"/>
  </r>
  <r>
    <x v="1450"/>
    <n v="25"/>
    <x v="0"/>
    <s v="Dress"/>
    <x v="0"/>
    <n v="44"/>
    <x v="26"/>
    <s v="S"/>
    <s v="Teal"/>
    <s v="Winter"/>
    <n v="3.4"/>
    <s v="No"/>
    <s v="Free Shipping"/>
    <s v="Yes"/>
    <s v="Yes"/>
    <n v="25"/>
    <s v="Cash"/>
    <s v="Quarterly"/>
    <s v="Quarterly"/>
    <n v="5"/>
  </r>
  <r>
    <x v="1451"/>
    <n v="54"/>
    <x v="0"/>
    <s v="Jacket"/>
    <x v="2"/>
    <n v="34"/>
    <x v="40"/>
    <s v="M"/>
    <s v="Maroon"/>
    <s v="Fall"/>
    <n v="2.5"/>
    <s v="No"/>
    <s v="Next Day Air"/>
    <s v="Yes"/>
    <s v="Yes"/>
    <n v="35"/>
    <s v="PayPal"/>
    <s v="Quarterly"/>
    <s v="Quarterly"/>
    <n v="5"/>
  </r>
  <r>
    <x v="1452"/>
    <n v="60"/>
    <x v="0"/>
    <s v="Jacket"/>
    <x v="2"/>
    <n v="25"/>
    <x v="24"/>
    <s v="L"/>
    <s v="Blue"/>
    <s v="Spring"/>
    <n v="4.7"/>
    <s v="No"/>
    <s v="2-Day Shipping"/>
    <s v="Yes"/>
    <s v="Yes"/>
    <n v="11"/>
    <s v="Bank Transfer"/>
    <s v="Quarterly"/>
    <s v="Quarterly"/>
    <n v="5"/>
  </r>
  <r>
    <x v="1453"/>
    <n v="36"/>
    <x v="0"/>
    <s v="Boots"/>
    <x v="1"/>
    <n v="93"/>
    <x v="41"/>
    <s v="S"/>
    <s v="Teal"/>
    <s v="Winter"/>
    <n v="3.2"/>
    <s v="No"/>
    <s v="2-Day Shipping"/>
    <s v="Yes"/>
    <s v="Yes"/>
    <n v="41"/>
    <s v="Bank Transfer"/>
    <s v="Fortnightly"/>
    <s v="Fortnightly"/>
    <n v="3"/>
  </r>
  <r>
    <x v="1454"/>
    <n v="66"/>
    <x v="0"/>
    <s v="Sneakers"/>
    <x v="1"/>
    <n v="50"/>
    <x v="42"/>
    <s v="L"/>
    <s v="Maroon"/>
    <s v="Winter"/>
    <n v="2.9"/>
    <s v="No"/>
    <s v="Free Shipping"/>
    <s v="Yes"/>
    <s v="Yes"/>
    <n v="17"/>
    <s v="Credit Card"/>
    <s v="Annually"/>
    <s v="Annually"/>
    <n v="6"/>
  </r>
  <r>
    <x v="1455"/>
    <n v="60"/>
    <x v="0"/>
    <s v="Pants"/>
    <x v="0"/>
    <n v="79"/>
    <x v="15"/>
    <s v="L"/>
    <s v="Silver"/>
    <s v="Fall"/>
    <n v="4.9000000000000004"/>
    <s v="No"/>
    <s v="Express"/>
    <s v="Yes"/>
    <s v="Yes"/>
    <n v="1"/>
    <s v="PayPal"/>
    <s v="Every 3 Months"/>
    <s v="Quarterly"/>
    <n v="5"/>
  </r>
  <r>
    <x v="1456"/>
    <n v="59"/>
    <x v="0"/>
    <s v="Coat"/>
    <x v="2"/>
    <n v="100"/>
    <x v="6"/>
    <s v="S"/>
    <s v="Olive"/>
    <s v="Spring"/>
    <n v="2.7"/>
    <s v="No"/>
    <s v="Store Pickup"/>
    <s v="Yes"/>
    <s v="Yes"/>
    <n v="30"/>
    <s v="PayPal"/>
    <s v="Every 3 Months"/>
    <s v="Quarterly"/>
    <n v="5"/>
  </r>
  <r>
    <x v="1457"/>
    <n v="58"/>
    <x v="0"/>
    <s v="Shirt"/>
    <x v="0"/>
    <n v="57"/>
    <x v="38"/>
    <s v="S"/>
    <s v="Gray"/>
    <s v="Spring"/>
    <n v="4.7"/>
    <s v="No"/>
    <s v="Express"/>
    <s v="Yes"/>
    <s v="Yes"/>
    <n v="47"/>
    <s v="Venmo"/>
    <s v="Fortnightly"/>
    <s v="Fortnightly"/>
    <n v="3"/>
  </r>
  <r>
    <x v="1458"/>
    <n v="35"/>
    <x v="0"/>
    <s v="Sweater"/>
    <x v="0"/>
    <n v="28"/>
    <x v="9"/>
    <s v="M"/>
    <s v="Peach"/>
    <s v="Spring"/>
    <n v="2.9"/>
    <s v="No"/>
    <s v="2-Day Shipping"/>
    <s v="Yes"/>
    <s v="Yes"/>
    <n v="34"/>
    <s v="Venmo"/>
    <s v="Weekly"/>
    <s v="Weekly"/>
    <n v="1"/>
  </r>
  <r>
    <x v="1459"/>
    <n v="20"/>
    <x v="0"/>
    <s v="Shoes"/>
    <x v="1"/>
    <n v="35"/>
    <x v="1"/>
    <s v="L"/>
    <s v="Yellow"/>
    <s v="Winter"/>
    <n v="4.8"/>
    <s v="No"/>
    <s v="Express"/>
    <s v="Yes"/>
    <s v="Yes"/>
    <n v="18"/>
    <s v="Venmo"/>
    <s v="Fortnightly"/>
    <s v="Fortnightly"/>
    <n v="3"/>
  </r>
  <r>
    <x v="1460"/>
    <n v="70"/>
    <x v="0"/>
    <s v="Boots"/>
    <x v="1"/>
    <n v="85"/>
    <x v="38"/>
    <s v="L"/>
    <s v="Violet"/>
    <s v="Fall"/>
    <n v="4.5999999999999996"/>
    <s v="No"/>
    <s v="Standard"/>
    <s v="Yes"/>
    <s v="Yes"/>
    <n v="33"/>
    <s v="Venmo"/>
    <s v="Bi-Weekly"/>
    <s v="Bi-Weekly"/>
    <n v="2"/>
  </r>
  <r>
    <x v="1461"/>
    <n v="54"/>
    <x v="0"/>
    <s v="Sunglasses"/>
    <x v="3"/>
    <n v="95"/>
    <x v="4"/>
    <s v="S"/>
    <s v="Red"/>
    <s v="Summer"/>
    <n v="5"/>
    <s v="No"/>
    <s v="2-Day Shipping"/>
    <s v="Yes"/>
    <s v="Yes"/>
    <n v="42"/>
    <s v="Venmo"/>
    <s v="Quarterly"/>
    <s v="Quarterly"/>
    <n v="5"/>
  </r>
  <r>
    <x v="1462"/>
    <n v="38"/>
    <x v="0"/>
    <s v="Sneakers"/>
    <x v="1"/>
    <n v="90"/>
    <x v="40"/>
    <s v="S"/>
    <s v="Charcoal"/>
    <s v="Summer"/>
    <n v="4.8"/>
    <s v="No"/>
    <s v="2-Day Shipping"/>
    <s v="Yes"/>
    <s v="Yes"/>
    <n v="2"/>
    <s v="Venmo"/>
    <s v="Quarterly"/>
    <s v="Quarterly"/>
    <n v="5"/>
  </r>
  <r>
    <x v="1463"/>
    <n v="54"/>
    <x v="0"/>
    <s v="Jewelry"/>
    <x v="3"/>
    <n v="49"/>
    <x v="19"/>
    <s v="M"/>
    <s v="Beige"/>
    <s v="Summer"/>
    <n v="4.9000000000000004"/>
    <s v="No"/>
    <s v="Store Pickup"/>
    <s v="Yes"/>
    <s v="Yes"/>
    <n v="1"/>
    <s v="Bank Transfer"/>
    <s v="Monthly"/>
    <s v="Monthly"/>
    <n v="4"/>
  </r>
  <r>
    <x v="1464"/>
    <n v="33"/>
    <x v="0"/>
    <s v="Belt"/>
    <x v="3"/>
    <n v="92"/>
    <x v="6"/>
    <s v="M"/>
    <s v="Peach"/>
    <s v="Winter"/>
    <n v="4.5999999999999996"/>
    <s v="No"/>
    <s v="2-Day Shipping"/>
    <s v="Yes"/>
    <s v="Yes"/>
    <n v="23"/>
    <s v="Bank Transfer"/>
    <s v="Quarterly"/>
    <s v="Quarterly"/>
    <n v="5"/>
  </r>
  <r>
    <x v="1465"/>
    <n v="46"/>
    <x v="0"/>
    <s v="Gloves"/>
    <x v="3"/>
    <n v="72"/>
    <x v="43"/>
    <s v="XL"/>
    <s v="Violet"/>
    <s v="Winter"/>
    <n v="3.9"/>
    <s v="No"/>
    <s v="Store Pickup"/>
    <s v="Yes"/>
    <s v="Yes"/>
    <n v="42"/>
    <s v="Cash"/>
    <s v="Bi-Weekly"/>
    <s v="Bi-Weekly"/>
    <n v="2"/>
  </r>
  <r>
    <x v="1466"/>
    <n v="58"/>
    <x v="0"/>
    <s v="Shorts"/>
    <x v="0"/>
    <n v="71"/>
    <x v="15"/>
    <s v="M"/>
    <s v="Green"/>
    <s v="Summer"/>
    <n v="4.5"/>
    <s v="No"/>
    <s v="Store Pickup"/>
    <s v="Yes"/>
    <s v="Yes"/>
    <n v="3"/>
    <s v="PayPal"/>
    <s v="Annually"/>
    <s v="Annually"/>
    <n v="6"/>
  </r>
  <r>
    <x v="1467"/>
    <n v="30"/>
    <x v="0"/>
    <s v="Jewelry"/>
    <x v="3"/>
    <n v="27"/>
    <x v="31"/>
    <s v="XL"/>
    <s v="Olive"/>
    <s v="Winter"/>
    <n v="4.7"/>
    <s v="No"/>
    <s v="Store Pickup"/>
    <s v="Yes"/>
    <s v="Yes"/>
    <n v="16"/>
    <s v="Debit Card"/>
    <s v="Fortnightly"/>
    <s v="Fortnightly"/>
    <n v="3"/>
  </r>
  <r>
    <x v="1468"/>
    <n v="42"/>
    <x v="0"/>
    <s v="Gloves"/>
    <x v="3"/>
    <n v="39"/>
    <x v="10"/>
    <s v="S"/>
    <s v="Silver"/>
    <s v="Fall"/>
    <n v="3.9"/>
    <s v="No"/>
    <s v="Express"/>
    <s v="Yes"/>
    <s v="Yes"/>
    <n v="46"/>
    <s v="Cash"/>
    <s v="Fortnightly"/>
    <s v="Fortnightly"/>
    <n v="3"/>
  </r>
  <r>
    <x v="1469"/>
    <n v="28"/>
    <x v="0"/>
    <s v="Jewelry"/>
    <x v="3"/>
    <n v="98"/>
    <x v="16"/>
    <s v="M"/>
    <s v="Purple"/>
    <s v="Winter"/>
    <n v="4.4000000000000004"/>
    <s v="No"/>
    <s v="Standard"/>
    <s v="Yes"/>
    <s v="Yes"/>
    <n v="31"/>
    <s v="PayPal"/>
    <s v="Every 3 Months"/>
    <s v="Quarterly"/>
    <n v="5"/>
  </r>
  <r>
    <x v="1470"/>
    <n v="43"/>
    <x v="0"/>
    <s v="Sandals"/>
    <x v="1"/>
    <n v="27"/>
    <x v="18"/>
    <s v="M"/>
    <s v="Silver"/>
    <s v="Spring"/>
    <n v="3.9"/>
    <s v="No"/>
    <s v="Next Day Air"/>
    <s v="Yes"/>
    <s v="Yes"/>
    <n v="15"/>
    <s v="Cash"/>
    <s v="Every 3 Months"/>
    <s v="Quarterly"/>
    <n v="5"/>
  </r>
  <r>
    <x v="1471"/>
    <n v="31"/>
    <x v="0"/>
    <s v="Jewelry"/>
    <x v="3"/>
    <n v="71"/>
    <x v="29"/>
    <s v="S"/>
    <s v="Gray"/>
    <s v="Spring"/>
    <n v="2.8"/>
    <s v="No"/>
    <s v="2-Day Shipping"/>
    <s v="Yes"/>
    <s v="Yes"/>
    <n v="48"/>
    <s v="Venmo"/>
    <s v="Every 3 Months"/>
    <s v="Quarterly"/>
    <n v="5"/>
  </r>
  <r>
    <x v="1472"/>
    <n v="39"/>
    <x v="0"/>
    <s v="Hat"/>
    <x v="3"/>
    <n v="24"/>
    <x v="27"/>
    <s v="L"/>
    <s v="Turquoise"/>
    <s v="Spring"/>
    <n v="3.5"/>
    <s v="No"/>
    <s v="Store Pickup"/>
    <s v="Yes"/>
    <s v="Yes"/>
    <n v="11"/>
    <s v="Cash"/>
    <s v="Weekly"/>
    <s v="Weekly"/>
    <n v="1"/>
  </r>
  <r>
    <x v="1473"/>
    <n v="69"/>
    <x v="0"/>
    <s v="Shorts"/>
    <x v="0"/>
    <n v="63"/>
    <x v="48"/>
    <s v="M"/>
    <s v="Violet"/>
    <s v="Fall"/>
    <n v="4.3"/>
    <s v="No"/>
    <s v="Express"/>
    <s v="Yes"/>
    <s v="Yes"/>
    <n v="20"/>
    <s v="Credit Card"/>
    <s v="Every 3 Months"/>
    <s v="Quarterly"/>
    <n v="5"/>
  </r>
  <r>
    <x v="1474"/>
    <n v="31"/>
    <x v="0"/>
    <s v="Sweater"/>
    <x v="0"/>
    <n v="72"/>
    <x v="32"/>
    <s v="S"/>
    <s v="Pink"/>
    <s v="Fall"/>
    <n v="3.9"/>
    <s v="No"/>
    <s v="Next Day Air"/>
    <s v="Yes"/>
    <s v="Yes"/>
    <n v="6"/>
    <s v="Credit Card"/>
    <s v="Monthly"/>
    <s v="Monthly"/>
    <n v="4"/>
  </r>
  <r>
    <x v="1475"/>
    <n v="44"/>
    <x v="0"/>
    <s v="Blouse"/>
    <x v="0"/>
    <n v="61"/>
    <x v="3"/>
    <s v="M"/>
    <s v="Teal"/>
    <s v="Spring"/>
    <n v="4"/>
    <s v="No"/>
    <s v="Express"/>
    <s v="Yes"/>
    <s v="Yes"/>
    <n v="24"/>
    <s v="Cash"/>
    <s v="Monthly"/>
    <s v="Monthly"/>
    <n v="4"/>
  </r>
  <r>
    <x v="1476"/>
    <n v="39"/>
    <x v="0"/>
    <s v="Hat"/>
    <x v="3"/>
    <n v="56"/>
    <x v="5"/>
    <s v="M"/>
    <s v="Magenta"/>
    <s v="Fall"/>
    <n v="4.0999999999999996"/>
    <s v="No"/>
    <s v="Next Day Air"/>
    <s v="Yes"/>
    <s v="Yes"/>
    <n v="18"/>
    <s v="Credit Card"/>
    <s v="Monthly"/>
    <s v="Monthly"/>
    <n v="4"/>
  </r>
  <r>
    <x v="1477"/>
    <n v="24"/>
    <x v="0"/>
    <s v="Belt"/>
    <x v="3"/>
    <n v="32"/>
    <x v="4"/>
    <s v="XL"/>
    <s v="Silver"/>
    <s v="Summer"/>
    <n v="4.3"/>
    <s v="No"/>
    <s v="Standard"/>
    <s v="Yes"/>
    <s v="Yes"/>
    <n v="1"/>
    <s v="PayPal"/>
    <s v="Every 3 Months"/>
    <s v="Quarterly"/>
    <n v="5"/>
  </r>
  <r>
    <x v="1478"/>
    <n v="28"/>
    <x v="0"/>
    <s v="Gloves"/>
    <x v="3"/>
    <n v="23"/>
    <x v="47"/>
    <s v="M"/>
    <s v="Blue"/>
    <s v="Summer"/>
    <n v="4.2"/>
    <s v="No"/>
    <s v="Free Shipping"/>
    <s v="Yes"/>
    <s v="Yes"/>
    <n v="13"/>
    <s v="Venmo"/>
    <s v="Bi-Weekly"/>
    <s v="Bi-Weekly"/>
    <n v="2"/>
  </r>
  <r>
    <x v="1479"/>
    <n v="48"/>
    <x v="0"/>
    <s v="Coat"/>
    <x v="2"/>
    <n v="100"/>
    <x v="47"/>
    <s v="L"/>
    <s v="Black"/>
    <s v="Spring"/>
    <n v="4"/>
    <s v="No"/>
    <s v="Standard"/>
    <s v="Yes"/>
    <s v="Yes"/>
    <n v="2"/>
    <s v="Bank Transfer"/>
    <s v="Weekly"/>
    <s v="Weekly"/>
    <n v="1"/>
  </r>
  <r>
    <x v="1480"/>
    <n v="39"/>
    <x v="0"/>
    <s v="Jewelry"/>
    <x v="3"/>
    <n v="74"/>
    <x v="13"/>
    <s v="M"/>
    <s v="Gold"/>
    <s v="Fall"/>
    <n v="3.6"/>
    <s v="No"/>
    <s v="Express"/>
    <s v="Yes"/>
    <s v="Yes"/>
    <n v="26"/>
    <s v="Cash"/>
    <s v="Quarterly"/>
    <s v="Quarterly"/>
    <n v="5"/>
  </r>
  <r>
    <x v="1481"/>
    <n v="64"/>
    <x v="0"/>
    <s v="Skirt"/>
    <x v="0"/>
    <n v="33"/>
    <x v="33"/>
    <s v="S"/>
    <s v="Gray"/>
    <s v="Spring"/>
    <n v="3.3"/>
    <s v="No"/>
    <s v="Standard"/>
    <s v="Yes"/>
    <s v="Yes"/>
    <n v="31"/>
    <s v="PayPal"/>
    <s v="Quarterly"/>
    <s v="Quarterly"/>
    <n v="5"/>
  </r>
  <r>
    <x v="1482"/>
    <n v="28"/>
    <x v="0"/>
    <s v="Gloves"/>
    <x v="3"/>
    <n v="67"/>
    <x v="48"/>
    <s v="S"/>
    <s v="Magenta"/>
    <s v="Spring"/>
    <n v="4.0999999999999996"/>
    <s v="No"/>
    <s v="2-Day Shipping"/>
    <s v="Yes"/>
    <s v="Yes"/>
    <n v="43"/>
    <s v="Bank Transfer"/>
    <s v="Weekly"/>
    <s v="Weekly"/>
    <n v="1"/>
  </r>
  <r>
    <x v="1483"/>
    <n v="39"/>
    <x v="0"/>
    <s v="Jewelry"/>
    <x v="3"/>
    <n v="61"/>
    <x v="2"/>
    <s v="S"/>
    <s v="Yellow"/>
    <s v="Summer"/>
    <n v="4.7"/>
    <s v="No"/>
    <s v="Next Day Air"/>
    <s v="Yes"/>
    <s v="Yes"/>
    <n v="12"/>
    <s v="Debit Card"/>
    <s v="Bi-Weekly"/>
    <s v="Bi-Weekly"/>
    <n v="2"/>
  </r>
  <r>
    <x v="1484"/>
    <n v="49"/>
    <x v="0"/>
    <s v="Shorts"/>
    <x v="0"/>
    <n v="46"/>
    <x v="43"/>
    <s v="M"/>
    <s v="Teal"/>
    <s v="Summer"/>
    <n v="4.4000000000000004"/>
    <s v="No"/>
    <s v="Store Pickup"/>
    <s v="Yes"/>
    <s v="Yes"/>
    <n v="22"/>
    <s v="Venmo"/>
    <s v="Every 3 Months"/>
    <s v="Quarterly"/>
    <n v="5"/>
  </r>
  <r>
    <x v="1485"/>
    <n v="22"/>
    <x v="0"/>
    <s v="Gloves"/>
    <x v="3"/>
    <n v="56"/>
    <x v="43"/>
    <s v="L"/>
    <s v="Red"/>
    <s v="Spring"/>
    <n v="3.4"/>
    <s v="No"/>
    <s v="Standard"/>
    <s v="Yes"/>
    <s v="Yes"/>
    <n v="3"/>
    <s v="Cash"/>
    <s v="Fortnightly"/>
    <s v="Fortnightly"/>
    <n v="3"/>
  </r>
  <r>
    <x v="1486"/>
    <n v="25"/>
    <x v="0"/>
    <s v="Sneakers"/>
    <x v="1"/>
    <n v="73"/>
    <x v="37"/>
    <s v="S"/>
    <s v="Yellow"/>
    <s v="Spring"/>
    <n v="5"/>
    <s v="No"/>
    <s v="Free Shipping"/>
    <s v="Yes"/>
    <s v="Yes"/>
    <n v="23"/>
    <s v="Venmo"/>
    <s v="Every 3 Months"/>
    <s v="Quarterly"/>
    <n v="5"/>
  </r>
  <r>
    <x v="1487"/>
    <n v="40"/>
    <x v="0"/>
    <s v="Skirt"/>
    <x v="0"/>
    <n v="44"/>
    <x v="28"/>
    <s v="L"/>
    <s v="Black"/>
    <s v="Summer"/>
    <n v="4.5999999999999996"/>
    <s v="No"/>
    <s v="Store Pickup"/>
    <s v="Yes"/>
    <s v="Yes"/>
    <n v="26"/>
    <s v="PayPal"/>
    <s v="Annually"/>
    <s v="Annually"/>
    <n v="6"/>
  </r>
  <r>
    <x v="1488"/>
    <n v="23"/>
    <x v="0"/>
    <s v="Hat"/>
    <x v="3"/>
    <n v="44"/>
    <x v="11"/>
    <s v="L"/>
    <s v="Pink"/>
    <s v="Winter"/>
    <n v="4"/>
    <s v="No"/>
    <s v="Standard"/>
    <s v="Yes"/>
    <s v="Yes"/>
    <n v="37"/>
    <s v="Credit Card"/>
    <s v="Weekly"/>
    <s v="Weekly"/>
    <n v="1"/>
  </r>
  <r>
    <x v="1489"/>
    <n v="24"/>
    <x v="0"/>
    <s v="Jewelry"/>
    <x v="3"/>
    <n v="26"/>
    <x v="9"/>
    <s v="XL"/>
    <s v="Magenta"/>
    <s v="Summer"/>
    <n v="4.0999999999999996"/>
    <s v="No"/>
    <s v="Next Day Air"/>
    <s v="Yes"/>
    <s v="Yes"/>
    <n v="42"/>
    <s v="Venmo"/>
    <s v="Quarterly"/>
    <s v="Quarterly"/>
    <n v="5"/>
  </r>
  <r>
    <x v="1490"/>
    <n v="66"/>
    <x v="0"/>
    <s v="Sneakers"/>
    <x v="1"/>
    <n v="52"/>
    <x v="7"/>
    <s v="L"/>
    <s v="Olive"/>
    <s v="Spring"/>
    <n v="4.9000000000000004"/>
    <s v="No"/>
    <s v="Express"/>
    <s v="Yes"/>
    <s v="Yes"/>
    <n v="15"/>
    <s v="Venmo"/>
    <s v="Bi-Weekly"/>
    <s v="Bi-Weekly"/>
    <n v="2"/>
  </r>
  <r>
    <x v="1491"/>
    <n v="27"/>
    <x v="0"/>
    <s v="Shirt"/>
    <x v="0"/>
    <n v="54"/>
    <x v="10"/>
    <s v="S"/>
    <s v="Black"/>
    <s v="Summer"/>
    <n v="2.7"/>
    <s v="No"/>
    <s v="Free Shipping"/>
    <s v="Yes"/>
    <s v="Yes"/>
    <n v="10"/>
    <s v="Bank Transfer"/>
    <s v="Quarterly"/>
    <s v="Quarterly"/>
    <n v="5"/>
  </r>
  <r>
    <x v="1492"/>
    <n v="62"/>
    <x v="0"/>
    <s v="Jacket"/>
    <x v="2"/>
    <n v="38"/>
    <x v="17"/>
    <s v="M"/>
    <s v="Maroon"/>
    <s v="Summer"/>
    <n v="4.5"/>
    <s v="No"/>
    <s v="Free Shipping"/>
    <s v="Yes"/>
    <s v="Yes"/>
    <n v="3"/>
    <s v="Venmo"/>
    <s v="Quarterly"/>
    <s v="Quarterly"/>
    <n v="5"/>
  </r>
  <r>
    <x v="1493"/>
    <n v="70"/>
    <x v="0"/>
    <s v="Belt"/>
    <x v="3"/>
    <n v="44"/>
    <x v="25"/>
    <s v="S"/>
    <s v="Gold"/>
    <s v="Fall"/>
    <n v="2.7"/>
    <s v="No"/>
    <s v="Standard"/>
    <s v="Yes"/>
    <s v="Yes"/>
    <n v="44"/>
    <s v="Credit Card"/>
    <s v="Quarterly"/>
    <s v="Quarterly"/>
    <n v="5"/>
  </r>
  <r>
    <x v="1494"/>
    <n v="43"/>
    <x v="0"/>
    <s v="T-shirt"/>
    <x v="0"/>
    <n v="76"/>
    <x v="6"/>
    <s v="M"/>
    <s v="Gray"/>
    <s v="Spring"/>
    <n v="3"/>
    <s v="No"/>
    <s v="Next Day Air"/>
    <s v="Yes"/>
    <s v="Yes"/>
    <n v="23"/>
    <s v="Bank Transfer"/>
    <s v="Fortnightly"/>
    <s v="Fortnightly"/>
    <n v="3"/>
  </r>
  <r>
    <x v="1495"/>
    <n v="45"/>
    <x v="0"/>
    <s v="Jewelry"/>
    <x v="3"/>
    <n v="23"/>
    <x v="3"/>
    <s v="M"/>
    <s v="Brown"/>
    <s v="Winter"/>
    <n v="4.5"/>
    <s v="No"/>
    <s v="Next Day Air"/>
    <s v="Yes"/>
    <s v="Yes"/>
    <n v="6"/>
    <s v="PayPal"/>
    <s v="Weekly"/>
    <s v="Weekly"/>
    <n v="1"/>
  </r>
  <r>
    <x v="1496"/>
    <n v="63"/>
    <x v="0"/>
    <s v="T-shirt"/>
    <x v="0"/>
    <n v="98"/>
    <x v="37"/>
    <s v="M"/>
    <s v="Purple"/>
    <s v="Winter"/>
    <n v="5"/>
    <s v="No"/>
    <s v="Standard"/>
    <s v="Yes"/>
    <s v="Yes"/>
    <n v="9"/>
    <s v="Venmo"/>
    <s v="Bi-Weekly"/>
    <s v="Bi-Weekly"/>
    <n v="2"/>
  </r>
  <r>
    <x v="1497"/>
    <n v="69"/>
    <x v="0"/>
    <s v="Jacket"/>
    <x v="2"/>
    <n v="33"/>
    <x v="49"/>
    <s v="S"/>
    <s v="Magenta"/>
    <s v="Spring"/>
    <n v="3.8"/>
    <s v="No"/>
    <s v="2-Day Shipping"/>
    <s v="Yes"/>
    <s v="Yes"/>
    <n v="16"/>
    <s v="Debit Card"/>
    <s v="Every 3 Months"/>
    <s v="Quarterly"/>
    <n v="5"/>
  </r>
  <r>
    <x v="1498"/>
    <n v="59"/>
    <x v="0"/>
    <s v="Sweater"/>
    <x v="0"/>
    <n v="32"/>
    <x v="26"/>
    <s v="M"/>
    <s v="Teal"/>
    <s v="Summer"/>
    <n v="3.1"/>
    <s v="No"/>
    <s v="Standard"/>
    <s v="Yes"/>
    <s v="Yes"/>
    <n v="46"/>
    <s v="Venmo"/>
    <s v="Fortnightly"/>
    <s v="Fortnightly"/>
    <n v="3"/>
  </r>
  <r>
    <x v="1499"/>
    <n v="19"/>
    <x v="0"/>
    <s v="Boots"/>
    <x v="1"/>
    <n v="85"/>
    <x v="42"/>
    <s v="S"/>
    <s v="Olive"/>
    <s v="Fall"/>
    <n v="3.4"/>
    <s v="No"/>
    <s v="Free Shipping"/>
    <s v="Yes"/>
    <s v="Yes"/>
    <n v="24"/>
    <s v="Credit Card"/>
    <s v="Every 3 Months"/>
    <s v="Quarterly"/>
    <n v="5"/>
  </r>
  <r>
    <x v="1500"/>
    <n v="63"/>
    <x v="0"/>
    <s v="Jeans"/>
    <x v="0"/>
    <n v="69"/>
    <x v="15"/>
    <s v="L"/>
    <s v="Maroon"/>
    <s v="Summer"/>
    <n v="4.8"/>
    <s v="No"/>
    <s v="Next Day Air"/>
    <s v="Yes"/>
    <s v="Yes"/>
    <n v="22"/>
    <s v="Debit Card"/>
    <s v="Monthly"/>
    <s v="Monthly"/>
    <n v="4"/>
  </r>
  <r>
    <x v="1501"/>
    <n v="37"/>
    <x v="0"/>
    <s v="Jeans"/>
    <x v="0"/>
    <n v="55"/>
    <x v="29"/>
    <s v="XL"/>
    <s v="Silver"/>
    <s v="Spring"/>
    <n v="2.7"/>
    <s v="No"/>
    <s v="Standard"/>
    <s v="Yes"/>
    <s v="Yes"/>
    <n v="13"/>
    <s v="Debit Card"/>
    <s v="Every 3 Months"/>
    <s v="Quarterly"/>
    <n v="5"/>
  </r>
  <r>
    <x v="1502"/>
    <n v="37"/>
    <x v="0"/>
    <s v="Pants"/>
    <x v="0"/>
    <n v="66"/>
    <x v="2"/>
    <s v="M"/>
    <s v="Black"/>
    <s v="Summer"/>
    <n v="3.2"/>
    <s v="No"/>
    <s v="Store Pickup"/>
    <s v="Yes"/>
    <s v="Yes"/>
    <n v="20"/>
    <s v="Cash"/>
    <s v="Fortnightly"/>
    <s v="Fortnightly"/>
    <n v="3"/>
  </r>
  <r>
    <x v="1503"/>
    <n v="50"/>
    <x v="0"/>
    <s v="Jacket"/>
    <x v="2"/>
    <n v="30"/>
    <x v="49"/>
    <s v="M"/>
    <s v="Maroon"/>
    <s v="Fall"/>
    <n v="3.9"/>
    <s v="No"/>
    <s v="2-Day Shipping"/>
    <s v="Yes"/>
    <s v="Yes"/>
    <n v="46"/>
    <s v="Cash"/>
    <s v="Quarterly"/>
    <s v="Quarterly"/>
    <n v="5"/>
  </r>
  <r>
    <x v="1504"/>
    <n v="60"/>
    <x v="0"/>
    <s v="Jacket"/>
    <x v="2"/>
    <n v="80"/>
    <x v="29"/>
    <s v="M"/>
    <s v="Teal"/>
    <s v="Winter"/>
    <n v="4.2"/>
    <s v="No"/>
    <s v="Next Day Air"/>
    <s v="Yes"/>
    <s v="Yes"/>
    <n v="10"/>
    <s v="Bank Transfer"/>
    <s v="Monthly"/>
    <s v="Monthly"/>
    <n v="4"/>
  </r>
  <r>
    <x v="1505"/>
    <n v="46"/>
    <x v="0"/>
    <s v="Belt"/>
    <x v="3"/>
    <n v="20"/>
    <x v="25"/>
    <s v="M"/>
    <s v="Teal"/>
    <s v="Summer"/>
    <n v="3"/>
    <s v="No"/>
    <s v="Express"/>
    <s v="Yes"/>
    <s v="Yes"/>
    <n v="39"/>
    <s v="Cash"/>
    <s v="Monthly"/>
    <s v="Monthly"/>
    <n v="4"/>
  </r>
  <r>
    <x v="1506"/>
    <n v="35"/>
    <x v="0"/>
    <s v="Shirt"/>
    <x v="0"/>
    <n v="30"/>
    <x v="36"/>
    <s v="L"/>
    <s v="Beige"/>
    <s v="Fall"/>
    <n v="3"/>
    <s v="No"/>
    <s v="2-Day Shipping"/>
    <s v="Yes"/>
    <s v="Yes"/>
    <n v="44"/>
    <s v="PayPal"/>
    <s v="Quarterly"/>
    <s v="Quarterly"/>
    <n v="5"/>
  </r>
  <r>
    <x v="1507"/>
    <n v="66"/>
    <x v="0"/>
    <s v="Dress"/>
    <x v="0"/>
    <n v="86"/>
    <x v="38"/>
    <s v="S"/>
    <s v="Maroon"/>
    <s v="Winter"/>
    <n v="3.7"/>
    <s v="No"/>
    <s v="2-Day Shipping"/>
    <s v="Yes"/>
    <s v="Yes"/>
    <n v="7"/>
    <s v="Venmo"/>
    <s v="Annually"/>
    <s v="Annually"/>
    <n v="6"/>
  </r>
  <r>
    <x v="1508"/>
    <n v="35"/>
    <x v="0"/>
    <s v="Blouse"/>
    <x v="0"/>
    <n v="84"/>
    <x v="24"/>
    <s v="L"/>
    <s v="Beige"/>
    <s v="Spring"/>
    <n v="4.4000000000000004"/>
    <s v="No"/>
    <s v="Store Pickup"/>
    <s v="Yes"/>
    <s v="Yes"/>
    <n v="3"/>
    <s v="Cash"/>
    <s v="Every 3 Months"/>
    <s v="Quarterly"/>
    <n v="5"/>
  </r>
  <r>
    <x v="1509"/>
    <n v="20"/>
    <x v="0"/>
    <s v="Dress"/>
    <x v="0"/>
    <n v="54"/>
    <x v="13"/>
    <s v="XL"/>
    <s v="White"/>
    <s v="Summer"/>
    <n v="4.5999999999999996"/>
    <s v="No"/>
    <s v="Free Shipping"/>
    <s v="Yes"/>
    <s v="Yes"/>
    <n v="44"/>
    <s v="Debit Card"/>
    <s v="Annually"/>
    <s v="Annually"/>
    <n v="6"/>
  </r>
  <r>
    <x v="1510"/>
    <n v="55"/>
    <x v="0"/>
    <s v="Blouse"/>
    <x v="0"/>
    <n v="30"/>
    <x v="33"/>
    <s v="XL"/>
    <s v="Gray"/>
    <s v="Fall"/>
    <n v="3"/>
    <s v="No"/>
    <s v="Free Shipping"/>
    <s v="Yes"/>
    <s v="Yes"/>
    <n v="31"/>
    <s v="Venmo"/>
    <s v="Annually"/>
    <s v="Annually"/>
    <n v="6"/>
  </r>
  <r>
    <x v="1511"/>
    <n v="34"/>
    <x v="0"/>
    <s v="Dress"/>
    <x v="0"/>
    <n v="91"/>
    <x v="42"/>
    <s v="M"/>
    <s v="Violet"/>
    <s v="Winter"/>
    <n v="3.6"/>
    <s v="No"/>
    <s v="Express"/>
    <s v="Yes"/>
    <s v="Yes"/>
    <n v="48"/>
    <s v="Credit Card"/>
    <s v="Weekly"/>
    <s v="Weekly"/>
    <n v="1"/>
  </r>
  <r>
    <x v="1512"/>
    <n v="60"/>
    <x v="0"/>
    <s v="Sneakers"/>
    <x v="1"/>
    <n v="23"/>
    <x v="48"/>
    <s v="L"/>
    <s v="Silver"/>
    <s v="Winter"/>
    <n v="3.9"/>
    <s v="No"/>
    <s v="Standard"/>
    <s v="Yes"/>
    <s v="Yes"/>
    <n v="18"/>
    <s v="PayPal"/>
    <s v="Bi-Weekly"/>
    <s v="Bi-Weekly"/>
    <n v="2"/>
  </r>
  <r>
    <x v="1513"/>
    <n v="22"/>
    <x v="0"/>
    <s v="Socks"/>
    <x v="0"/>
    <n v="35"/>
    <x v="21"/>
    <s v="M"/>
    <s v="Red"/>
    <s v="Spring"/>
    <n v="4.0999999999999996"/>
    <s v="No"/>
    <s v="Free Shipping"/>
    <s v="Yes"/>
    <s v="Yes"/>
    <n v="27"/>
    <s v="Cash"/>
    <s v="Monthly"/>
    <s v="Monthly"/>
    <n v="4"/>
  </r>
  <r>
    <x v="1514"/>
    <n v="26"/>
    <x v="0"/>
    <s v="Shoes"/>
    <x v="1"/>
    <n v="90"/>
    <x v="40"/>
    <s v="L"/>
    <s v="Brown"/>
    <s v="Winter"/>
    <n v="3.9"/>
    <s v="No"/>
    <s v="2-Day Shipping"/>
    <s v="Yes"/>
    <s v="Yes"/>
    <n v="1"/>
    <s v="Venmo"/>
    <s v="Weekly"/>
    <s v="Weekly"/>
    <n v="1"/>
  </r>
  <r>
    <x v="1515"/>
    <n v="39"/>
    <x v="0"/>
    <s v="Jeans"/>
    <x v="0"/>
    <n v="93"/>
    <x v="27"/>
    <s v="S"/>
    <s v="Turquoise"/>
    <s v="Fall"/>
    <n v="3.9"/>
    <s v="No"/>
    <s v="2-Day Shipping"/>
    <s v="Yes"/>
    <s v="Yes"/>
    <n v="34"/>
    <s v="Cash"/>
    <s v="Weekly"/>
    <s v="Weekly"/>
    <n v="1"/>
  </r>
  <r>
    <x v="1516"/>
    <n v="20"/>
    <x v="0"/>
    <s v="Jeans"/>
    <x v="0"/>
    <n v="68"/>
    <x v="22"/>
    <s v="L"/>
    <s v="Indigo"/>
    <s v="Winter"/>
    <n v="4.5"/>
    <s v="No"/>
    <s v="Express"/>
    <s v="Yes"/>
    <s v="Yes"/>
    <n v="5"/>
    <s v="Bank Transfer"/>
    <s v="Bi-Weekly"/>
    <s v="Bi-Weekly"/>
    <n v="2"/>
  </r>
  <r>
    <x v="1517"/>
    <n v="57"/>
    <x v="0"/>
    <s v="Gloves"/>
    <x v="3"/>
    <n v="41"/>
    <x v="13"/>
    <s v="M"/>
    <s v="Violet"/>
    <s v="Spring"/>
    <n v="3.4"/>
    <s v="No"/>
    <s v="Standard"/>
    <s v="Yes"/>
    <s v="Yes"/>
    <n v="12"/>
    <s v="Cash"/>
    <s v="Quarterly"/>
    <s v="Quarterly"/>
    <n v="5"/>
  </r>
  <r>
    <x v="1518"/>
    <n v="68"/>
    <x v="0"/>
    <s v="Belt"/>
    <x v="3"/>
    <n v="73"/>
    <x v="14"/>
    <s v="M"/>
    <s v="Yellow"/>
    <s v="Winter"/>
    <n v="4.0999999999999996"/>
    <s v="No"/>
    <s v="Next Day Air"/>
    <s v="Yes"/>
    <s v="Yes"/>
    <n v="14"/>
    <s v="Venmo"/>
    <s v="Fortnightly"/>
    <s v="Fortnightly"/>
    <n v="3"/>
  </r>
  <r>
    <x v="1519"/>
    <n v="50"/>
    <x v="0"/>
    <s v="Sunglasses"/>
    <x v="3"/>
    <n v="73"/>
    <x v="21"/>
    <s v="L"/>
    <s v="Cyan"/>
    <s v="Fall"/>
    <n v="4.9000000000000004"/>
    <s v="No"/>
    <s v="Next Day Air"/>
    <s v="Yes"/>
    <s v="Yes"/>
    <n v="40"/>
    <s v="PayPal"/>
    <s v="Weekly"/>
    <s v="Weekly"/>
    <n v="1"/>
  </r>
  <r>
    <x v="1520"/>
    <n v="21"/>
    <x v="0"/>
    <s v="Hat"/>
    <x v="3"/>
    <n v="66"/>
    <x v="44"/>
    <s v="M"/>
    <s v="Brown"/>
    <s v="Summer"/>
    <n v="4.4000000000000004"/>
    <s v="No"/>
    <s v="2-Day Shipping"/>
    <s v="Yes"/>
    <s v="Yes"/>
    <n v="39"/>
    <s v="Cash"/>
    <s v="Quarterly"/>
    <s v="Quarterly"/>
    <n v="5"/>
  </r>
  <r>
    <x v="1521"/>
    <n v="29"/>
    <x v="0"/>
    <s v="Backpack"/>
    <x v="3"/>
    <n v="59"/>
    <x v="47"/>
    <s v="M"/>
    <s v="White"/>
    <s v="Summer"/>
    <n v="2.7"/>
    <s v="No"/>
    <s v="2-Day Shipping"/>
    <s v="Yes"/>
    <s v="Yes"/>
    <n v="50"/>
    <s v="Bank Transfer"/>
    <s v="Weekly"/>
    <s v="Weekly"/>
    <n v="1"/>
  </r>
  <r>
    <x v="1522"/>
    <n v="38"/>
    <x v="0"/>
    <s v="Shorts"/>
    <x v="0"/>
    <n v="72"/>
    <x v="30"/>
    <s v="L"/>
    <s v="Yellow"/>
    <s v="Spring"/>
    <n v="4.8"/>
    <s v="No"/>
    <s v="Free Shipping"/>
    <s v="Yes"/>
    <s v="Yes"/>
    <n v="5"/>
    <s v="Debit Card"/>
    <s v="Monthly"/>
    <s v="Monthly"/>
    <n v="4"/>
  </r>
  <r>
    <x v="1523"/>
    <n v="54"/>
    <x v="0"/>
    <s v="Socks"/>
    <x v="0"/>
    <n v="88"/>
    <x v="42"/>
    <s v="M"/>
    <s v="White"/>
    <s v="Summer"/>
    <n v="3.3"/>
    <s v="No"/>
    <s v="2-Day Shipping"/>
    <s v="Yes"/>
    <s v="Yes"/>
    <n v="35"/>
    <s v="Debit Card"/>
    <s v="Annually"/>
    <s v="Annually"/>
    <n v="6"/>
  </r>
  <r>
    <x v="1524"/>
    <n v="22"/>
    <x v="0"/>
    <s v="Socks"/>
    <x v="0"/>
    <n v="76"/>
    <x v="2"/>
    <s v="L"/>
    <s v="Pink"/>
    <s v="Summer"/>
    <n v="4.4000000000000004"/>
    <s v="No"/>
    <s v="Free Shipping"/>
    <s v="Yes"/>
    <s v="Yes"/>
    <n v="6"/>
    <s v="Cash"/>
    <s v="Bi-Weekly"/>
    <s v="Bi-Weekly"/>
    <n v="2"/>
  </r>
  <r>
    <x v="1525"/>
    <n v="29"/>
    <x v="0"/>
    <s v="Belt"/>
    <x v="3"/>
    <n v="31"/>
    <x v="4"/>
    <s v="M"/>
    <s v="Indigo"/>
    <s v="Winter"/>
    <n v="4.5999999999999996"/>
    <s v="No"/>
    <s v="2-Day Shipping"/>
    <s v="Yes"/>
    <s v="Yes"/>
    <n v="22"/>
    <s v="Cash"/>
    <s v="Fortnightly"/>
    <s v="Fortnightly"/>
    <n v="3"/>
  </r>
  <r>
    <x v="1526"/>
    <n v="41"/>
    <x v="0"/>
    <s v="Jacket"/>
    <x v="2"/>
    <n v="22"/>
    <x v="19"/>
    <s v="L"/>
    <s v="White"/>
    <s v="Summer"/>
    <n v="3.1"/>
    <s v="No"/>
    <s v="Next Day Air"/>
    <s v="Yes"/>
    <s v="Yes"/>
    <n v="27"/>
    <s v="PayPal"/>
    <s v="Monthly"/>
    <s v="Monthly"/>
    <n v="4"/>
  </r>
  <r>
    <x v="1527"/>
    <n v="26"/>
    <x v="0"/>
    <s v="Hat"/>
    <x v="3"/>
    <n v="75"/>
    <x v="48"/>
    <s v="L"/>
    <s v="Red"/>
    <s v="Fall"/>
    <n v="4.5"/>
    <s v="No"/>
    <s v="2-Day Shipping"/>
    <s v="Yes"/>
    <s v="Yes"/>
    <n v="33"/>
    <s v="Debit Card"/>
    <s v="Fortnightly"/>
    <s v="Fortnightly"/>
    <n v="3"/>
  </r>
  <r>
    <x v="1528"/>
    <n v="69"/>
    <x v="0"/>
    <s v="T-shirt"/>
    <x v="0"/>
    <n v="75"/>
    <x v="4"/>
    <s v="S"/>
    <s v="Red"/>
    <s v="Spring"/>
    <n v="4"/>
    <s v="No"/>
    <s v="Store Pickup"/>
    <s v="Yes"/>
    <s v="Yes"/>
    <n v="47"/>
    <s v="Venmo"/>
    <s v="Bi-Weekly"/>
    <s v="Bi-Weekly"/>
    <n v="2"/>
  </r>
  <r>
    <x v="1529"/>
    <n v="20"/>
    <x v="0"/>
    <s v="Backpack"/>
    <x v="3"/>
    <n v="63"/>
    <x v="42"/>
    <s v="M"/>
    <s v="Lavender"/>
    <s v="Winter"/>
    <n v="3.1"/>
    <s v="No"/>
    <s v="Free Shipping"/>
    <s v="Yes"/>
    <s v="Yes"/>
    <n v="48"/>
    <s v="Credit Card"/>
    <s v="Bi-Weekly"/>
    <s v="Bi-Weekly"/>
    <n v="2"/>
  </r>
  <r>
    <x v="1530"/>
    <n v="59"/>
    <x v="0"/>
    <s v="Coat"/>
    <x v="2"/>
    <n v="21"/>
    <x v="35"/>
    <s v="M"/>
    <s v="Teal"/>
    <s v="Spring"/>
    <n v="3.9"/>
    <s v="No"/>
    <s v="Next Day Air"/>
    <s v="Yes"/>
    <s v="Yes"/>
    <n v="22"/>
    <s v="Bank Transfer"/>
    <s v="Quarterly"/>
    <s v="Quarterly"/>
    <n v="5"/>
  </r>
  <r>
    <x v="1531"/>
    <n v="63"/>
    <x v="0"/>
    <s v="Backpack"/>
    <x v="3"/>
    <n v="83"/>
    <x v="16"/>
    <s v="S"/>
    <s v="Violet"/>
    <s v="Spring"/>
    <n v="4.5"/>
    <s v="No"/>
    <s v="Next Day Air"/>
    <s v="Yes"/>
    <s v="Yes"/>
    <n v="8"/>
    <s v="PayPal"/>
    <s v="Bi-Weekly"/>
    <s v="Bi-Weekly"/>
    <n v="2"/>
  </r>
  <r>
    <x v="1532"/>
    <n v="68"/>
    <x v="0"/>
    <s v="Jacket"/>
    <x v="2"/>
    <n v="46"/>
    <x v="48"/>
    <s v="S"/>
    <s v="Silver"/>
    <s v="Winter"/>
    <n v="4.4000000000000004"/>
    <s v="No"/>
    <s v="Next Day Air"/>
    <s v="Yes"/>
    <s v="Yes"/>
    <n v="5"/>
    <s v="PayPal"/>
    <s v="Every 3 Months"/>
    <s v="Quarterly"/>
    <n v="5"/>
  </r>
  <r>
    <x v="1533"/>
    <n v="50"/>
    <x v="0"/>
    <s v="Shoes"/>
    <x v="1"/>
    <n v="59"/>
    <x v="13"/>
    <s v="M"/>
    <s v="Gold"/>
    <s v="Summer"/>
    <n v="3.6"/>
    <s v="No"/>
    <s v="2-Day Shipping"/>
    <s v="Yes"/>
    <s v="Yes"/>
    <n v="16"/>
    <s v="Bank Transfer"/>
    <s v="Quarterly"/>
    <s v="Quarterly"/>
    <n v="5"/>
  </r>
  <r>
    <x v="1534"/>
    <n v="55"/>
    <x v="0"/>
    <s v="Blouse"/>
    <x v="0"/>
    <n v="66"/>
    <x v="5"/>
    <s v="M"/>
    <s v="Green"/>
    <s v="Summer"/>
    <n v="3.4"/>
    <s v="No"/>
    <s v="Free Shipping"/>
    <s v="Yes"/>
    <s v="Yes"/>
    <n v="26"/>
    <s v="Venmo"/>
    <s v="Fortnightly"/>
    <s v="Fortnightly"/>
    <n v="3"/>
  </r>
  <r>
    <x v="1535"/>
    <n v="36"/>
    <x v="0"/>
    <s v="Sandals"/>
    <x v="1"/>
    <n v="74"/>
    <x v="8"/>
    <s v="S"/>
    <s v="Turquoise"/>
    <s v="Fall"/>
    <n v="4"/>
    <s v="No"/>
    <s v="2-Day Shipping"/>
    <s v="Yes"/>
    <s v="Yes"/>
    <n v="8"/>
    <s v="Venmo"/>
    <s v="Monthly"/>
    <s v="Monthly"/>
    <n v="4"/>
  </r>
  <r>
    <x v="1536"/>
    <n v="18"/>
    <x v="0"/>
    <s v="Sunglasses"/>
    <x v="3"/>
    <n v="82"/>
    <x v="49"/>
    <s v="M"/>
    <s v="Indigo"/>
    <s v="Summer"/>
    <n v="2.6"/>
    <s v="No"/>
    <s v="Store Pickup"/>
    <s v="Yes"/>
    <s v="Yes"/>
    <n v="17"/>
    <s v="Cash"/>
    <s v="Quarterly"/>
    <s v="Quarterly"/>
    <n v="5"/>
  </r>
  <r>
    <x v="1537"/>
    <n v="68"/>
    <x v="0"/>
    <s v="Shoes"/>
    <x v="1"/>
    <n v="89"/>
    <x v="29"/>
    <s v="L"/>
    <s v="Black"/>
    <s v="Spring"/>
    <n v="3.2"/>
    <s v="No"/>
    <s v="Next Day Air"/>
    <s v="Yes"/>
    <s v="Yes"/>
    <n v="50"/>
    <s v="Venmo"/>
    <s v="Annually"/>
    <s v="Annually"/>
    <n v="6"/>
  </r>
  <r>
    <x v="1538"/>
    <n v="56"/>
    <x v="0"/>
    <s v="Dress"/>
    <x v="0"/>
    <n v="65"/>
    <x v="26"/>
    <s v="L"/>
    <s v="Charcoal"/>
    <s v="Fall"/>
    <n v="3.2"/>
    <s v="No"/>
    <s v="Standard"/>
    <s v="Yes"/>
    <s v="Yes"/>
    <n v="22"/>
    <s v="Venmo"/>
    <s v="Bi-Weekly"/>
    <s v="Bi-Weekly"/>
    <n v="2"/>
  </r>
  <r>
    <x v="1539"/>
    <n v="32"/>
    <x v="0"/>
    <s v="Belt"/>
    <x v="3"/>
    <n v="55"/>
    <x v="11"/>
    <s v="M"/>
    <s v="Turquoise"/>
    <s v="Spring"/>
    <n v="5"/>
    <s v="No"/>
    <s v="2-Day Shipping"/>
    <s v="Yes"/>
    <s v="Yes"/>
    <n v="19"/>
    <s v="Cash"/>
    <s v="Every 3 Months"/>
    <s v="Quarterly"/>
    <n v="5"/>
  </r>
  <r>
    <x v="1540"/>
    <n v="28"/>
    <x v="0"/>
    <s v="Shorts"/>
    <x v="0"/>
    <n v="95"/>
    <x v="24"/>
    <s v="M"/>
    <s v="Red"/>
    <s v="Winter"/>
    <n v="2.9"/>
    <s v="No"/>
    <s v="Next Day Air"/>
    <s v="Yes"/>
    <s v="Yes"/>
    <n v="14"/>
    <s v="Bank Transfer"/>
    <s v="Monthly"/>
    <s v="Monthly"/>
    <n v="4"/>
  </r>
  <r>
    <x v="1541"/>
    <n v="24"/>
    <x v="0"/>
    <s v="Handbag"/>
    <x v="3"/>
    <n v="77"/>
    <x v="26"/>
    <s v="S"/>
    <s v="Indigo"/>
    <s v="Winter"/>
    <n v="2.9"/>
    <s v="No"/>
    <s v="Store Pickup"/>
    <s v="Yes"/>
    <s v="Yes"/>
    <n v="35"/>
    <s v="Cash"/>
    <s v="Bi-Weekly"/>
    <s v="Bi-Weekly"/>
    <n v="2"/>
  </r>
  <r>
    <x v="1542"/>
    <n v="59"/>
    <x v="0"/>
    <s v="Blouse"/>
    <x v="0"/>
    <n v="44"/>
    <x v="11"/>
    <s v="M"/>
    <s v="Maroon"/>
    <s v="Winter"/>
    <n v="3.5"/>
    <s v="No"/>
    <s v="Next Day Air"/>
    <s v="Yes"/>
    <s v="Yes"/>
    <n v="43"/>
    <s v="PayPal"/>
    <s v="Weekly"/>
    <s v="Weekly"/>
    <n v="1"/>
  </r>
  <r>
    <x v="1543"/>
    <n v="56"/>
    <x v="0"/>
    <s v="Jeans"/>
    <x v="0"/>
    <n v="89"/>
    <x v="48"/>
    <s v="M"/>
    <s v="Indigo"/>
    <s v="Fall"/>
    <n v="4"/>
    <s v="No"/>
    <s v="Standard"/>
    <s v="Yes"/>
    <s v="Yes"/>
    <n v="24"/>
    <s v="Venmo"/>
    <s v="Annually"/>
    <s v="Annually"/>
    <n v="6"/>
  </r>
  <r>
    <x v="1544"/>
    <n v="30"/>
    <x v="0"/>
    <s v="Jewelry"/>
    <x v="3"/>
    <n v="24"/>
    <x v="10"/>
    <s v="M"/>
    <s v="Maroon"/>
    <s v="Spring"/>
    <n v="3.9"/>
    <s v="No"/>
    <s v="Standard"/>
    <s v="Yes"/>
    <s v="Yes"/>
    <n v="17"/>
    <s v="Debit Card"/>
    <s v="Bi-Weekly"/>
    <s v="Bi-Weekly"/>
    <n v="2"/>
  </r>
  <r>
    <x v="1545"/>
    <n v="48"/>
    <x v="0"/>
    <s v="Belt"/>
    <x v="3"/>
    <n v="43"/>
    <x v="12"/>
    <s v="M"/>
    <s v="Black"/>
    <s v="Winter"/>
    <n v="4.9000000000000004"/>
    <s v="No"/>
    <s v="Store Pickup"/>
    <s v="Yes"/>
    <s v="Yes"/>
    <n v="49"/>
    <s v="Bank Transfer"/>
    <s v="Annually"/>
    <s v="Annually"/>
    <n v="6"/>
  </r>
  <r>
    <x v="1546"/>
    <n v="60"/>
    <x v="0"/>
    <s v="Sneakers"/>
    <x v="1"/>
    <n v="51"/>
    <x v="4"/>
    <s v="XL"/>
    <s v="Purple"/>
    <s v="Summer"/>
    <n v="3.8"/>
    <s v="No"/>
    <s v="Express"/>
    <s v="Yes"/>
    <s v="Yes"/>
    <n v="17"/>
    <s v="Bank Transfer"/>
    <s v="Annually"/>
    <s v="Annually"/>
    <n v="6"/>
  </r>
  <r>
    <x v="1547"/>
    <n v="46"/>
    <x v="0"/>
    <s v="Hat"/>
    <x v="3"/>
    <n v="46"/>
    <x v="36"/>
    <s v="L"/>
    <s v="Teal"/>
    <s v="Summer"/>
    <n v="3.5"/>
    <s v="No"/>
    <s v="Standard"/>
    <s v="Yes"/>
    <s v="Yes"/>
    <n v="40"/>
    <s v="Cash"/>
    <s v="Quarterly"/>
    <s v="Quarterly"/>
    <n v="5"/>
  </r>
  <r>
    <x v="1548"/>
    <n v="69"/>
    <x v="0"/>
    <s v="Dress"/>
    <x v="0"/>
    <n v="32"/>
    <x v="33"/>
    <s v="M"/>
    <s v="Silver"/>
    <s v="Summer"/>
    <n v="3.7"/>
    <s v="No"/>
    <s v="Store Pickup"/>
    <s v="Yes"/>
    <s v="Yes"/>
    <n v="43"/>
    <s v="Bank Transfer"/>
    <s v="Weekly"/>
    <s v="Weekly"/>
    <n v="1"/>
  </r>
  <r>
    <x v="1549"/>
    <n v="19"/>
    <x v="0"/>
    <s v="Sneakers"/>
    <x v="1"/>
    <n v="55"/>
    <x v="23"/>
    <s v="M"/>
    <s v="Black"/>
    <s v="Spring"/>
    <n v="2.9"/>
    <s v="No"/>
    <s v="2-Day Shipping"/>
    <s v="Yes"/>
    <s v="Yes"/>
    <n v="19"/>
    <s v="Debit Card"/>
    <s v="Every 3 Months"/>
    <s v="Quarterly"/>
    <n v="5"/>
  </r>
  <r>
    <x v="1550"/>
    <n v="66"/>
    <x v="0"/>
    <s v="Sunglasses"/>
    <x v="3"/>
    <n v="26"/>
    <x v="10"/>
    <s v="S"/>
    <s v="Black"/>
    <s v="Summer"/>
    <n v="2.8"/>
    <s v="No"/>
    <s v="Free Shipping"/>
    <s v="Yes"/>
    <s v="Yes"/>
    <n v="40"/>
    <s v="Bank Transfer"/>
    <s v="Quarterly"/>
    <s v="Quarterly"/>
    <n v="5"/>
  </r>
  <r>
    <x v="1551"/>
    <n v="64"/>
    <x v="0"/>
    <s v="Handbag"/>
    <x v="3"/>
    <n v="29"/>
    <x v="46"/>
    <s v="M"/>
    <s v="Olive"/>
    <s v="Summer"/>
    <n v="3.7"/>
    <s v="No"/>
    <s v="2-Day Shipping"/>
    <s v="Yes"/>
    <s v="Yes"/>
    <n v="13"/>
    <s v="Credit Card"/>
    <s v="Monthly"/>
    <s v="Monthly"/>
    <n v="4"/>
  </r>
  <r>
    <x v="1552"/>
    <n v="54"/>
    <x v="0"/>
    <s v="Blouse"/>
    <x v="0"/>
    <n v="49"/>
    <x v="35"/>
    <s v="L"/>
    <s v="Purple"/>
    <s v="Spring"/>
    <n v="3"/>
    <s v="No"/>
    <s v="Express"/>
    <s v="Yes"/>
    <s v="Yes"/>
    <n v="20"/>
    <s v="Credit Card"/>
    <s v="Monthly"/>
    <s v="Monthly"/>
    <n v="4"/>
  </r>
  <r>
    <x v="1553"/>
    <n v="27"/>
    <x v="0"/>
    <s v="Blouse"/>
    <x v="0"/>
    <n v="45"/>
    <x v="12"/>
    <s v="M"/>
    <s v="Indigo"/>
    <s v="Spring"/>
    <n v="4.8"/>
    <s v="No"/>
    <s v="Free Shipping"/>
    <s v="Yes"/>
    <s v="Yes"/>
    <n v="21"/>
    <s v="Debit Card"/>
    <s v="Quarterly"/>
    <s v="Quarterly"/>
    <n v="5"/>
  </r>
  <r>
    <x v="1554"/>
    <n v="64"/>
    <x v="0"/>
    <s v="Shorts"/>
    <x v="0"/>
    <n v="48"/>
    <x v="40"/>
    <s v="S"/>
    <s v="Lavender"/>
    <s v="Winter"/>
    <n v="2.7"/>
    <s v="No"/>
    <s v="Standard"/>
    <s v="Yes"/>
    <s v="Yes"/>
    <n v="18"/>
    <s v="Cash"/>
    <s v="Bi-Weekly"/>
    <s v="Bi-Weekly"/>
    <n v="2"/>
  </r>
  <r>
    <x v="1555"/>
    <n v="43"/>
    <x v="0"/>
    <s v="Shorts"/>
    <x v="0"/>
    <n v="47"/>
    <x v="31"/>
    <s v="S"/>
    <s v="Cyan"/>
    <s v="Winter"/>
    <n v="4.5"/>
    <s v="No"/>
    <s v="Free Shipping"/>
    <s v="Yes"/>
    <s v="Yes"/>
    <n v="44"/>
    <s v="Cash"/>
    <s v="Quarterly"/>
    <s v="Quarterly"/>
    <n v="5"/>
  </r>
  <r>
    <x v="1556"/>
    <n v="43"/>
    <x v="0"/>
    <s v="Hoodie"/>
    <x v="0"/>
    <n v="57"/>
    <x v="15"/>
    <s v="M"/>
    <s v="Gold"/>
    <s v="Fall"/>
    <n v="2.7"/>
    <s v="No"/>
    <s v="Standard"/>
    <s v="Yes"/>
    <s v="Yes"/>
    <n v="26"/>
    <s v="Credit Card"/>
    <s v="Quarterly"/>
    <s v="Quarterly"/>
    <n v="5"/>
  </r>
  <r>
    <x v="1557"/>
    <n v="27"/>
    <x v="0"/>
    <s v="Backpack"/>
    <x v="3"/>
    <n v="34"/>
    <x v="45"/>
    <s v="L"/>
    <s v="Magenta"/>
    <s v="Fall"/>
    <n v="3.5"/>
    <s v="No"/>
    <s v="Next Day Air"/>
    <s v="Yes"/>
    <s v="Yes"/>
    <n v="34"/>
    <s v="PayPal"/>
    <s v="Quarterly"/>
    <s v="Quarterly"/>
    <n v="5"/>
  </r>
  <r>
    <x v="1558"/>
    <n v="35"/>
    <x v="0"/>
    <s v="Sunglasses"/>
    <x v="3"/>
    <n v="75"/>
    <x v="35"/>
    <s v="XL"/>
    <s v="Teal"/>
    <s v="Fall"/>
    <n v="3.5"/>
    <s v="No"/>
    <s v="Express"/>
    <s v="Yes"/>
    <s v="Yes"/>
    <n v="24"/>
    <s v="Credit Card"/>
    <s v="Every 3 Months"/>
    <s v="Quarterly"/>
    <n v="5"/>
  </r>
  <r>
    <x v="1559"/>
    <n v="43"/>
    <x v="0"/>
    <s v="Scarf"/>
    <x v="3"/>
    <n v="94"/>
    <x v="4"/>
    <s v="L"/>
    <s v="Beige"/>
    <s v="Fall"/>
    <n v="4.5"/>
    <s v="No"/>
    <s v="Store Pickup"/>
    <s v="Yes"/>
    <s v="Yes"/>
    <n v="23"/>
    <s v="PayPal"/>
    <s v="Fortnightly"/>
    <s v="Fortnightly"/>
    <n v="3"/>
  </r>
  <r>
    <x v="1560"/>
    <n v="57"/>
    <x v="0"/>
    <s v="Hat"/>
    <x v="3"/>
    <n v="84"/>
    <x v="4"/>
    <s v="M"/>
    <s v="Teal"/>
    <s v="Winter"/>
    <n v="3.8"/>
    <s v="No"/>
    <s v="Free Shipping"/>
    <s v="Yes"/>
    <s v="Yes"/>
    <n v="3"/>
    <s v="Debit Card"/>
    <s v="Weekly"/>
    <s v="Weekly"/>
    <n v="1"/>
  </r>
  <r>
    <x v="1561"/>
    <n v="50"/>
    <x v="0"/>
    <s v="Scarf"/>
    <x v="3"/>
    <n v="38"/>
    <x v="16"/>
    <s v="M"/>
    <s v="Indigo"/>
    <s v="Summer"/>
    <n v="3.8"/>
    <s v="No"/>
    <s v="Standard"/>
    <s v="Yes"/>
    <s v="Yes"/>
    <n v="2"/>
    <s v="Bank Transfer"/>
    <s v="Quarterly"/>
    <s v="Quarterly"/>
    <n v="5"/>
  </r>
  <r>
    <x v="1562"/>
    <n v="37"/>
    <x v="0"/>
    <s v="Scarf"/>
    <x v="3"/>
    <n v="75"/>
    <x v="15"/>
    <s v="M"/>
    <s v="Purple"/>
    <s v="Winter"/>
    <n v="3.2"/>
    <s v="No"/>
    <s v="Next Day Air"/>
    <s v="Yes"/>
    <s v="Yes"/>
    <n v="23"/>
    <s v="Venmo"/>
    <s v="Bi-Weekly"/>
    <s v="Bi-Weekly"/>
    <n v="2"/>
  </r>
  <r>
    <x v="1563"/>
    <n v="68"/>
    <x v="0"/>
    <s v="Pants"/>
    <x v="0"/>
    <n v="44"/>
    <x v="23"/>
    <s v="M"/>
    <s v="Teal"/>
    <s v="Fall"/>
    <n v="4.3"/>
    <s v="No"/>
    <s v="Next Day Air"/>
    <s v="Yes"/>
    <s v="Yes"/>
    <n v="8"/>
    <s v="Cash"/>
    <s v="Weekly"/>
    <s v="Weekly"/>
    <n v="1"/>
  </r>
  <r>
    <x v="1564"/>
    <n v="22"/>
    <x v="0"/>
    <s v="Backpack"/>
    <x v="3"/>
    <n v="33"/>
    <x v="18"/>
    <s v="XL"/>
    <s v="Turquoise"/>
    <s v="Summer"/>
    <n v="4.5"/>
    <s v="No"/>
    <s v="Next Day Air"/>
    <s v="Yes"/>
    <s v="Yes"/>
    <n v="30"/>
    <s v="Debit Card"/>
    <s v="Every 3 Months"/>
    <s v="Quarterly"/>
    <n v="5"/>
  </r>
  <r>
    <x v="1565"/>
    <n v="58"/>
    <x v="0"/>
    <s v="Sunglasses"/>
    <x v="3"/>
    <n v="93"/>
    <x v="37"/>
    <s v="L"/>
    <s v="Peach"/>
    <s v="Fall"/>
    <n v="4.2"/>
    <s v="No"/>
    <s v="Free Shipping"/>
    <s v="Yes"/>
    <s v="Yes"/>
    <n v="48"/>
    <s v="PayPal"/>
    <s v="Annually"/>
    <s v="Annually"/>
    <n v="6"/>
  </r>
  <r>
    <x v="1566"/>
    <n v="48"/>
    <x v="0"/>
    <s v="Sneakers"/>
    <x v="1"/>
    <n v="99"/>
    <x v="5"/>
    <s v="S"/>
    <s v="Green"/>
    <s v="Winter"/>
    <n v="3"/>
    <s v="No"/>
    <s v="Free Shipping"/>
    <s v="Yes"/>
    <s v="Yes"/>
    <n v="21"/>
    <s v="Cash"/>
    <s v="Bi-Weekly"/>
    <s v="Bi-Weekly"/>
    <n v="2"/>
  </r>
  <r>
    <x v="1567"/>
    <n v="30"/>
    <x v="0"/>
    <s v="Backpack"/>
    <x v="3"/>
    <n v="33"/>
    <x v="46"/>
    <s v="M"/>
    <s v="Turquoise"/>
    <s v="Spring"/>
    <n v="4.0999999999999996"/>
    <s v="No"/>
    <s v="Standard"/>
    <s v="Yes"/>
    <s v="Yes"/>
    <n v="9"/>
    <s v="Cash"/>
    <s v="Monthly"/>
    <s v="Monthly"/>
    <n v="4"/>
  </r>
  <r>
    <x v="1568"/>
    <n v="51"/>
    <x v="0"/>
    <s v="Sneakers"/>
    <x v="1"/>
    <n v="76"/>
    <x v="47"/>
    <s v="L"/>
    <s v="Yellow"/>
    <s v="Spring"/>
    <n v="4.5999999999999996"/>
    <s v="No"/>
    <s v="Store Pickup"/>
    <s v="Yes"/>
    <s v="Yes"/>
    <n v="8"/>
    <s v="Debit Card"/>
    <s v="Monthly"/>
    <s v="Monthly"/>
    <n v="4"/>
  </r>
  <r>
    <x v="1569"/>
    <n v="20"/>
    <x v="0"/>
    <s v="Skirt"/>
    <x v="0"/>
    <n v="63"/>
    <x v="11"/>
    <s v="M"/>
    <s v="Orange"/>
    <s v="Summer"/>
    <n v="2.9"/>
    <s v="No"/>
    <s v="Standard"/>
    <s v="Yes"/>
    <s v="Yes"/>
    <n v="29"/>
    <s v="Debit Card"/>
    <s v="Weekly"/>
    <s v="Weekly"/>
    <n v="1"/>
  </r>
  <r>
    <x v="1570"/>
    <n v="30"/>
    <x v="0"/>
    <s v="Pants"/>
    <x v="0"/>
    <n v="41"/>
    <x v="9"/>
    <s v="L"/>
    <s v="Brown"/>
    <s v="Winter"/>
    <n v="4.8"/>
    <s v="No"/>
    <s v="Next Day Air"/>
    <s v="Yes"/>
    <s v="Yes"/>
    <n v="3"/>
    <s v="Bank Transfer"/>
    <s v="Every 3 Months"/>
    <s v="Quarterly"/>
    <n v="5"/>
  </r>
  <r>
    <x v="1571"/>
    <n v="28"/>
    <x v="0"/>
    <s v="Jewelry"/>
    <x v="3"/>
    <n v="88"/>
    <x v="24"/>
    <s v="L"/>
    <s v="Silver"/>
    <s v="Winter"/>
    <n v="4.5"/>
    <s v="No"/>
    <s v="Next Day Air"/>
    <s v="Yes"/>
    <s v="Yes"/>
    <n v="11"/>
    <s v="Bank Transfer"/>
    <s v="Fortnightly"/>
    <s v="Fortnightly"/>
    <n v="3"/>
  </r>
  <r>
    <x v="1572"/>
    <n v="37"/>
    <x v="0"/>
    <s v="Skirt"/>
    <x v="0"/>
    <n v="92"/>
    <x v="47"/>
    <s v="L"/>
    <s v="White"/>
    <s v="Summer"/>
    <n v="3.4"/>
    <s v="No"/>
    <s v="2-Day Shipping"/>
    <s v="Yes"/>
    <s v="Yes"/>
    <n v="16"/>
    <s v="Debit Card"/>
    <s v="Monthly"/>
    <s v="Monthly"/>
    <n v="4"/>
  </r>
  <r>
    <x v="1573"/>
    <n v="36"/>
    <x v="0"/>
    <s v="T-shirt"/>
    <x v="0"/>
    <n v="31"/>
    <x v="25"/>
    <s v="L"/>
    <s v="Indigo"/>
    <s v="Summer"/>
    <n v="4.3"/>
    <s v="No"/>
    <s v="2-Day Shipping"/>
    <s v="Yes"/>
    <s v="Yes"/>
    <n v="25"/>
    <s v="Debit Card"/>
    <s v="Weekly"/>
    <s v="Weekly"/>
    <n v="1"/>
  </r>
  <r>
    <x v="1574"/>
    <n v="18"/>
    <x v="0"/>
    <s v="Skirt"/>
    <x v="0"/>
    <n v="25"/>
    <x v="46"/>
    <s v="S"/>
    <s v="Magenta"/>
    <s v="Spring"/>
    <n v="4.2"/>
    <s v="No"/>
    <s v="Free Shipping"/>
    <s v="Yes"/>
    <s v="Yes"/>
    <n v="32"/>
    <s v="PayPal"/>
    <s v="Bi-Weekly"/>
    <s v="Bi-Weekly"/>
    <n v="2"/>
  </r>
  <r>
    <x v="1575"/>
    <n v="52"/>
    <x v="0"/>
    <s v="Shirt"/>
    <x v="0"/>
    <n v="28"/>
    <x v="18"/>
    <s v="M"/>
    <s v="Turquoise"/>
    <s v="Spring"/>
    <n v="3.6"/>
    <s v="No"/>
    <s v="Next Day Air"/>
    <s v="Yes"/>
    <s v="Yes"/>
    <n v="28"/>
    <s v="Cash"/>
    <s v="Fortnightly"/>
    <s v="Fortnightly"/>
    <n v="3"/>
  </r>
  <r>
    <x v="1576"/>
    <n v="56"/>
    <x v="0"/>
    <s v="Dress"/>
    <x v="0"/>
    <n v="75"/>
    <x v="49"/>
    <s v="M"/>
    <s v="White"/>
    <s v="Spring"/>
    <n v="3.7"/>
    <s v="No"/>
    <s v="2-Day Shipping"/>
    <s v="Yes"/>
    <s v="Yes"/>
    <n v="36"/>
    <s v="PayPal"/>
    <s v="Monthly"/>
    <s v="Monthly"/>
    <n v="4"/>
  </r>
  <r>
    <x v="1577"/>
    <n v="68"/>
    <x v="0"/>
    <s v="Boots"/>
    <x v="1"/>
    <n v="34"/>
    <x v="12"/>
    <s v="S"/>
    <s v="Olive"/>
    <s v="Spring"/>
    <n v="4"/>
    <s v="No"/>
    <s v="Standard"/>
    <s v="Yes"/>
    <s v="Yes"/>
    <n v="7"/>
    <s v="Venmo"/>
    <s v="Fortnightly"/>
    <s v="Fortnightly"/>
    <n v="3"/>
  </r>
  <r>
    <x v="1578"/>
    <n v="62"/>
    <x v="0"/>
    <s v="Pants"/>
    <x v="0"/>
    <n v="97"/>
    <x v="18"/>
    <s v="S"/>
    <s v="Maroon"/>
    <s v="Winter"/>
    <n v="4.9000000000000004"/>
    <s v="No"/>
    <s v="2-Day Shipping"/>
    <s v="Yes"/>
    <s v="Yes"/>
    <n v="2"/>
    <s v="PayPal"/>
    <s v="Quarterly"/>
    <s v="Quarterly"/>
    <n v="5"/>
  </r>
  <r>
    <x v="1579"/>
    <n v="35"/>
    <x v="0"/>
    <s v="Jacket"/>
    <x v="2"/>
    <n v="80"/>
    <x v="19"/>
    <s v="M"/>
    <s v="Violet"/>
    <s v="Summer"/>
    <n v="3.1"/>
    <s v="No"/>
    <s v="Free Shipping"/>
    <s v="Yes"/>
    <s v="Yes"/>
    <n v="6"/>
    <s v="Bank Transfer"/>
    <s v="Monthly"/>
    <s v="Monthly"/>
    <n v="4"/>
  </r>
  <r>
    <x v="1580"/>
    <n v="65"/>
    <x v="0"/>
    <s v="Sneakers"/>
    <x v="1"/>
    <n v="71"/>
    <x v="25"/>
    <s v="L"/>
    <s v="Cyan"/>
    <s v="Summer"/>
    <n v="3.7"/>
    <s v="No"/>
    <s v="Standard"/>
    <s v="Yes"/>
    <s v="Yes"/>
    <n v="30"/>
    <s v="Cash"/>
    <s v="Annually"/>
    <s v="Annually"/>
    <n v="6"/>
  </r>
  <r>
    <x v="1581"/>
    <n v="69"/>
    <x v="0"/>
    <s v="Jewelry"/>
    <x v="3"/>
    <n v="77"/>
    <x v="31"/>
    <s v="L"/>
    <s v="Teal"/>
    <s v="Fall"/>
    <n v="4.2"/>
    <s v="No"/>
    <s v="Free Shipping"/>
    <s v="Yes"/>
    <s v="Yes"/>
    <n v="46"/>
    <s v="Cash"/>
    <s v="Quarterly"/>
    <s v="Quarterly"/>
    <n v="5"/>
  </r>
  <r>
    <x v="1582"/>
    <n v="28"/>
    <x v="0"/>
    <s v="Belt"/>
    <x v="3"/>
    <n v="41"/>
    <x v="11"/>
    <s v="L"/>
    <s v="Red"/>
    <s v="Spring"/>
    <n v="2.5"/>
    <s v="No"/>
    <s v="Next Day Air"/>
    <s v="Yes"/>
    <s v="Yes"/>
    <n v="39"/>
    <s v="Cash"/>
    <s v="Monthly"/>
    <s v="Monthly"/>
    <n v="4"/>
  </r>
  <r>
    <x v="1583"/>
    <n v="37"/>
    <x v="0"/>
    <s v="Scarf"/>
    <x v="3"/>
    <n v="92"/>
    <x v="33"/>
    <s v="XL"/>
    <s v="Yellow"/>
    <s v="Summer"/>
    <n v="4.3"/>
    <s v="No"/>
    <s v="Next Day Air"/>
    <s v="Yes"/>
    <s v="Yes"/>
    <n v="8"/>
    <s v="Venmo"/>
    <s v="Annually"/>
    <s v="Annually"/>
    <n v="6"/>
  </r>
  <r>
    <x v="1584"/>
    <n v="41"/>
    <x v="0"/>
    <s v="Blouse"/>
    <x v="0"/>
    <n v="95"/>
    <x v="11"/>
    <s v="S"/>
    <s v="Silver"/>
    <s v="Spring"/>
    <n v="3.1"/>
    <s v="No"/>
    <s v="Store Pickup"/>
    <s v="Yes"/>
    <s v="Yes"/>
    <n v="46"/>
    <s v="Credit Card"/>
    <s v="Quarterly"/>
    <s v="Quarterly"/>
    <n v="5"/>
  </r>
  <r>
    <x v="1585"/>
    <n v="37"/>
    <x v="0"/>
    <s v="Sweater"/>
    <x v="0"/>
    <n v="25"/>
    <x v="15"/>
    <s v="M"/>
    <s v="Charcoal"/>
    <s v="Fall"/>
    <n v="3"/>
    <s v="No"/>
    <s v="Next Day Air"/>
    <s v="Yes"/>
    <s v="Yes"/>
    <n v="40"/>
    <s v="Debit Card"/>
    <s v="Fortnightly"/>
    <s v="Fortnightly"/>
    <n v="3"/>
  </r>
  <r>
    <x v="1586"/>
    <n v="25"/>
    <x v="0"/>
    <s v="Boots"/>
    <x v="1"/>
    <n v="77"/>
    <x v="19"/>
    <s v="M"/>
    <s v="Purple"/>
    <s v="Fall"/>
    <n v="4"/>
    <s v="No"/>
    <s v="Express"/>
    <s v="Yes"/>
    <s v="Yes"/>
    <n v="21"/>
    <s v="Bank Transfer"/>
    <s v="Weekly"/>
    <s v="Weekly"/>
    <n v="1"/>
  </r>
  <r>
    <x v="1587"/>
    <n v="41"/>
    <x v="0"/>
    <s v="Socks"/>
    <x v="0"/>
    <n v="99"/>
    <x v="15"/>
    <s v="M"/>
    <s v="Beige"/>
    <s v="Summer"/>
    <n v="3.5"/>
    <s v="No"/>
    <s v="Free Shipping"/>
    <s v="Yes"/>
    <s v="Yes"/>
    <n v="33"/>
    <s v="Credit Card"/>
    <s v="Fortnightly"/>
    <s v="Fortnightly"/>
    <n v="3"/>
  </r>
  <r>
    <x v="1588"/>
    <n v="48"/>
    <x v="0"/>
    <s v="Belt"/>
    <x v="3"/>
    <n v="24"/>
    <x v="34"/>
    <s v="L"/>
    <s v="Cyan"/>
    <s v="Winter"/>
    <n v="3.2"/>
    <s v="No"/>
    <s v="Next Day Air"/>
    <s v="Yes"/>
    <s v="Yes"/>
    <n v="3"/>
    <s v="Venmo"/>
    <s v="Monthly"/>
    <s v="Monthly"/>
    <n v="4"/>
  </r>
  <r>
    <x v="1589"/>
    <n v="42"/>
    <x v="0"/>
    <s v="Sneakers"/>
    <x v="1"/>
    <n v="72"/>
    <x v="31"/>
    <s v="M"/>
    <s v="Silver"/>
    <s v="Summer"/>
    <n v="2.7"/>
    <s v="No"/>
    <s v="Store Pickup"/>
    <s v="Yes"/>
    <s v="Yes"/>
    <n v="48"/>
    <s v="Cash"/>
    <s v="Weekly"/>
    <s v="Weekly"/>
    <n v="1"/>
  </r>
  <r>
    <x v="1590"/>
    <n v="54"/>
    <x v="0"/>
    <s v="Jeans"/>
    <x v="0"/>
    <n v="80"/>
    <x v="48"/>
    <s v="S"/>
    <s v="Pink"/>
    <s v="Winter"/>
    <n v="3"/>
    <s v="No"/>
    <s v="Free Shipping"/>
    <s v="Yes"/>
    <s v="Yes"/>
    <n v="8"/>
    <s v="PayPal"/>
    <s v="Annually"/>
    <s v="Annually"/>
    <n v="6"/>
  </r>
  <r>
    <x v="1591"/>
    <n v="18"/>
    <x v="0"/>
    <s v="Skirt"/>
    <x v="0"/>
    <n v="100"/>
    <x v="45"/>
    <s v="L"/>
    <s v="Gold"/>
    <s v="Winter"/>
    <n v="2.9"/>
    <s v="No"/>
    <s v="Next Day Air"/>
    <s v="Yes"/>
    <s v="Yes"/>
    <n v="24"/>
    <s v="PayPal"/>
    <s v="Annually"/>
    <s v="Annually"/>
    <n v="6"/>
  </r>
  <r>
    <x v="1592"/>
    <n v="56"/>
    <x v="0"/>
    <s v="Shoes"/>
    <x v="1"/>
    <n v="83"/>
    <x v="44"/>
    <s v="M"/>
    <s v="Cyan"/>
    <s v="Summer"/>
    <n v="3.3"/>
    <s v="No"/>
    <s v="Free Shipping"/>
    <s v="Yes"/>
    <s v="Yes"/>
    <n v="10"/>
    <s v="Bank Transfer"/>
    <s v="Every 3 Months"/>
    <s v="Quarterly"/>
    <n v="5"/>
  </r>
  <r>
    <x v="1593"/>
    <n v="61"/>
    <x v="0"/>
    <s v="Dress"/>
    <x v="0"/>
    <n v="95"/>
    <x v="33"/>
    <s v="M"/>
    <s v="Black"/>
    <s v="Spring"/>
    <n v="4.9000000000000004"/>
    <s v="No"/>
    <s v="2-Day Shipping"/>
    <s v="Yes"/>
    <s v="Yes"/>
    <n v="25"/>
    <s v="Bank Transfer"/>
    <s v="Monthly"/>
    <s v="Monthly"/>
    <n v="4"/>
  </r>
  <r>
    <x v="1594"/>
    <n v="40"/>
    <x v="0"/>
    <s v="Handbag"/>
    <x v="3"/>
    <n v="41"/>
    <x v="24"/>
    <s v="XL"/>
    <s v="Charcoal"/>
    <s v="Summer"/>
    <n v="3.7"/>
    <s v="No"/>
    <s v="Store Pickup"/>
    <s v="Yes"/>
    <s v="Yes"/>
    <n v="3"/>
    <s v="Cash"/>
    <s v="Fortnightly"/>
    <s v="Fortnightly"/>
    <n v="3"/>
  </r>
  <r>
    <x v="1595"/>
    <n v="34"/>
    <x v="0"/>
    <s v="Backpack"/>
    <x v="3"/>
    <n v="35"/>
    <x v="48"/>
    <s v="S"/>
    <s v="Magenta"/>
    <s v="Spring"/>
    <n v="3.5"/>
    <s v="No"/>
    <s v="Standard"/>
    <s v="Yes"/>
    <s v="Yes"/>
    <n v="45"/>
    <s v="Debit Card"/>
    <s v="Fortnightly"/>
    <s v="Fortnightly"/>
    <n v="3"/>
  </r>
  <r>
    <x v="1596"/>
    <n v="42"/>
    <x v="0"/>
    <s v="Jewelry"/>
    <x v="3"/>
    <n v="30"/>
    <x v="16"/>
    <s v="S"/>
    <s v="Pink"/>
    <s v="Fall"/>
    <n v="4.7"/>
    <s v="No"/>
    <s v="Store Pickup"/>
    <s v="Yes"/>
    <s v="Yes"/>
    <n v="15"/>
    <s v="Debit Card"/>
    <s v="Monthly"/>
    <s v="Monthly"/>
    <n v="4"/>
  </r>
  <r>
    <x v="1597"/>
    <n v="43"/>
    <x v="0"/>
    <s v="Hat"/>
    <x v="3"/>
    <n v="21"/>
    <x v="16"/>
    <s v="XL"/>
    <s v="Maroon"/>
    <s v="Winter"/>
    <n v="2.6"/>
    <s v="No"/>
    <s v="Store Pickup"/>
    <s v="Yes"/>
    <s v="Yes"/>
    <n v="34"/>
    <s v="Bank Transfer"/>
    <s v="Quarterly"/>
    <s v="Quarterly"/>
    <n v="5"/>
  </r>
  <r>
    <x v="1598"/>
    <n v="47"/>
    <x v="0"/>
    <s v="Jewelry"/>
    <x v="3"/>
    <n v="85"/>
    <x v="18"/>
    <s v="M"/>
    <s v="Teal"/>
    <s v="Fall"/>
    <n v="4.0999999999999996"/>
    <s v="No"/>
    <s v="Express"/>
    <s v="Yes"/>
    <s v="Yes"/>
    <n v="21"/>
    <s v="Venmo"/>
    <s v="Bi-Weekly"/>
    <s v="Bi-Weekly"/>
    <n v="2"/>
  </r>
  <r>
    <x v="1599"/>
    <n v="48"/>
    <x v="0"/>
    <s v="Shirt"/>
    <x v="0"/>
    <n v="54"/>
    <x v="12"/>
    <s v="M"/>
    <s v="Orange"/>
    <s v="Winter"/>
    <n v="2.8"/>
    <s v="No"/>
    <s v="2-Day Shipping"/>
    <s v="Yes"/>
    <s v="Yes"/>
    <n v="22"/>
    <s v="Debit Card"/>
    <s v="Bi-Weekly"/>
    <s v="Bi-Weekly"/>
    <n v="2"/>
  </r>
  <r>
    <x v="1600"/>
    <n v="20"/>
    <x v="0"/>
    <s v="Boots"/>
    <x v="1"/>
    <n v="26"/>
    <x v="6"/>
    <s v="S"/>
    <s v="Yellow"/>
    <s v="Spring"/>
    <n v="4.7"/>
    <s v="No"/>
    <s v="Next Day Air"/>
    <s v="Yes"/>
    <s v="Yes"/>
    <n v="24"/>
    <s v="PayPal"/>
    <s v="Weekly"/>
    <s v="Weekly"/>
    <n v="1"/>
  </r>
  <r>
    <x v="1601"/>
    <n v="65"/>
    <x v="0"/>
    <s v="Shirt"/>
    <x v="0"/>
    <n v="59"/>
    <x v="27"/>
    <s v="XL"/>
    <s v="Red"/>
    <s v="Spring"/>
    <n v="2.9"/>
    <s v="No"/>
    <s v="Store Pickup"/>
    <s v="Yes"/>
    <s v="Yes"/>
    <n v="33"/>
    <s v="Credit Card"/>
    <s v="Monthly"/>
    <s v="Monthly"/>
    <n v="4"/>
  </r>
  <r>
    <x v="1602"/>
    <n v="54"/>
    <x v="0"/>
    <s v="Sunglasses"/>
    <x v="3"/>
    <n v="48"/>
    <x v="8"/>
    <s v="S"/>
    <s v="Charcoal"/>
    <s v="Winter"/>
    <n v="2.8"/>
    <s v="No"/>
    <s v="Free Shipping"/>
    <s v="Yes"/>
    <s v="Yes"/>
    <n v="13"/>
    <s v="Venmo"/>
    <s v="Fortnightly"/>
    <s v="Fortnightly"/>
    <n v="3"/>
  </r>
  <r>
    <x v="1603"/>
    <n v="23"/>
    <x v="0"/>
    <s v="Shorts"/>
    <x v="0"/>
    <n v="98"/>
    <x v="44"/>
    <s v="L"/>
    <s v="Black"/>
    <s v="Summer"/>
    <n v="4.3"/>
    <s v="No"/>
    <s v="Next Day Air"/>
    <s v="Yes"/>
    <s v="Yes"/>
    <n v="17"/>
    <s v="Debit Card"/>
    <s v="Bi-Weekly"/>
    <s v="Bi-Weekly"/>
    <n v="2"/>
  </r>
  <r>
    <x v="1604"/>
    <n v="18"/>
    <x v="0"/>
    <s v="Sweater"/>
    <x v="0"/>
    <n v="92"/>
    <x v="1"/>
    <s v="M"/>
    <s v="White"/>
    <s v="Summer"/>
    <n v="4.8"/>
    <s v="No"/>
    <s v="2-Day Shipping"/>
    <s v="Yes"/>
    <s v="Yes"/>
    <n v="25"/>
    <s v="Credit Card"/>
    <s v="Every 3 Months"/>
    <s v="Quarterly"/>
    <n v="5"/>
  </r>
  <r>
    <x v="1605"/>
    <n v="70"/>
    <x v="0"/>
    <s v="Belt"/>
    <x v="3"/>
    <n v="46"/>
    <x v="39"/>
    <s v="M"/>
    <s v="Lavender"/>
    <s v="Winter"/>
    <n v="3.4"/>
    <s v="No"/>
    <s v="Next Day Air"/>
    <s v="Yes"/>
    <s v="Yes"/>
    <n v="15"/>
    <s v="Credit Card"/>
    <s v="Bi-Weekly"/>
    <s v="Bi-Weekly"/>
    <n v="2"/>
  </r>
  <r>
    <x v="1606"/>
    <n v="55"/>
    <x v="0"/>
    <s v="T-shirt"/>
    <x v="0"/>
    <n v="21"/>
    <x v="23"/>
    <s v="S"/>
    <s v="White"/>
    <s v="Spring"/>
    <n v="4.3"/>
    <s v="No"/>
    <s v="Standard"/>
    <s v="Yes"/>
    <s v="Yes"/>
    <n v="4"/>
    <s v="PayPal"/>
    <s v="Fortnightly"/>
    <s v="Fortnightly"/>
    <n v="3"/>
  </r>
  <r>
    <x v="1607"/>
    <n v="49"/>
    <x v="0"/>
    <s v="Shorts"/>
    <x v="0"/>
    <n v="72"/>
    <x v="34"/>
    <s v="S"/>
    <s v="Gray"/>
    <s v="Fall"/>
    <n v="2.7"/>
    <s v="No"/>
    <s v="Free Shipping"/>
    <s v="Yes"/>
    <s v="Yes"/>
    <n v="43"/>
    <s v="Debit Card"/>
    <s v="Quarterly"/>
    <s v="Quarterly"/>
    <n v="5"/>
  </r>
  <r>
    <x v="1608"/>
    <n v="26"/>
    <x v="0"/>
    <s v="Sandals"/>
    <x v="1"/>
    <n v="58"/>
    <x v="43"/>
    <s v="XL"/>
    <s v="Cyan"/>
    <s v="Fall"/>
    <n v="4.5999999999999996"/>
    <s v="No"/>
    <s v="Next Day Air"/>
    <s v="Yes"/>
    <s v="Yes"/>
    <n v="12"/>
    <s v="Bank Transfer"/>
    <s v="Bi-Weekly"/>
    <s v="Bi-Weekly"/>
    <n v="2"/>
  </r>
  <r>
    <x v="1609"/>
    <n v="33"/>
    <x v="0"/>
    <s v="Shirt"/>
    <x v="0"/>
    <n v="93"/>
    <x v="22"/>
    <s v="S"/>
    <s v="Brown"/>
    <s v="Fall"/>
    <n v="4.0999999999999996"/>
    <s v="No"/>
    <s v="Standard"/>
    <s v="Yes"/>
    <s v="Yes"/>
    <n v="3"/>
    <s v="Venmo"/>
    <s v="Monthly"/>
    <s v="Monthly"/>
    <n v="4"/>
  </r>
  <r>
    <x v="1610"/>
    <n v="20"/>
    <x v="0"/>
    <s v="Socks"/>
    <x v="0"/>
    <n v="31"/>
    <x v="30"/>
    <s v="L"/>
    <s v="Purple"/>
    <s v="Spring"/>
    <n v="3.4"/>
    <s v="No"/>
    <s v="2-Day Shipping"/>
    <s v="Yes"/>
    <s v="Yes"/>
    <n v="1"/>
    <s v="PayPal"/>
    <s v="Annually"/>
    <s v="Annually"/>
    <n v="6"/>
  </r>
  <r>
    <x v="1611"/>
    <n v="41"/>
    <x v="0"/>
    <s v="Pants"/>
    <x v="0"/>
    <n v="26"/>
    <x v="10"/>
    <s v="L"/>
    <s v="Yellow"/>
    <s v="Winter"/>
    <n v="4.5"/>
    <s v="No"/>
    <s v="Next Day Air"/>
    <s v="Yes"/>
    <s v="Yes"/>
    <n v="6"/>
    <s v="Debit Card"/>
    <s v="Monthly"/>
    <s v="Monthly"/>
    <n v="4"/>
  </r>
  <r>
    <x v="1612"/>
    <n v="18"/>
    <x v="0"/>
    <s v="Skirt"/>
    <x v="0"/>
    <n v="68"/>
    <x v="48"/>
    <s v="M"/>
    <s v="Indigo"/>
    <s v="Summer"/>
    <n v="4.4000000000000004"/>
    <s v="No"/>
    <s v="Standard"/>
    <s v="Yes"/>
    <s v="Yes"/>
    <n v="26"/>
    <s v="Venmo"/>
    <s v="Monthly"/>
    <s v="Monthly"/>
    <n v="4"/>
  </r>
  <r>
    <x v="1613"/>
    <n v="26"/>
    <x v="0"/>
    <s v="Jewelry"/>
    <x v="3"/>
    <n v="31"/>
    <x v="26"/>
    <s v="S"/>
    <s v="Black"/>
    <s v="Summer"/>
    <n v="4"/>
    <s v="No"/>
    <s v="Next Day Air"/>
    <s v="Yes"/>
    <s v="Yes"/>
    <n v="6"/>
    <s v="Credit Card"/>
    <s v="Fortnightly"/>
    <s v="Fortnightly"/>
    <n v="3"/>
  </r>
  <r>
    <x v="1614"/>
    <n v="30"/>
    <x v="0"/>
    <s v="T-shirt"/>
    <x v="0"/>
    <n v="41"/>
    <x v="23"/>
    <s v="S"/>
    <s v="Gray"/>
    <s v="Summer"/>
    <n v="3.4"/>
    <s v="No"/>
    <s v="Free Shipping"/>
    <s v="Yes"/>
    <s v="Yes"/>
    <n v="22"/>
    <s v="Cash"/>
    <s v="Bi-Weekly"/>
    <s v="Bi-Weekly"/>
    <n v="2"/>
  </r>
  <r>
    <x v="1615"/>
    <n v="64"/>
    <x v="0"/>
    <s v="Jewelry"/>
    <x v="3"/>
    <n v="62"/>
    <x v="14"/>
    <s v="M"/>
    <s v="Indigo"/>
    <s v="Fall"/>
    <n v="3.2"/>
    <s v="No"/>
    <s v="Standard"/>
    <s v="Yes"/>
    <s v="Yes"/>
    <n v="45"/>
    <s v="Cash"/>
    <s v="Bi-Weekly"/>
    <s v="Bi-Weekly"/>
    <n v="2"/>
  </r>
  <r>
    <x v="1616"/>
    <n v="26"/>
    <x v="0"/>
    <s v="Hat"/>
    <x v="3"/>
    <n v="41"/>
    <x v="24"/>
    <s v="M"/>
    <s v="Green"/>
    <s v="Spring"/>
    <n v="3.4"/>
    <s v="No"/>
    <s v="Standard"/>
    <s v="Yes"/>
    <s v="Yes"/>
    <n v="50"/>
    <s v="Cash"/>
    <s v="Quarterly"/>
    <s v="Quarterly"/>
    <n v="5"/>
  </r>
  <r>
    <x v="1617"/>
    <n v="43"/>
    <x v="0"/>
    <s v="Blouse"/>
    <x v="0"/>
    <n v="64"/>
    <x v="48"/>
    <s v="M"/>
    <s v="Peach"/>
    <s v="Winter"/>
    <n v="4.3"/>
    <s v="No"/>
    <s v="Standard"/>
    <s v="Yes"/>
    <s v="Yes"/>
    <n v="50"/>
    <s v="Credit Card"/>
    <s v="Fortnightly"/>
    <s v="Fortnightly"/>
    <n v="3"/>
  </r>
  <r>
    <x v="1618"/>
    <n v="63"/>
    <x v="0"/>
    <s v="Sandals"/>
    <x v="1"/>
    <n v="72"/>
    <x v="49"/>
    <s v="L"/>
    <s v="Purple"/>
    <s v="Summer"/>
    <n v="5"/>
    <s v="No"/>
    <s v="Standard"/>
    <s v="Yes"/>
    <s v="Yes"/>
    <n v="39"/>
    <s v="Debit Card"/>
    <s v="Quarterly"/>
    <s v="Quarterly"/>
    <n v="5"/>
  </r>
  <r>
    <x v="1619"/>
    <n v="57"/>
    <x v="0"/>
    <s v="Handbag"/>
    <x v="3"/>
    <n v="78"/>
    <x v="11"/>
    <s v="L"/>
    <s v="Beige"/>
    <s v="Winter"/>
    <n v="3.5"/>
    <s v="No"/>
    <s v="Store Pickup"/>
    <s v="Yes"/>
    <s v="Yes"/>
    <n v="50"/>
    <s v="Venmo"/>
    <s v="Bi-Weekly"/>
    <s v="Bi-Weekly"/>
    <n v="2"/>
  </r>
  <r>
    <x v="1620"/>
    <n v="25"/>
    <x v="0"/>
    <s v="Hat"/>
    <x v="3"/>
    <n v="47"/>
    <x v="41"/>
    <s v="M"/>
    <s v="Charcoal"/>
    <s v="Winter"/>
    <n v="3.1"/>
    <s v="No"/>
    <s v="2-Day Shipping"/>
    <s v="Yes"/>
    <s v="Yes"/>
    <n v="27"/>
    <s v="PayPal"/>
    <s v="Every 3 Months"/>
    <s v="Quarterly"/>
    <n v="5"/>
  </r>
  <r>
    <x v="1621"/>
    <n v="68"/>
    <x v="0"/>
    <s v="Scarf"/>
    <x v="3"/>
    <n v="46"/>
    <x v="31"/>
    <s v="L"/>
    <s v="Gray"/>
    <s v="Summer"/>
    <n v="3.9"/>
    <s v="No"/>
    <s v="2-Day Shipping"/>
    <s v="Yes"/>
    <s v="Yes"/>
    <n v="38"/>
    <s v="Debit Card"/>
    <s v="Fortnightly"/>
    <s v="Fortnightly"/>
    <n v="3"/>
  </r>
  <r>
    <x v="1622"/>
    <n v="31"/>
    <x v="0"/>
    <s v="Shorts"/>
    <x v="0"/>
    <n v="43"/>
    <x v="9"/>
    <s v="S"/>
    <s v="Brown"/>
    <s v="Winter"/>
    <n v="4"/>
    <s v="No"/>
    <s v="Store Pickup"/>
    <s v="Yes"/>
    <s v="Yes"/>
    <n v="37"/>
    <s v="Bank Transfer"/>
    <s v="Every 3 Months"/>
    <s v="Quarterly"/>
    <n v="5"/>
  </r>
  <r>
    <x v="1623"/>
    <n v="64"/>
    <x v="0"/>
    <s v="Backpack"/>
    <x v="3"/>
    <n v="58"/>
    <x v="27"/>
    <s v="M"/>
    <s v="Cyan"/>
    <s v="Summer"/>
    <n v="3.5"/>
    <s v="No"/>
    <s v="Next Day Air"/>
    <s v="Yes"/>
    <s v="Yes"/>
    <n v="50"/>
    <s v="Debit Card"/>
    <s v="Annually"/>
    <s v="Annually"/>
    <n v="6"/>
  </r>
  <r>
    <x v="1624"/>
    <n v="38"/>
    <x v="0"/>
    <s v="Sweater"/>
    <x v="0"/>
    <n v="32"/>
    <x v="20"/>
    <s v="M"/>
    <s v="White"/>
    <s v="Winter"/>
    <n v="3.6"/>
    <s v="No"/>
    <s v="Free Shipping"/>
    <s v="Yes"/>
    <s v="Yes"/>
    <n v="40"/>
    <s v="PayPal"/>
    <s v="Every 3 Months"/>
    <s v="Quarterly"/>
    <n v="5"/>
  </r>
  <r>
    <x v="1625"/>
    <n v="34"/>
    <x v="0"/>
    <s v="Skirt"/>
    <x v="0"/>
    <n v="45"/>
    <x v="46"/>
    <s v="L"/>
    <s v="Beige"/>
    <s v="Winter"/>
    <n v="3"/>
    <s v="No"/>
    <s v="Next Day Air"/>
    <s v="Yes"/>
    <s v="Yes"/>
    <n v="3"/>
    <s v="PayPal"/>
    <s v="Bi-Weekly"/>
    <s v="Bi-Weekly"/>
    <n v="2"/>
  </r>
  <r>
    <x v="1626"/>
    <n v="32"/>
    <x v="0"/>
    <s v="Sneakers"/>
    <x v="1"/>
    <n v="35"/>
    <x v="22"/>
    <s v="L"/>
    <s v="Orange"/>
    <s v="Summer"/>
    <n v="2.6"/>
    <s v="No"/>
    <s v="Next Day Air"/>
    <s v="Yes"/>
    <s v="Yes"/>
    <n v="45"/>
    <s v="Credit Card"/>
    <s v="Bi-Weekly"/>
    <s v="Bi-Weekly"/>
    <n v="2"/>
  </r>
  <r>
    <x v="1627"/>
    <n v="69"/>
    <x v="0"/>
    <s v="Sunglasses"/>
    <x v="3"/>
    <n v="21"/>
    <x v="1"/>
    <s v="M"/>
    <s v="Olive"/>
    <s v="Winter"/>
    <n v="2.9"/>
    <s v="No"/>
    <s v="Next Day Air"/>
    <s v="Yes"/>
    <s v="Yes"/>
    <n v="8"/>
    <s v="Credit Card"/>
    <s v="Annually"/>
    <s v="Annually"/>
    <n v="6"/>
  </r>
  <r>
    <x v="1628"/>
    <n v="45"/>
    <x v="0"/>
    <s v="Dress"/>
    <x v="0"/>
    <n v="64"/>
    <x v="2"/>
    <s v="S"/>
    <s v="Teal"/>
    <s v="Winter"/>
    <n v="3.1"/>
    <s v="No"/>
    <s v="Next Day Air"/>
    <s v="Yes"/>
    <s v="Yes"/>
    <n v="7"/>
    <s v="Cash"/>
    <s v="Monthly"/>
    <s v="Monthly"/>
    <n v="4"/>
  </r>
  <r>
    <x v="1629"/>
    <n v="35"/>
    <x v="0"/>
    <s v="Blouse"/>
    <x v="0"/>
    <n v="88"/>
    <x v="25"/>
    <s v="S"/>
    <s v="Silver"/>
    <s v="Spring"/>
    <n v="3.3"/>
    <s v="No"/>
    <s v="Next Day Air"/>
    <s v="Yes"/>
    <s v="Yes"/>
    <n v="13"/>
    <s v="Venmo"/>
    <s v="Quarterly"/>
    <s v="Quarterly"/>
    <n v="5"/>
  </r>
  <r>
    <x v="1630"/>
    <n v="63"/>
    <x v="0"/>
    <s v="Shoes"/>
    <x v="1"/>
    <n v="48"/>
    <x v="32"/>
    <s v="M"/>
    <s v="Gold"/>
    <s v="Summer"/>
    <n v="2.9"/>
    <s v="No"/>
    <s v="Store Pickup"/>
    <s v="Yes"/>
    <s v="Yes"/>
    <n v="29"/>
    <s v="Venmo"/>
    <s v="Every 3 Months"/>
    <s v="Quarterly"/>
    <n v="5"/>
  </r>
  <r>
    <x v="1631"/>
    <n v="65"/>
    <x v="0"/>
    <s v="Sweater"/>
    <x v="0"/>
    <n v="36"/>
    <x v="27"/>
    <s v="L"/>
    <s v="Violet"/>
    <s v="Summer"/>
    <n v="3.9"/>
    <s v="No"/>
    <s v="2-Day Shipping"/>
    <s v="Yes"/>
    <s v="Yes"/>
    <n v="7"/>
    <s v="Bank Transfer"/>
    <s v="Fortnightly"/>
    <s v="Fortnightly"/>
    <n v="3"/>
  </r>
  <r>
    <x v="1632"/>
    <n v="35"/>
    <x v="0"/>
    <s v="Gloves"/>
    <x v="3"/>
    <n v="28"/>
    <x v="4"/>
    <s v="S"/>
    <s v="White"/>
    <s v="Summer"/>
    <n v="4.7"/>
    <s v="No"/>
    <s v="2-Day Shipping"/>
    <s v="Yes"/>
    <s v="Yes"/>
    <n v="50"/>
    <s v="Debit Card"/>
    <s v="Every 3 Months"/>
    <s v="Quarterly"/>
    <n v="5"/>
  </r>
  <r>
    <x v="1633"/>
    <n v="54"/>
    <x v="0"/>
    <s v="Socks"/>
    <x v="0"/>
    <n v="80"/>
    <x v="25"/>
    <s v="M"/>
    <s v="Peach"/>
    <s v="Spring"/>
    <n v="4.4000000000000004"/>
    <s v="No"/>
    <s v="2-Day Shipping"/>
    <s v="Yes"/>
    <s v="Yes"/>
    <n v="33"/>
    <s v="Debit Card"/>
    <s v="Bi-Weekly"/>
    <s v="Bi-Weekly"/>
    <n v="2"/>
  </r>
  <r>
    <x v="1634"/>
    <n v="28"/>
    <x v="0"/>
    <s v="Coat"/>
    <x v="2"/>
    <n v="23"/>
    <x v="36"/>
    <s v="S"/>
    <s v="Orange"/>
    <s v="Summer"/>
    <n v="3.6"/>
    <s v="No"/>
    <s v="Store Pickup"/>
    <s v="Yes"/>
    <s v="Yes"/>
    <n v="30"/>
    <s v="Cash"/>
    <s v="Every 3 Months"/>
    <s v="Quarterly"/>
    <n v="5"/>
  </r>
  <r>
    <x v="1635"/>
    <n v="68"/>
    <x v="0"/>
    <s v="Sunglasses"/>
    <x v="3"/>
    <n v="24"/>
    <x v="17"/>
    <s v="L"/>
    <s v="Violet"/>
    <s v="Summer"/>
    <n v="3.2"/>
    <s v="No"/>
    <s v="Standard"/>
    <s v="Yes"/>
    <s v="Yes"/>
    <n v="40"/>
    <s v="Cash"/>
    <s v="Annually"/>
    <s v="Annually"/>
    <n v="6"/>
  </r>
  <r>
    <x v="1636"/>
    <n v="58"/>
    <x v="0"/>
    <s v="Boots"/>
    <x v="1"/>
    <n v="22"/>
    <x v="25"/>
    <s v="L"/>
    <s v="Green"/>
    <s v="Fall"/>
    <n v="4"/>
    <s v="No"/>
    <s v="Free Shipping"/>
    <s v="Yes"/>
    <s v="Yes"/>
    <n v="49"/>
    <s v="Cash"/>
    <s v="Fortnightly"/>
    <s v="Fortnightly"/>
    <n v="3"/>
  </r>
  <r>
    <x v="1637"/>
    <n v="35"/>
    <x v="0"/>
    <s v="Dress"/>
    <x v="0"/>
    <n v="21"/>
    <x v="2"/>
    <s v="M"/>
    <s v="Peach"/>
    <s v="Spring"/>
    <n v="3.5"/>
    <s v="No"/>
    <s v="Next Day Air"/>
    <s v="Yes"/>
    <s v="Yes"/>
    <n v="32"/>
    <s v="Venmo"/>
    <s v="Fortnightly"/>
    <s v="Fortnightly"/>
    <n v="3"/>
  </r>
  <r>
    <x v="1638"/>
    <n v="68"/>
    <x v="0"/>
    <s v="Jacket"/>
    <x v="2"/>
    <n v="51"/>
    <x v="30"/>
    <s v="M"/>
    <s v="Black"/>
    <s v="Spring"/>
    <n v="4.5999999999999996"/>
    <s v="No"/>
    <s v="Free Shipping"/>
    <s v="Yes"/>
    <s v="Yes"/>
    <n v="18"/>
    <s v="Venmo"/>
    <s v="Weekly"/>
    <s v="Weekly"/>
    <n v="1"/>
  </r>
  <r>
    <x v="1639"/>
    <n v="41"/>
    <x v="0"/>
    <s v="Gloves"/>
    <x v="3"/>
    <n v="65"/>
    <x v="9"/>
    <s v="L"/>
    <s v="Blue"/>
    <s v="Summer"/>
    <n v="3.3"/>
    <s v="No"/>
    <s v="Free Shipping"/>
    <s v="Yes"/>
    <s v="Yes"/>
    <n v="50"/>
    <s v="PayPal"/>
    <s v="Annually"/>
    <s v="Annually"/>
    <n v="6"/>
  </r>
  <r>
    <x v="1640"/>
    <n v="65"/>
    <x v="0"/>
    <s v="Scarf"/>
    <x v="3"/>
    <n v="51"/>
    <x v="30"/>
    <s v="S"/>
    <s v="Magenta"/>
    <s v="Spring"/>
    <n v="4"/>
    <s v="No"/>
    <s v="2-Day Shipping"/>
    <s v="Yes"/>
    <s v="Yes"/>
    <n v="13"/>
    <s v="PayPal"/>
    <s v="Weekly"/>
    <s v="Weekly"/>
    <n v="1"/>
  </r>
  <r>
    <x v="1641"/>
    <n v="50"/>
    <x v="0"/>
    <s v="Hoodie"/>
    <x v="0"/>
    <n v="32"/>
    <x v="24"/>
    <s v="L"/>
    <s v="Violet"/>
    <s v="Summer"/>
    <n v="3.4"/>
    <s v="No"/>
    <s v="Free Shipping"/>
    <s v="Yes"/>
    <s v="Yes"/>
    <n v="1"/>
    <s v="Bank Transfer"/>
    <s v="Every 3 Months"/>
    <s v="Quarterly"/>
    <n v="5"/>
  </r>
  <r>
    <x v="1642"/>
    <n v="18"/>
    <x v="0"/>
    <s v="Coat"/>
    <x v="2"/>
    <n v="70"/>
    <x v="16"/>
    <s v="M"/>
    <s v="Beige"/>
    <s v="Spring"/>
    <n v="4.2"/>
    <s v="No"/>
    <s v="Store Pickup"/>
    <s v="Yes"/>
    <s v="Yes"/>
    <n v="16"/>
    <s v="PayPal"/>
    <s v="Fortnightly"/>
    <s v="Fortnightly"/>
    <n v="3"/>
  </r>
  <r>
    <x v="1643"/>
    <n v="38"/>
    <x v="0"/>
    <s v="Scarf"/>
    <x v="3"/>
    <n v="77"/>
    <x v="31"/>
    <s v="L"/>
    <s v="Pink"/>
    <s v="Summer"/>
    <n v="3.9"/>
    <s v="No"/>
    <s v="2-Day Shipping"/>
    <s v="Yes"/>
    <s v="Yes"/>
    <n v="6"/>
    <s v="PayPal"/>
    <s v="Monthly"/>
    <s v="Monthly"/>
    <n v="4"/>
  </r>
  <r>
    <x v="1644"/>
    <n v="68"/>
    <x v="0"/>
    <s v="Coat"/>
    <x v="2"/>
    <n v="90"/>
    <x v="17"/>
    <s v="S"/>
    <s v="Beige"/>
    <s v="Summer"/>
    <n v="3.9"/>
    <s v="No"/>
    <s v="Next Day Air"/>
    <s v="Yes"/>
    <s v="Yes"/>
    <n v="21"/>
    <s v="Debit Card"/>
    <s v="Monthly"/>
    <s v="Monthly"/>
    <n v="4"/>
  </r>
  <r>
    <x v="1645"/>
    <n v="53"/>
    <x v="0"/>
    <s v="Scarf"/>
    <x v="3"/>
    <n v="36"/>
    <x v="31"/>
    <s v="L"/>
    <s v="Green"/>
    <s v="Summer"/>
    <n v="2.8"/>
    <s v="No"/>
    <s v="Standard"/>
    <s v="Yes"/>
    <s v="Yes"/>
    <n v="36"/>
    <s v="Venmo"/>
    <s v="Every 3 Months"/>
    <s v="Quarterly"/>
    <n v="5"/>
  </r>
  <r>
    <x v="1646"/>
    <n v="58"/>
    <x v="0"/>
    <s v="Handbag"/>
    <x v="3"/>
    <n v="77"/>
    <x v="43"/>
    <s v="S"/>
    <s v="Silver"/>
    <s v="Summer"/>
    <n v="3.7"/>
    <s v="No"/>
    <s v="Standard"/>
    <s v="Yes"/>
    <s v="Yes"/>
    <n v="20"/>
    <s v="Bank Transfer"/>
    <s v="Every 3 Months"/>
    <s v="Quarterly"/>
    <n v="5"/>
  </r>
  <r>
    <x v="1647"/>
    <n v="34"/>
    <x v="0"/>
    <s v="Boots"/>
    <x v="1"/>
    <n v="78"/>
    <x v="11"/>
    <s v="M"/>
    <s v="Purple"/>
    <s v="Summer"/>
    <n v="4.9000000000000004"/>
    <s v="No"/>
    <s v="Store Pickup"/>
    <s v="Yes"/>
    <s v="Yes"/>
    <n v="8"/>
    <s v="Debit Card"/>
    <s v="Quarterly"/>
    <s v="Quarterly"/>
    <n v="5"/>
  </r>
  <r>
    <x v="1648"/>
    <n v="36"/>
    <x v="0"/>
    <s v="Pants"/>
    <x v="0"/>
    <n v="69"/>
    <x v="19"/>
    <s v="M"/>
    <s v="Gray"/>
    <s v="Summer"/>
    <n v="2.6"/>
    <s v="No"/>
    <s v="Express"/>
    <s v="Yes"/>
    <s v="Yes"/>
    <n v="22"/>
    <s v="Credit Card"/>
    <s v="Monthly"/>
    <s v="Monthly"/>
    <n v="4"/>
  </r>
  <r>
    <x v="1649"/>
    <n v="58"/>
    <x v="0"/>
    <s v="T-shirt"/>
    <x v="0"/>
    <n v="63"/>
    <x v="48"/>
    <s v="M"/>
    <s v="White"/>
    <s v="Summer"/>
    <n v="4.9000000000000004"/>
    <s v="No"/>
    <s v="Free Shipping"/>
    <s v="Yes"/>
    <s v="Yes"/>
    <n v="3"/>
    <s v="Credit Card"/>
    <s v="Quarterly"/>
    <s v="Quarterly"/>
    <n v="5"/>
  </r>
  <r>
    <x v="1650"/>
    <n v="60"/>
    <x v="0"/>
    <s v="Scarf"/>
    <x v="3"/>
    <n v="36"/>
    <x v="10"/>
    <s v="M"/>
    <s v="Silver"/>
    <s v="Winter"/>
    <n v="3.4"/>
    <s v="No"/>
    <s v="Next Day Air"/>
    <s v="Yes"/>
    <s v="Yes"/>
    <n v="46"/>
    <s v="Credit Card"/>
    <s v="Fortnightly"/>
    <s v="Fortnightly"/>
    <n v="3"/>
  </r>
  <r>
    <x v="1651"/>
    <n v="59"/>
    <x v="0"/>
    <s v="Coat"/>
    <x v="2"/>
    <n v="80"/>
    <x v="21"/>
    <s v="M"/>
    <s v="Blue"/>
    <s v="Winter"/>
    <n v="3.9"/>
    <s v="No"/>
    <s v="Standard"/>
    <s v="Yes"/>
    <s v="Yes"/>
    <n v="42"/>
    <s v="Debit Card"/>
    <s v="Monthly"/>
    <s v="Monthly"/>
    <n v="4"/>
  </r>
  <r>
    <x v="1652"/>
    <n v="65"/>
    <x v="0"/>
    <s v="Sweater"/>
    <x v="0"/>
    <n v="35"/>
    <x v="35"/>
    <s v="M"/>
    <s v="Orange"/>
    <s v="Summer"/>
    <n v="4"/>
    <s v="No"/>
    <s v="Next Day Air"/>
    <s v="Yes"/>
    <s v="Yes"/>
    <n v="1"/>
    <s v="Bank Transfer"/>
    <s v="Fortnightly"/>
    <s v="Fortnightly"/>
    <n v="3"/>
  </r>
  <r>
    <x v="1653"/>
    <n v="31"/>
    <x v="0"/>
    <s v="Belt"/>
    <x v="3"/>
    <n v="93"/>
    <x v="24"/>
    <s v="L"/>
    <s v="Silver"/>
    <s v="Winter"/>
    <n v="3"/>
    <s v="No"/>
    <s v="2-Day Shipping"/>
    <s v="Yes"/>
    <s v="Yes"/>
    <n v="29"/>
    <s v="Debit Card"/>
    <s v="Bi-Weekly"/>
    <s v="Bi-Weekly"/>
    <n v="2"/>
  </r>
  <r>
    <x v="1654"/>
    <n v="43"/>
    <x v="0"/>
    <s v="Belt"/>
    <x v="3"/>
    <n v="25"/>
    <x v="27"/>
    <s v="L"/>
    <s v="Gray"/>
    <s v="Spring"/>
    <n v="2.6"/>
    <s v="No"/>
    <s v="Store Pickup"/>
    <s v="Yes"/>
    <s v="Yes"/>
    <n v="14"/>
    <s v="Credit Card"/>
    <s v="Quarterly"/>
    <s v="Quarterly"/>
    <n v="5"/>
  </r>
  <r>
    <x v="1655"/>
    <n v="37"/>
    <x v="0"/>
    <s v="Sweater"/>
    <x v="0"/>
    <n v="81"/>
    <x v="28"/>
    <s v="L"/>
    <s v="Gold"/>
    <s v="Spring"/>
    <n v="3.2"/>
    <s v="No"/>
    <s v="Next Day Air"/>
    <s v="Yes"/>
    <s v="Yes"/>
    <n v="4"/>
    <s v="PayPal"/>
    <s v="Monthly"/>
    <s v="Monthly"/>
    <n v="4"/>
  </r>
  <r>
    <x v="1656"/>
    <n v="21"/>
    <x v="0"/>
    <s v="Blouse"/>
    <x v="0"/>
    <n v="42"/>
    <x v="27"/>
    <s v="L"/>
    <s v="Brown"/>
    <s v="Spring"/>
    <n v="2.6"/>
    <s v="No"/>
    <s v="2-Day Shipping"/>
    <s v="Yes"/>
    <s v="Yes"/>
    <n v="41"/>
    <s v="PayPal"/>
    <s v="Every 3 Months"/>
    <s v="Quarterly"/>
    <n v="5"/>
  </r>
  <r>
    <x v="1657"/>
    <n v="69"/>
    <x v="0"/>
    <s v="Skirt"/>
    <x v="0"/>
    <n v="36"/>
    <x v="27"/>
    <s v="L"/>
    <s v="Turquoise"/>
    <s v="Spring"/>
    <n v="3.2"/>
    <s v="No"/>
    <s v="Store Pickup"/>
    <s v="Yes"/>
    <s v="Yes"/>
    <n v="4"/>
    <s v="Debit Card"/>
    <s v="Bi-Weekly"/>
    <s v="Bi-Weekly"/>
    <n v="2"/>
  </r>
  <r>
    <x v="1658"/>
    <n v="32"/>
    <x v="0"/>
    <s v="Jewelry"/>
    <x v="3"/>
    <n v="66"/>
    <x v="29"/>
    <s v="S"/>
    <s v="Pink"/>
    <s v="Spring"/>
    <n v="4.0999999999999996"/>
    <s v="No"/>
    <s v="Store Pickup"/>
    <s v="Yes"/>
    <s v="Yes"/>
    <n v="47"/>
    <s v="Cash"/>
    <s v="Weekly"/>
    <s v="Weekly"/>
    <n v="1"/>
  </r>
  <r>
    <x v="1659"/>
    <n v="53"/>
    <x v="0"/>
    <s v="Gloves"/>
    <x v="3"/>
    <n v="37"/>
    <x v="40"/>
    <s v="M"/>
    <s v="Black"/>
    <s v="Fall"/>
    <n v="3.9"/>
    <s v="No"/>
    <s v="Next Day Air"/>
    <s v="Yes"/>
    <s v="Yes"/>
    <n v="44"/>
    <s v="Venmo"/>
    <s v="Annually"/>
    <s v="Annually"/>
    <n v="6"/>
  </r>
  <r>
    <x v="1660"/>
    <n v="59"/>
    <x v="0"/>
    <s v="T-shirt"/>
    <x v="0"/>
    <n v="45"/>
    <x v="7"/>
    <s v="L"/>
    <s v="Yellow"/>
    <s v="Winter"/>
    <n v="4.0999999999999996"/>
    <s v="No"/>
    <s v="Standard"/>
    <s v="Yes"/>
    <s v="Yes"/>
    <n v="37"/>
    <s v="Venmo"/>
    <s v="Monthly"/>
    <s v="Monthly"/>
    <n v="4"/>
  </r>
  <r>
    <x v="1661"/>
    <n v="64"/>
    <x v="0"/>
    <s v="Gloves"/>
    <x v="3"/>
    <n v="86"/>
    <x v="44"/>
    <s v="S"/>
    <s v="Beige"/>
    <s v="Summer"/>
    <n v="2.7"/>
    <s v="No"/>
    <s v="2-Day Shipping"/>
    <s v="Yes"/>
    <s v="Yes"/>
    <n v="21"/>
    <s v="Debit Card"/>
    <s v="Quarterly"/>
    <s v="Quarterly"/>
    <n v="5"/>
  </r>
  <r>
    <x v="1662"/>
    <n v="63"/>
    <x v="0"/>
    <s v="Sunglasses"/>
    <x v="3"/>
    <n v="24"/>
    <x v="35"/>
    <s v="M"/>
    <s v="Olive"/>
    <s v="Winter"/>
    <n v="4.5999999999999996"/>
    <s v="No"/>
    <s v="Free Shipping"/>
    <s v="Yes"/>
    <s v="Yes"/>
    <n v="46"/>
    <s v="Debit Card"/>
    <s v="Fortnightly"/>
    <s v="Fortnightly"/>
    <n v="3"/>
  </r>
  <r>
    <x v="1663"/>
    <n v="43"/>
    <x v="0"/>
    <s v="Shirt"/>
    <x v="0"/>
    <n v="22"/>
    <x v="1"/>
    <s v="XL"/>
    <s v="Gold"/>
    <s v="Summer"/>
    <n v="3.5"/>
    <s v="No"/>
    <s v="Standard"/>
    <s v="Yes"/>
    <s v="Yes"/>
    <n v="1"/>
    <s v="Cash"/>
    <s v="Bi-Weekly"/>
    <s v="Bi-Weekly"/>
    <n v="2"/>
  </r>
  <r>
    <x v="1664"/>
    <n v="19"/>
    <x v="0"/>
    <s v="Handbag"/>
    <x v="3"/>
    <n v="53"/>
    <x v="46"/>
    <s v="M"/>
    <s v="Purple"/>
    <s v="Spring"/>
    <n v="5"/>
    <s v="No"/>
    <s v="Next Day Air"/>
    <s v="Yes"/>
    <s v="Yes"/>
    <n v="35"/>
    <s v="PayPal"/>
    <s v="Weekly"/>
    <s v="Weekly"/>
    <n v="1"/>
  </r>
  <r>
    <x v="1665"/>
    <n v="40"/>
    <x v="0"/>
    <s v="Jacket"/>
    <x v="2"/>
    <n v="41"/>
    <x v="35"/>
    <s v="L"/>
    <s v="Pink"/>
    <s v="Fall"/>
    <n v="3.4"/>
    <s v="No"/>
    <s v="Next Day Air"/>
    <s v="Yes"/>
    <s v="Yes"/>
    <n v="49"/>
    <s v="Venmo"/>
    <s v="Monthly"/>
    <s v="Monthly"/>
    <n v="4"/>
  </r>
  <r>
    <x v="1666"/>
    <n v="51"/>
    <x v="0"/>
    <s v="Skirt"/>
    <x v="0"/>
    <n v="64"/>
    <x v="10"/>
    <s v="M"/>
    <s v="Blue"/>
    <s v="Summer"/>
    <n v="3.1"/>
    <s v="No"/>
    <s v="Store Pickup"/>
    <s v="Yes"/>
    <s v="Yes"/>
    <n v="47"/>
    <s v="PayPal"/>
    <s v="Annually"/>
    <s v="Annually"/>
    <n v="6"/>
  </r>
  <r>
    <x v="1667"/>
    <n v="51"/>
    <x v="0"/>
    <s v="Handbag"/>
    <x v="3"/>
    <n v="40"/>
    <x v="19"/>
    <s v="L"/>
    <s v="Brown"/>
    <s v="Winter"/>
    <n v="3.4"/>
    <s v="No"/>
    <s v="2-Day Shipping"/>
    <s v="Yes"/>
    <s v="Yes"/>
    <n v="24"/>
    <s v="Bank Transfer"/>
    <s v="Every 3 Months"/>
    <s v="Quarterly"/>
    <n v="5"/>
  </r>
  <r>
    <x v="1668"/>
    <n v="66"/>
    <x v="0"/>
    <s v="Blouse"/>
    <x v="0"/>
    <n v="33"/>
    <x v="40"/>
    <s v="L"/>
    <s v="Charcoal"/>
    <s v="Summer"/>
    <n v="4"/>
    <s v="No"/>
    <s v="Standard"/>
    <s v="Yes"/>
    <s v="Yes"/>
    <n v="28"/>
    <s v="Debit Card"/>
    <s v="Fortnightly"/>
    <s v="Fortnightly"/>
    <n v="3"/>
  </r>
  <r>
    <x v="1669"/>
    <n v="42"/>
    <x v="0"/>
    <s v="T-shirt"/>
    <x v="0"/>
    <n v="59"/>
    <x v="48"/>
    <s v="L"/>
    <s v="Maroon"/>
    <s v="Winter"/>
    <n v="2.7"/>
    <s v="No"/>
    <s v="Store Pickup"/>
    <s v="Yes"/>
    <s v="Yes"/>
    <n v="22"/>
    <s v="Bank Transfer"/>
    <s v="Quarterly"/>
    <s v="Quarterly"/>
    <n v="5"/>
  </r>
  <r>
    <x v="1670"/>
    <n v="22"/>
    <x v="0"/>
    <s v="Pants"/>
    <x v="0"/>
    <n v="73"/>
    <x v="40"/>
    <s v="L"/>
    <s v="Cyan"/>
    <s v="Fall"/>
    <n v="3.6"/>
    <s v="No"/>
    <s v="Free Shipping"/>
    <s v="Yes"/>
    <s v="Yes"/>
    <n v="20"/>
    <s v="Cash"/>
    <s v="Weekly"/>
    <s v="Weekly"/>
    <n v="1"/>
  </r>
  <r>
    <x v="1671"/>
    <n v="31"/>
    <x v="0"/>
    <s v="Hoodie"/>
    <x v="0"/>
    <n v="22"/>
    <x v="40"/>
    <s v="M"/>
    <s v="Olive"/>
    <s v="Winter"/>
    <n v="4"/>
    <s v="No"/>
    <s v="Free Shipping"/>
    <s v="Yes"/>
    <s v="Yes"/>
    <n v="25"/>
    <s v="Bank Transfer"/>
    <s v="Weekly"/>
    <s v="Weekly"/>
    <n v="1"/>
  </r>
  <r>
    <x v="1672"/>
    <n v="18"/>
    <x v="0"/>
    <s v="Boots"/>
    <x v="1"/>
    <n v="73"/>
    <x v="36"/>
    <s v="L"/>
    <s v="Gold"/>
    <s v="Fall"/>
    <n v="3.8"/>
    <s v="No"/>
    <s v="Free Shipping"/>
    <s v="Yes"/>
    <s v="Yes"/>
    <n v="15"/>
    <s v="Venmo"/>
    <s v="Quarterly"/>
    <s v="Quarterly"/>
    <n v="5"/>
  </r>
  <r>
    <x v="1673"/>
    <n v="21"/>
    <x v="0"/>
    <s v="Blouse"/>
    <x v="0"/>
    <n v="62"/>
    <x v="11"/>
    <s v="M"/>
    <s v="Violet"/>
    <s v="Fall"/>
    <n v="3.4"/>
    <s v="No"/>
    <s v="Next Day Air"/>
    <s v="Yes"/>
    <s v="Yes"/>
    <n v="49"/>
    <s v="Venmo"/>
    <s v="Bi-Weekly"/>
    <s v="Bi-Weekly"/>
    <n v="2"/>
  </r>
  <r>
    <x v="1674"/>
    <n v="35"/>
    <x v="0"/>
    <s v="Coat"/>
    <x v="2"/>
    <n v="56"/>
    <x v="29"/>
    <s v="M"/>
    <s v="Peach"/>
    <s v="Winter"/>
    <n v="3.2"/>
    <s v="No"/>
    <s v="Free Shipping"/>
    <s v="Yes"/>
    <s v="Yes"/>
    <n v="10"/>
    <s v="Debit Card"/>
    <s v="Fortnightly"/>
    <s v="Fortnightly"/>
    <n v="3"/>
  </r>
  <r>
    <x v="1675"/>
    <n v="35"/>
    <x v="0"/>
    <s v="Pants"/>
    <x v="0"/>
    <n v="90"/>
    <x v="24"/>
    <s v="M"/>
    <s v="Beige"/>
    <s v="Spring"/>
    <n v="4.7"/>
    <s v="No"/>
    <s v="Next Day Air"/>
    <s v="Yes"/>
    <s v="Yes"/>
    <n v="21"/>
    <s v="Credit Card"/>
    <s v="Annually"/>
    <s v="Annually"/>
    <n v="6"/>
  </r>
  <r>
    <x v="1676"/>
    <n v="27"/>
    <x v="0"/>
    <s v="Sunglasses"/>
    <x v="3"/>
    <n v="44"/>
    <x v="8"/>
    <s v="M"/>
    <s v="Cyan"/>
    <s v="Winter"/>
    <n v="3.1"/>
    <s v="No"/>
    <s v="Next Day Air"/>
    <s v="Yes"/>
    <s v="Yes"/>
    <n v="34"/>
    <s v="Bank Transfer"/>
    <s v="Weekly"/>
    <s v="Weekly"/>
    <n v="1"/>
  </r>
  <r>
    <x v="1677"/>
    <n v="65"/>
    <x v="0"/>
    <s v="Jeans"/>
    <x v="0"/>
    <n v="35"/>
    <x v="4"/>
    <s v="L"/>
    <s v="Silver"/>
    <s v="Summer"/>
    <n v="3.3"/>
    <s v="No"/>
    <s v="Next Day Air"/>
    <s v="No"/>
    <s v="No"/>
    <n v="41"/>
    <s v="Debit Card"/>
    <s v="Weekly"/>
    <s v="Weekly"/>
    <n v="1"/>
  </r>
  <r>
    <x v="1678"/>
    <n v="41"/>
    <x v="0"/>
    <s v="Pants"/>
    <x v="0"/>
    <n v="71"/>
    <x v="31"/>
    <s v="S"/>
    <s v="Magenta"/>
    <s v="Summer"/>
    <n v="4.8"/>
    <s v="No"/>
    <s v="2-Day Shipping"/>
    <s v="No"/>
    <s v="No"/>
    <n v="30"/>
    <s v="Venmo"/>
    <s v="Fortnightly"/>
    <s v="Fortnightly"/>
    <n v="3"/>
  </r>
  <r>
    <x v="1679"/>
    <n v="60"/>
    <x v="0"/>
    <s v="Dress"/>
    <x v="0"/>
    <n v="52"/>
    <x v="2"/>
    <s v="S"/>
    <s v="Black"/>
    <s v="Fall"/>
    <n v="4.5"/>
    <s v="No"/>
    <s v="Next Day Air"/>
    <s v="No"/>
    <s v="No"/>
    <n v="24"/>
    <s v="Debit Card"/>
    <s v="Bi-Weekly"/>
    <s v="Bi-Weekly"/>
    <n v="2"/>
  </r>
  <r>
    <x v="1680"/>
    <n v="61"/>
    <x v="0"/>
    <s v="Shoes"/>
    <x v="1"/>
    <n v="37"/>
    <x v="7"/>
    <s v="M"/>
    <s v="Olive"/>
    <s v="Summer"/>
    <n v="3.4"/>
    <s v="No"/>
    <s v="Store Pickup"/>
    <s v="No"/>
    <s v="No"/>
    <n v="6"/>
    <s v="Credit Card"/>
    <s v="Annually"/>
    <s v="Annually"/>
    <n v="6"/>
  </r>
  <r>
    <x v="1681"/>
    <n v="24"/>
    <x v="0"/>
    <s v="Sneakers"/>
    <x v="1"/>
    <n v="95"/>
    <x v="41"/>
    <s v="L"/>
    <s v="Green"/>
    <s v="Winter"/>
    <n v="3.7"/>
    <s v="No"/>
    <s v="2-Day Shipping"/>
    <s v="No"/>
    <s v="No"/>
    <n v="14"/>
    <s v="Credit Card"/>
    <s v="Bi-Weekly"/>
    <s v="Bi-Weekly"/>
    <n v="2"/>
  </r>
  <r>
    <x v="1682"/>
    <n v="65"/>
    <x v="0"/>
    <s v="Socks"/>
    <x v="0"/>
    <n v="97"/>
    <x v="14"/>
    <s v="M"/>
    <s v="Yellow"/>
    <s v="Fall"/>
    <n v="4.9000000000000004"/>
    <s v="No"/>
    <s v="2-Day Shipping"/>
    <s v="No"/>
    <s v="No"/>
    <n v="37"/>
    <s v="Credit Card"/>
    <s v="Bi-Weekly"/>
    <s v="Bi-Weekly"/>
    <n v="2"/>
  </r>
  <r>
    <x v="1683"/>
    <n v="23"/>
    <x v="0"/>
    <s v="Coat"/>
    <x v="2"/>
    <n v="57"/>
    <x v="10"/>
    <s v="S"/>
    <s v="Lavender"/>
    <s v="Spring"/>
    <n v="3.5"/>
    <s v="No"/>
    <s v="Next Day Air"/>
    <s v="No"/>
    <s v="No"/>
    <n v="37"/>
    <s v="Venmo"/>
    <s v="Quarterly"/>
    <s v="Quarterly"/>
    <n v="5"/>
  </r>
  <r>
    <x v="1684"/>
    <n v="30"/>
    <x v="0"/>
    <s v="Shirt"/>
    <x v="0"/>
    <n v="93"/>
    <x v="35"/>
    <s v="M"/>
    <s v="Indigo"/>
    <s v="Spring"/>
    <n v="4.5999999999999996"/>
    <s v="No"/>
    <s v="Standard"/>
    <s v="No"/>
    <s v="No"/>
    <n v="28"/>
    <s v="PayPal"/>
    <s v="Weekly"/>
    <s v="Weekly"/>
    <n v="1"/>
  </r>
  <r>
    <x v="1685"/>
    <n v="33"/>
    <x v="0"/>
    <s v="Blouse"/>
    <x v="0"/>
    <n v="48"/>
    <x v="46"/>
    <s v="M"/>
    <s v="Pink"/>
    <s v="Winter"/>
    <n v="4.5999999999999996"/>
    <s v="No"/>
    <s v="Standard"/>
    <s v="No"/>
    <s v="No"/>
    <n v="43"/>
    <s v="PayPal"/>
    <s v="Bi-Weekly"/>
    <s v="Bi-Weekly"/>
    <n v="2"/>
  </r>
  <r>
    <x v="1686"/>
    <n v="22"/>
    <x v="0"/>
    <s v="Gloves"/>
    <x v="3"/>
    <n v="75"/>
    <x v="26"/>
    <s v="L"/>
    <s v="Red"/>
    <s v="Fall"/>
    <n v="4.2"/>
    <s v="No"/>
    <s v="Store Pickup"/>
    <s v="No"/>
    <s v="No"/>
    <n v="25"/>
    <s v="Cash"/>
    <s v="Annually"/>
    <s v="Annually"/>
    <n v="6"/>
  </r>
  <r>
    <x v="1687"/>
    <n v="67"/>
    <x v="0"/>
    <s v="Skirt"/>
    <x v="0"/>
    <n v="70"/>
    <x v="42"/>
    <s v="S"/>
    <s v="Magenta"/>
    <s v="Winter"/>
    <n v="3.7"/>
    <s v="No"/>
    <s v="Free Shipping"/>
    <s v="No"/>
    <s v="No"/>
    <n v="4"/>
    <s v="PayPal"/>
    <s v="Annually"/>
    <s v="Annually"/>
    <n v="6"/>
  </r>
  <r>
    <x v="1688"/>
    <n v="28"/>
    <x v="0"/>
    <s v="Handbag"/>
    <x v="3"/>
    <n v="26"/>
    <x v="16"/>
    <s v="S"/>
    <s v="Peach"/>
    <s v="Winter"/>
    <n v="3"/>
    <s v="No"/>
    <s v="Next Day Air"/>
    <s v="No"/>
    <s v="No"/>
    <n v="13"/>
    <s v="Venmo"/>
    <s v="Fortnightly"/>
    <s v="Fortnightly"/>
    <n v="3"/>
  </r>
  <r>
    <x v="1689"/>
    <n v="32"/>
    <x v="0"/>
    <s v="Shirt"/>
    <x v="0"/>
    <n v="73"/>
    <x v="17"/>
    <s v="L"/>
    <s v="Turquoise"/>
    <s v="Winter"/>
    <n v="4.5999999999999996"/>
    <s v="No"/>
    <s v="Store Pickup"/>
    <s v="No"/>
    <s v="No"/>
    <n v="32"/>
    <s v="Bank Transfer"/>
    <s v="Monthly"/>
    <s v="Monthly"/>
    <n v="4"/>
  </r>
  <r>
    <x v="1690"/>
    <n v="40"/>
    <x v="0"/>
    <s v="Coat"/>
    <x v="2"/>
    <n v="30"/>
    <x v="22"/>
    <s v="M"/>
    <s v="Black"/>
    <s v="Summer"/>
    <n v="3.2"/>
    <s v="No"/>
    <s v="Free Shipping"/>
    <s v="No"/>
    <s v="No"/>
    <n v="1"/>
    <s v="Cash"/>
    <s v="Annually"/>
    <s v="Annually"/>
    <n v="6"/>
  </r>
  <r>
    <x v="1691"/>
    <n v="64"/>
    <x v="0"/>
    <s v="Shoes"/>
    <x v="1"/>
    <n v="61"/>
    <x v="39"/>
    <s v="L"/>
    <s v="Blue"/>
    <s v="Summer"/>
    <n v="3.5"/>
    <s v="No"/>
    <s v="Next Day Air"/>
    <s v="No"/>
    <s v="No"/>
    <n v="4"/>
    <s v="Cash"/>
    <s v="Annually"/>
    <s v="Annually"/>
    <n v="6"/>
  </r>
  <r>
    <x v="1692"/>
    <n v="56"/>
    <x v="0"/>
    <s v="Handbag"/>
    <x v="3"/>
    <n v="75"/>
    <x v="40"/>
    <s v="M"/>
    <s v="Beige"/>
    <s v="Winter"/>
    <n v="2.6"/>
    <s v="No"/>
    <s v="Standard"/>
    <s v="No"/>
    <s v="No"/>
    <n v="33"/>
    <s v="Cash"/>
    <s v="Bi-Weekly"/>
    <s v="Bi-Weekly"/>
    <n v="2"/>
  </r>
  <r>
    <x v="1693"/>
    <n v="63"/>
    <x v="0"/>
    <s v="Jacket"/>
    <x v="2"/>
    <n v="88"/>
    <x v="30"/>
    <s v="XL"/>
    <s v="Olive"/>
    <s v="Fall"/>
    <n v="4.9000000000000004"/>
    <s v="No"/>
    <s v="Standard"/>
    <s v="No"/>
    <s v="No"/>
    <n v="45"/>
    <s v="Bank Transfer"/>
    <s v="Fortnightly"/>
    <s v="Fortnightly"/>
    <n v="3"/>
  </r>
  <r>
    <x v="1694"/>
    <n v="20"/>
    <x v="0"/>
    <s v="Shirt"/>
    <x v="0"/>
    <n v="67"/>
    <x v="16"/>
    <s v="M"/>
    <s v="Turquoise"/>
    <s v="Summer"/>
    <n v="2.7"/>
    <s v="No"/>
    <s v="Express"/>
    <s v="No"/>
    <s v="No"/>
    <n v="20"/>
    <s v="Debit Card"/>
    <s v="Fortnightly"/>
    <s v="Fortnightly"/>
    <n v="3"/>
  </r>
  <r>
    <x v="1695"/>
    <n v="54"/>
    <x v="0"/>
    <s v="Hat"/>
    <x v="3"/>
    <n v="95"/>
    <x v="43"/>
    <s v="S"/>
    <s v="Yellow"/>
    <s v="Fall"/>
    <n v="4.7"/>
    <s v="No"/>
    <s v="2-Day Shipping"/>
    <s v="No"/>
    <s v="No"/>
    <n v="1"/>
    <s v="PayPal"/>
    <s v="Fortnightly"/>
    <s v="Fortnightly"/>
    <n v="3"/>
  </r>
  <r>
    <x v="1696"/>
    <n v="31"/>
    <x v="0"/>
    <s v="Sunglasses"/>
    <x v="3"/>
    <n v="69"/>
    <x v="8"/>
    <s v="S"/>
    <s v="Turquoise"/>
    <s v="Spring"/>
    <n v="4"/>
    <s v="No"/>
    <s v="Free Shipping"/>
    <s v="No"/>
    <s v="No"/>
    <n v="7"/>
    <s v="Credit Card"/>
    <s v="Bi-Weekly"/>
    <s v="Bi-Weekly"/>
    <n v="2"/>
  </r>
  <r>
    <x v="1697"/>
    <n v="36"/>
    <x v="0"/>
    <s v="Shirt"/>
    <x v="0"/>
    <n v="87"/>
    <x v="36"/>
    <s v="L"/>
    <s v="Lavender"/>
    <s v="Fall"/>
    <n v="3.5"/>
    <s v="No"/>
    <s v="Next Day Air"/>
    <s v="No"/>
    <s v="No"/>
    <n v="48"/>
    <s v="Credit Card"/>
    <s v="Every 3 Months"/>
    <s v="Quarterly"/>
    <n v="5"/>
  </r>
  <r>
    <x v="1698"/>
    <n v="25"/>
    <x v="0"/>
    <s v="Belt"/>
    <x v="3"/>
    <n v="41"/>
    <x v="44"/>
    <s v="XL"/>
    <s v="Turquoise"/>
    <s v="Winter"/>
    <n v="4.8"/>
    <s v="No"/>
    <s v="Standard"/>
    <s v="No"/>
    <s v="No"/>
    <n v="46"/>
    <s v="Bank Transfer"/>
    <s v="Quarterly"/>
    <s v="Quarterly"/>
    <n v="5"/>
  </r>
  <r>
    <x v="1699"/>
    <n v="20"/>
    <x v="0"/>
    <s v="Sweater"/>
    <x v="0"/>
    <n v="67"/>
    <x v="25"/>
    <s v="L"/>
    <s v="Teal"/>
    <s v="Spring"/>
    <n v="4"/>
    <s v="No"/>
    <s v="Free Shipping"/>
    <s v="No"/>
    <s v="No"/>
    <n v="34"/>
    <s v="Debit Card"/>
    <s v="Annually"/>
    <s v="Annually"/>
    <n v="6"/>
  </r>
  <r>
    <x v="1700"/>
    <n v="62"/>
    <x v="0"/>
    <s v="Hoodie"/>
    <x v="0"/>
    <n v="70"/>
    <x v="8"/>
    <s v="L"/>
    <s v="Black"/>
    <s v="Fall"/>
    <n v="4.0999999999999996"/>
    <s v="No"/>
    <s v="Express"/>
    <s v="No"/>
    <s v="No"/>
    <n v="36"/>
    <s v="Bank Transfer"/>
    <s v="Monthly"/>
    <s v="Monthly"/>
    <n v="4"/>
  </r>
  <r>
    <x v="1701"/>
    <n v="69"/>
    <x v="0"/>
    <s v="Handbag"/>
    <x v="3"/>
    <n v="41"/>
    <x v="16"/>
    <s v="XL"/>
    <s v="Blue"/>
    <s v="Winter"/>
    <n v="3.8"/>
    <s v="No"/>
    <s v="Next Day Air"/>
    <s v="No"/>
    <s v="No"/>
    <n v="44"/>
    <s v="Debit Card"/>
    <s v="Every 3 Months"/>
    <s v="Quarterly"/>
    <n v="5"/>
  </r>
  <r>
    <x v="1702"/>
    <n v="54"/>
    <x v="0"/>
    <s v="Jeans"/>
    <x v="0"/>
    <n v="83"/>
    <x v="15"/>
    <s v="XL"/>
    <s v="Yellow"/>
    <s v="Summer"/>
    <n v="5"/>
    <s v="No"/>
    <s v="Express"/>
    <s v="No"/>
    <s v="No"/>
    <n v="48"/>
    <s v="Bank Transfer"/>
    <s v="Weekly"/>
    <s v="Weekly"/>
    <n v="1"/>
  </r>
  <r>
    <x v="1703"/>
    <n v="39"/>
    <x v="0"/>
    <s v="Backpack"/>
    <x v="3"/>
    <n v="22"/>
    <x v="18"/>
    <s v="M"/>
    <s v="Black"/>
    <s v="Spring"/>
    <n v="4"/>
    <s v="No"/>
    <s v="Next Day Air"/>
    <s v="No"/>
    <s v="No"/>
    <n v="12"/>
    <s v="Bank Transfer"/>
    <s v="Annually"/>
    <s v="Annually"/>
    <n v="6"/>
  </r>
  <r>
    <x v="1704"/>
    <n v="56"/>
    <x v="0"/>
    <s v="Sneakers"/>
    <x v="1"/>
    <n v="20"/>
    <x v="37"/>
    <s v="M"/>
    <s v="Lavender"/>
    <s v="Summer"/>
    <n v="3.9"/>
    <s v="No"/>
    <s v="Store Pickup"/>
    <s v="No"/>
    <s v="No"/>
    <n v="19"/>
    <s v="Cash"/>
    <s v="Every 3 Months"/>
    <s v="Quarterly"/>
    <n v="5"/>
  </r>
  <r>
    <x v="1705"/>
    <n v="39"/>
    <x v="0"/>
    <s v="Jewelry"/>
    <x v="3"/>
    <n v="29"/>
    <x v="45"/>
    <s v="L"/>
    <s v="Cyan"/>
    <s v="Summer"/>
    <n v="3.4"/>
    <s v="No"/>
    <s v="2-Day Shipping"/>
    <s v="No"/>
    <s v="No"/>
    <n v="49"/>
    <s v="Venmo"/>
    <s v="Bi-Weekly"/>
    <s v="Bi-Weekly"/>
    <n v="2"/>
  </r>
  <r>
    <x v="1706"/>
    <n v="37"/>
    <x v="0"/>
    <s v="Sunglasses"/>
    <x v="3"/>
    <n v="87"/>
    <x v="25"/>
    <s v="M"/>
    <s v="Brown"/>
    <s v="Spring"/>
    <n v="3"/>
    <s v="No"/>
    <s v="Standard"/>
    <s v="No"/>
    <s v="No"/>
    <n v="25"/>
    <s v="Venmo"/>
    <s v="Fortnightly"/>
    <s v="Fortnightly"/>
    <n v="3"/>
  </r>
  <r>
    <x v="1707"/>
    <n v="25"/>
    <x v="0"/>
    <s v="Shorts"/>
    <x v="0"/>
    <n v="81"/>
    <x v="22"/>
    <s v="L"/>
    <s v="Maroon"/>
    <s v="Fall"/>
    <n v="4.9000000000000004"/>
    <s v="No"/>
    <s v="2-Day Shipping"/>
    <s v="No"/>
    <s v="No"/>
    <n v="25"/>
    <s v="Cash"/>
    <s v="Bi-Weekly"/>
    <s v="Bi-Weekly"/>
    <n v="2"/>
  </r>
  <r>
    <x v="1708"/>
    <n v="35"/>
    <x v="0"/>
    <s v="Boots"/>
    <x v="1"/>
    <n v="58"/>
    <x v="20"/>
    <s v="L"/>
    <s v="Cyan"/>
    <s v="Spring"/>
    <n v="3.2"/>
    <s v="No"/>
    <s v="Express"/>
    <s v="No"/>
    <s v="No"/>
    <n v="1"/>
    <s v="Credit Card"/>
    <s v="Quarterly"/>
    <s v="Quarterly"/>
    <n v="5"/>
  </r>
  <r>
    <x v="1709"/>
    <n v="45"/>
    <x v="0"/>
    <s v="Skirt"/>
    <x v="0"/>
    <n v="83"/>
    <x v="27"/>
    <s v="M"/>
    <s v="Pink"/>
    <s v="Winter"/>
    <n v="3.8"/>
    <s v="No"/>
    <s v="Standard"/>
    <s v="No"/>
    <s v="No"/>
    <n v="19"/>
    <s v="Bank Transfer"/>
    <s v="Annually"/>
    <s v="Annually"/>
    <n v="6"/>
  </r>
  <r>
    <x v="1710"/>
    <n v="19"/>
    <x v="0"/>
    <s v="Pants"/>
    <x v="0"/>
    <n v="59"/>
    <x v="10"/>
    <s v="XL"/>
    <s v="Orange"/>
    <s v="Fall"/>
    <n v="3.8"/>
    <s v="No"/>
    <s v="Store Pickup"/>
    <s v="No"/>
    <s v="No"/>
    <n v="7"/>
    <s v="Credit Card"/>
    <s v="Quarterly"/>
    <s v="Quarterly"/>
    <n v="5"/>
  </r>
  <r>
    <x v="1711"/>
    <n v="21"/>
    <x v="0"/>
    <s v="T-shirt"/>
    <x v="0"/>
    <n v="93"/>
    <x v="17"/>
    <s v="M"/>
    <s v="Lavender"/>
    <s v="Spring"/>
    <n v="4.7"/>
    <s v="No"/>
    <s v="Express"/>
    <s v="No"/>
    <s v="No"/>
    <n v="19"/>
    <s v="Credit Card"/>
    <s v="Monthly"/>
    <s v="Monthly"/>
    <n v="4"/>
  </r>
  <r>
    <x v="1712"/>
    <n v="65"/>
    <x v="0"/>
    <s v="T-shirt"/>
    <x v="0"/>
    <n v="87"/>
    <x v="26"/>
    <s v="S"/>
    <s v="Beige"/>
    <s v="Fall"/>
    <n v="3.8"/>
    <s v="No"/>
    <s v="2-Day Shipping"/>
    <s v="No"/>
    <s v="No"/>
    <n v="9"/>
    <s v="Cash"/>
    <s v="Fortnightly"/>
    <s v="Fortnightly"/>
    <n v="3"/>
  </r>
  <r>
    <x v="1713"/>
    <n v="49"/>
    <x v="0"/>
    <s v="Jacket"/>
    <x v="2"/>
    <n v="22"/>
    <x v="9"/>
    <s v="M"/>
    <s v="Pink"/>
    <s v="Winter"/>
    <n v="4.5999999999999996"/>
    <s v="No"/>
    <s v="Free Shipping"/>
    <s v="No"/>
    <s v="No"/>
    <n v="37"/>
    <s v="PayPal"/>
    <s v="Quarterly"/>
    <s v="Quarterly"/>
    <n v="5"/>
  </r>
  <r>
    <x v="1714"/>
    <n v="30"/>
    <x v="0"/>
    <s v="Jeans"/>
    <x v="0"/>
    <n v="71"/>
    <x v="45"/>
    <s v="S"/>
    <s v="Charcoal"/>
    <s v="Summer"/>
    <n v="4.4000000000000004"/>
    <s v="No"/>
    <s v="Standard"/>
    <s v="No"/>
    <s v="No"/>
    <n v="15"/>
    <s v="Cash"/>
    <s v="Monthly"/>
    <s v="Monthly"/>
    <n v="4"/>
  </r>
  <r>
    <x v="1715"/>
    <n v="23"/>
    <x v="0"/>
    <s v="Dress"/>
    <x v="0"/>
    <n v="69"/>
    <x v="37"/>
    <s v="XL"/>
    <s v="Gray"/>
    <s v="Spring"/>
    <n v="3.4"/>
    <s v="No"/>
    <s v="2-Day Shipping"/>
    <s v="No"/>
    <s v="No"/>
    <n v="30"/>
    <s v="PayPal"/>
    <s v="Bi-Weekly"/>
    <s v="Bi-Weekly"/>
    <n v="2"/>
  </r>
  <r>
    <x v="1716"/>
    <n v="69"/>
    <x v="0"/>
    <s v="Blouse"/>
    <x v="0"/>
    <n v="47"/>
    <x v="39"/>
    <s v="M"/>
    <s v="Cyan"/>
    <s v="Winter"/>
    <n v="4.7"/>
    <s v="No"/>
    <s v="Standard"/>
    <s v="No"/>
    <s v="No"/>
    <n v="30"/>
    <s v="Cash"/>
    <s v="Every 3 Months"/>
    <s v="Quarterly"/>
    <n v="5"/>
  </r>
  <r>
    <x v="1717"/>
    <n v="29"/>
    <x v="0"/>
    <s v="Hoodie"/>
    <x v="0"/>
    <n v="50"/>
    <x v="11"/>
    <s v="L"/>
    <s v="Orange"/>
    <s v="Summer"/>
    <n v="2.9"/>
    <s v="No"/>
    <s v="Express"/>
    <s v="No"/>
    <s v="No"/>
    <n v="16"/>
    <s v="Debit Card"/>
    <s v="Bi-Weekly"/>
    <s v="Bi-Weekly"/>
    <n v="2"/>
  </r>
  <r>
    <x v="1718"/>
    <n v="54"/>
    <x v="0"/>
    <s v="T-shirt"/>
    <x v="0"/>
    <n v="96"/>
    <x v="33"/>
    <s v="L"/>
    <s v="Pink"/>
    <s v="Winter"/>
    <n v="3.4"/>
    <s v="No"/>
    <s v="2-Day Shipping"/>
    <s v="No"/>
    <s v="No"/>
    <n v="14"/>
    <s v="PayPal"/>
    <s v="Every 3 Months"/>
    <s v="Quarterly"/>
    <n v="5"/>
  </r>
  <r>
    <x v="1719"/>
    <n v="45"/>
    <x v="0"/>
    <s v="Sweater"/>
    <x v="0"/>
    <n v="39"/>
    <x v="33"/>
    <s v="M"/>
    <s v="White"/>
    <s v="Winter"/>
    <n v="3.2"/>
    <s v="No"/>
    <s v="Free Shipping"/>
    <s v="No"/>
    <s v="No"/>
    <n v="8"/>
    <s v="Venmo"/>
    <s v="Quarterly"/>
    <s v="Quarterly"/>
    <n v="5"/>
  </r>
  <r>
    <x v="1720"/>
    <n v="25"/>
    <x v="0"/>
    <s v="Shorts"/>
    <x v="0"/>
    <n v="84"/>
    <x v="2"/>
    <s v="S"/>
    <s v="Beige"/>
    <s v="Winter"/>
    <n v="2.8"/>
    <s v="No"/>
    <s v="Express"/>
    <s v="No"/>
    <s v="No"/>
    <n v="40"/>
    <s v="Debit Card"/>
    <s v="Bi-Weekly"/>
    <s v="Bi-Weekly"/>
    <n v="2"/>
  </r>
  <r>
    <x v="1721"/>
    <n v="34"/>
    <x v="0"/>
    <s v="Jewelry"/>
    <x v="3"/>
    <n v="28"/>
    <x v="12"/>
    <s v="S"/>
    <s v="Magenta"/>
    <s v="Spring"/>
    <n v="4.3"/>
    <s v="No"/>
    <s v="Free Shipping"/>
    <s v="No"/>
    <s v="No"/>
    <n v="24"/>
    <s v="Credit Card"/>
    <s v="Monthly"/>
    <s v="Monthly"/>
    <n v="4"/>
  </r>
  <r>
    <x v="1722"/>
    <n v="46"/>
    <x v="0"/>
    <s v="T-shirt"/>
    <x v="0"/>
    <n v="51"/>
    <x v="2"/>
    <s v="L"/>
    <s v="Violet"/>
    <s v="Summer"/>
    <n v="3.3"/>
    <s v="No"/>
    <s v="Standard"/>
    <s v="No"/>
    <s v="No"/>
    <n v="14"/>
    <s v="Cash"/>
    <s v="Fortnightly"/>
    <s v="Fortnightly"/>
    <n v="3"/>
  </r>
  <r>
    <x v="1723"/>
    <n v="70"/>
    <x v="0"/>
    <s v="Scarf"/>
    <x v="3"/>
    <n v="20"/>
    <x v="14"/>
    <s v="XL"/>
    <s v="Gold"/>
    <s v="Spring"/>
    <n v="3.3"/>
    <s v="No"/>
    <s v="Standard"/>
    <s v="No"/>
    <s v="No"/>
    <n v="39"/>
    <s v="PayPal"/>
    <s v="Annually"/>
    <s v="Annually"/>
    <n v="6"/>
  </r>
  <r>
    <x v="1724"/>
    <n v="42"/>
    <x v="0"/>
    <s v="Shoes"/>
    <x v="1"/>
    <n v="72"/>
    <x v="12"/>
    <s v="S"/>
    <s v="Teal"/>
    <s v="Winter"/>
    <n v="3.3"/>
    <s v="No"/>
    <s v="Free Shipping"/>
    <s v="No"/>
    <s v="No"/>
    <n v="21"/>
    <s v="PayPal"/>
    <s v="Weekly"/>
    <s v="Weekly"/>
    <n v="1"/>
  </r>
  <r>
    <x v="1725"/>
    <n v="45"/>
    <x v="0"/>
    <s v="Sunglasses"/>
    <x v="3"/>
    <n v="33"/>
    <x v="2"/>
    <s v="M"/>
    <s v="Indigo"/>
    <s v="Spring"/>
    <n v="3"/>
    <s v="No"/>
    <s v="Next Day Air"/>
    <s v="No"/>
    <s v="No"/>
    <n v="32"/>
    <s v="Venmo"/>
    <s v="Quarterly"/>
    <s v="Quarterly"/>
    <n v="5"/>
  </r>
  <r>
    <x v="1726"/>
    <n v="57"/>
    <x v="0"/>
    <s v="Coat"/>
    <x v="2"/>
    <n v="28"/>
    <x v="27"/>
    <s v="S"/>
    <s v="Olive"/>
    <s v="Summer"/>
    <n v="2.8"/>
    <s v="No"/>
    <s v="Express"/>
    <s v="No"/>
    <s v="No"/>
    <n v="45"/>
    <s v="Debit Card"/>
    <s v="Weekly"/>
    <s v="Weekly"/>
    <n v="1"/>
  </r>
  <r>
    <x v="1727"/>
    <n v="49"/>
    <x v="0"/>
    <s v="Blouse"/>
    <x v="0"/>
    <n v="53"/>
    <x v="41"/>
    <s v="S"/>
    <s v="Violet"/>
    <s v="Spring"/>
    <n v="4"/>
    <s v="No"/>
    <s v="Express"/>
    <s v="No"/>
    <s v="No"/>
    <n v="19"/>
    <s v="PayPal"/>
    <s v="Monthly"/>
    <s v="Monthly"/>
    <n v="4"/>
  </r>
  <r>
    <x v="1728"/>
    <n v="23"/>
    <x v="0"/>
    <s v="Jeans"/>
    <x v="0"/>
    <n v="48"/>
    <x v="5"/>
    <s v="L"/>
    <s v="Black"/>
    <s v="Fall"/>
    <n v="4.3"/>
    <s v="No"/>
    <s v="Express"/>
    <s v="No"/>
    <s v="No"/>
    <n v="1"/>
    <s v="Debit Card"/>
    <s v="Every 3 Months"/>
    <s v="Quarterly"/>
    <n v="5"/>
  </r>
  <r>
    <x v="1729"/>
    <n v="47"/>
    <x v="0"/>
    <s v="Shorts"/>
    <x v="0"/>
    <n v="21"/>
    <x v="26"/>
    <s v="M"/>
    <s v="Brown"/>
    <s v="Winter"/>
    <n v="3.8"/>
    <s v="No"/>
    <s v="Store Pickup"/>
    <s v="No"/>
    <s v="No"/>
    <n v="12"/>
    <s v="Venmo"/>
    <s v="Fortnightly"/>
    <s v="Fortnightly"/>
    <n v="3"/>
  </r>
  <r>
    <x v="1730"/>
    <n v="23"/>
    <x v="0"/>
    <s v="Shirt"/>
    <x v="0"/>
    <n v="22"/>
    <x v="15"/>
    <s v="S"/>
    <s v="Silver"/>
    <s v="Fall"/>
    <n v="4.2"/>
    <s v="No"/>
    <s v="Free Shipping"/>
    <s v="No"/>
    <s v="No"/>
    <n v="26"/>
    <s v="Credit Card"/>
    <s v="Weekly"/>
    <s v="Weekly"/>
    <n v="1"/>
  </r>
  <r>
    <x v="1731"/>
    <n v="21"/>
    <x v="0"/>
    <s v="Backpack"/>
    <x v="3"/>
    <n v="87"/>
    <x v="37"/>
    <s v="M"/>
    <s v="Gray"/>
    <s v="Fall"/>
    <n v="3.1"/>
    <s v="No"/>
    <s v="Next Day Air"/>
    <s v="No"/>
    <s v="No"/>
    <n v="12"/>
    <s v="Cash"/>
    <s v="Monthly"/>
    <s v="Monthly"/>
    <n v="4"/>
  </r>
  <r>
    <x v="1732"/>
    <n v="45"/>
    <x v="0"/>
    <s v="Belt"/>
    <x v="3"/>
    <n v="50"/>
    <x v="3"/>
    <s v="S"/>
    <s v="Charcoal"/>
    <s v="Winter"/>
    <n v="2.6"/>
    <s v="No"/>
    <s v="Free Shipping"/>
    <s v="No"/>
    <s v="No"/>
    <n v="36"/>
    <s v="Cash"/>
    <s v="Every 3 Months"/>
    <s v="Quarterly"/>
    <n v="5"/>
  </r>
  <r>
    <x v="1733"/>
    <n v="67"/>
    <x v="0"/>
    <s v="Blouse"/>
    <x v="0"/>
    <n v="85"/>
    <x v="14"/>
    <s v="L"/>
    <s v="Black"/>
    <s v="Summer"/>
    <n v="3.4"/>
    <s v="No"/>
    <s v="Express"/>
    <s v="No"/>
    <s v="No"/>
    <n v="22"/>
    <s v="Credit Card"/>
    <s v="Annually"/>
    <s v="Annually"/>
    <n v="6"/>
  </r>
  <r>
    <x v="1734"/>
    <n v="31"/>
    <x v="0"/>
    <s v="Jeans"/>
    <x v="0"/>
    <n v="98"/>
    <x v="9"/>
    <s v="L"/>
    <s v="Brown"/>
    <s v="Spring"/>
    <n v="3.1"/>
    <s v="No"/>
    <s v="Next Day Air"/>
    <s v="No"/>
    <s v="No"/>
    <n v="16"/>
    <s v="PayPal"/>
    <s v="Quarterly"/>
    <s v="Quarterly"/>
    <n v="5"/>
  </r>
  <r>
    <x v="1735"/>
    <n v="58"/>
    <x v="0"/>
    <s v="Dress"/>
    <x v="0"/>
    <n v="34"/>
    <x v="21"/>
    <s v="M"/>
    <s v="Purple"/>
    <s v="Winter"/>
    <n v="3.6"/>
    <s v="No"/>
    <s v="Express"/>
    <s v="No"/>
    <s v="No"/>
    <n v="31"/>
    <s v="Venmo"/>
    <s v="Annually"/>
    <s v="Annually"/>
    <n v="6"/>
  </r>
  <r>
    <x v="1736"/>
    <n v="57"/>
    <x v="0"/>
    <s v="Shorts"/>
    <x v="0"/>
    <n v="61"/>
    <x v="30"/>
    <s v="M"/>
    <s v="Purple"/>
    <s v="Summer"/>
    <n v="2.6"/>
    <s v="No"/>
    <s v="2-Day Shipping"/>
    <s v="No"/>
    <s v="No"/>
    <n v="43"/>
    <s v="Cash"/>
    <s v="Quarterly"/>
    <s v="Quarterly"/>
    <n v="5"/>
  </r>
  <r>
    <x v="1737"/>
    <n v="42"/>
    <x v="0"/>
    <s v="Jewelry"/>
    <x v="3"/>
    <n v="98"/>
    <x v="31"/>
    <s v="L"/>
    <s v="Gray"/>
    <s v="Summer"/>
    <n v="4.2"/>
    <s v="No"/>
    <s v="Store Pickup"/>
    <s v="No"/>
    <s v="No"/>
    <n v="50"/>
    <s v="Venmo"/>
    <s v="Bi-Weekly"/>
    <s v="Bi-Weekly"/>
    <n v="2"/>
  </r>
  <r>
    <x v="1738"/>
    <n v="60"/>
    <x v="0"/>
    <s v="Handbag"/>
    <x v="3"/>
    <n v="61"/>
    <x v="30"/>
    <s v="M"/>
    <s v="Green"/>
    <s v="Spring"/>
    <n v="2.9"/>
    <s v="No"/>
    <s v="2-Day Shipping"/>
    <s v="No"/>
    <s v="No"/>
    <n v="37"/>
    <s v="Credit Card"/>
    <s v="Weekly"/>
    <s v="Weekly"/>
    <n v="1"/>
  </r>
  <r>
    <x v="1739"/>
    <n v="21"/>
    <x v="0"/>
    <s v="Jewelry"/>
    <x v="3"/>
    <n v="98"/>
    <x v="46"/>
    <s v="L"/>
    <s v="Silver"/>
    <s v="Winter"/>
    <n v="4.2"/>
    <s v="No"/>
    <s v="Express"/>
    <s v="No"/>
    <s v="No"/>
    <n v="23"/>
    <s v="Cash"/>
    <s v="Weekly"/>
    <s v="Weekly"/>
    <n v="1"/>
  </r>
  <r>
    <x v="1740"/>
    <n v="69"/>
    <x v="0"/>
    <s v="Pants"/>
    <x v="0"/>
    <n v="21"/>
    <x v="48"/>
    <s v="L"/>
    <s v="Charcoal"/>
    <s v="Fall"/>
    <n v="3.3"/>
    <s v="No"/>
    <s v="Next Day Air"/>
    <s v="No"/>
    <s v="No"/>
    <n v="10"/>
    <s v="Bank Transfer"/>
    <s v="Every 3 Months"/>
    <s v="Quarterly"/>
    <n v="5"/>
  </r>
  <r>
    <x v="1741"/>
    <n v="41"/>
    <x v="0"/>
    <s v="Pants"/>
    <x v="0"/>
    <n v="51"/>
    <x v="12"/>
    <s v="XL"/>
    <s v="Teal"/>
    <s v="Winter"/>
    <n v="3.6"/>
    <s v="No"/>
    <s v="Next Day Air"/>
    <s v="No"/>
    <s v="No"/>
    <n v="20"/>
    <s v="Bank Transfer"/>
    <s v="Monthly"/>
    <s v="Monthly"/>
    <n v="4"/>
  </r>
  <r>
    <x v="1742"/>
    <n v="51"/>
    <x v="0"/>
    <s v="Sandals"/>
    <x v="1"/>
    <n v="80"/>
    <x v="23"/>
    <s v="XL"/>
    <s v="White"/>
    <s v="Spring"/>
    <n v="4.3"/>
    <s v="No"/>
    <s v="Express"/>
    <s v="No"/>
    <s v="No"/>
    <n v="18"/>
    <s v="Venmo"/>
    <s v="Every 3 Months"/>
    <s v="Quarterly"/>
    <n v="5"/>
  </r>
  <r>
    <x v="1743"/>
    <n v="23"/>
    <x v="0"/>
    <s v="Skirt"/>
    <x v="0"/>
    <n v="72"/>
    <x v="9"/>
    <s v="XL"/>
    <s v="Brown"/>
    <s v="Winter"/>
    <n v="3.3"/>
    <s v="No"/>
    <s v="Standard"/>
    <s v="No"/>
    <s v="No"/>
    <n v="3"/>
    <s v="Bank Transfer"/>
    <s v="Weekly"/>
    <s v="Weekly"/>
    <n v="1"/>
  </r>
  <r>
    <x v="1744"/>
    <n v="57"/>
    <x v="0"/>
    <s v="Sunglasses"/>
    <x v="3"/>
    <n v="63"/>
    <x v="49"/>
    <s v="L"/>
    <s v="Teal"/>
    <s v="Winter"/>
    <n v="3"/>
    <s v="No"/>
    <s v="Standard"/>
    <s v="No"/>
    <s v="No"/>
    <n v="23"/>
    <s v="PayPal"/>
    <s v="Weekly"/>
    <s v="Weekly"/>
    <n v="1"/>
  </r>
  <r>
    <x v="1745"/>
    <n v="40"/>
    <x v="0"/>
    <s v="Skirt"/>
    <x v="0"/>
    <n v="27"/>
    <x v="8"/>
    <s v="L"/>
    <s v="Red"/>
    <s v="Winter"/>
    <n v="3.6"/>
    <s v="No"/>
    <s v="Store Pickup"/>
    <s v="No"/>
    <s v="No"/>
    <n v="27"/>
    <s v="Cash"/>
    <s v="Weekly"/>
    <s v="Weekly"/>
    <n v="1"/>
  </r>
  <r>
    <x v="1746"/>
    <n v="65"/>
    <x v="0"/>
    <s v="Handbag"/>
    <x v="3"/>
    <n v="44"/>
    <x v="15"/>
    <s v="L"/>
    <s v="Brown"/>
    <s v="Summer"/>
    <n v="3.1"/>
    <s v="No"/>
    <s v="Store Pickup"/>
    <s v="No"/>
    <s v="No"/>
    <n v="44"/>
    <s v="Bank Transfer"/>
    <s v="Fortnightly"/>
    <s v="Fortnightly"/>
    <n v="3"/>
  </r>
  <r>
    <x v="1747"/>
    <n v="61"/>
    <x v="0"/>
    <s v="Coat"/>
    <x v="2"/>
    <n v="23"/>
    <x v="13"/>
    <s v="M"/>
    <s v="Yellow"/>
    <s v="Winter"/>
    <n v="2.9"/>
    <s v="No"/>
    <s v="Express"/>
    <s v="No"/>
    <s v="No"/>
    <n v="41"/>
    <s v="Venmo"/>
    <s v="Quarterly"/>
    <s v="Quarterly"/>
    <n v="5"/>
  </r>
  <r>
    <x v="1748"/>
    <n v="34"/>
    <x v="0"/>
    <s v="Skirt"/>
    <x v="0"/>
    <n v="93"/>
    <x v="6"/>
    <s v="L"/>
    <s v="Teal"/>
    <s v="Winter"/>
    <n v="3.9"/>
    <s v="No"/>
    <s v="2-Day Shipping"/>
    <s v="No"/>
    <s v="No"/>
    <n v="41"/>
    <s v="Bank Transfer"/>
    <s v="Annually"/>
    <s v="Annually"/>
    <n v="6"/>
  </r>
  <r>
    <x v="1749"/>
    <n v="43"/>
    <x v="0"/>
    <s v="Hoodie"/>
    <x v="0"/>
    <n v="70"/>
    <x v="5"/>
    <s v="L"/>
    <s v="Pink"/>
    <s v="Fall"/>
    <n v="3.2"/>
    <s v="No"/>
    <s v="2-Day Shipping"/>
    <s v="No"/>
    <s v="No"/>
    <n v="36"/>
    <s v="Debit Card"/>
    <s v="Every 3 Months"/>
    <s v="Quarterly"/>
    <n v="5"/>
  </r>
  <r>
    <x v="1750"/>
    <n v="31"/>
    <x v="0"/>
    <s v="Sunglasses"/>
    <x v="3"/>
    <n v="85"/>
    <x v="9"/>
    <s v="M"/>
    <s v="White"/>
    <s v="Fall"/>
    <n v="3.1"/>
    <s v="No"/>
    <s v="Express"/>
    <s v="No"/>
    <s v="No"/>
    <n v="38"/>
    <s v="Venmo"/>
    <s v="Every 3 Months"/>
    <s v="Quarterly"/>
    <n v="5"/>
  </r>
  <r>
    <x v="1751"/>
    <n v="57"/>
    <x v="0"/>
    <s v="Sweater"/>
    <x v="0"/>
    <n v="40"/>
    <x v="31"/>
    <s v="M"/>
    <s v="Silver"/>
    <s v="Winter"/>
    <n v="3.2"/>
    <s v="No"/>
    <s v="2-Day Shipping"/>
    <s v="No"/>
    <s v="No"/>
    <n v="34"/>
    <s v="Cash"/>
    <s v="Annually"/>
    <s v="Annually"/>
    <n v="6"/>
  </r>
  <r>
    <x v="1752"/>
    <n v="34"/>
    <x v="0"/>
    <s v="Boots"/>
    <x v="1"/>
    <n v="29"/>
    <x v="45"/>
    <s v="L"/>
    <s v="Blue"/>
    <s v="Winter"/>
    <n v="3.3"/>
    <s v="No"/>
    <s v="Store Pickup"/>
    <s v="No"/>
    <s v="No"/>
    <n v="14"/>
    <s v="Venmo"/>
    <s v="Quarterly"/>
    <s v="Quarterly"/>
    <n v="5"/>
  </r>
  <r>
    <x v="1753"/>
    <n v="25"/>
    <x v="0"/>
    <s v="Skirt"/>
    <x v="0"/>
    <n v="27"/>
    <x v="24"/>
    <s v="L"/>
    <s v="Black"/>
    <s v="Fall"/>
    <n v="4.8"/>
    <s v="No"/>
    <s v="Next Day Air"/>
    <s v="No"/>
    <s v="No"/>
    <n v="23"/>
    <s v="Credit Card"/>
    <s v="Fortnightly"/>
    <s v="Fortnightly"/>
    <n v="3"/>
  </r>
  <r>
    <x v="1754"/>
    <n v="66"/>
    <x v="0"/>
    <s v="Dress"/>
    <x v="0"/>
    <n v="93"/>
    <x v="2"/>
    <s v="S"/>
    <s v="Beige"/>
    <s v="Fall"/>
    <n v="3.8"/>
    <s v="No"/>
    <s v="2-Day Shipping"/>
    <s v="No"/>
    <s v="No"/>
    <n v="18"/>
    <s v="Credit Card"/>
    <s v="Fortnightly"/>
    <s v="Fortnightly"/>
    <n v="3"/>
  </r>
  <r>
    <x v="1755"/>
    <n v="56"/>
    <x v="0"/>
    <s v="Belt"/>
    <x v="3"/>
    <n v="20"/>
    <x v="12"/>
    <s v="XL"/>
    <s v="Charcoal"/>
    <s v="Spring"/>
    <n v="4.5999999999999996"/>
    <s v="No"/>
    <s v="Next Day Air"/>
    <s v="No"/>
    <s v="No"/>
    <n v="45"/>
    <s v="Cash"/>
    <s v="Monthly"/>
    <s v="Monthly"/>
    <n v="4"/>
  </r>
  <r>
    <x v="1756"/>
    <n v="49"/>
    <x v="0"/>
    <s v="Jewelry"/>
    <x v="3"/>
    <n v="55"/>
    <x v="13"/>
    <s v="S"/>
    <s v="Cyan"/>
    <s v="Fall"/>
    <n v="2.8"/>
    <s v="No"/>
    <s v="Free Shipping"/>
    <s v="No"/>
    <s v="No"/>
    <n v="14"/>
    <s v="Bank Transfer"/>
    <s v="Weekly"/>
    <s v="Weekly"/>
    <n v="1"/>
  </r>
  <r>
    <x v="1757"/>
    <n v="19"/>
    <x v="0"/>
    <s v="Dress"/>
    <x v="0"/>
    <n v="94"/>
    <x v="49"/>
    <s v="L"/>
    <s v="Yellow"/>
    <s v="Fall"/>
    <n v="3.6"/>
    <s v="No"/>
    <s v="Standard"/>
    <s v="No"/>
    <s v="No"/>
    <n v="48"/>
    <s v="Debit Card"/>
    <s v="Annually"/>
    <s v="Annually"/>
    <n v="6"/>
  </r>
  <r>
    <x v="1758"/>
    <n v="27"/>
    <x v="0"/>
    <s v="Hat"/>
    <x v="3"/>
    <n v="56"/>
    <x v="38"/>
    <s v="M"/>
    <s v="Silver"/>
    <s v="Winter"/>
    <n v="4.3"/>
    <s v="No"/>
    <s v="Free Shipping"/>
    <s v="No"/>
    <s v="No"/>
    <n v="17"/>
    <s v="Venmo"/>
    <s v="Bi-Weekly"/>
    <s v="Bi-Weekly"/>
    <n v="2"/>
  </r>
  <r>
    <x v="1759"/>
    <n v="68"/>
    <x v="0"/>
    <s v="Sweater"/>
    <x v="0"/>
    <n v="58"/>
    <x v="7"/>
    <s v="L"/>
    <s v="Green"/>
    <s v="Spring"/>
    <n v="4"/>
    <s v="No"/>
    <s v="Next Day Air"/>
    <s v="No"/>
    <s v="No"/>
    <n v="1"/>
    <s v="PayPal"/>
    <s v="Weekly"/>
    <s v="Weekly"/>
    <n v="1"/>
  </r>
  <r>
    <x v="1760"/>
    <n v="20"/>
    <x v="0"/>
    <s v="Skirt"/>
    <x v="0"/>
    <n v="44"/>
    <x v="46"/>
    <s v="XL"/>
    <s v="Peach"/>
    <s v="Spring"/>
    <n v="3.5"/>
    <s v="No"/>
    <s v="Standard"/>
    <s v="No"/>
    <s v="No"/>
    <n v="39"/>
    <s v="PayPal"/>
    <s v="Weekly"/>
    <s v="Weekly"/>
    <n v="1"/>
  </r>
  <r>
    <x v="1761"/>
    <n v="21"/>
    <x v="0"/>
    <s v="Hoodie"/>
    <x v="0"/>
    <n v="95"/>
    <x v="11"/>
    <s v="S"/>
    <s v="Green"/>
    <s v="Fall"/>
    <n v="4.9000000000000004"/>
    <s v="No"/>
    <s v="2-Day Shipping"/>
    <s v="No"/>
    <s v="No"/>
    <n v="24"/>
    <s v="Cash"/>
    <s v="Weekly"/>
    <s v="Weekly"/>
    <n v="1"/>
  </r>
  <r>
    <x v="1762"/>
    <n v="36"/>
    <x v="0"/>
    <s v="Sandals"/>
    <x v="1"/>
    <n v="42"/>
    <x v="37"/>
    <s v="M"/>
    <s v="Brown"/>
    <s v="Summer"/>
    <n v="3.1"/>
    <s v="No"/>
    <s v="Express"/>
    <s v="No"/>
    <s v="No"/>
    <n v="41"/>
    <s v="Bank Transfer"/>
    <s v="Fortnightly"/>
    <s v="Fortnightly"/>
    <n v="3"/>
  </r>
  <r>
    <x v="1763"/>
    <n v="37"/>
    <x v="0"/>
    <s v="Jewelry"/>
    <x v="3"/>
    <n v="93"/>
    <x v="34"/>
    <s v="M"/>
    <s v="Lavender"/>
    <s v="Winter"/>
    <n v="3.9"/>
    <s v="No"/>
    <s v="Store Pickup"/>
    <s v="No"/>
    <s v="No"/>
    <n v="28"/>
    <s v="PayPal"/>
    <s v="Annually"/>
    <s v="Annually"/>
    <n v="6"/>
  </r>
  <r>
    <x v="1764"/>
    <n v="61"/>
    <x v="0"/>
    <s v="Dress"/>
    <x v="0"/>
    <n v="56"/>
    <x v="12"/>
    <s v="M"/>
    <s v="Charcoal"/>
    <s v="Summer"/>
    <n v="3"/>
    <s v="No"/>
    <s v="Store Pickup"/>
    <s v="No"/>
    <s v="No"/>
    <n v="34"/>
    <s v="Venmo"/>
    <s v="Quarterly"/>
    <s v="Quarterly"/>
    <n v="5"/>
  </r>
  <r>
    <x v="1765"/>
    <n v="68"/>
    <x v="0"/>
    <s v="Hoodie"/>
    <x v="0"/>
    <n v="88"/>
    <x v="35"/>
    <s v="M"/>
    <s v="Orange"/>
    <s v="Spring"/>
    <n v="4.0999999999999996"/>
    <s v="No"/>
    <s v="2-Day Shipping"/>
    <s v="No"/>
    <s v="No"/>
    <n v="41"/>
    <s v="Venmo"/>
    <s v="Quarterly"/>
    <s v="Quarterly"/>
    <n v="5"/>
  </r>
  <r>
    <x v="1766"/>
    <n v="60"/>
    <x v="0"/>
    <s v="Sweater"/>
    <x v="0"/>
    <n v="54"/>
    <x v="29"/>
    <s v="S"/>
    <s v="Cyan"/>
    <s v="Winter"/>
    <n v="4.3"/>
    <s v="No"/>
    <s v="2-Day Shipping"/>
    <s v="No"/>
    <s v="No"/>
    <n v="27"/>
    <s v="Cash"/>
    <s v="Bi-Weekly"/>
    <s v="Bi-Weekly"/>
    <n v="2"/>
  </r>
  <r>
    <x v="1767"/>
    <n v="69"/>
    <x v="0"/>
    <s v="Jewelry"/>
    <x v="3"/>
    <n v="89"/>
    <x v="46"/>
    <s v="L"/>
    <s v="Lavender"/>
    <s v="Fall"/>
    <n v="3.8"/>
    <s v="No"/>
    <s v="2-Day Shipping"/>
    <s v="No"/>
    <s v="No"/>
    <n v="46"/>
    <s v="Debit Card"/>
    <s v="Fortnightly"/>
    <s v="Fortnightly"/>
    <n v="3"/>
  </r>
  <r>
    <x v="1768"/>
    <n v="25"/>
    <x v="0"/>
    <s v="Sandals"/>
    <x v="1"/>
    <n v="45"/>
    <x v="43"/>
    <s v="M"/>
    <s v="Indigo"/>
    <s v="Summer"/>
    <n v="3.9"/>
    <s v="No"/>
    <s v="2-Day Shipping"/>
    <s v="No"/>
    <s v="No"/>
    <n v="2"/>
    <s v="PayPal"/>
    <s v="Every 3 Months"/>
    <s v="Quarterly"/>
    <n v="5"/>
  </r>
  <r>
    <x v="1769"/>
    <n v="32"/>
    <x v="0"/>
    <s v="Socks"/>
    <x v="0"/>
    <n v="75"/>
    <x v="29"/>
    <s v="L"/>
    <s v="Brown"/>
    <s v="Winter"/>
    <n v="4.3"/>
    <s v="No"/>
    <s v="Free Shipping"/>
    <s v="No"/>
    <s v="No"/>
    <n v="45"/>
    <s v="Cash"/>
    <s v="Monthly"/>
    <s v="Monthly"/>
    <n v="4"/>
  </r>
  <r>
    <x v="1770"/>
    <n v="53"/>
    <x v="0"/>
    <s v="Backpack"/>
    <x v="3"/>
    <n v="22"/>
    <x v="49"/>
    <s v="M"/>
    <s v="Pink"/>
    <s v="Fall"/>
    <n v="4.3"/>
    <s v="No"/>
    <s v="Express"/>
    <s v="No"/>
    <s v="No"/>
    <n v="34"/>
    <s v="Bank Transfer"/>
    <s v="Weekly"/>
    <s v="Weekly"/>
    <n v="1"/>
  </r>
  <r>
    <x v="1771"/>
    <n v="46"/>
    <x v="0"/>
    <s v="Shirt"/>
    <x v="0"/>
    <n v="82"/>
    <x v="27"/>
    <s v="XL"/>
    <s v="Turquoise"/>
    <s v="Fall"/>
    <n v="4.7"/>
    <s v="No"/>
    <s v="Store Pickup"/>
    <s v="No"/>
    <s v="No"/>
    <n v="9"/>
    <s v="Credit Card"/>
    <s v="Annually"/>
    <s v="Annually"/>
    <n v="6"/>
  </r>
  <r>
    <x v="1772"/>
    <n v="58"/>
    <x v="0"/>
    <s v="Shoes"/>
    <x v="1"/>
    <n v="34"/>
    <x v="11"/>
    <s v="M"/>
    <s v="Gold"/>
    <s v="Summer"/>
    <n v="3.1"/>
    <s v="No"/>
    <s v="2-Day Shipping"/>
    <s v="No"/>
    <s v="No"/>
    <n v="1"/>
    <s v="Bank Transfer"/>
    <s v="Annually"/>
    <s v="Annually"/>
    <n v="6"/>
  </r>
  <r>
    <x v="1773"/>
    <n v="21"/>
    <x v="0"/>
    <s v="Coat"/>
    <x v="2"/>
    <n v="92"/>
    <x v="8"/>
    <s v="M"/>
    <s v="Blue"/>
    <s v="Summer"/>
    <n v="2.7"/>
    <s v="No"/>
    <s v="Free Shipping"/>
    <s v="No"/>
    <s v="No"/>
    <n v="17"/>
    <s v="PayPal"/>
    <s v="Annually"/>
    <s v="Annually"/>
    <n v="6"/>
  </r>
  <r>
    <x v="1774"/>
    <n v="46"/>
    <x v="0"/>
    <s v="Sweater"/>
    <x v="0"/>
    <n v="78"/>
    <x v="14"/>
    <s v="M"/>
    <s v="Lavender"/>
    <s v="Spring"/>
    <n v="3.7"/>
    <s v="No"/>
    <s v="Express"/>
    <s v="No"/>
    <s v="No"/>
    <n v="6"/>
    <s v="PayPal"/>
    <s v="Weekly"/>
    <s v="Weekly"/>
    <n v="1"/>
  </r>
  <r>
    <x v="1775"/>
    <n v="18"/>
    <x v="0"/>
    <s v="Jacket"/>
    <x v="2"/>
    <n v="47"/>
    <x v="44"/>
    <s v="M"/>
    <s v="Violet"/>
    <s v="Spring"/>
    <n v="3.3"/>
    <s v="No"/>
    <s v="2-Day Shipping"/>
    <s v="No"/>
    <s v="No"/>
    <n v="12"/>
    <s v="Cash"/>
    <s v="Bi-Weekly"/>
    <s v="Bi-Weekly"/>
    <n v="2"/>
  </r>
  <r>
    <x v="1776"/>
    <n v="56"/>
    <x v="0"/>
    <s v="Jacket"/>
    <x v="2"/>
    <n v="64"/>
    <x v="28"/>
    <s v="L"/>
    <s v="Cyan"/>
    <s v="Summer"/>
    <n v="3.4"/>
    <s v="No"/>
    <s v="Free Shipping"/>
    <s v="No"/>
    <s v="No"/>
    <n v="10"/>
    <s v="Venmo"/>
    <s v="Every 3 Months"/>
    <s v="Quarterly"/>
    <n v="5"/>
  </r>
  <r>
    <x v="1777"/>
    <n v="18"/>
    <x v="0"/>
    <s v="Sneakers"/>
    <x v="1"/>
    <n v="44"/>
    <x v="46"/>
    <s v="L"/>
    <s v="Purple"/>
    <s v="Winter"/>
    <n v="4.7"/>
    <s v="No"/>
    <s v="Free Shipping"/>
    <s v="No"/>
    <s v="No"/>
    <n v="4"/>
    <s v="Cash"/>
    <s v="Fortnightly"/>
    <s v="Fortnightly"/>
    <n v="3"/>
  </r>
  <r>
    <x v="1778"/>
    <n v="49"/>
    <x v="0"/>
    <s v="Belt"/>
    <x v="3"/>
    <n v="94"/>
    <x v="21"/>
    <s v="M"/>
    <s v="Red"/>
    <s v="Winter"/>
    <n v="4.9000000000000004"/>
    <s v="No"/>
    <s v="Store Pickup"/>
    <s v="No"/>
    <s v="No"/>
    <n v="8"/>
    <s v="Debit Card"/>
    <s v="Bi-Weekly"/>
    <s v="Bi-Weekly"/>
    <n v="2"/>
  </r>
  <r>
    <x v="1779"/>
    <n v="29"/>
    <x v="0"/>
    <s v="Scarf"/>
    <x v="3"/>
    <n v="62"/>
    <x v="41"/>
    <s v="M"/>
    <s v="Charcoal"/>
    <s v="Winter"/>
    <n v="4.3"/>
    <s v="No"/>
    <s v="Free Shipping"/>
    <s v="No"/>
    <s v="No"/>
    <n v="41"/>
    <s v="Venmo"/>
    <s v="Weekly"/>
    <s v="Weekly"/>
    <n v="1"/>
  </r>
  <r>
    <x v="1780"/>
    <n v="67"/>
    <x v="0"/>
    <s v="Jewelry"/>
    <x v="3"/>
    <n v="81"/>
    <x v="25"/>
    <s v="S"/>
    <s v="Gray"/>
    <s v="Summer"/>
    <n v="4.2"/>
    <s v="No"/>
    <s v="Next Day Air"/>
    <s v="No"/>
    <s v="No"/>
    <n v="49"/>
    <s v="Credit Card"/>
    <s v="Weekly"/>
    <s v="Weekly"/>
    <n v="1"/>
  </r>
  <r>
    <x v="1781"/>
    <n v="31"/>
    <x v="0"/>
    <s v="T-shirt"/>
    <x v="0"/>
    <n v="33"/>
    <x v="44"/>
    <s v="M"/>
    <s v="Pink"/>
    <s v="Fall"/>
    <n v="3.7"/>
    <s v="No"/>
    <s v="Express"/>
    <s v="No"/>
    <s v="No"/>
    <n v="49"/>
    <s v="Bank Transfer"/>
    <s v="Quarterly"/>
    <s v="Quarterly"/>
    <n v="5"/>
  </r>
  <r>
    <x v="1782"/>
    <n v="52"/>
    <x v="0"/>
    <s v="Pants"/>
    <x v="0"/>
    <n v="88"/>
    <x v="40"/>
    <s v="M"/>
    <s v="Lavender"/>
    <s v="Fall"/>
    <n v="2.7"/>
    <s v="No"/>
    <s v="Next Day Air"/>
    <s v="No"/>
    <s v="No"/>
    <n v="40"/>
    <s v="Bank Transfer"/>
    <s v="Fortnightly"/>
    <s v="Fortnightly"/>
    <n v="3"/>
  </r>
  <r>
    <x v="1783"/>
    <n v="42"/>
    <x v="0"/>
    <s v="Handbag"/>
    <x v="3"/>
    <n v="49"/>
    <x v="31"/>
    <s v="L"/>
    <s v="Lavender"/>
    <s v="Winter"/>
    <n v="3.3"/>
    <s v="No"/>
    <s v="Free Shipping"/>
    <s v="No"/>
    <s v="No"/>
    <n v="30"/>
    <s v="Credit Card"/>
    <s v="Monthly"/>
    <s v="Monthly"/>
    <n v="4"/>
  </r>
  <r>
    <x v="1784"/>
    <n v="32"/>
    <x v="0"/>
    <s v="Backpack"/>
    <x v="3"/>
    <n v="31"/>
    <x v="7"/>
    <s v="L"/>
    <s v="Yellow"/>
    <s v="Summer"/>
    <n v="4.8"/>
    <s v="No"/>
    <s v="Standard"/>
    <s v="No"/>
    <s v="No"/>
    <n v="4"/>
    <s v="Debit Card"/>
    <s v="Quarterly"/>
    <s v="Quarterly"/>
    <n v="5"/>
  </r>
  <r>
    <x v="1785"/>
    <n v="47"/>
    <x v="0"/>
    <s v="Gloves"/>
    <x v="3"/>
    <n v="29"/>
    <x v="44"/>
    <s v="S"/>
    <s v="Peach"/>
    <s v="Fall"/>
    <n v="4.0999999999999996"/>
    <s v="No"/>
    <s v="Next Day Air"/>
    <s v="No"/>
    <s v="No"/>
    <n v="22"/>
    <s v="Venmo"/>
    <s v="Monthly"/>
    <s v="Monthly"/>
    <n v="4"/>
  </r>
  <r>
    <x v="1786"/>
    <n v="45"/>
    <x v="0"/>
    <s v="Jacket"/>
    <x v="2"/>
    <n v="34"/>
    <x v="33"/>
    <s v="M"/>
    <s v="Brown"/>
    <s v="Spring"/>
    <n v="4.5999999999999996"/>
    <s v="No"/>
    <s v="2-Day Shipping"/>
    <s v="No"/>
    <s v="No"/>
    <n v="22"/>
    <s v="Venmo"/>
    <s v="Monthly"/>
    <s v="Monthly"/>
    <n v="4"/>
  </r>
  <r>
    <x v="1787"/>
    <n v="20"/>
    <x v="0"/>
    <s v="Sweater"/>
    <x v="0"/>
    <n v="38"/>
    <x v="6"/>
    <s v="L"/>
    <s v="Gold"/>
    <s v="Fall"/>
    <n v="4.9000000000000004"/>
    <s v="No"/>
    <s v="2-Day Shipping"/>
    <s v="No"/>
    <s v="No"/>
    <n v="10"/>
    <s v="Bank Transfer"/>
    <s v="Quarterly"/>
    <s v="Quarterly"/>
    <n v="5"/>
  </r>
  <r>
    <x v="1788"/>
    <n v="66"/>
    <x v="0"/>
    <s v="Blouse"/>
    <x v="0"/>
    <n v="41"/>
    <x v="26"/>
    <s v="L"/>
    <s v="Pink"/>
    <s v="Summer"/>
    <n v="3.1"/>
    <s v="No"/>
    <s v="Store Pickup"/>
    <s v="No"/>
    <s v="No"/>
    <n v="23"/>
    <s v="Cash"/>
    <s v="Bi-Weekly"/>
    <s v="Bi-Weekly"/>
    <n v="2"/>
  </r>
  <r>
    <x v="1789"/>
    <n v="52"/>
    <x v="0"/>
    <s v="Blouse"/>
    <x v="0"/>
    <n v="34"/>
    <x v="28"/>
    <s v="L"/>
    <s v="Peach"/>
    <s v="Spring"/>
    <n v="3"/>
    <s v="No"/>
    <s v="2-Day Shipping"/>
    <s v="No"/>
    <s v="No"/>
    <n v="43"/>
    <s v="Debit Card"/>
    <s v="Quarterly"/>
    <s v="Quarterly"/>
    <n v="5"/>
  </r>
  <r>
    <x v="1790"/>
    <n v="50"/>
    <x v="0"/>
    <s v="Gloves"/>
    <x v="3"/>
    <n v="26"/>
    <x v="17"/>
    <s v="S"/>
    <s v="Violet"/>
    <s v="Summer"/>
    <n v="3.7"/>
    <s v="No"/>
    <s v="Store Pickup"/>
    <s v="No"/>
    <s v="No"/>
    <n v="31"/>
    <s v="PayPal"/>
    <s v="Bi-Weekly"/>
    <s v="Bi-Weekly"/>
    <n v="2"/>
  </r>
  <r>
    <x v="1791"/>
    <n v="62"/>
    <x v="0"/>
    <s v="Jeans"/>
    <x v="0"/>
    <n v="98"/>
    <x v="6"/>
    <s v="S"/>
    <s v="Purple"/>
    <s v="Winter"/>
    <n v="4"/>
    <s v="No"/>
    <s v="Store Pickup"/>
    <s v="No"/>
    <s v="No"/>
    <n v="38"/>
    <s v="Cash"/>
    <s v="Annually"/>
    <s v="Annually"/>
    <n v="6"/>
  </r>
  <r>
    <x v="1792"/>
    <n v="38"/>
    <x v="0"/>
    <s v="Sneakers"/>
    <x v="1"/>
    <n v="59"/>
    <x v="44"/>
    <s v="M"/>
    <s v="Peach"/>
    <s v="Fall"/>
    <n v="3"/>
    <s v="No"/>
    <s v="Express"/>
    <s v="No"/>
    <s v="No"/>
    <n v="22"/>
    <s v="Debit Card"/>
    <s v="Every 3 Months"/>
    <s v="Quarterly"/>
    <n v="5"/>
  </r>
  <r>
    <x v="1793"/>
    <n v="65"/>
    <x v="0"/>
    <s v="Hat"/>
    <x v="3"/>
    <n v="92"/>
    <x v="44"/>
    <s v="S"/>
    <s v="White"/>
    <s v="Fall"/>
    <n v="3.8"/>
    <s v="No"/>
    <s v="Store Pickup"/>
    <s v="No"/>
    <s v="No"/>
    <n v="45"/>
    <s v="Cash"/>
    <s v="Every 3 Months"/>
    <s v="Quarterly"/>
    <n v="5"/>
  </r>
  <r>
    <x v="1794"/>
    <n v="60"/>
    <x v="0"/>
    <s v="Backpack"/>
    <x v="3"/>
    <n v="40"/>
    <x v="31"/>
    <s v="L"/>
    <s v="Indigo"/>
    <s v="Spring"/>
    <n v="3.7"/>
    <s v="No"/>
    <s v="Express"/>
    <s v="No"/>
    <s v="No"/>
    <n v="21"/>
    <s v="Debit Card"/>
    <s v="Fortnightly"/>
    <s v="Fortnightly"/>
    <n v="3"/>
  </r>
  <r>
    <x v="1795"/>
    <n v="68"/>
    <x v="0"/>
    <s v="Jeans"/>
    <x v="0"/>
    <n v="20"/>
    <x v="48"/>
    <s v="S"/>
    <s v="Violet"/>
    <s v="Fall"/>
    <n v="4"/>
    <s v="No"/>
    <s v="2-Day Shipping"/>
    <s v="No"/>
    <s v="No"/>
    <n v="9"/>
    <s v="Debit Card"/>
    <s v="Fortnightly"/>
    <s v="Fortnightly"/>
    <n v="3"/>
  </r>
  <r>
    <x v="1796"/>
    <n v="62"/>
    <x v="0"/>
    <s v="Skirt"/>
    <x v="0"/>
    <n v="35"/>
    <x v="36"/>
    <s v="S"/>
    <s v="Brown"/>
    <s v="Spring"/>
    <n v="3.1"/>
    <s v="No"/>
    <s v="Store Pickup"/>
    <s v="No"/>
    <s v="No"/>
    <n v="34"/>
    <s v="Venmo"/>
    <s v="Weekly"/>
    <s v="Weekly"/>
    <n v="1"/>
  </r>
  <r>
    <x v="1797"/>
    <n v="62"/>
    <x v="0"/>
    <s v="Belt"/>
    <x v="3"/>
    <n v="35"/>
    <x v="4"/>
    <s v="L"/>
    <s v="Maroon"/>
    <s v="Spring"/>
    <n v="3.9"/>
    <s v="No"/>
    <s v="2-Day Shipping"/>
    <s v="No"/>
    <s v="No"/>
    <n v="26"/>
    <s v="Venmo"/>
    <s v="Weekly"/>
    <s v="Weekly"/>
    <n v="1"/>
  </r>
  <r>
    <x v="1798"/>
    <n v="40"/>
    <x v="0"/>
    <s v="Dress"/>
    <x v="0"/>
    <n v="82"/>
    <x v="25"/>
    <s v="L"/>
    <s v="Magenta"/>
    <s v="Winter"/>
    <n v="3.7"/>
    <s v="No"/>
    <s v="Express"/>
    <s v="No"/>
    <s v="No"/>
    <n v="1"/>
    <s v="Cash"/>
    <s v="Weekly"/>
    <s v="Weekly"/>
    <n v="1"/>
  </r>
  <r>
    <x v="1799"/>
    <n v="32"/>
    <x v="0"/>
    <s v="Hoodie"/>
    <x v="0"/>
    <n v="48"/>
    <x v="18"/>
    <s v="M"/>
    <s v="Charcoal"/>
    <s v="Fall"/>
    <n v="3.9"/>
    <s v="No"/>
    <s v="Express"/>
    <s v="No"/>
    <s v="No"/>
    <n v="47"/>
    <s v="Venmo"/>
    <s v="Weekly"/>
    <s v="Weekly"/>
    <n v="1"/>
  </r>
  <r>
    <x v="1800"/>
    <n v="22"/>
    <x v="0"/>
    <s v="Coat"/>
    <x v="2"/>
    <n v="58"/>
    <x v="16"/>
    <s v="XL"/>
    <s v="Indigo"/>
    <s v="Winter"/>
    <n v="2.7"/>
    <s v="No"/>
    <s v="Express"/>
    <s v="No"/>
    <s v="No"/>
    <n v="30"/>
    <s v="Credit Card"/>
    <s v="Weekly"/>
    <s v="Weekly"/>
    <n v="1"/>
  </r>
  <r>
    <x v="1801"/>
    <n v="33"/>
    <x v="0"/>
    <s v="Sweater"/>
    <x v="0"/>
    <n v="57"/>
    <x v="32"/>
    <s v="M"/>
    <s v="Turquoise"/>
    <s v="Spring"/>
    <n v="3.9"/>
    <s v="No"/>
    <s v="Express"/>
    <s v="No"/>
    <s v="No"/>
    <n v="48"/>
    <s v="Debit Card"/>
    <s v="Fortnightly"/>
    <s v="Fortnightly"/>
    <n v="3"/>
  </r>
  <r>
    <x v="1802"/>
    <n v="57"/>
    <x v="0"/>
    <s v="Shorts"/>
    <x v="0"/>
    <n v="96"/>
    <x v="3"/>
    <s v="L"/>
    <s v="Turquoise"/>
    <s v="Winter"/>
    <n v="2.6"/>
    <s v="No"/>
    <s v="Store Pickup"/>
    <s v="No"/>
    <s v="No"/>
    <n v="31"/>
    <s v="Venmo"/>
    <s v="Bi-Weekly"/>
    <s v="Bi-Weekly"/>
    <n v="2"/>
  </r>
  <r>
    <x v="1803"/>
    <n v="60"/>
    <x v="0"/>
    <s v="Sneakers"/>
    <x v="1"/>
    <n v="97"/>
    <x v="13"/>
    <s v="S"/>
    <s v="Gray"/>
    <s v="Summer"/>
    <n v="3.5"/>
    <s v="No"/>
    <s v="Free Shipping"/>
    <s v="No"/>
    <s v="No"/>
    <n v="33"/>
    <s v="Venmo"/>
    <s v="Fortnightly"/>
    <s v="Fortnightly"/>
    <n v="3"/>
  </r>
  <r>
    <x v="1804"/>
    <n v="30"/>
    <x v="0"/>
    <s v="Sweater"/>
    <x v="0"/>
    <n v="42"/>
    <x v="7"/>
    <s v="L"/>
    <s v="Peach"/>
    <s v="Winter"/>
    <n v="4.4000000000000004"/>
    <s v="No"/>
    <s v="Next Day Air"/>
    <s v="No"/>
    <s v="No"/>
    <n v="39"/>
    <s v="Credit Card"/>
    <s v="Weekly"/>
    <s v="Weekly"/>
    <n v="1"/>
  </r>
  <r>
    <x v="1805"/>
    <n v="41"/>
    <x v="0"/>
    <s v="T-shirt"/>
    <x v="0"/>
    <n v="62"/>
    <x v="28"/>
    <s v="L"/>
    <s v="Gold"/>
    <s v="Spring"/>
    <n v="4.9000000000000004"/>
    <s v="No"/>
    <s v="Store Pickup"/>
    <s v="No"/>
    <s v="No"/>
    <n v="46"/>
    <s v="Debit Card"/>
    <s v="Weekly"/>
    <s v="Weekly"/>
    <n v="1"/>
  </r>
  <r>
    <x v="1806"/>
    <n v="58"/>
    <x v="0"/>
    <s v="Handbag"/>
    <x v="3"/>
    <n v="67"/>
    <x v="3"/>
    <s v="M"/>
    <s v="Green"/>
    <s v="Fall"/>
    <n v="3.9"/>
    <s v="No"/>
    <s v="Standard"/>
    <s v="No"/>
    <s v="No"/>
    <n v="24"/>
    <s v="Venmo"/>
    <s v="Annually"/>
    <s v="Annually"/>
    <n v="6"/>
  </r>
  <r>
    <x v="1807"/>
    <n v="34"/>
    <x v="0"/>
    <s v="Sneakers"/>
    <x v="1"/>
    <n v="46"/>
    <x v="34"/>
    <s v="L"/>
    <s v="Gold"/>
    <s v="Summer"/>
    <n v="3.5"/>
    <s v="No"/>
    <s v="Standard"/>
    <s v="No"/>
    <s v="No"/>
    <n v="37"/>
    <s v="Venmo"/>
    <s v="Fortnightly"/>
    <s v="Fortnightly"/>
    <n v="3"/>
  </r>
  <r>
    <x v="1808"/>
    <n v="67"/>
    <x v="0"/>
    <s v="Jacket"/>
    <x v="2"/>
    <n v="71"/>
    <x v="30"/>
    <s v="M"/>
    <s v="Lavender"/>
    <s v="Spring"/>
    <n v="4.3"/>
    <s v="No"/>
    <s v="Next Day Air"/>
    <s v="No"/>
    <s v="No"/>
    <n v="7"/>
    <s v="Debit Card"/>
    <s v="Monthly"/>
    <s v="Monthly"/>
    <n v="4"/>
  </r>
  <r>
    <x v="1809"/>
    <n v="58"/>
    <x v="0"/>
    <s v="Backpack"/>
    <x v="3"/>
    <n v="99"/>
    <x v="29"/>
    <s v="S"/>
    <s v="Blue"/>
    <s v="Fall"/>
    <n v="3.4"/>
    <s v="No"/>
    <s v="Free Shipping"/>
    <s v="No"/>
    <s v="No"/>
    <n v="6"/>
    <s v="Debit Card"/>
    <s v="Fortnightly"/>
    <s v="Fortnightly"/>
    <n v="3"/>
  </r>
  <r>
    <x v="1810"/>
    <n v="41"/>
    <x v="0"/>
    <s v="Jeans"/>
    <x v="0"/>
    <n v="28"/>
    <x v="33"/>
    <s v="M"/>
    <s v="Magenta"/>
    <s v="Fall"/>
    <n v="2.7"/>
    <s v="No"/>
    <s v="Standard"/>
    <s v="No"/>
    <s v="No"/>
    <n v="16"/>
    <s v="Cash"/>
    <s v="Bi-Weekly"/>
    <s v="Bi-Weekly"/>
    <n v="2"/>
  </r>
  <r>
    <x v="1811"/>
    <n v="42"/>
    <x v="0"/>
    <s v="Belt"/>
    <x v="3"/>
    <n v="77"/>
    <x v="48"/>
    <s v="L"/>
    <s v="Blue"/>
    <s v="Summer"/>
    <n v="3.6"/>
    <s v="No"/>
    <s v="Standard"/>
    <s v="No"/>
    <s v="No"/>
    <n v="33"/>
    <s v="Bank Transfer"/>
    <s v="Annually"/>
    <s v="Annually"/>
    <n v="6"/>
  </r>
  <r>
    <x v="1812"/>
    <n v="50"/>
    <x v="0"/>
    <s v="Boots"/>
    <x v="1"/>
    <n v="63"/>
    <x v="22"/>
    <s v="S"/>
    <s v="Blue"/>
    <s v="Summer"/>
    <n v="4.9000000000000004"/>
    <s v="No"/>
    <s v="Express"/>
    <s v="No"/>
    <s v="No"/>
    <n v="18"/>
    <s v="PayPal"/>
    <s v="Bi-Weekly"/>
    <s v="Bi-Weekly"/>
    <n v="2"/>
  </r>
  <r>
    <x v="1813"/>
    <n v="40"/>
    <x v="0"/>
    <s v="Shorts"/>
    <x v="0"/>
    <n v="62"/>
    <x v="26"/>
    <s v="M"/>
    <s v="Olive"/>
    <s v="Spring"/>
    <n v="3.5"/>
    <s v="No"/>
    <s v="Free Shipping"/>
    <s v="No"/>
    <s v="No"/>
    <n v="24"/>
    <s v="PayPal"/>
    <s v="Weekly"/>
    <s v="Weekly"/>
    <n v="1"/>
  </r>
  <r>
    <x v="1814"/>
    <n v="32"/>
    <x v="0"/>
    <s v="Jeans"/>
    <x v="0"/>
    <n v="92"/>
    <x v="6"/>
    <s v="M"/>
    <s v="White"/>
    <s v="Summer"/>
    <n v="3.8"/>
    <s v="No"/>
    <s v="Free Shipping"/>
    <s v="No"/>
    <s v="No"/>
    <n v="24"/>
    <s v="Cash"/>
    <s v="Quarterly"/>
    <s v="Quarterly"/>
    <n v="5"/>
  </r>
  <r>
    <x v="1815"/>
    <n v="51"/>
    <x v="0"/>
    <s v="Shoes"/>
    <x v="1"/>
    <n v="72"/>
    <x v="35"/>
    <s v="L"/>
    <s v="White"/>
    <s v="Winter"/>
    <n v="4.5"/>
    <s v="No"/>
    <s v="2-Day Shipping"/>
    <s v="No"/>
    <s v="No"/>
    <n v="48"/>
    <s v="Credit Card"/>
    <s v="Every 3 Months"/>
    <s v="Quarterly"/>
    <n v="5"/>
  </r>
  <r>
    <x v="1816"/>
    <n v="26"/>
    <x v="0"/>
    <s v="Hat"/>
    <x v="3"/>
    <n v="79"/>
    <x v="41"/>
    <s v="M"/>
    <s v="Purple"/>
    <s v="Summer"/>
    <n v="4"/>
    <s v="No"/>
    <s v="Express"/>
    <s v="No"/>
    <s v="No"/>
    <n v="4"/>
    <s v="Cash"/>
    <s v="Weekly"/>
    <s v="Weekly"/>
    <n v="1"/>
  </r>
  <r>
    <x v="1817"/>
    <n v="32"/>
    <x v="0"/>
    <s v="T-shirt"/>
    <x v="0"/>
    <n v="27"/>
    <x v="12"/>
    <s v="M"/>
    <s v="White"/>
    <s v="Summer"/>
    <n v="4.7"/>
    <s v="No"/>
    <s v="Free Shipping"/>
    <s v="No"/>
    <s v="No"/>
    <n v="20"/>
    <s v="Cash"/>
    <s v="Weekly"/>
    <s v="Weekly"/>
    <n v="1"/>
  </r>
  <r>
    <x v="1818"/>
    <n v="58"/>
    <x v="0"/>
    <s v="Sunglasses"/>
    <x v="3"/>
    <n v="39"/>
    <x v="17"/>
    <s v="M"/>
    <s v="White"/>
    <s v="Fall"/>
    <n v="3.8"/>
    <s v="No"/>
    <s v="Express"/>
    <s v="No"/>
    <s v="No"/>
    <n v="47"/>
    <s v="Debit Card"/>
    <s v="Every 3 Months"/>
    <s v="Quarterly"/>
    <n v="5"/>
  </r>
  <r>
    <x v="1819"/>
    <n v="51"/>
    <x v="0"/>
    <s v="Socks"/>
    <x v="0"/>
    <n v="86"/>
    <x v="22"/>
    <s v="S"/>
    <s v="Peach"/>
    <s v="Spring"/>
    <n v="4.5"/>
    <s v="No"/>
    <s v="Next Day Air"/>
    <s v="No"/>
    <s v="No"/>
    <n v="50"/>
    <s v="Cash"/>
    <s v="Quarterly"/>
    <s v="Quarterly"/>
    <n v="5"/>
  </r>
  <r>
    <x v="1820"/>
    <n v="19"/>
    <x v="0"/>
    <s v="Shirt"/>
    <x v="0"/>
    <n v="94"/>
    <x v="47"/>
    <s v="XL"/>
    <s v="Gold"/>
    <s v="Fall"/>
    <n v="5"/>
    <s v="No"/>
    <s v="Express"/>
    <s v="No"/>
    <s v="No"/>
    <n v="31"/>
    <s v="PayPal"/>
    <s v="Monthly"/>
    <s v="Monthly"/>
    <n v="4"/>
  </r>
  <r>
    <x v="1821"/>
    <n v="57"/>
    <x v="0"/>
    <s v="Shorts"/>
    <x v="0"/>
    <n v="53"/>
    <x v="1"/>
    <s v="M"/>
    <s v="Teal"/>
    <s v="Spring"/>
    <n v="2.8"/>
    <s v="No"/>
    <s v="Express"/>
    <s v="No"/>
    <s v="No"/>
    <n v="29"/>
    <s v="PayPal"/>
    <s v="Quarterly"/>
    <s v="Quarterly"/>
    <n v="5"/>
  </r>
  <r>
    <x v="1822"/>
    <n v="66"/>
    <x v="0"/>
    <s v="Shirt"/>
    <x v="0"/>
    <n v="85"/>
    <x v="39"/>
    <s v="S"/>
    <s v="Cyan"/>
    <s v="Summer"/>
    <n v="4.4000000000000004"/>
    <s v="No"/>
    <s v="Standard"/>
    <s v="No"/>
    <s v="No"/>
    <n v="4"/>
    <s v="Cash"/>
    <s v="Annually"/>
    <s v="Annually"/>
    <n v="6"/>
  </r>
  <r>
    <x v="1823"/>
    <n v="62"/>
    <x v="0"/>
    <s v="Socks"/>
    <x v="0"/>
    <n v="50"/>
    <x v="7"/>
    <s v="L"/>
    <s v="Pink"/>
    <s v="Fall"/>
    <n v="4.7"/>
    <s v="No"/>
    <s v="Free Shipping"/>
    <s v="No"/>
    <s v="No"/>
    <n v="40"/>
    <s v="Bank Transfer"/>
    <s v="Bi-Weekly"/>
    <s v="Bi-Weekly"/>
    <n v="2"/>
  </r>
  <r>
    <x v="1824"/>
    <n v="58"/>
    <x v="0"/>
    <s v="Pants"/>
    <x v="0"/>
    <n v="47"/>
    <x v="26"/>
    <s v="XL"/>
    <s v="Magenta"/>
    <s v="Winter"/>
    <n v="3.8"/>
    <s v="No"/>
    <s v="Express"/>
    <s v="No"/>
    <s v="No"/>
    <n v="31"/>
    <s v="Cash"/>
    <s v="Monthly"/>
    <s v="Monthly"/>
    <n v="4"/>
  </r>
  <r>
    <x v="1825"/>
    <n v="23"/>
    <x v="0"/>
    <s v="Boots"/>
    <x v="1"/>
    <n v="75"/>
    <x v="45"/>
    <s v="M"/>
    <s v="Pink"/>
    <s v="Winter"/>
    <n v="4.9000000000000004"/>
    <s v="No"/>
    <s v="Next Day Air"/>
    <s v="No"/>
    <s v="No"/>
    <n v="41"/>
    <s v="Credit Card"/>
    <s v="Weekly"/>
    <s v="Weekly"/>
    <n v="1"/>
  </r>
  <r>
    <x v="1826"/>
    <n v="45"/>
    <x v="0"/>
    <s v="T-shirt"/>
    <x v="0"/>
    <n v="60"/>
    <x v="27"/>
    <s v="M"/>
    <s v="Turquoise"/>
    <s v="Winter"/>
    <n v="4.2"/>
    <s v="No"/>
    <s v="Express"/>
    <s v="No"/>
    <s v="No"/>
    <n v="44"/>
    <s v="Debit Card"/>
    <s v="Annually"/>
    <s v="Annually"/>
    <n v="6"/>
  </r>
  <r>
    <x v="1827"/>
    <n v="20"/>
    <x v="0"/>
    <s v="T-shirt"/>
    <x v="0"/>
    <n v="36"/>
    <x v="34"/>
    <s v="S"/>
    <s v="Pink"/>
    <s v="Spring"/>
    <n v="4.9000000000000004"/>
    <s v="No"/>
    <s v="2-Day Shipping"/>
    <s v="No"/>
    <s v="No"/>
    <n v="31"/>
    <s v="Bank Transfer"/>
    <s v="Weekly"/>
    <s v="Weekly"/>
    <n v="1"/>
  </r>
  <r>
    <x v="1828"/>
    <n v="33"/>
    <x v="0"/>
    <s v="Coat"/>
    <x v="2"/>
    <n v="80"/>
    <x v="13"/>
    <s v="L"/>
    <s v="Gray"/>
    <s v="Spring"/>
    <n v="3.9"/>
    <s v="No"/>
    <s v="Express"/>
    <s v="No"/>
    <s v="No"/>
    <n v="45"/>
    <s v="Cash"/>
    <s v="Every 3 Months"/>
    <s v="Quarterly"/>
    <n v="5"/>
  </r>
  <r>
    <x v="1829"/>
    <n v="30"/>
    <x v="0"/>
    <s v="Hat"/>
    <x v="3"/>
    <n v="96"/>
    <x v="4"/>
    <s v="M"/>
    <s v="White"/>
    <s v="Spring"/>
    <n v="4.9000000000000004"/>
    <s v="No"/>
    <s v="2-Day Shipping"/>
    <s v="No"/>
    <s v="No"/>
    <n v="50"/>
    <s v="Credit Card"/>
    <s v="Quarterly"/>
    <s v="Quarterly"/>
    <n v="5"/>
  </r>
  <r>
    <x v="1830"/>
    <n v="50"/>
    <x v="0"/>
    <s v="Sunglasses"/>
    <x v="3"/>
    <n v="80"/>
    <x v="23"/>
    <s v="M"/>
    <s v="Blue"/>
    <s v="Winter"/>
    <n v="4.8"/>
    <s v="No"/>
    <s v="Express"/>
    <s v="No"/>
    <s v="No"/>
    <n v="7"/>
    <s v="Venmo"/>
    <s v="Annually"/>
    <s v="Annually"/>
    <n v="6"/>
  </r>
  <r>
    <x v="1831"/>
    <n v="62"/>
    <x v="0"/>
    <s v="Blouse"/>
    <x v="0"/>
    <n v="71"/>
    <x v="1"/>
    <s v="M"/>
    <s v="Cyan"/>
    <s v="Summer"/>
    <n v="3.3"/>
    <s v="No"/>
    <s v="Free Shipping"/>
    <s v="No"/>
    <s v="No"/>
    <n v="5"/>
    <s v="Bank Transfer"/>
    <s v="Every 3 Months"/>
    <s v="Quarterly"/>
    <n v="5"/>
  </r>
  <r>
    <x v="1832"/>
    <n v="69"/>
    <x v="0"/>
    <s v="Jewelry"/>
    <x v="3"/>
    <n v="29"/>
    <x v="7"/>
    <s v="M"/>
    <s v="Blue"/>
    <s v="Fall"/>
    <n v="4.5999999999999996"/>
    <s v="No"/>
    <s v="Free Shipping"/>
    <s v="No"/>
    <s v="No"/>
    <n v="48"/>
    <s v="Cash"/>
    <s v="Monthly"/>
    <s v="Monthly"/>
    <n v="4"/>
  </r>
  <r>
    <x v="1833"/>
    <n v="34"/>
    <x v="0"/>
    <s v="Jewelry"/>
    <x v="3"/>
    <n v="53"/>
    <x v="7"/>
    <s v="M"/>
    <s v="Yellow"/>
    <s v="Spring"/>
    <n v="4.5"/>
    <s v="No"/>
    <s v="2-Day Shipping"/>
    <s v="No"/>
    <s v="No"/>
    <n v="19"/>
    <s v="PayPal"/>
    <s v="Fortnightly"/>
    <s v="Fortnightly"/>
    <n v="3"/>
  </r>
  <r>
    <x v="1834"/>
    <n v="49"/>
    <x v="0"/>
    <s v="Skirt"/>
    <x v="0"/>
    <n v="35"/>
    <x v="27"/>
    <s v="M"/>
    <s v="Charcoal"/>
    <s v="Summer"/>
    <n v="4.0999999999999996"/>
    <s v="No"/>
    <s v="2-Day Shipping"/>
    <s v="No"/>
    <s v="No"/>
    <n v="39"/>
    <s v="Venmo"/>
    <s v="Fortnightly"/>
    <s v="Fortnightly"/>
    <n v="3"/>
  </r>
  <r>
    <x v="1835"/>
    <n v="65"/>
    <x v="0"/>
    <s v="Scarf"/>
    <x v="3"/>
    <n v="75"/>
    <x v="0"/>
    <s v="M"/>
    <s v="Lavender"/>
    <s v="Fall"/>
    <n v="3.2"/>
    <s v="No"/>
    <s v="2-Day Shipping"/>
    <s v="No"/>
    <s v="No"/>
    <n v="45"/>
    <s v="Credit Card"/>
    <s v="Quarterly"/>
    <s v="Quarterly"/>
    <n v="5"/>
  </r>
  <r>
    <x v="1836"/>
    <n v="66"/>
    <x v="0"/>
    <s v="Pants"/>
    <x v="0"/>
    <n v="52"/>
    <x v="36"/>
    <s v="M"/>
    <s v="Teal"/>
    <s v="Fall"/>
    <n v="4.2"/>
    <s v="No"/>
    <s v="2-Day Shipping"/>
    <s v="No"/>
    <s v="No"/>
    <n v="35"/>
    <s v="Credit Card"/>
    <s v="Monthly"/>
    <s v="Monthly"/>
    <n v="4"/>
  </r>
  <r>
    <x v="1837"/>
    <n v="41"/>
    <x v="0"/>
    <s v="Hat"/>
    <x v="3"/>
    <n v="77"/>
    <x v="6"/>
    <s v="M"/>
    <s v="Beige"/>
    <s v="Winter"/>
    <n v="4.8"/>
    <s v="No"/>
    <s v="Free Shipping"/>
    <s v="No"/>
    <s v="No"/>
    <n v="8"/>
    <s v="Venmo"/>
    <s v="Monthly"/>
    <s v="Monthly"/>
    <n v="4"/>
  </r>
  <r>
    <x v="1838"/>
    <n v="37"/>
    <x v="0"/>
    <s v="Gloves"/>
    <x v="3"/>
    <n v="24"/>
    <x v="34"/>
    <s v="L"/>
    <s v="Blue"/>
    <s v="Fall"/>
    <n v="4.0999999999999996"/>
    <s v="No"/>
    <s v="Next Day Air"/>
    <s v="No"/>
    <s v="No"/>
    <n v="11"/>
    <s v="Credit Card"/>
    <s v="Quarterly"/>
    <s v="Quarterly"/>
    <n v="5"/>
  </r>
  <r>
    <x v="1839"/>
    <n v="32"/>
    <x v="0"/>
    <s v="Shirt"/>
    <x v="0"/>
    <n v="78"/>
    <x v="16"/>
    <s v="XL"/>
    <s v="Purple"/>
    <s v="Winter"/>
    <n v="3.7"/>
    <s v="No"/>
    <s v="Store Pickup"/>
    <s v="No"/>
    <s v="No"/>
    <n v="32"/>
    <s v="Cash"/>
    <s v="Annually"/>
    <s v="Annually"/>
    <n v="6"/>
  </r>
  <r>
    <x v="1840"/>
    <n v="42"/>
    <x v="0"/>
    <s v="Sandals"/>
    <x v="1"/>
    <n v="98"/>
    <x v="5"/>
    <s v="M"/>
    <s v="Gold"/>
    <s v="Winter"/>
    <n v="2.6"/>
    <s v="No"/>
    <s v="Store Pickup"/>
    <s v="No"/>
    <s v="No"/>
    <n v="46"/>
    <s v="Bank Transfer"/>
    <s v="Every 3 Months"/>
    <s v="Quarterly"/>
    <n v="5"/>
  </r>
  <r>
    <x v="1841"/>
    <n v="31"/>
    <x v="0"/>
    <s v="Socks"/>
    <x v="0"/>
    <n v="57"/>
    <x v="34"/>
    <s v="L"/>
    <s v="Blue"/>
    <s v="Winter"/>
    <n v="3"/>
    <s v="No"/>
    <s v="Standard"/>
    <s v="No"/>
    <s v="No"/>
    <n v="7"/>
    <s v="PayPal"/>
    <s v="Every 3 Months"/>
    <s v="Quarterly"/>
    <n v="5"/>
  </r>
  <r>
    <x v="1842"/>
    <n v="61"/>
    <x v="0"/>
    <s v="Handbag"/>
    <x v="3"/>
    <n v="78"/>
    <x v="15"/>
    <s v="M"/>
    <s v="Black"/>
    <s v="Summer"/>
    <n v="4.4000000000000004"/>
    <s v="No"/>
    <s v="Express"/>
    <s v="No"/>
    <s v="No"/>
    <n v="1"/>
    <s v="Debit Card"/>
    <s v="Annually"/>
    <s v="Annually"/>
    <n v="6"/>
  </r>
  <r>
    <x v="1843"/>
    <n v="36"/>
    <x v="0"/>
    <s v="Jacket"/>
    <x v="2"/>
    <n v="76"/>
    <x v="0"/>
    <s v="M"/>
    <s v="Charcoal"/>
    <s v="Fall"/>
    <n v="4.7"/>
    <s v="No"/>
    <s v="Next Day Air"/>
    <s v="No"/>
    <s v="No"/>
    <n v="32"/>
    <s v="Credit Card"/>
    <s v="Monthly"/>
    <s v="Monthly"/>
    <n v="4"/>
  </r>
  <r>
    <x v="1844"/>
    <n v="60"/>
    <x v="0"/>
    <s v="Shorts"/>
    <x v="0"/>
    <n v="26"/>
    <x v="45"/>
    <s v="M"/>
    <s v="Purple"/>
    <s v="Spring"/>
    <n v="2.7"/>
    <s v="No"/>
    <s v="2-Day Shipping"/>
    <s v="No"/>
    <s v="No"/>
    <n v="31"/>
    <s v="Credit Card"/>
    <s v="Annually"/>
    <s v="Annually"/>
    <n v="6"/>
  </r>
  <r>
    <x v="1845"/>
    <n v="51"/>
    <x v="0"/>
    <s v="Sandals"/>
    <x v="1"/>
    <n v="78"/>
    <x v="12"/>
    <s v="M"/>
    <s v="Orange"/>
    <s v="Winter"/>
    <n v="2.8"/>
    <s v="No"/>
    <s v="2-Day Shipping"/>
    <s v="No"/>
    <s v="No"/>
    <n v="39"/>
    <s v="Bank Transfer"/>
    <s v="Quarterly"/>
    <s v="Quarterly"/>
    <n v="5"/>
  </r>
  <r>
    <x v="1846"/>
    <n v="68"/>
    <x v="0"/>
    <s v="Scarf"/>
    <x v="3"/>
    <n v="53"/>
    <x v="48"/>
    <s v="M"/>
    <s v="Yellow"/>
    <s v="Summer"/>
    <n v="2.9"/>
    <s v="No"/>
    <s v="Standard"/>
    <s v="No"/>
    <s v="No"/>
    <n v="9"/>
    <s v="Venmo"/>
    <s v="Quarterly"/>
    <s v="Quarterly"/>
    <n v="5"/>
  </r>
  <r>
    <x v="1847"/>
    <n v="46"/>
    <x v="0"/>
    <s v="Sandals"/>
    <x v="1"/>
    <n v="100"/>
    <x v="28"/>
    <s v="XL"/>
    <s v="Cyan"/>
    <s v="Summer"/>
    <n v="4.4000000000000004"/>
    <s v="No"/>
    <s v="Free Shipping"/>
    <s v="No"/>
    <s v="No"/>
    <n v="49"/>
    <s v="Credit Card"/>
    <s v="Weekly"/>
    <s v="Weekly"/>
    <n v="1"/>
  </r>
  <r>
    <x v="1848"/>
    <n v="19"/>
    <x v="0"/>
    <s v="Jeans"/>
    <x v="0"/>
    <n v="73"/>
    <x v="1"/>
    <s v="XL"/>
    <s v="Yellow"/>
    <s v="Winter"/>
    <n v="2.7"/>
    <s v="No"/>
    <s v="Express"/>
    <s v="No"/>
    <s v="No"/>
    <n v="34"/>
    <s v="Cash"/>
    <s v="Every 3 Months"/>
    <s v="Quarterly"/>
    <n v="5"/>
  </r>
  <r>
    <x v="1849"/>
    <n v="30"/>
    <x v="0"/>
    <s v="Skirt"/>
    <x v="0"/>
    <n v="40"/>
    <x v="35"/>
    <s v="M"/>
    <s v="Maroon"/>
    <s v="Winter"/>
    <n v="4.5"/>
    <s v="No"/>
    <s v="Store Pickup"/>
    <s v="No"/>
    <s v="No"/>
    <n v="35"/>
    <s v="Bank Transfer"/>
    <s v="Monthly"/>
    <s v="Monthly"/>
    <n v="4"/>
  </r>
  <r>
    <x v="1850"/>
    <n v="51"/>
    <x v="0"/>
    <s v="Gloves"/>
    <x v="3"/>
    <n v="76"/>
    <x v="5"/>
    <s v="S"/>
    <s v="Black"/>
    <s v="Winter"/>
    <n v="2.8"/>
    <s v="No"/>
    <s v="Store Pickup"/>
    <s v="No"/>
    <s v="No"/>
    <n v="50"/>
    <s v="Debit Card"/>
    <s v="Weekly"/>
    <s v="Weekly"/>
    <n v="1"/>
  </r>
  <r>
    <x v="1851"/>
    <n v="28"/>
    <x v="0"/>
    <s v="Skirt"/>
    <x v="0"/>
    <n v="80"/>
    <x v="12"/>
    <s v="S"/>
    <s v="Lavender"/>
    <s v="Fall"/>
    <n v="3.1"/>
    <s v="No"/>
    <s v="Free Shipping"/>
    <s v="No"/>
    <s v="No"/>
    <n v="4"/>
    <s v="Bank Transfer"/>
    <s v="Fortnightly"/>
    <s v="Fortnightly"/>
    <n v="3"/>
  </r>
  <r>
    <x v="1852"/>
    <n v="41"/>
    <x v="0"/>
    <s v="Sweater"/>
    <x v="0"/>
    <n v="80"/>
    <x v="38"/>
    <s v="XL"/>
    <s v="Violet"/>
    <s v="Winter"/>
    <n v="3.8"/>
    <s v="No"/>
    <s v="Store Pickup"/>
    <s v="No"/>
    <s v="No"/>
    <n v="32"/>
    <s v="Cash"/>
    <s v="Weekly"/>
    <s v="Weekly"/>
    <n v="1"/>
  </r>
  <r>
    <x v="1853"/>
    <n v="29"/>
    <x v="0"/>
    <s v="Blouse"/>
    <x v="0"/>
    <n v="67"/>
    <x v="25"/>
    <s v="XL"/>
    <s v="Olive"/>
    <s v="Spring"/>
    <n v="2.9"/>
    <s v="No"/>
    <s v="Express"/>
    <s v="No"/>
    <s v="No"/>
    <n v="11"/>
    <s v="PayPal"/>
    <s v="Fortnightly"/>
    <s v="Fortnightly"/>
    <n v="3"/>
  </r>
  <r>
    <x v="1854"/>
    <n v="25"/>
    <x v="0"/>
    <s v="Sweater"/>
    <x v="0"/>
    <n v="61"/>
    <x v="0"/>
    <s v="M"/>
    <s v="Teal"/>
    <s v="Spring"/>
    <n v="3.8"/>
    <s v="No"/>
    <s v="Express"/>
    <s v="No"/>
    <s v="No"/>
    <n v="49"/>
    <s v="Credit Card"/>
    <s v="Annually"/>
    <s v="Annually"/>
    <n v="6"/>
  </r>
  <r>
    <x v="1855"/>
    <n v="60"/>
    <x v="0"/>
    <s v="Shirt"/>
    <x v="0"/>
    <n v="76"/>
    <x v="3"/>
    <s v="XL"/>
    <s v="Teal"/>
    <s v="Spring"/>
    <n v="4.7"/>
    <s v="No"/>
    <s v="Standard"/>
    <s v="No"/>
    <s v="No"/>
    <n v="9"/>
    <s v="Cash"/>
    <s v="Annually"/>
    <s v="Annually"/>
    <n v="6"/>
  </r>
  <r>
    <x v="1856"/>
    <n v="63"/>
    <x v="0"/>
    <s v="Jewelry"/>
    <x v="3"/>
    <n v="55"/>
    <x v="28"/>
    <s v="XL"/>
    <s v="Beige"/>
    <s v="Summer"/>
    <n v="3.2"/>
    <s v="No"/>
    <s v="Free Shipping"/>
    <s v="No"/>
    <s v="No"/>
    <n v="30"/>
    <s v="PayPal"/>
    <s v="Bi-Weekly"/>
    <s v="Bi-Weekly"/>
    <n v="2"/>
  </r>
  <r>
    <x v="1857"/>
    <n v="51"/>
    <x v="0"/>
    <s v="T-shirt"/>
    <x v="0"/>
    <n v="85"/>
    <x v="24"/>
    <s v="L"/>
    <s v="Maroon"/>
    <s v="Summer"/>
    <n v="4"/>
    <s v="No"/>
    <s v="Next Day Air"/>
    <s v="No"/>
    <s v="No"/>
    <n v="33"/>
    <s v="Cash"/>
    <s v="Monthly"/>
    <s v="Monthly"/>
    <n v="4"/>
  </r>
  <r>
    <x v="1858"/>
    <n v="22"/>
    <x v="0"/>
    <s v="Scarf"/>
    <x v="3"/>
    <n v="69"/>
    <x v="1"/>
    <s v="S"/>
    <s v="Peach"/>
    <s v="Spring"/>
    <n v="4.9000000000000004"/>
    <s v="No"/>
    <s v="2-Day Shipping"/>
    <s v="No"/>
    <s v="No"/>
    <n v="8"/>
    <s v="Debit Card"/>
    <s v="Annually"/>
    <s v="Annually"/>
    <n v="6"/>
  </r>
  <r>
    <x v="1859"/>
    <n v="54"/>
    <x v="0"/>
    <s v="Belt"/>
    <x v="3"/>
    <n v="26"/>
    <x v="32"/>
    <s v="L"/>
    <s v="Beige"/>
    <s v="Summer"/>
    <n v="3.7"/>
    <s v="No"/>
    <s v="Store Pickup"/>
    <s v="No"/>
    <s v="No"/>
    <n v="29"/>
    <s v="Debit Card"/>
    <s v="Fortnightly"/>
    <s v="Fortnightly"/>
    <n v="3"/>
  </r>
  <r>
    <x v="1860"/>
    <n v="18"/>
    <x v="0"/>
    <s v="T-shirt"/>
    <x v="0"/>
    <n v="64"/>
    <x v="23"/>
    <s v="M"/>
    <s v="Silver"/>
    <s v="Summer"/>
    <n v="4.8"/>
    <s v="No"/>
    <s v="Next Day Air"/>
    <s v="No"/>
    <s v="No"/>
    <n v="4"/>
    <s v="Credit Card"/>
    <s v="Monthly"/>
    <s v="Monthly"/>
    <n v="4"/>
  </r>
  <r>
    <x v="1861"/>
    <n v="29"/>
    <x v="0"/>
    <s v="Sneakers"/>
    <x v="1"/>
    <n v="60"/>
    <x v="45"/>
    <s v="S"/>
    <s v="Peach"/>
    <s v="Fall"/>
    <n v="3.6"/>
    <s v="No"/>
    <s v="Standard"/>
    <s v="No"/>
    <s v="No"/>
    <n v="19"/>
    <s v="Debit Card"/>
    <s v="Monthly"/>
    <s v="Monthly"/>
    <n v="4"/>
  </r>
  <r>
    <x v="1862"/>
    <n v="59"/>
    <x v="0"/>
    <s v="Gloves"/>
    <x v="3"/>
    <n v="36"/>
    <x v="13"/>
    <s v="M"/>
    <s v="Turquoise"/>
    <s v="Winter"/>
    <n v="4.5999999999999996"/>
    <s v="No"/>
    <s v="Express"/>
    <s v="No"/>
    <s v="No"/>
    <n v="10"/>
    <s v="PayPal"/>
    <s v="Fortnightly"/>
    <s v="Fortnightly"/>
    <n v="3"/>
  </r>
  <r>
    <x v="1863"/>
    <n v="25"/>
    <x v="0"/>
    <s v="Sandals"/>
    <x v="1"/>
    <n v="21"/>
    <x v="39"/>
    <s v="L"/>
    <s v="Orange"/>
    <s v="Spring"/>
    <n v="4.3"/>
    <s v="No"/>
    <s v="2-Day Shipping"/>
    <s v="No"/>
    <s v="No"/>
    <n v="39"/>
    <s v="Debit Card"/>
    <s v="Monthly"/>
    <s v="Monthly"/>
    <n v="4"/>
  </r>
  <r>
    <x v="1864"/>
    <n v="19"/>
    <x v="0"/>
    <s v="Backpack"/>
    <x v="3"/>
    <n v="72"/>
    <x v="5"/>
    <s v="S"/>
    <s v="Cyan"/>
    <s v="Fall"/>
    <n v="3.2"/>
    <s v="No"/>
    <s v="2-Day Shipping"/>
    <s v="No"/>
    <s v="No"/>
    <n v="21"/>
    <s v="Venmo"/>
    <s v="Quarterly"/>
    <s v="Quarterly"/>
    <n v="5"/>
  </r>
  <r>
    <x v="1865"/>
    <n v="56"/>
    <x v="0"/>
    <s v="Pants"/>
    <x v="0"/>
    <n v="62"/>
    <x v="9"/>
    <s v="S"/>
    <s v="Silver"/>
    <s v="Summer"/>
    <n v="3.8"/>
    <s v="No"/>
    <s v="Store Pickup"/>
    <s v="No"/>
    <s v="No"/>
    <n v="12"/>
    <s v="Bank Transfer"/>
    <s v="Monthly"/>
    <s v="Monthly"/>
    <n v="4"/>
  </r>
  <r>
    <x v="1866"/>
    <n v="31"/>
    <x v="0"/>
    <s v="T-shirt"/>
    <x v="0"/>
    <n v="44"/>
    <x v="29"/>
    <s v="XL"/>
    <s v="Gold"/>
    <s v="Winter"/>
    <n v="4.2"/>
    <s v="No"/>
    <s v="Standard"/>
    <s v="No"/>
    <s v="No"/>
    <n v="9"/>
    <s v="Credit Card"/>
    <s v="Fortnightly"/>
    <s v="Fortnightly"/>
    <n v="3"/>
  </r>
  <r>
    <x v="1867"/>
    <n v="45"/>
    <x v="0"/>
    <s v="Skirt"/>
    <x v="0"/>
    <n v="52"/>
    <x v="12"/>
    <s v="M"/>
    <s v="Brown"/>
    <s v="Fall"/>
    <n v="3.4"/>
    <s v="No"/>
    <s v="2-Day Shipping"/>
    <s v="No"/>
    <s v="No"/>
    <n v="20"/>
    <s v="Venmo"/>
    <s v="Quarterly"/>
    <s v="Quarterly"/>
    <n v="5"/>
  </r>
  <r>
    <x v="1868"/>
    <n v="23"/>
    <x v="0"/>
    <s v="Gloves"/>
    <x v="3"/>
    <n v="58"/>
    <x v="27"/>
    <s v="M"/>
    <s v="Silver"/>
    <s v="Spring"/>
    <n v="4.7"/>
    <s v="No"/>
    <s v="Next Day Air"/>
    <s v="No"/>
    <s v="No"/>
    <n v="44"/>
    <s v="Cash"/>
    <s v="Fortnightly"/>
    <s v="Fortnightly"/>
    <n v="3"/>
  </r>
  <r>
    <x v="1869"/>
    <n v="18"/>
    <x v="0"/>
    <s v="Blouse"/>
    <x v="0"/>
    <n v="77"/>
    <x v="8"/>
    <s v="S"/>
    <s v="Beige"/>
    <s v="Spring"/>
    <n v="3.9"/>
    <s v="No"/>
    <s v="2-Day Shipping"/>
    <s v="No"/>
    <s v="No"/>
    <n v="16"/>
    <s v="Debit Card"/>
    <s v="Every 3 Months"/>
    <s v="Quarterly"/>
    <n v="5"/>
  </r>
  <r>
    <x v="1870"/>
    <n v="43"/>
    <x v="0"/>
    <s v="Blouse"/>
    <x v="0"/>
    <n v="99"/>
    <x v="5"/>
    <s v="L"/>
    <s v="Violet"/>
    <s v="Spring"/>
    <n v="4.3"/>
    <s v="No"/>
    <s v="Store Pickup"/>
    <s v="No"/>
    <s v="No"/>
    <n v="27"/>
    <s v="Debit Card"/>
    <s v="Fortnightly"/>
    <s v="Fortnightly"/>
    <n v="3"/>
  </r>
  <r>
    <x v="1871"/>
    <n v="56"/>
    <x v="0"/>
    <s v="Jeans"/>
    <x v="0"/>
    <n v="96"/>
    <x v="26"/>
    <s v="XL"/>
    <s v="Violet"/>
    <s v="Fall"/>
    <n v="2.7"/>
    <s v="No"/>
    <s v="Standard"/>
    <s v="No"/>
    <s v="No"/>
    <n v="14"/>
    <s v="Cash"/>
    <s v="Every 3 Months"/>
    <s v="Quarterly"/>
    <n v="5"/>
  </r>
  <r>
    <x v="1872"/>
    <n v="43"/>
    <x v="0"/>
    <s v="T-shirt"/>
    <x v="0"/>
    <n v="64"/>
    <x v="29"/>
    <s v="M"/>
    <s v="Lavender"/>
    <s v="Summer"/>
    <n v="4.5999999999999996"/>
    <s v="No"/>
    <s v="Standard"/>
    <s v="No"/>
    <s v="No"/>
    <n v="24"/>
    <s v="Credit Card"/>
    <s v="Monthly"/>
    <s v="Monthly"/>
    <n v="4"/>
  </r>
  <r>
    <x v="1873"/>
    <n v="64"/>
    <x v="0"/>
    <s v="Sweater"/>
    <x v="0"/>
    <n v="44"/>
    <x v="48"/>
    <s v="XL"/>
    <s v="Red"/>
    <s v="Fall"/>
    <n v="2.9"/>
    <s v="No"/>
    <s v="Express"/>
    <s v="No"/>
    <s v="No"/>
    <n v="49"/>
    <s v="Bank Transfer"/>
    <s v="Weekly"/>
    <s v="Weekly"/>
    <n v="1"/>
  </r>
  <r>
    <x v="1874"/>
    <n v="67"/>
    <x v="0"/>
    <s v="Pants"/>
    <x v="0"/>
    <n v="33"/>
    <x v="27"/>
    <s v="L"/>
    <s v="Purple"/>
    <s v="Fall"/>
    <n v="3.6"/>
    <s v="No"/>
    <s v="Free Shipping"/>
    <s v="No"/>
    <s v="No"/>
    <n v="14"/>
    <s v="Cash"/>
    <s v="Weekly"/>
    <s v="Weekly"/>
    <n v="1"/>
  </r>
  <r>
    <x v="1875"/>
    <n v="63"/>
    <x v="0"/>
    <s v="Boots"/>
    <x v="1"/>
    <n v="71"/>
    <x v="30"/>
    <s v="M"/>
    <s v="Brown"/>
    <s v="Winter"/>
    <n v="3.9"/>
    <s v="No"/>
    <s v="Next Day Air"/>
    <s v="No"/>
    <s v="No"/>
    <n v="6"/>
    <s v="Credit Card"/>
    <s v="Quarterly"/>
    <s v="Quarterly"/>
    <n v="5"/>
  </r>
  <r>
    <x v="1876"/>
    <n v="54"/>
    <x v="0"/>
    <s v="Skirt"/>
    <x v="0"/>
    <n v="36"/>
    <x v="26"/>
    <s v="M"/>
    <s v="Gray"/>
    <s v="Fall"/>
    <n v="2.6"/>
    <s v="No"/>
    <s v="Standard"/>
    <s v="No"/>
    <s v="No"/>
    <n v="20"/>
    <s v="Venmo"/>
    <s v="Quarterly"/>
    <s v="Quarterly"/>
    <n v="5"/>
  </r>
  <r>
    <x v="1877"/>
    <n v="69"/>
    <x v="0"/>
    <s v="Gloves"/>
    <x v="3"/>
    <n v="62"/>
    <x v="38"/>
    <s v="L"/>
    <s v="Pink"/>
    <s v="Fall"/>
    <n v="3.6"/>
    <s v="No"/>
    <s v="Express"/>
    <s v="No"/>
    <s v="No"/>
    <n v="3"/>
    <s v="Credit Card"/>
    <s v="Annually"/>
    <s v="Annually"/>
    <n v="6"/>
  </r>
  <r>
    <x v="1878"/>
    <n v="34"/>
    <x v="0"/>
    <s v="Socks"/>
    <x v="0"/>
    <n v="29"/>
    <x v="19"/>
    <s v="L"/>
    <s v="Magenta"/>
    <s v="Summer"/>
    <n v="3.4"/>
    <s v="No"/>
    <s v="Store Pickup"/>
    <s v="No"/>
    <s v="No"/>
    <n v="5"/>
    <s v="Credit Card"/>
    <s v="Monthly"/>
    <s v="Monthly"/>
    <n v="4"/>
  </r>
  <r>
    <x v="1879"/>
    <n v="56"/>
    <x v="0"/>
    <s v="T-shirt"/>
    <x v="0"/>
    <n v="33"/>
    <x v="30"/>
    <s v="L"/>
    <s v="Charcoal"/>
    <s v="Spring"/>
    <n v="3.5"/>
    <s v="No"/>
    <s v="Express"/>
    <s v="No"/>
    <s v="No"/>
    <n v="46"/>
    <s v="Cash"/>
    <s v="Bi-Weekly"/>
    <s v="Bi-Weekly"/>
    <n v="2"/>
  </r>
  <r>
    <x v="1880"/>
    <n v="34"/>
    <x v="0"/>
    <s v="Blouse"/>
    <x v="0"/>
    <n v="33"/>
    <x v="32"/>
    <s v="L"/>
    <s v="Yellow"/>
    <s v="Fall"/>
    <n v="3.1"/>
    <s v="No"/>
    <s v="2-Day Shipping"/>
    <s v="No"/>
    <s v="No"/>
    <n v="8"/>
    <s v="Debit Card"/>
    <s v="Monthly"/>
    <s v="Monthly"/>
    <n v="4"/>
  </r>
  <r>
    <x v="1881"/>
    <n v="58"/>
    <x v="0"/>
    <s v="Blouse"/>
    <x v="0"/>
    <n v="41"/>
    <x v="32"/>
    <s v="M"/>
    <s v="Red"/>
    <s v="Winter"/>
    <n v="4.3"/>
    <s v="No"/>
    <s v="Standard"/>
    <s v="No"/>
    <s v="No"/>
    <n v="13"/>
    <s v="Cash"/>
    <s v="Bi-Weekly"/>
    <s v="Bi-Weekly"/>
    <n v="2"/>
  </r>
  <r>
    <x v="1882"/>
    <n v="44"/>
    <x v="0"/>
    <s v="Scarf"/>
    <x v="3"/>
    <n v="54"/>
    <x v="30"/>
    <s v="L"/>
    <s v="Blue"/>
    <s v="Winter"/>
    <n v="5"/>
    <s v="No"/>
    <s v="Store Pickup"/>
    <s v="No"/>
    <s v="No"/>
    <n v="25"/>
    <s v="Bank Transfer"/>
    <s v="Quarterly"/>
    <s v="Quarterly"/>
    <n v="5"/>
  </r>
  <r>
    <x v="1883"/>
    <n v="25"/>
    <x v="0"/>
    <s v="Backpack"/>
    <x v="3"/>
    <n v="58"/>
    <x v="42"/>
    <s v="M"/>
    <s v="Cyan"/>
    <s v="Spring"/>
    <n v="4.9000000000000004"/>
    <s v="No"/>
    <s v="Store Pickup"/>
    <s v="No"/>
    <s v="No"/>
    <n v="39"/>
    <s v="Debit Card"/>
    <s v="Fortnightly"/>
    <s v="Fortnightly"/>
    <n v="3"/>
  </r>
  <r>
    <x v="1884"/>
    <n v="27"/>
    <x v="0"/>
    <s v="Shorts"/>
    <x v="0"/>
    <n v="30"/>
    <x v="28"/>
    <s v="S"/>
    <s v="Pink"/>
    <s v="Summer"/>
    <n v="4.3"/>
    <s v="No"/>
    <s v="Next Day Air"/>
    <s v="No"/>
    <s v="No"/>
    <n v="15"/>
    <s v="Bank Transfer"/>
    <s v="Bi-Weekly"/>
    <s v="Bi-Weekly"/>
    <n v="2"/>
  </r>
  <r>
    <x v="1885"/>
    <n v="26"/>
    <x v="0"/>
    <s v="Jewelry"/>
    <x v="3"/>
    <n v="53"/>
    <x v="22"/>
    <s v="S"/>
    <s v="Maroon"/>
    <s v="Winter"/>
    <n v="4.4000000000000004"/>
    <s v="No"/>
    <s v="Standard"/>
    <s v="No"/>
    <s v="No"/>
    <n v="35"/>
    <s v="Cash"/>
    <s v="Monthly"/>
    <s v="Monthly"/>
    <n v="4"/>
  </r>
  <r>
    <x v="1886"/>
    <n v="18"/>
    <x v="0"/>
    <s v="Gloves"/>
    <x v="3"/>
    <n v="91"/>
    <x v="10"/>
    <s v="L"/>
    <s v="Beige"/>
    <s v="Spring"/>
    <n v="4.4000000000000004"/>
    <s v="No"/>
    <s v="Next Day Air"/>
    <s v="No"/>
    <s v="No"/>
    <n v="46"/>
    <s v="Cash"/>
    <s v="Bi-Weekly"/>
    <s v="Bi-Weekly"/>
    <n v="2"/>
  </r>
  <r>
    <x v="1887"/>
    <n v="64"/>
    <x v="0"/>
    <s v="Hoodie"/>
    <x v="0"/>
    <n v="44"/>
    <x v="25"/>
    <s v="XL"/>
    <s v="Gold"/>
    <s v="Fall"/>
    <n v="3.5"/>
    <s v="No"/>
    <s v="Express"/>
    <s v="No"/>
    <s v="No"/>
    <n v="3"/>
    <s v="PayPal"/>
    <s v="Monthly"/>
    <s v="Monthly"/>
    <n v="4"/>
  </r>
  <r>
    <x v="1888"/>
    <n v="62"/>
    <x v="0"/>
    <s v="Hoodie"/>
    <x v="0"/>
    <n v="89"/>
    <x v="45"/>
    <s v="XL"/>
    <s v="Turquoise"/>
    <s v="Winter"/>
    <n v="3.4"/>
    <s v="No"/>
    <s v="Free Shipping"/>
    <s v="No"/>
    <s v="No"/>
    <n v="48"/>
    <s v="Credit Card"/>
    <s v="Weekly"/>
    <s v="Weekly"/>
    <n v="1"/>
  </r>
  <r>
    <x v="1889"/>
    <n v="59"/>
    <x v="0"/>
    <s v="Skirt"/>
    <x v="0"/>
    <n v="57"/>
    <x v="17"/>
    <s v="L"/>
    <s v="Peach"/>
    <s v="Spring"/>
    <n v="2.5"/>
    <s v="No"/>
    <s v="Next Day Air"/>
    <s v="No"/>
    <s v="No"/>
    <n v="27"/>
    <s v="Bank Transfer"/>
    <s v="Weekly"/>
    <s v="Weekly"/>
    <n v="1"/>
  </r>
  <r>
    <x v="1890"/>
    <n v="36"/>
    <x v="0"/>
    <s v="Sunglasses"/>
    <x v="3"/>
    <n v="57"/>
    <x v="11"/>
    <s v="M"/>
    <s v="Lavender"/>
    <s v="Spring"/>
    <n v="3.4"/>
    <s v="No"/>
    <s v="Store Pickup"/>
    <s v="No"/>
    <s v="No"/>
    <n v="5"/>
    <s v="Credit Card"/>
    <s v="Weekly"/>
    <s v="Weekly"/>
    <n v="1"/>
  </r>
  <r>
    <x v="1891"/>
    <n v="69"/>
    <x v="0"/>
    <s v="Jewelry"/>
    <x v="3"/>
    <n v="74"/>
    <x v="13"/>
    <s v="M"/>
    <s v="Gray"/>
    <s v="Summer"/>
    <n v="2.6"/>
    <s v="No"/>
    <s v="Next Day Air"/>
    <s v="No"/>
    <s v="No"/>
    <n v="48"/>
    <s v="Debit Card"/>
    <s v="Quarterly"/>
    <s v="Quarterly"/>
    <n v="5"/>
  </r>
  <r>
    <x v="1892"/>
    <n v="39"/>
    <x v="0"/>
    <s v="Jacket"/>
    <x v="2"/>
    <n v="30"/>
    <x v="18"/>
    <s v="M"/>
    <s v="Blue"/>
    <s v="Fall"/>
    <n v="4.5999999999999996"/>
    <s v="No"/>
    <s v="2-Day Shipping"/>
    <s v="No"/>
    <s v="No"/>
    <n v="12"/>
    <s v="Venmo"/>
    <s v="Weekly"/>
    <s v="Weekly"/>
    <n v="1"/>
  </r>
  <r>
    <x v="1893"/>
    <n v="28"/>
    <x v="0"/>
    <s v="Dress"/>
    <x v="0"/>
    <n v="20"/>
    <x v="12"/>
    <s v="L"/>
    <s v="Red"/>
    <s v="Summer"/>
    <n v="3.7"/>
    <s v="No"/>
    <s v="Express"/>
    <s v="No"/>
    <s v="No"/>
    <n v="10"/>
    <s v="PayPal"/>
    <s v="Fortnightly"/>
    <s v="Fortnightly"/>
    <n v="3"/>
  </r>
  <r>
    <x v="1894"/>
    <n v="42"/>
    <x v="0"/>
    <s v="Hoodie"/>
    <x v="0"/>
    <n v="90"/>
    <x v="28"/>
    <s v="M"/>
    <s v="Purple"/>
    <s v="Fall"/>
    <n v="2.5"/>
    <s v="No"/>
    <s v="Free Shipping"/>
    <s v="No"/>
    <s v="No"/>
    <n v="48"/>
    <s v="Debit Card"/>
    <s v="Bi-Weekly"/>
    <s v="Bi-Weekly"/>
    <n v="2"/>
  </r>
  <r>
    <x v="1895"/>
    <n v="31"/>
    <x v="0"/>
    <s v="Jeans"/>
    <x v="0"/>
    <n v="61"/>
    <x v="47"/>
    <s v="L"/>
    <s v="Indigo"/>
    <s v="Fall"/>
    <n v="4.5"/>
    <s v="No"/>
    <s v="Express"/>
    <s v="No"/>
    <s v="No"/>
    <n v="3"/>
    <s v="Debit Card"/>
    <s v="Monthly"/>
    <s v="Monthly"/>
    <n v="4"/>
  </r>
  <r>
    <x v="1896"/>
    <n v="57"/>
    <x v="0"/>
    <s v="Sandals"/>
    <x v="1"/>
    <n v="51"/>
    <x v="22"/>
    <s v="M"/>
    <s v="Gold"/>
    <s v="Fall"/>
    <n v="2.9"/>
    <s v="No"/>
    <s v="Standard"/>
    <s v="No"/>
    <s v="No"/>
    <n v="19"/>
    <s v="Venmo"/>
    <s v="Monthly"/>
    <s v="Monthly"/>
    <n v="4"/>
  </r>
  <r>
    <x v="1897"/>
    <n v="53"/>
    <x v="0"/>
    <s v="Sunglasses"/>
    <x v="3"/>
    <n v="97"/>
    <x v="29"/>
    <s v="L"/>
    <s v="Teal"/>
    <s v="Winter"/>
    <n v="2.9"/>
    <s v="No"/>
    <s v="Free Shipping"/>
    <s v="No"/>
    <s v="No"/>
    <n v="11"/>
    <s v="Debit Card"/>
    <s v="Fortnightly"/>
    <s v="Fortnightly"/>
    <n v="3"/>
  </r>
  <r>
    <x v="1898"/>
    <n v="59"/>
    <x v="0"/>
    <s v="Pants"/>
    <x v="0"/>
    <n v="97"/>
    <x v="21"/>
    <s v="L"/>
    <s v="Magenta"/>
    <s v="Fall"/>
    <n v="3.5"/>
    <s v="No"/>
    <s v="Next Day Air"/>
    <s v="No"/>
    <s v="No"/>
    <n v="25"/>
    <s v="Venmo"/>
    <s v="Monthly"/>
    <s v="Monthly"/>
    <n v="4"/>
  </r>
  <r>
    <x v="1899"/>
    <n v="32"/>
    <x v="0"/>
    <s v="Shorts"/>
    <x v="0"/>
    <n v="40"/>
    <x v="14"/>
    <s v="L"/>
    <s v="Maroon"/>
    <s v="Winter"/>
    <n v="4.2"/>
    <s v="No"/>
    <s v="Store Pickup"/>
    <s v="No"/>
    <s v="No"/>
    <n v="42"/>
    <s v="PayPal"/>
    <s v="Weekly"/>
    <s v="Weekly"/>
    <n v="1"/>
  </r>
  <r>
    <x v="1900"/>
    <n v="65"/>
    <x v="0"/>
    <s v="Jewelry"/>
    <x v="3"/>
    <n v="85"/>
    <x v="44"/>
    <s v="S"/>
    <s v="Blue"/>
    <s v="Summer"/>
    <n v="3.3"/>
    <s v="No"/>
    <s v="Free Shipping"/>
    <s v="No"/>
    <s v="No"/>
    <n v="34"/>
    <s v="Cash"/>
    <s v="Quarterly"/>
    <s v="Quarterly"/>
    <n v="5"/>
  </r>
  <r>
    <x v="1901"/>
    <n v="56"/>
    <x v="0"/>
    <s v="Socks"/>
    <x v="0"/>
    <n v="76"/>
    <x v="28"/>
    <s v="S"/>
    <s v="Beige"/>
    <s v="Winter"/>
    <n v="3.9"/>
    <s v="No"/>
    <s v="Store Pickup"/>
    <s v="No"/>
    <s v="No"/>
    <n v="50"/>
    <s v="Cash"/>
    <s v="Quarterly"/>
    <s v="Quarterly"/>
    <n v="5"/>
  </r>
  <r>
    <x v="1902"/>
    <n v="31"/>
    <x v="0"/>
    <s v="Sandals"/>
    <x v="1"/>
    <n v="22"/>
    <x v="35"/>
    <s v="S"/>
    <s v="Olive"/>
    <s v="Spring"/>
    <n v="5"/>
    <s v="No"/>
    <s v="Store Pickup"/>
    <s v="No"/>
    <s v="No"/>
    <n v="21"/>
    <s v="Venmo"/>
    <s v="Monthly"/>
    <s v="Monthly"/>
    <n v="4"/>
  </r>
  <r>
    <x v="1903"/>
    <n v="59"/>
    <x v="0"/>
    <s v="Pants"/>
    <x v="0"/>
    <n v="63"/>
    <x v="17"/>
    <s v="M"/>
    <s v="Gold"/>
    <s v="Summer"/>
    <n v="3.3"/>
    <s v="No"/>
    <s v="Standard"/>
    <s v="No"/>
    <s v="No"/>
    <n v="37"/>
    <s v="Bank Transfer"/>
    <s v="Weekly"/>
    <s v="Weekly"/>
    <n v="1"/>
  </r>
  <r>
    <x v="1904"/>
    <n v="22"/>
    <x v="0"/>
    <s v="T-shirt"/>
    <x v="0"/>
    <n v="71"/>
    <x v="22"/>
    <s v="S"/>
    <s v="Silver"/>
    <s v="Spring"/>
    <n v="4.2"/>
    <s v="No"/>
    <s v="Free Shipping"/>
    <s v="No"/>
    <s v="No"/>
    <n v="46"/>
    <s v="Cash"/>
    <s v="Monthly"/>
    <s v="Monthly"/>
    <n v="4"/>
  </r>
  <r>
    <x v="1905"/>
    <n v="47"/>
    <x v="0"/>
    <s v="Boots"/>
    <x v="1"/>
    <n v="35"/>
    <x v="37"/>
    <s v="M"/>
    <s v="Teal"/>
    <s v="Summer"/>
    <n v="4.9000000000000004"/>
    <s v="No"/>
    <s v="2-Day Shipping"/>
    <s v="No"/>
    <s v="No"/>
    <n v="14"/>
    <s v="Bank Transfer"/>
    <s v="Fortnightly"/>
    <s v="Fortnightly"/>
    <n v="3"/>
  </r>
  <r>
    <x v="1906"/>
    <n v="23"/>
    <x v="0"/>
    <s v="Backpack"/>
    <x v="3"/>
    <n v="30"/>
    <x v="34"/>
    <s v="M"/>
    <s v="Green"/>
    <s v="Spring"/>
    <n v="4.5999999999999996"/>
    <s v="No"/>
    <s v="2-Day Shipping"/>
    <s v="No"/>
    <s v="No"/>
    <n v="24"/>
    <s v="PayPal"/>
    <s v="Fortnightly"/>
    <s v="Fortnightly"/>
    <n v="3"/>
  </r>
  <r>
    <x v="1907"/>
    <n v="69"/>
    <x v="0"/>
    <s v="Skirt"/>
    <x v="0"/>
    <n v="74"/>
    <x v="35"/>
    <s v="L"/>
    <s v="Orange"/>
    <s v="Fall"/>
    <n v="4.8"/>
    <s v="No"/>
    <s v="Store Pickup"/>
    <s v="No"/>
    <s v="No"/>
    <n v="36"/>
    <s v="Credit Card"/>
    <s v="Every 3 Months"/>
    <s v="Quarterly"/>
    <n v="5"/>
  </r>
  <r>
    <x v="1908"/>
    <n v="18"/>
    <x v="0"/>
    <s v="Scarf"/>
    <x v="3"/>
    <n v="71"/>
    <x v="42"/>
    <s v="XL"/>
    <s v="Charcoal"/>
    <s v="Winter"/>
    <n v="2.7"/>
    <s v="No"/>
    <s v="Next Day Air"/>
    <s v="No"/>
    <s v="No"/>
    <n v="19"/>
    <s v="Debit Card"/>
    <s v="Bi-Weekly"/>
    <s v="Bi-Weekly"/>
    <n v="2"/>
  </r>
  <r>
    <x v="1909"/>
    <n v="50"/>
    <x v="0"/>
    <s v="Sweater"/>
    <x v="0"/>
    <n v="84"/>
    <x v="0"/>
    <s v="S"/>
    <s v="Black"/>
    <s v="Spring"/>
    <n v="4.3"/>
    <s v="No"/>
    <s v="Store Pickup"/>
    <s v="No"/>
    <s v="No"/>
    <n v="12"/>
    <s v="Credit Card"/>
    <s v="Monthly"/>
    <s v="Monthly"/>
    <n v="4"/>
  </r>
  <r>
    <x v="1910"/>
    <n v="29"/>
    <x v="0"/>
    <s v="Sandals"/>
    <x v="1"/>
    <n v="38"/>
    <x v="14"/>
    <s v="S"/>
    <s v="Yellow"/>
    <s v="Fall"/>
    <n v="3.8"/>
    <s v="No"/>
    <s v="Express"/>
    <s v="No"/>
    <s v="No"/>
    <n v="13"/>
    <s v="Debit Card"/>
    <s v="Quarterly"/>
    <s v="Quarterly"/>
    <n v="5"/>
  </r>
  <r>
    <x v="1911"/>
    <n v="65"/>
    <x v="0"/>
    <s v="Jewelry"/>
    <x v="3"/>
    <n v="81"/>
    <x v="28"/>
    <s v="M"/>
    <s v="Gray"/>
    <s v="Spring"/>
    <n v="4.9000000000000004"/>
    <s v="No"/>
    <s v="Express"/>
    <s v="No"/>
    <s v="No"/>
    <n v="32"/>
    <s v="Debit Card"/>
    <s v="Bi-Weekly"/>
    <s v="Bi-Weekly"/>
    <n v="2"/>
  </r>
  <r>
    <x v="1912"/>
    <n v="29"/>
    <x v="0"/>
    <s v="Sweater"/>
    <x v="0"/>
    <n v="56"/>
    <x v="24"/>
    <s v="S"/>
    <s v="Charcoal"/>
    <s v="Winter"/>
    <n v="3.4"/>
    <s v="No"/>
    <s v="2-Day Shipping"/>
    <s v="No"/>
    <s v="No"/>
    <n v="5"/>
    <s v="Credit Card"/>
    <s v="Bi-Weekly"/>
    <s v="Bi-Weekly"/>
    <n v="2"/>
  </r>
  <r>
    <x v="1913"/>
    <n v="49"/>
    <x v="0"/>
    <s v="Skirt"/>
    <x v="0"/>
    <n v="48"/>
    <x v="0"/>
    <s v="M"/>
    <s v="Peach"/>
    <s v="Winter"/>
    <n v="3.6"/>
    <s v="No"/>
    <s v="Express"/>
    <s v="No"/>
    <s v="No"/>
    <n v="29"/>
    <s v="Cash"/>
    <s v="Annually"/>
    <s v="Annually"/>
    <n v="6"/>
  </r>
  <r>
    <x v="1914"/>
    <n v="28"/>
    <x v="0"/>
    <s v="Shorts"/>
    <x v="0"/>
    <n v="97"/>
    <x v="29"/>
    <s v="L"/>
    <s v="Green"/>
    <s v="Fall"/>
    <n v="3.4"/>
    <s v="No"/>
    <s v="Standard"/>
    <s v="No"/>
    <s v="No"/>
    <n v="40"/>
    <s v="Credit Card"/>
    <s v="Fortnightly"/>
    <s v="Fortnightly"/>
    <n v="3"/>
  </r>
  <r>
    <x v="1915"/>
    <n v="51"/>
    <x v="0"/>
    <s v="Backpack"/>
    <x v="3"/>
    <n v="74"/>
    <x v="15"/>
    <s v="M"/>
    <s v="Magenta"/>
    <s v="Fall"/>
    <n v="4.7"/>
    <s v="No"/>
    <s v="2-Day Shipping"/>
    <s v="No"/>
    <s v="No"/>
    <n v="44"/>
    <s v="Cash"/>
    <s v="Weekly"/>
    <s v="Weekly"/>
    <n v="1"/>
  </r>
  <r>
    <x v="1916"/>
    <n v="26"/>
    <x v="0"/>
    <s v="Hoodie"/>
    <x v="0"/>
    <n v="50"/>
    <x v="39"/>
    <s v="S"/>
    <s v="Beige"/>
    <s v="Winter"/>
    <n v="3"/>
    <s v="No"/>
    <s v="Next Day Air"/>
    <s v="No"/>
    <s v="No"/>
    <n v="3"/>
    <s v="Debit Card"/>
    <s v="Bi-Weekly"/>
    <s v="Bi-Weekly"/>
    <n v="2"/>
  </r>
  <r>
    <x v="1917"/>
    <n v="38"/>
    <x v="0"/>
    <s v="Skirt"/>
    <x v="0"/>
    <n v="71"/>
    <x v="11"/>
    <s v="L"/>
    <s v="Black"/>
    <s v="Winter"/>
    <n v="3.4"/>
    <s v="No"/>
    <s v="Free Shipping"/>
    <s v="No"/>
    <s v="No"/>
    <n v="35"/>
    <s v="PayPal"/>
    <s v="Bi-Weekly"/>
    <s v="Bi-Weekly"/>
    <n v="2"/>
  </r>
  <r>
    <x v="1918"/>
    <n v="35"/>
    <x v="0"/>
    <s v="Skirt"/>
    <x v="0"/>
    <n v="33"/>
    <x v="37"/>
    <s v="S"/>
    <s v="Purple"/>
    <s v="Summer"/>
    <n v="4.5999999999999996"/>
    <s v="No"/>
    <s v="Standard"/>
    <s v="No"/>
    <s v="No"/>
    <n v="33"/>
    <s v="Debit Card"/>
    <s v="Monthly"/>
    <s v="Monthly"/>
    <n v="4"/>
  </r>
  <r>
    <x v="1919"/>
    <n v="34"/>
    <x v="0"/>
    <s v="Backpack"/>
    <x v="3"/>
    <n v="56"/>
    <x v="41"/>
    <s v="M"/>
    <s v="Olive"/>
    <s v="Summer"/>
    <n v="3.1"/>
    <s v="No"/>
    <s v="Express"/>
    <s v="No"/>
    <s v="No"/>
    <n v="20"/>
    <s v="PayPal"/>
    <s v="Bi-Weekly"/>
    <s v="Bi-Weekly"/>
    <n v="2"/>
  </r>
  <r>
    <x v="1920"/>
    <n v="51"/>
    <x v="0"/>
    <s v="Blouse"/>
    <x v="0"/>
    <n v="84"/>
    <x v="39"/>
    <s v="M"/>
    <s v="Purple"/>
    <s v="Spring"/>
    <n v="2.8"/>
    <s v="No"/>
    <s v="Standard"/>
    <s v="No"/>
    <s v="No"/>
    <n v="40"/>
    <s v="Cash"/>
    <s v="Every 3 Months"/>
    <s v="Quarterly"/>
    <n v="5"/>
  </r>
  <r>
    <x v="1921"/>
    <n v="47"/>
    <x v="0"/>
    <s v="Shirt"/>
    <x v="0"/>
    <n v="36"/>
    <x v="49"/>
    <s v="M"/>
    <s v="Green"/>
    <s v="Fall"/>
    <n v="3.5"/>
    <s v="No"/>
    <s v="Store Pickup"/>
    <s v="No"/>
    <s v="No"/>
    <n v="13"/>
    <s v="Venmo"/>
    <s v="Annually"/>
    <s v="Annually"/>
    <n v="6"/>
  </r>
  <r>
    <x v="1922"/>
    <n v="18"/>
    <x v="0"/>
    <s v="Gloves"/>
    <x v="3"/>
    <n v="63"/>
    <x v="0"/>
    <s v="S"/>
    <s v="Peach"/>
    <s v="Summer"/>
    <n v="4.5999999999999996"/>
    <s v="No"/>
    <s v="Standard"/>
    <s v="No"/>
    <s v="No"/>
    <n v="9"/>
    <s v="PayPal"/>
    <s v="Monthly"/>
    <s v="Monthly"/>
    <n v="4"/>
  </r>
  <r>
    <x v="1923"/>
    <n v="64"/>
    <x v="0"/>
    <s v="Sandals"/>
    <x v="1"/>
    <n v="36"/>
    <x v="43"/>
    <s v="XL"/>
    <s v="Blue"/>
    <s v="Summer"/>
    <n v="4.3"/>
    <s v="No"/>
    <s v="Standard"/>
    <s v="No"/>
    <s v="No"/>
    <n v="7"/>
    <s v="Cash"/>
    <s v="Annually"/>
    <s v="Annually"/>
    <n v="6"/>
  </r>
  <r>
    <x v="1924"/>
    <n v="30"/>
    <x v="0"/>
    <s v="Jacket"/>
    <x v="2"/>
    <n v="63"/>
    <x v="49"/>
    <s v="M"/>
    <s v="Gray"/>
    <s v="Fall"/>
    <n v="4.8"/>
    <s v="No"/>
    <s v="Free Shipping"/>
    <s v="No"/>
    <s v="No"/>
    <n v="42"/>
    <s v="PayPal"/>
    <s v="Quarterly"/>
    <s v="Quarterly"/>
    <n v="5"/>
  </r>
  <r>
    <x v="1925"/>
    <n v="59"/>
    <x v="0"/>
    <s v="Sneakers"/>
    <x v="1"/>
    <n v="32"/>
    <x v="40"/>
    <s v="L"/>
    <s v="Black"/>
    <s v="Winter"/>
    <n v="2.9"/>
    <s v="No"/>
    <s v="Express"/>
    <s v="No"/>
    <s v="No"/>
    <n v="44"/>
    <s v="Credit Card"/>
    <s v="Fortnightly"/>
    <s v="Fortnightly"/>
    <n v="3"/>
  </r>
  <r>
    <x v="1926"/>
    <n v="66"/>
    <x v="0"/>
    <s v="Backpack"/>
    <x v="3"/>
    <n v="93"/>
    <x v="35"/>
    <s v="M"/>
    <s v="Silver"/>
    <s v="Spring"/>
    <n v="3"/>
    <s v="No"/>
    <s v="Express"/>
    <s v="No"/>
    <s v="No"/>
    <n v="6"/>
    <s v="PayPal"/>
    <s v="Annually"/>
    <s v="Annually"/>
    <n v="6"/>
  </r>
  <r>
    <x v="1927"/>
    <n v="40"/>
    <x v="0"/>
    <s v="Pants"/>
    <x v="0"/>
    <n v="29"/>
    <x v="20"/>
    <s v="M"/>
    <s v="Pink"/>
    <s v="Summer"/>
    <n v="2.9"/>
    <s v="No"/>
    <s v="Standard"/>
    <s v="No"/>
    <s v="No"/>
    <n v="8"/>
    <s v="Cash"/>
    <s v="Every 3 Months"/>
    <s v="Quarterly"/>
    <n v="5"/>
  </r>
  <r>
    <x v="1928"/>
    <n v="25"/>
    <x v="0"/>
    <s v="Sunglasses"/>
    <x v="3"/>
    <n v="92"/>
    <x v="16"/>
    <s v="S"/>
    <s v="Lavender"/>
    <s v="Summer"/>
    <n v="3.7"/>
    <s v="No"/>
    <s v="Standard"/>
    <s v="No"/>
    <s v="No"/>
    <n v="10"/>
    <s v="PayPal"/>
    <s v="Weekly"/>
    <s v="Weekly"/>
    <n v="1"/>
  </r>
  <r>
    <x v="1929"/>
    <n v="59"/>
    <x v="0"/>
    <s v="Jeans"/>
    <x v="0"/>
    <n v="33"/>
    <x v="11"/>
    <s v="L"/>
    <s v="Brown"/>
    <s v="Fall"/>
    <n v="4.7"/>
    <s v="No"/>
    <s v="Standard"/>
    <s v="No"/>
    <s v="No"/>
    <n v="46"/>
    <s v="Venmo"/>
    <s v="Quarterly"/>
    <s v="Quarterly"/>
    <n v="5"/>
  </r>
  <r>
    <x v="1930"/>
    <n v="66"/>
    <x v="0"/>
    <s v="Pants"/>
    <x v="0"/>
    <n v="52"/>
    <x v="17"/>
    <s v="L"/>
    <s v="Turquoise"/>
    <s v="Spring"/>
    <n v="3.5"/>
    <s v="No"/>
    <s v="Store Pickup"/>
    <s v="No"/>
    <s v="No"/>
    <n v="26"/>
    <s v="Cash"/>
    <s v="Weekly"/>
    <s v="Weekly"/>
    <n v="1"/>
  </r>
  <r>
    <x v="1931"/>
    <n v="54"/>
    <x v="0"/>
    <s v="Jewelry"/>
    <x v="3"/>
    <n v="42"/>
    <x v="26"/>
    <s v="S"/>
    <s v="Olive"/>
    <s v="Spring"/>
    <n v="2.7"/>
    <s v="No"/>
    <s v="Store Pickup"/>
    <s v="No"/>
    <s v="No"/>
    <n v="6"/>
    <s v="Debit Card"/>
    <s v="Every 3 Months"/>
    <s v="Quarterly"/>
    <n v="5"/>
  </r>
  <r>
    <x v="1932"/>
    <n v="42"/>
    <x v="0"/>
    <s v="Hoodie"/>
    <x v="0"/>
    <n v="36"/>
    <x v="33"/>
    <s v="M"/>
    <s v="White"/>
    <s v="Spring"/>
    <n v="5"/>
    <s v="No"/>
    <s v="Free Shipping"/>
    <s v="No"/>
    <s v="No"/>
    <n v="47"/>
    <s v="Credit Card"/>
    <s v="Every 3 Months"/>
    <s v="Quarterly"/>
    <n v="5"/>
  </r>
  <r>
    <x v="1933"/>
    <n v="48"/>
    <x v="0"/>
    <s v="Sandals"/>
    <x v="1"/>
    <n v="67"/>
    <x v="6"/>
    <s v="L"/>
    <s v="Violet"/>
    <s v="Summer"/>
    <n v="4.0999999999999996"/>
    <s v="No"/>
    <s v="Next Day Air"/>
    <s v="No"/>
    <s v="No"/>
    <n v="28"/>
    <s v="Venmo"/>
    <s v="Annually"/>
    <s v="Annually"/>
    <n v="6"/>
  </r>
  <r>
    <x v="1934"/>
    <n v="34"/>
    <x v="0"/>
    <s v="Jacket"/>
    <x v="2"/>
    <n v="43"/>
    <x v="49"/>
    <s v="L"/>
    <s v="Gold"/>
    <s v="Winter"/>
    <n v="2.7"/>
    <s v="No"/>
    <s v="Free Shipping"/>
    <s v="No"/>
    <s v="No"/>
    <n v="23"/>
    <s v="Bank Transfer"/>
    <s v="Annually"/>
    <s v="Annually"/>
    <n v="6"/>
  </r>
  <r>
    <x v="1935"/>
    <n v="19"/>
    <x v="0"/>
    <s v="Blouse"/>
    <x v="0"/>
    <n v="68"/>
    <x v="17"/>
    <s v="XL"/>
    <s v="Violet"/>
    <s v="Spring"/>
    <n v="4.8"/>
    <s v="No"/>
    <s v="Free Shipping"/>
    <s v="No"/>
    <s v="No"/>
    <n v="45"/>
    <s v="Cash"/>
    <s v="Fortnightly"/>
    <s v="Fortnightly"/>
    <n v="3"/>
  </r>
  <r>
    <x v="1936"/>
    <n v="70"/>
    <x v="0"/>
    <s v="Jewelry"/>
    <x v="3"/>
    <n v="60"/>
    <x v="46"/>
    <s v="S"/>
    <s v="Teal"/>
    <s v="Summer"/>
    <n v="4.3"/>
    <s v="No"/>
    <s v="2-Day Shipping"/>
    <s v="No"/>
    <s v="No"/>
    <n v="44"/>
    <s v="PayPal"/>
    <s v="Every 3 Months"/>
    <s v="Quarterly"/>
    <n v="5"/>
  </r>
  <r>
    <x v="1937"/>
    <n v="43"/>
    <x v="0"/>
    <s v="Socks"/>
    <x v="0"/>
    <n v="53"/>
    <x v="12"/>
    <s v="M"/>
    <s v="Olive"/>
    <s v="Summer"/>
    <n v="4.5"/>
    <s v="No"/>
    <s v="2-Day Shipping"/>
    <s v="No"/>
    <s v="No"/>
    <n v="11"/>
    <s v="Bank Transfer"/>
    <s v="Monthly"/>
    <s v="Monthly"/>
    <n v="4"/>
  </r>
  <r>
    <x v="1938"/>
    <n v="46"/>
    <x v="0"/>
    <s v="Jeans"/>
    <x v="0"/>
    <n v="23"/>
    <x v="0"/>
    <s v="L"/>
    <s v="Blue"/>
    <s v="Spring"/>
    <n v="3.8"/>
    <s v="No"/>
    <s v="Standard"/>
    <s v="No"/>
    <s v="No"/>
    <n v="39"/>
    <s v="Debit Card"/>
    <s v="Bi-Weekly"/>
    <s v="Bi-Weekly"/>
    <n v="2"/>
  </r>
  <r>
    <x v="1939"/>
    <n v="66"/>
    <x v="0"/>
    <s v="Gloves"/>
    <x v="3"/>
    <n v="57"/>
    <x v="31"/>
    <s v="L"/>
    <s v="Magenta"/>
    <s v="Winter"/>
    <n v="3.7"/>
    <s v="No"/>
    <s v="Store Pickup"/>
    <s v="No"/>
    <s v="No"/>
    <n v="20"/>
    <s v="PayPal"/>
    <s v="Every 3 Months"/>
    <s v="Quarterly"/>
    <n v="5"/>
  </r>
  <r>
    <x v="1940"/>
    <n v="50"/>
    <x v="0"/>
    <s v="Hat"/>
    <x v="3"/>
    <n v="89"/>
    <x v="29"/>
    <s v="L"/>
    <s v="Gray"/>
    <s v="Fall"/>
    <n v="3.9"/>
    <s v="No"/>
    <s v="2-Day Shipping"/>
    <s v="No"/>
    <s v="No"/>
    <n v="48"/>
    <s v="PayPal"/>
    <s v="Fortnightly"/>
    <s v="Fortnightly"/>
    <n v="3"/>
  </r>
  <r>
    <x v="1941"/>
    <n v="55"/>
    <x v="0"/>
    <s v="Shoes"/>
    <x v="1"/>
    <n v="99"/>
    <x v="34"/>
    <s v="XL"/>
    <s v="Peach"/>
    <s v="Winter"/>
    <n v="3.3"/>
    <s v="No"/>
    <s v="Standard"/>
    <s v="No"/>
    <s v="No"/>
    <n v="46"/>
    <s v="Credit Card"/>
    <s v="Quarterly"/>
    <s v="Quarterly"/>
    <n v="5"/>
  </r>
  <r>
    <x v="1942"/>
    <n v="63"/>
    <x v="0"/>
    <s v="Pants"/>
    <x v="0"/>
    <n v="28"/>
    <x v="15"/>
    <s v="M"/>
    <s v="Cyan"/>
    <s v="Fall"/>
    <n v="3.4"/>
    <s v="No"/>
    <s v="Express"/>
    <s v="No"/>
    <s v="No"/>
    <n v="22"/>
    <s v="PayPal"/>
    <s v="Monthly"/>
    <s v="Monthly"/>
    <n v="4"/>
  </r>
  <r>
    <x v="1943"/>
    <n v="32"/>
    <x v="0"/>
    <s v="Socks"/>
    <x v="0"/>
    <n v="53"/>
    <x v="48"/>
    <s v="L"/>
    <s v="Violet"/>
    <s v="Summer"/>
    <n v="3.8"/>
    <s v="No"/>
    <s v="Next Day Air"/>
    <s v="No"/>
    <s v="No"/>
    <n v="45"/>
    <s v="Cash"/>
    <s v="Annually"/>
    <s v="Annually"/>
    <n v="6"/>
  </r>
  <r>
    <x v="1944"/>
    <n v="30"/>
    <x v="0"/>
    <s v="Hoodie"/>
    <x v="0"/>
    <n v="45"/>
    <x v="10"/>
    <s v="M"/>
    <s v="Gold"/>
    <s v="Winter"/>
    <n v="2.7"/>
    <s v="No"/>
    <s v="Free Shipping"/>
    <s v="No"/>
    <s v="No"/>
    <n v="49"/>
    <s v="Cash"/>
    <s v="Every 3 Months"/>
    <s v="Quarterly"/>
    <n v="5"/>
  </r>
  <r>
    <x v="1945"/>
    <n v="35"/>
    <x v="0"/>
    <s v="Hoodie"/>
    <x v="0"/>
    <n v="38"/>
    <x v="42"/>
    <s v="M"/>
    <s v="Gold"/>
    <s v="Winter"/>
    <n v="2.9"/>
    <s v="No"/>
    <s v="2-Day Shipping"/>
    <s v="No"/>
    <s v="No"/>
    <n v="9"/>
    <s v="Credit Card"/>
    <s v="Every 3 Months"/>
    <s v="Quarterly"/>
    <n v="5"/>
  </r>
  <r>
    <x v="1946"/>
    <n v="59"/>
    <x v="0"/>
    <s v="Pants"/>
    <x v="0"/>
    <n v="49"/>
    <x v="7"/>
    <s v="M"/>
    <s v="White"/>
    <s v="Summer"/>
    <n v="4.5"/>
    <s v="No"/>
    <s v="Standard"/>
    <s v="No"/>
    <s v="No"/>
    <n v="41"/>
    <s v="Credit Card"/>
    <s v="Quarterly"/>
    <s v="Quarterly"/>
    <n v="5"/>
  </r>
  <r>
    <x v="1947"/>
    <n v="59"/>
    <x v="0"/>
    <s v="Shirt"/>
    <x v="0"/>
    <n v="32"/>
    <x v="14"/>
    <s v="M"/>
    <s v="Gray"/>
    <s v="Summer"/>
    <n v="2.6"/>
    <s v="No"/>
    <s v="Store Pickup"/>
    <s v="No"/>
    <s v="No"/>
    <n v="2"/>
    <s v="PayPal"/>
    <s v="Monthly"/>
    <s v="Monthly"/>
    <n v="4"/>
  </r>
  <r>
    <x v="1948"/>
    <n v="54"/>
    <x v="0"/>
    <s v="T-shirt"/>
    <x v="0"/>
    <n v="37"/>
    <x v="39"/>
    <s v="L"/>
    <s v="Brown"/>
    <s v="Winter"/>
    <n v="3.1"/>
    <s v="No"/>
    <s v="Next Day Air"/>
    <s v="No"/>
    <s v="No"/>
    <n v="39"/>
    <s v="PayPal"/>
    <s v="Bi-Weekly"/>
    <s v="Bi-Weekly"/>
    <n v="2"/>
  </r>
  <r>
    <x v="1949"/>
    <n v="63"/>
    <x v="0"/>
    <s v="Dress"/>
    <x v="0"/>
    <n v="80"/>
    <x v="43"/>
    <s v="L"/>
    <s v="Gray"/>
    <s v="Winter"/>
    <n v="4.7"/>
    <s v="No"/>
    <s v="Store Pickup"/>
    <s v="No"/>
    <s v="No"/>
    <n v="12"/>
    <s v="PayPal"/>
    <s v="Quarterly"/>
    <s v="Quarterly"/>
    <n v="5"/>
  </r>
  <r>
    <x v="1950"/>
    <n v="43"/>
    <x v="0"/>
    <s v="Backpack"/>
    <x v="3"/>
    <n v="78"/>
    <x v="10"/>
    <s v="L"/>
    <s v="Blue"/>
    <s v="Summer"/>
    <n v="4.5999999999999996"/>
    <s v="No"/>
    <s v="Free Shipping"/>
    <s v="No"/>
    <s v="No"/>
    <n v="26"/>
    <s v="PayPal"/>
    <s v="Every 3 Months"/>
    <s v="Quarterly"/>
    <n v="5"/>
  </r>
  <r>
    <x v="1951"/>
    <n v="33"/>
    <x v="0"/>
    <s v="Gloves"/>
    <x v="3"/>
    <n v="53"/>
    <x v="39"/>
    <s v="L"/>
    <s v="Gold"/>
    <s v="Summer"/>
    <n v="2.7"/>
    <s v="No"/>
    <s v="Next Day Air"/>
    <s v="No"/>
    <s v="No"/>
    <n v="32"/>
    <s v="Bank Transfer"/>
    <s v="Bi-Weekly"/>
    <s v="Bi-Weekly"/>
    <n v="2"/>
  </r>
  <r>
    <x v="1952"/>
    <n v="57"/>
    <x v="0"/>
    <s v="Shoes"/>
    <x v="1"/>
    <n v="82"/>
    <x v="33"/>
    <s v="L"/>
    <s v="Yellow"/>
    <s v="Summer"/>
    <n v="4.5999999999999996"/>
    <s v="No"/>
    <s v="2-Day Shipping"/>
    <s v="No"/>
    <s v="No"/>
    <n v="50"/>
    <s v="Cash"/>
    <s v="Bi-Weekly"/>
    <s v="Bi-Weekly"/>
    <n v="2"/>
  </r>
  <r>
    <x v="1953"/>
    <n v="25"/>
    <x v="0"/>
    <s v="Skirt"/>
    <x v="0"/>
    <n v="33"/>
    <x v="24"/>
    <s v="XL"/>
    <s v="Green"/>
    <s v="Spring"/>
    <n v="4.8"/>
    <s v="No"/>
    <s v="Standard"/>
    <s v="No"/>
    <s v="No"/>
    <n v="3"/>
    <s v="PayPal"/>
    <s v="Fortnightly"/>
    <s v="Fortnightly"/>
    <n v="3"/>
  </r>
  <r>
    <x v="1954"/>
    <n v="26"/>
    <x v="0"/>
    <s v="Gloves"/>
    <x v="3"/>
    <n v="77"/>
    <x v="24"/>
    <s v="M"/>
    <s v="Pink"/>
    <s v="Winter"/>
    <n v="4.2"/>
    <s v="No"/>
    <s v="Free Shipping"/>
    <s v="No"/>
    <s v="No"/>
    <n v="3"/>
    <s v="Venmo"/>
    <s v="Quarterly"/>
    <s v="Quarterly"/>
    <n v="5"/>
  </r>
  <r>
    <x v="1955"/>
    <n v="50"/>
    <x v="0"/>
    <s v="Hoodie"/>
    <x v="0"/>
    <n v="56"/>
    <x v="1"/>
    <s v="M"/>
    <s v="Pink"/>
    <s v="Winter"/>
    <n v="4.9000000000000004"/>
    <s v="No"/>
    <s v="Express"/>
    <s v="No"/>
    <s v="No"/>
    <n v="37"/>
    <s v="Cash"/>
    <s v="Monthly"/>
    <s v="Monthly"/>
    <n v="4"/>
  </r>
  <r>
    <x v="1956"/>
    <n v="70"/>
    <x v="0"/>
    <s v="Socks"/>
    <x v="0"/>
    <n v="37"/>
    <x v="19"/>
    <s v="M"/>
    <s v="Pink"/>
    <s v="Winter"/>
    <n v="4.9000000000000004"/>
    <s v="No"/>
    <s v="Express"/>
    <s v="No"/>
    <s v="No"/>
    <n v="20"/>
    <s v="Credit Card"/>
    <s v="Fortnightly"/>
    <s v="Fortnightly"/>
    <n v="3"/>
  </r>
  <r>
    <x v="1957"/>
    <n v="68"/>
    <x v="0"/>
    <s v="Gloves"/>
    <x v="3"/>
    <n v="54"/>
    <x v="36"/>
    <s v="M"/>
    <s v="Cyan"/>
    <s v="Spring"/>
    <n v="4.5"/>
    <s v="No"/>
    <s v="Store Pickup"/>
    <s v="No"/>
    <s v="No"/>
    <n v="26"/>
    <s v="Cash"/>
    <s v="Bi-Weekly"/>
    <s v="Bi-Weekly"/>
    <n v="2"/>
  </r>
  <r>
    <x v="1958"/>
    <n v="39"/>
    <x v="0"/>
    <s v="Shorts"/>
    <x v="0"/>
    <n v="67"/>
    <x v="22"/>
    <s v="M"/>
    <s v="Gray"/>
    <s v="Winter"/>
    <n v="2.7"/>
    <s v="No"/>
    <s v="Store Pickup"/>
    <s v="No"/>
    <s v="No"/>
    <n v="47"/>
    <s v="Cash"/>
    <s v="Quarterly"/>
    <s v="Quarterly"/>
    <n v="5"/>
  </r>
  <r>
    <x v="1959"/>
    <n v="46"/>
    <x v="0"/>
    <s v="Shoes"/>
    <x v="1"/>
    <n v="90"/>
    <x v="24"/>
    <s v="M"/>
    <s v="White"/>
    <s v="Fall"/>
    <n v="3.1"/>
    <s v="No"/>
    <s v="Store Pickup"/>
    <s v="No"/>
    <s v="No"/>
    <n v="7"/>
    <s v="Credit Card"/>
    <s v="Every 3 Months"/>
    <s v="Quarterly"/>
    <n v="5"/>
  </r>
  <r>
    <x v="1960"/>
    <n v="57"/>
    <x v="0"/>
    <s v="Jeans"/>
    <x v="0"/>
    <n v="72"/>
    <x v="2"/>
    <s v="L"/>
    <s v="Red"/>
    <s v="Summer"/>
    <n v="3.3"/>
    <s v="No"/>
    <s v="2-Day Shipping"/>
    <s v="No"/>
    <s v="No"/>
    <n v="40"/>
    <s v="Credit Card"/>
    <s v="Annually"/>
    <s v="Annually"/>
    <n v="6"/>
  </r>
  <r>
    <x v="1961"/>
    <n v="47"/>
    <x v="0"/>
    <s v="Boots"/>
    <x v="1"/>
    <n v="59"/>
    <x v="22"/>
    <s v="L"/>
    <s v="Black"/>
    <s v="Summer"/>
    <n v="2.6"/>
    <s v="No"/>
    <s v="Free Shipping"/>
    <s v="No"/>
    <s v="No"/>
    <n v="45"/>
    <s v="Debit Card"/>
    <s v="Quarterly"/>
    <s v="Quarterly"/>
    <n v="5"/>
  </r>
  <r>
    <x v="1962"/>
    <n v="40"/>
    <x v="0"/>
    <s v="Hat"/>
    <x v="3"/>
    <n v="45"/>
    <x v="44"/>
    <s v="M"/>
    <s v="Silver"/>
    <s v="Fall"/>
    <n v="4.4000000000000004"/>
    <s v="No"/>
    <s v="Standard"/>
    <s v="No"/>
    <s v="No"/>
    <n v="20"/>
    <s v="PayPal"/>
    <s v="Fortnightly"/>
    <s v="Fortnightly"/>
    <n v="3"/>
  </r>
  <r>
    <x v="1963"/>
    <n v="52"/>
    <x v="0"/>
    <s v="Shorts"/>
    <x v="0"/>
    <n v="30"/>
    <x v="49"/>
    <s v="L"/>
    <s v="Pink"/>
    <s v="Spring"/>
    <n v="3.9"/>
    <s v="No"/>
    <s v="Standard"/>
    <s v="No"/>
    <s v="No"/>
    <n v="11"/>
    <s v="Credit Card"/>
    <s v="Weekly"/>
    <s v="Weekly"/>
    <n v="1"/>
  </r>
  <r>
    <x v="1964"/>
    <n v="40"/>
    <x v="0"/>
    <s v="Pants"/>
    <x v="0"/>
    <n v="51"/>
    <x v="8"/>
    <s v="S"/>
    <s v="Cyan"/>
    <s v="Summer"/>
    <n v="4.5999999999999996"/>
    <s v="No"/>
    <s v="Express"/>
    <s v="No"/>
    <s v="No"/>
    <n v="50"/>
    <s v="Debit Card"/>
    <s v="Monthly"/>
    <s v="Monthly"/>
    <n v="4"/>
  </r>
  <r>
    <x v="1965"/>
    <n v="67"/>
    <x v="0"/>
    <s v="Sweater"/>
    <x v="0"/>
    <n v="90"/>
    <x v="27"/>
    <s v="M"/>
    <s v="White"/>
    <s v="Fall"/>
    <n v="4.9000000000000004"/>
    <s v="No"/>
    <s v="Express"/>
    <s v="No"/>
    <s v="No"/>
    <n v="25"/>
    <s v="Debit Card"/>
    <s v="Quarterly"/>
    <s v="Quarterly"/>
    <n v="5"/>
  </r>
  <r>
    <x v="1966"/>
    <n v="67"/>
    <x v="0"/>
    <s v="Jacket"/>
    <x v="2"/>
    <n v="95"/>
    <x v="27"/>
    <s v="XL"/>
    <s v="Purple"/>
    <s v="Winter"/>
    <n v="3.7"/>
    <s v="No"/>
    <s v="Express"/>
    <s v="No"/>
    <s v="No"/>
    <n v="5"/>
    <s v="Credit Card"/>
    <s v="Fortnightly"/>
    <s v="Fortnightly"/>
    <n v="3"/>
  </r>
  <r>
    <x v="1967"/>
    <n v="37"/>
    <x v="0"/>
    <s v="Dress"/>
    <x v="0"/>
    <n v="81"/>
    <x v="42"/>
    <s v="L"/>
    <s v="Yellow"/>
    <s v="Fall"/>
    <n v="3.7"/>
    <s v="No"/>
    <s v="Standard"/>
    <s v="No"/>
    <s v="No"/>
    <n v="4"/>
    <s v="Venmo"/>
    <s v="Annually"/>
    <s v="Annually"/>
    <n v="6"/>
  </r>
  <r>
    <x v="1968"/>
    <n v="67"/>
    <x v="0"/>
    <s v="Shirt"/>
    <x v="0"/>
    <n v="70"/>
    <x v="46"/>
    <s v="S"/>
    <s v="Blue"/>
    <s v="Spring"/>
    <n v="4.2"/>
    <s v="No"/>
    <s v="Standard"/>
    <s v="No"/>
    <s v="No"/>
    <n v="25"/>
    <s v="Credit Card"/>
    <s v="Weekly"/>
    <s v="Weekly"/>
    <n v="1"/>
  </r>
  <r>
    <x v="1969"/>
    <n v="64"/>
    <x v="0"/>
    <s v="Dress"/>
    <x v="0"/>
    <n v="32"/>
    <x v="7"/>
    <s v="S"/>
    <s v="Cyan"/>
    <s v="Winter"/>
    <n v="3.5"/>
    <s v="No"/>
    <s v="Next Day Air"/>
    <s v="No"/>
    <s v="No"/>
    <n v="11"/>
    <s v="Bank Transfer"/>
    <s v="Fortnightly"/>
    <s v="Fortnightly"/>
    <n v="3"/>
  </r>
  <r>
    <x v="1970"/>
    <n v="28"/>
    <x v="0"/>
    <s v="Belt"/>
    <x v="3"/>
    <n v="94"/>
    <x v="33"/>
    <s v="M"/>
    <s v="Indigo"/>
    <s v="Spring"/>
    <n v="2.9"/>
    <s v="No"/>
    <s v="Next Day Air"/>
    <s v="No"/>
    <s v="No"/>
    <n v="4"/>
    <s v="Credit Card"/>
    <s v="Bi-Weekly"/>
    <s v="Bi-Weekly"/>
    <n v="2"/>
  </r>
  <r>
    <x v="1971"/>
    <n v="54"/>
    <x v="0"/>
    <s v="Hat"/>
    <x v="3"/>
    <n v="29"/>
    <x v="38"/>
    <s v="XL"/>
    <s v="Indigo"/>
    <s v="Spring"/>
    <n v="3.4"/>
    <s v="No"/>
    <s v="Next Day Air"/>
    <s v="No"/>
    <s v="No"/>
    <n v="1"/>
    <s v="Venmo"/>
    <s v="Monthly"/>
    <s v="Monthly"/>
    <n v="4"/>
  </r>
  <r>
    <x v="1972"/>
    <n v="54"/>
    <x v="0"/>
    <s v="Backpack"/>
    <x v="3"/>
    <n v="31"/>
    <x v="7"/>
    <s v="M"/>
    <s v="Silver"/>
    <s v="Summer"/>
    <n v="3.3"/>
    <s v="No"/>
    <s v="Express"/>
    <s v="No"/>
    <s v="No"/>
    <n v="48"/>
    <s v="PayPal"/>
    <s v="Every 3 Months"/>
    <s v="Quarterly"/>
    <n v="5"/>
  </r>
  <r>
    <x v="1973"/>
    <n v="24"/>
    <x v="0"/>
    <s v="Skirt"/>
    <x v="0"/>
    <n v="20"/>
    <x v="33"/>
    <s v="XL"/>
    <s v="Red"/>
    <s v="Fall"/>
    <n v="4.5"/>
    <s v="No"/>
    <s v="Standard"/>
    <s v="No"/>
    <s v="No"/>
    <n v="9"/>
    <s v="Venmo"/>
    <s v="Every 3 Months"/>
    <s v="Quarterly"/>
    <n v="5"/>
  </r>
  <r>
    <x v="1974"/>
    <n v="27"/>
    <x v="0"/>
    <s v="Gloves"/>
    <x v="3"/>
    <n v="44"/>
    <x v="30"/>
    <s v="M"/>
    <s v="Peach"/>
    <s v="Winter"/>
    <n v="4.5999999999999996"/>
    <s v="No"/>
    <s v="2-Day Shipping"/>
    <s v="No"/>
    <s v="No"/>
    <n v="2"/>
    <s v="PayPal"/>
    <s v="Fortnightly"/>
    <s v="Fortnightly"/>
    <n v="3"/>
  </r>
  <r>
    <x v="1975"/>
    <n v="53"/>
    <x v="0"/>
    <s v="Jacket"/>
    <x v="2"/>
    <n v="77"/>
    <x v="26"/>
    <s v="L"/>
    <s v="Turquoise"/>
    <s v="Fall"/>
    <n v="2.9"/>
    <s v="No"/>
    <s v="Express"/>
    <s v="No"/>
    <s v="No"/>
    <n v="4"/>
    <s v="Cash"/>
    <s v="Quarterly"/>
    <s v="Quarterly"/>
    <n v="5"/>
  </r>
  <r>
    <x v="1976"/>
    <n v="32"/>
    <x v="0"/>
    <s v="Handbag"/>
    <x v="3"/>
    <n v="51"/>
    <x v="5"/>
    <s v="M"/>
    <s v="Pink"/>
    <s v="Spring"/>
    <n v="3.2"/>
    <s v="No"/>
    <s v="Next Day Air"/>
    <s v="No"/>
    <s v="No"/>
    <n v="43"/>
    <s v="PayPal"/>
    <s v="Fortnightly"/>
    <s v="Fortnightly"/>
    <n v="3"/>
  </r>
  <r>
    <x v="1977"/>
    <n v="24"/>
    <x v="0"/>
    <s v="Sandals"/>
    <x v="1"/>
    <n v="49"/>
    <x v="20"/>
    <s v="M"/>
    <s v="Teal"/>
    <s v="Summer"/>
    <n v="2.6"/>
    <s v="No"/>
    <s v="Free Shipping"/>
    <s v="No"/>
    <s v="No"/>
    <n v="32"/>
    <s v="Bank Transfer"/>
    <s v="Annually"/>
    <s v="Annually"/>
    <n v="6"/>
  </r>
  <r>
    <x v="1978"/>
    <n v="45"/>
    <x v="0"/>
    <s v="Sunglasses"/>
    <x v="3"/>
    <n v="78"/>
    <x v="2"/>
    <s v="L"/>
    <s v="Magenta"/>
    <s v="Spring"/>
    <n v="3.8"/>
    <s v="No"/>
    <s v="Store Pickup"/>
    <s v="No"/>
    <s v="No"/>
    <n v="1"/>
    <s v="Cash"/>
    <s v="Quarterly"/>
    <s v="Quarterly"/>
    <n v="5"/>
  </r>
  <r>
    <x v="1979"/>
    <n v="49"/>
    <x v="0"/>
    <s v="Jeans"/>
    <x v="0"/>
    <n v="98"/>
    <x v="30"/>
    <s v="L"/>
    <s v="Blue"/>
    <s v="Spring"/>
    <n v="2.8"/>
    <s v="No"/>
    <s v="Store Pickup"/>
    <s v="No"/>
    <s v="No"/>
    <n v="38"/>
    <s v="Debit Card"/>
    <s v="Fortnightly"/>
    <s v="Fortnightly"/>
    <n v="3"/>
  </r>
  <r>
    <x v="1980"/>
    <n v="51"/>
    <x v="0"/>
    <s v="Sandals"/>
    <x v="1"/>
    <n v="94"/>
    <x v="44"/>
    <s v="M"/>
    <s v="Green"/>
    <s v="Winter"/>
    <n v="4.4000000000000004"/>
    <s v="No"/>
    <s v="Store Pickup"/>
    <s v="No"/>
    <s v="No"/>
    <n v="25"/>
    <s v="PayPal"/>
    <s v="Fortnightly"/>
    <s v="Fortnightly"/>
    <n v="3"/>
  </r>
  <r>
    <x v="1981"/>
    <n v="69"/>
    <x v="0"/>
    <s v="Shoes"/>
    <x v="1"/>
    <n v="91"/>
    <x v="49"/>
    <s v="L"/>
    <s v="Violet"/>
    <s v="Summer"/>
    <n v="4.7"/>
    <s v="No"/>
    <s v="Express"/>
    <s v="No"/>
    <s v="No"/>
    <n v="42"/>
    <s v="PayPal"/>
    <s v="Quarterly"/>
    <s v="Quarterly"/>
    <n v="5"/>
  </r>
  <r>
    <x v="1982"/>
    <n v="41"/>
    <x v="0"/>
    <s v="Sunglasses"/>
    <x v="3"/>
    <n v="77"/>
    <x v="23"/>
    <s v="M"/>
    <s v="Turquoise"/>
    <s v="Summer"/>
    <n v="2.7"/>
    <s v="No"/>
    <s v="2-Day Shipping"/>
    <s v="No"/>
    <s v="No"/>
    <n v="32"/>
    <s v="PayPal"/>
    <s v="Monthly"/>
    <s v="Monthly"/>
    <n v="4"/>
  </r>
  <r>
    <x v="1983"/>
    <n v="59"/>
    <x v="0"/>
    <s v="Scarf"/>
    <x v="3"/>
    <n v="97"/>
    <x v="42"/>
    <s v="M"/>
    <s v="Pink"/>
    <s v="Summer"/>
    <n v="2.6"/>
    <s v="No"/>
    <s v="Next Day Air"/>
    <s v="No"/>
    <s v="No"/>
    <n v="21"/>
    <s v="Debit Card"/>
    <s v="Quarterly"/>
    <s v="Quarterly"/>
    <n v="5"/>
  </r>
  <r>
    <x v="1984"/>
    <n v="26"/>
    <x v="0"/>
    <s v="Skirt"/>
    <x v="0"/>
    <n v="58"/>
    <x v="8"/>
    <s v="M"/>
    <s v="Black"/>
    <s v="Summer"/>
    <n v="3.4"/>
    <s v="No"/>
    <s v="2-Day Shipping"/>
    <s v="No"/>
    <s v="No"/>
    <n v="26"/>
    <s v="PayPal"/>
    <s v="Fortnightly"/>
    <s v="Fortnightly"/>
    <n v="3"/>
  </r>
  <r>
    <x v="1985"/>
    <n v="23"/>
    <x v="0"/>
    <s v="Gloves"/>
    <x v="3"/>
    <n v="97"/>
    <x v="30"/>
    <s v="M"/>
    <s v="Gold"/>
    <s v="Spring"/>
    <n v="3.9"/>
    <s v="No"/>
    <s v="2-Day Shipping"/>
    <s v="No"/>
    <s v="No"/>
    <n v="6"/>
    <s v="Credit Card"/>
    <s v="Fortnightly"/>
    <s v="Fortnightly"/>
    <n v="3"/>
  </r>
  <r>
    <x v="1986"/>
    <n v="62"/>
    <x v="0"/>
    <s v="Coat"/>
    <x v="2"/>
    <n v="48"/>
    <x v="10"/>
    <s v="L"/>
    <s v="Green"/>
    <s v="Summer"/>
    <n v="3.4"/>
    <s v="No"/>
    <s v="2-Day Shipping"/>
    <s v="No"/>
    <s v="No"/>
    <n v="14"/>
    <s v="Venmo"/>
    <s v="Quarterly"/>
    <s v="Quarterly"/>
    <n v="5"/>
  </r>
  <r>
    <x v="1987"/>
    <n v="69"/>
    <x v="0"/>
    <s v="Belt"/>
    <x v="3"/>
    <n v="23"/>
    <x v="34"/>
    <s v="XL"/>
    <s v="White"/>
    <s v="Summer"/>
    <n v="3.4"/>
    <s v="No"/>
    <s v="Express"/>
    <s v="No"/>
    <s v="No"/>
    <n v="4"/>
    <s v="Cash"/>
    <s v="Quarterly"/>
    <s v="Quarterly"/>
    <n v="5"/>
  </r>
  <r>
    <x v="1988"/>
    <n v="46"/>
    <x v="0"/>
    <s v="Pants"/>
    <x v="0"/>
    <n v="79"/>
    <x v="41"/>
    <s v="M"/>
    <s v="Gold"/>
    <s v="Winter"/>
    <n v="3.9"/>
    <s v="No"/>
    <s v="Free Shipping"/>
    <s v="No"/>
    <s v="No"/>
    <n v="26"/>
    <s v="Bank Transfer"/>
    <s v="Weekly"/>
    <s v="Weekly"/>
    <n v="1"/>
  </r>
  <r>
    <x v="1989"/>
    <n v="35"/>
    <x v="0"/>
    <s v="Jewelry"/>
    <x v="3"/>
    <n v="42"/>
    <x v="33"/>
    <s v="S"/>
    <s v="Charcoal"/>
    <s v="Spring"/>
    <n v="4"/>
    <s v="No"/>
    <s v="Express"/>
    <s v="No"/>
    <s v="No"/>
    <n v="39"/>
    <s v="PayPal"/>
    <s v="Bi-Weekly"/>
    <s v="Bi-Weekly"/>
    <n v="2"/>
  </r>
  <r>
    <x v="1990"/>
    <n v="32"/>
    <x v="0"/>
    <s v="Backpack"/>
    <x v="3"/>
    <n v="95"/>
    <x v="39"/>
    <s v="L"/>
    <s v="White"/>
    <s v="Spring"/>
    <n v="3.4"/>
    <s v="No"/>
    <s v="2-Day Shipping"/>
    <s v="No"/>
    <s v="No"/>
    <n v="15"/>
    <s v="PayPal"/>
    <s v="Annually"/>
    <s v="Annually"/>
    <n v="6"/>
  </r>
  <r>
    <x v="1991"/>
    <n v="46"/>
    <x v="0"/>
    <s v="Sneakers"/>
    <x v="1"/>
    <n v="29"/>
    <x v="9"/>
    <s v="M"/>
    <s v="Brown"/>
    <s v="Summer"/>
    <n v="3.7"/>
    <s v="No"/>
    <s v="Next Day Air"/>
    <s v="No"/>
    <s v="No"/>
    <n v="1"/>
    <s v="Venmo"/>
    <s v="Every 3 Months"/>
    <s v="Quarterly"/>
    <n v="5"/>
  </r>
  <r>
    <x v="1992"/>
    <n v="33"/>
    <x v="0"/>
    <s v="Hoodie"/>
    <x v="0"/>
    <n v="98"/>
    <x v="32"/>
    <s v="L"/>
    <s v="Gold"/>
    <s v="Winter"/>
    <n v="4.9000000000000004"/>
    <s v="No"/>
    <s v="2-Day Shipping"/>
    <s v="No"/>
    <s v="No"/>
    <n v="28"/>
    <s v="Venmo"/>
    <s v="Monthly"/>
    <s v="Monthly"/>
    <n v="4"/>
  </r>
  <r>
    <x v="1993"/>
    <n v="32"/>
    <x v="0"/>
    <s v="Blouse"/>
    <x v="0"/>
    <n v="96"/>
    <x v="10"/>
    <s v="S"/>
    <s v="Purple"/>
    <s v="Spring"/>
    <n v="5"/>
    <s v="No"/>
    <s v="Express"/>
    <s v="No"/>
    <s v="No"/>
    <n v="17"/>
    <s v="Cash"/>
    <s v="Weekly"/>
    <s v="Weekly"/>
    <n v="1"/>
  </r>
  <r>
    <x v="1994"/>
    <n v="33"/>
    <x v="0"/>
    <s v="Sunglasses"/>
    <x v="3"/>
    <n v="66"/>
    <x v="22"/>
    <s v="M"/>
    <s v="Brown"/>
    <s v="Fall"/>
    <n v="2.9"/>
    <s v="No"/>
    <s v="Next Day Air"/>
    <s v="No"/>
    <s v="No"/>
    <n v="24"/>
    <s v="Credit Card"/>
    <s v="Weekly"/>
    <s v="Weekly"/>
    <n v="1"/>
  </r>
  <r>
    <x v="1995"/>
    <n v="67"/>
    <x v="0"/>
    <s v="Boots"/>
    <x v="1"/>
    <n v="80"/>
    <x v="9"/>
    <s v="S"/>
    <s v="Teal"/>
    <s v="Spring"/>
    <n v="3"/>
    <s v="No"/>
    <s v="Standard"/>
    <s v="No"/>
    <s v="No"/>
    <n v="29"/>
    <s v="Debit Card"/>
    <s v="Quarterly"/>
    <s v="Quarterly"/>
    <n v="5"/>
  </r>
  <r>
    <x v="1996"/>
    <n v="67"/>
    <x v="0"/>
    <s v="Sneakers"/>
    <x v="1"/>
    <n v="27"/>
    <x v="45"/>
    <s v="L"/>
    <s v="Indigo"/>
    <s v="Summer"/>
    <n v="3.3"/>
    <s v="No"/>
    <s v="Next Day Air"/>
    <s v="No"/>
    <s v="No"/>
    <n v="18"/>
    <s v="Cash"/>
    <s v="Every 3 Months"/>
    <s v="Quarterly"/>
    <n v="5"/>
  </r>
  <r>
    <x v="1997"/>
    <n v="42"/>
    <x v="0"/>
    <s v="Backpack"/>
    <x v="3"/>
    <n v="25"/>
    <x v="39"/>
    <s v="M"/>
    <s v="Purple"/>
    <s v="Fall"/>
    <n v="4.7"/>
    <s v="No"/>
    <s v="Express"/>
    <s v="No"/>
    <s v="No"/>
    <n v="10"/>
    <s v="Debit Card"/>
    <s v="Bi-Weekly"/>
    <s v="Bi-Weekly"/>
    <n v="2"/>
  </r>
  <r>
    <x v="1998"/>
    <n v="20"/>
    <x v="0"/>
    <s v="Pants"/>
    <x v="0"/>
    <n v="45"/>
    <x v="34"/>
    <s v="M"/>
    <s v="Orange"/>
    <s v="Fall"/>
    <n v="3.4"/>
    <s v="No"/>
    <s v="2-Day Shipping"/>
    <s v="No"/>
    <s v="No"/>
    <n v="19"/>
    <s v="Cash"/>
    <s v="Quarterly"/>
    <s v="Quarterly"/>
    <n v="5"/>
  </r>
  <r>
    <x v="1999"/>
    <n v="39"/>
    <x v="0"/>
    <s v="Socks"/>
    <x v="0"/>
    <n v="89"/>
    <x v="30"/>
    <s v="L"/>
    <s v="Indigo"/>
    <s v="Winter"/>
    <n v="4.5999999999999996"/>
    <s v="No"/>
    <s v="2-Day Shipping"/>
    <s v="No"/>
    <s v="No"/>
    <n v="26"/>
    <s v="Debit Card"/>
    <s v="Monthly"/>
    <s v="Monthly"/>
    <n v="4"/>
  </r>
  <r>
    <x v="2000"/>
    <n v="26"/>
    <x v="0"/>
    <s v="Belt"/>
    <x v="3"/>
    <n v="27"/>
    <x v="18"/>
    <s v="M"/>
    <s v="Lavender"/>
    <s v="Winter"/>
    <n v="3.6"/>
    <s v="No"/>
    <s v="2-Day Shipping"/>
    <s v="No"/>
    <s v="No"/>
    <n v="25"/>
    <s v="Cash"/>
    <s v="Bi-Weekly"/>
    <s v="Bi-Weekly"/>
    <n v="2"/>
  </r>
  <r>
    <x v="2001"/>
    <n v="51"/>
    <x v="0"/>
    <s v="Sunglasses"/>
    <x v="3"/>
    <n v="90"/>
    <x v="5"/>
    <s v="S"/>
    <s v="Purple"/>
    <s v="Winter"/>
    <n v="2.6"/>
    <s v="No"/>
    <s v="Free Shipping"/>
    <s v="No"/>
    <s v="No"/>
    <n v="2"/>
    <s v="Debit Card"/>
    <s v="Fortnightly"/>
    <s v="Fortnightly"/>
    <n v="3"/>
  </r>
  <r>
    <x v="2002"/>
    <n v="31"/>
    <x v="0"/>
    <s v="Shirt"/>
    <x v="0"/>
    <n v="65"/>
    <x v="14"/>
    <s v="M"/>
    <s v="Red"/>
    <s v="Summer"/>
    <n v="2.7"/>
    <s v="No"/>
    <s v="Express"/>
    <s v="No"/>
    <s v="No"/>
    <n v="19"/>
    <s v="PayPal"/>
    <s v="Every 3 Months"/>
    <s v="Quarterly"/>
    <n v="5"/>
  </r>
  <r>
    <x v="2003"/>
    <n v="68"/>
    <x v="0"/>
    <s v="Sneakers"/>
    <x v="1"/>
    <n v="72"/>
    <x v="1"/>
    <s v="S"/>
    <s v="Blue"/>
    <s v="Spring"/>
    <n v="3.1"/>
    <s v="No"/>
    <s v="Express"/>
    <s v="No"/>
    <s v="No"/>
    <n v="32"/>
    <s v="Cash"/>
    <s v="Quarterly"/>
    <s v="Quarterly"/>
    <n v="5"/>
  </r>
  <r>
    <x v="2004"/>
    <n v="44"/>
    <x v="0"/>
    <s v="Shoes"/>
    <x v="1"/>
    <n v="70"/>
    <x v="42"/>
    <s v="L"/>
    <s v="Blue"/>
    <s v="Fall"/>
    <n v="3.2"/>
    <s v="No"/>
    <s v="2-Day Shipping"/>
    <s v="No"/>
    <s v="No"/>
    <n v="13"/>
    <s v="Cash"/>
    <s v="Bi-Weekly"/>
    <s v="Bi-Weekly"/>
    <n v="2"/>
  </r>
  <r>
    <x v="2005"/>
    <n v="18"/>
    <x v="0"/>
    <s v="Sandals"/>
    <x v="1"/>
    <n v="82"/>
    <x v="30"/>
    <s v="M"/>
    <s v="Cyan"/>
    <s v="Winter"/>
    <n v="3.4"/>
    <s v="No"/>
    <s v="Store Pickup"/>
    <s v="No"/>
    <s v="No"/>
    <n v="30"/>
    <s v="PayPal"/>
    <s v="Fortnightly"/>
    <s v="Fortnightly"/>
    <n v="3"/>
  </r>
  <r>
    <x v="2006"/>
    <n v="58"/>
    <x v="0"/>
    <s v="Scarf"/>
    <x v="3"/>
    <n v="97"/>
    <x v="35"/>
    <s v="S"/>
    <s v="Pink"/>
    <s v="Fall"/>
    <n v="4.4000000000000004"/>
    <s v="No"/>
    <s v="Express"/>
    <s v="No"/>
    <s v="No"/>
    <n v="2"/>
    <s v="Credit Card"/>
    <s v="Annually"/>
    <s v="Annually"/>
    <n v="6"/>
  </r>
  <r>
    <x v="2007"/>
    <n v="26"/>
    <x v="0"/>
    <s v="Shirt"/>
    <x v="0"/>
    <n v="25"/>
    <x v="41"/>
    <s v="M"/>
    <s v="Silver"/>
    <s v="Summer"/>
    <n v="3.2"/>
    <s v="No"/>
    <s v="2-Day Shipping"/>
    <s v="No"/>
    <s v="No"/>
    <n v="8"/>
    <s v="PayPal"/>
    <s v="Quarterly"/>
    <s v="Quarterly"/>
    <n v="5"/>
  </r>
  <r>
    <x v="2008"/>
    <n v="57"/>
    <x v="0"/>
    <s v="Skirt"/>
    <x v="0"/>
    <n v="48"/>
    <x v="20"/>
    <s v="M"/>
    <s v="Gray"/>
    <s v="Spring"/>
    <n v="2.5"/>
    <s v="No"/>
    <s v="Free Shipping"/>
    <s v="No"/>
    <s v="No"/>
    <n v="27"/>
    <s v="PayPal"/>
    <s v="Every 3 Months"/>
    <s v="Quarterly"/>
    <n v="5"/>
  </r>
  <r>
    <x v="2009"/>
    <n v="37"/>
    <x v="0"/>
    <s v="Boots"/>
    <x v="1"/>
    <n v="99"/>
    <x v="15"/>
    <s v="M"/>
    <s v="Indigo"/>
    <s v="Summer"/>
    <n v="3.8"/>
    <s v="No"/>
    <s v="Next Day Air"/>
    <s v="No"/>
    <s v="No"/>
    <n v="26"/>
    <s v="Venmo"/>
    <s v="Bi-Weekly"/>
    <s v="Bi-Weekly"/>
    <n v="2"/>
  </r>
  <r>
    <x v="2010"/>
    <n v="24"/>
    <x v="0"/>
    <s v="Sweater"/>
    <x v="0"/>
    <n v="21"/>
    <x v="21"/>
    <s v="M"/>
    <s v="Maroon"/>
    <s v="Summer"/>
    <n v="4.4000000000000004"/>
    <s v="No"/>
    <s v="2-Day Shipping"/>
    <s v="No"/>
    <s v="No"/>
    <n v="3"/>
    <s v="Debit Card"/>
    <s v="Bi-Weekly"/>
    <s v="Bi-Weekly"/>
    <n v="2"/>
  </r>
  <r>
    <x v="2011"/>
    <n v="57"/>
    <x v="0"/>
    <s v="Sandals"/>
    <x v="1"/>
    <n v="94"/>
    <x v="8"/>
    <s v="M"/>
    <s v="Beige"/>
    <s v="Spring"/>
    <n v="3.7"/>
    <s v="No"/>
    <s v="Express"/>
    <s v="No"/>
    <s v="No"/>
    <n v="4"/>
    <s v="Bank Transfer"/>
    <s v="Monthly"/>
    <s v="Monthly"/>
    <n v="4"/>
  </r>
  <r>
    <x v="2012"/>
    <n v="48"/>
    <x v="0"/>
    <s v="Jeans"/>
    <x v="0"/>
    <n v="53"/>
    <x v="22"/>
    <s v="L"/>
    <s v="Green"/>
    <s v="Fall"/>
    <n v="3.2"/>
    <s v="No"/>
    <s v="Store Pickup"/>
    <s v="No"/>
    <s v="No"/>
    <n v="5"/>
    <s v="Cash"/>
    <s v="Fortnightly"/>
    <s v="Fortnightly"/>
    <n v="3"/>
  </r>
  <r>
    <x v="2013"/>
    <n v="39"/>
    <x v="0"/>
    <s v="Backpack"/>
    <x v="3"/>
    <n v="70"/>
    <x v="41"/>
    <s v="M"/>
    <s v="Peach"/>
    <s v="Winter"/>
    <n v="4.9000000000000004"/>
    <s v="No"/>
    <s v="Standard"/>
    <s v="No"/>
    <s v="No"/>
    <n v="25"/>
    <s v="Debit Card"/>
    <s v="Quarterly"/>
    <s v="Quarterly"/>
    <n v="5"/>
  </r>
  <r>
    <x v="2014"/>
    <n v="51"/>
    <x v="0"/>
    <s v="Skirt"/>
    <x v="0"/>
    <n v="26"/>
    <x v="48"/>
    <s v="L"/>
    <s v="Black"/>
    <s v="Summer"/>
    <n v="3.9"/>
    <s v="No"/>
    <s v="Standard"/>
    <s v="No"/>
    <s v="No"/>
    <n v="47"/>
    <s v="PayPal"/>
    <s v="Bi-Weekly"/>
    <s v="Bi-Weekly"/>
    <n v="2"/>
  </r>
  <r>
    <x v="2015"/>
    <n v="57"/>
    <x v="0"/>
    <s v="Belt"/>
    <x v="3"/>
    <n v="82"/>
    <x v="41"/>
    <s v="S"/>
    <s v="Pink"/>
    <s v="Summer"/>
    <n v="4.5"/>
    <s v="No"/>
    <s v="Next Day Air"/>
    <s v="No"/>
    <s v="No"/>
    <n v="8"/>
    <s v="Credit Card"/>
    <s v="Fortnightly"/>
    <s v="Fortnightly"/>
    <n v="3"/>
  </r>
  <r>
    <x v="2016"/>
    <n v="53"/>
    <x v="0"/>
    <s v="Shoes"/>
    <x v="1"/>
    <n v="47"/>
    <x v="1"/>
    <s v="S"/>
    <s v="Violet"/>
    <s v="Winter"/>
    <n v="3.4"/>
    <s v="No"/>
    <s v="Standard"/>
    <s v="No"/>
    <s v="No"/>
    <n v="20"/>
    <s v="Debit Card"/>
    <s v="Fortnightly"/>
    <s v="Fortnightly"/>
    <n v="3"/>
  </r>
  <r>
    <x v="2017"/>
    <n v="70"/>
    <x v="0"/>
    <s v="Socks"/>
    <x v="0"/>
    <n v="32"/>
    <x v="2"/>
    <s v="S"/>
    <s v="Green"/>
    <s v="Winter"/>
    <n v="4.0999999999999996"/>
    <s v="No"/>
    <s v="Next Day Air"/>
    <s v="No"/>
    <s v="No"/>
    <n v="42"/>
    <s v="Bank Transfer"/>
    <s v="Every 3 Months"/>
    <s v="Quarterly"/>
    <n v="5"/>
  </r>
  <r>
    <x v="2018"/>
    <n v="60"/>
    <x v="0"/>
    <s v="Backpack"/>
    <x v="3"/>
    <n v="97"/>
    <x v="10"/>
    <s v="S"/>
    <s v="Gold"/>
    <s v="Fall"/>
    <n v="4.5"/>
    <s v="No"/>
    <s v="Store Pickup"/>
    <s v="No"/>
    <s v="No"/>
    <n v="20"/>
    <s v="Bank Transfer"/>
    <s v="Weekly"/>
    <s v="Weekly"/>
    <n v="1"/>
  </r>
  <r>
    <x v="2019"/>
    <n v="31"/>
    <x v="0"/>
    <s v="Shirt"/>
    <x v="0"/>
    <n v="68"/>
    <x v="37"/>
    <s v="S"/>
    <s v="Red"/>
    <s v="Winter"/>
    <n v="4.7"/>
    <s v="No"/>
    <s v="Store Pickup"/>
    <s v="No"/>
    <s v="No"/>
    <n v="23"/>
    <s v="Cash"/>
    <s v="Fortnightly"/>
    <s v="Fortnightly"/>
    <n v="3"/>
  </r>
  <r>
    <x v="2020"/>
    <n v="41"/>
    <x v="0"/>
    <s v="Sweater"/>
    <x v="0"/>
    <n v="23"/>
    <x v="38"/>
    <s v="M"/>
    <s v="Beige"/>
    <s v="Winter"/>
    <n v="4.8"/>
    <s v="No"/>
    <s v="Next Day Air"/>
    <s v="No"/>
    <s v="No"/>
    <n v="26"/>
    <s v="Cash"/>
    <s v="Quarterly"/>
    <s v="Quarterly"/>
    <n v="5"/>
  </r>
  <r>
    <x v="2021"/>
    <n v="62"/>
    <x v="0"/>
    <s v="Handbag"/>
    <x v="3"/>
    <n v="33"/>
    <x v="1"/>
    <s v="M"/>
    <s v="Green"/>
    <s v="Winter"/>
    <n v="4.4000000000000004"/>
    <s v="No"/>
    <s v="Standard"/>
    <s v="No"/>
    <s v="No"/>
    <n v="48"/>
    <s v="Venmo"/>
    <s v="Quarterly"/>
    <s v="Quarterly"/>
    <n v="5"/>
  </r>
  <r>
    <x v="2022"/>
    <n v="59"/>
    <x v="0"/>
    <s v="Jewelry"/>
    <x v="3"/>
    <n v="38"/>
    <x v="15"/>
    <s v="S"/>
    <s v="Black"/>
    <s v="Winter"/>
    <n v="4"/>
    <s v="No"/>
    <s v="Store Pickup"/>
    <s v="No"/>
    <s v="No"/>
    <n v="16"/>
    <s v="Cash"/>
    <s v="Bi-Weekly"/>
    <s v="Bi-Weekly"/>
    <n v="2"/>
  </r>
  <r>
    <x v="2023"/>
    <n v="46"/>
    <x v="0"/>
    <s v="Socks"/>
    <x v="0"/>
    <n v="68"/>
    <x v="37"/>
    <s v="S"/>
    <s v="Teal"/>
    <s v="Winter"/>
    <n v="4.0999999999999996"/>
    <s v="No"/>
    <s v="Store Pickup"/>
    <s v="No"/>
    <s v="No"/>
    <n v="28"/>
    <s v="Cash"/>
    <s v="Bi-Weekly"/>
    <s v="Bi-Weekly"/>
    <n v="2"/>
  </r>
  <r>
    <x v="2024"/>
    <n v="62"/>
    <x v="0"/>
    <s v="Socks"/>
    <x v="0"/>
    <n v="23"/>
    <x v="10"/>
    <s v="L"/>
    <s v="Silver"/>
    <s v="Fall"/>
    <n v="3.7"/>
    <s v="No"/>
    <s v="Express"/>
    <s v="No"/>
    <s v="No"/>
    <n v="39"/>
    <s v="PayPal"/>
    <s v="Weekly"/>
    <s v="Weekly"/>
    <n v="1"/>
  </r>
  <r>
    <x v="2025"/>
    <n v="42"/>
    <x v="0"/>
    <s v="Shirt"/>
    <x v="0"/>
    <n v="29"/>
    <x v="12"/>
    <s v="M"/>
    <s v="Turquoise"/>
    <s v="Summer"/>
    <n v="3"/>
    <s v="No"/>
    <s v="Express"/>
    <s v="No"/>
    <s v="No"/>
    <n v="43"/>
    <s v="Debit Card"/>
    <s v="Fortnightly"/>
    <s v="Fortnightly"/>
    <n v="3"/>
  </r>
  <r>
    <x v="2026"/>
    <n v="37"/>
    <x v="0"/>
    <s v="Scarf"/>
    <x v="3"/>
    <n v="35"/>
    <x v="1"/>
    <s v="M"/>
    <s v="Orange"/>
    <s v="Winter"/>
    <n v="3.6"/>
    <s v="No"/>
    <s v="Express"/>
    <s v="No"/>
    <s v="No"/>
    <n v="45"/>
    <s v="Bank Transfer"/>
    <s v="Every 3 Months"/>
    <s v="Quarterly"/>
    <n v="5"/>
  </r>
  <r>
    <x v="2027"/>
    <n v="50"/>
    <x v="0"/>
    <s v="Shoes"/>
    <x v="1"/>
    <n v="73"/>
    <x v="43"/>
    <s v="S"/>
    <s v="Gold"/>
    <s v="Fall"/>
    <n v="4.8"/>
    <s v="No"/>
    <s v="Standard"/>
    <s v="No"/>
    <s v="No"/>
    <n v="50"/>
    <s v="Credit Card"/>
    <s v="Every 3 Months"/>
    <s v="Quarterly"/>
    <n v="5"/>
  </r>
  <r>
    <x v="2028"/>
    <n v="29"/>
    <x v="0"/>
    <s v="Shoes"/>
    <x v="1"/>
    <n v="84"/>
    <x v="31"/>
    <s v="XL"/>
    <s v="Purple"/>
    <s v="Fall"/>
    <n v="3.7"/>
    <s v="No"/>
    <s v="2-Day Shipping"/>
    <s v="No"/>
    <s v="No"/>
    <n v="10"/>
    <s v="Venmo"/>
    <s v="Bi-Weekly"/>
    <s v="Bi-Weekly"/>
    <n v="2"/>
  </r>
  <r>
    <x v="2029"/>
    <n v="25"/>
    <x v="0"/>
    <s v="Scarf"/>
    <x v="3"/>
    <n v="23"/>
    <x v="6"/>
    <s v="M"/>
    <s v="Pink"/>
    <s v="Spring"/>
    <n v="4.5999999999999996"/>
    <s v="No"/>
    <s v="Next Day Air"/>
    <s v="No"/>
    <s v="No"/>
    <n v="40"/>
    <s v="PayPal"/>
    <s v="Quarterly"/>
    <s v="Quarterly"/>
    <n v="5"/>
  </r>
  <r>
    <x v="2030"/>
    <n v="66"/>
    <x v="0"/>
    <s v="Sunglasses"/>
    <x v="3"/>
    <n v="67"/>
    <x v="35"/>
    <s v="S"/>
    <s v="Green"/>
    <s v="Summer"/>
    <n v="2.8"/>
    <s v="No"/>
    <s v="Standard"/>
    <s v="No"/>
    <s v="No"/>
    <n v="38"/>
    <s v="Credit Card"/>
    <s v="Monthly"/>
    <s v="Monthly"/>
    <n v="4"/>
  </r>
  <r>
    <x v="2031"/>
    <n v="21"/>
    <x v="0"/>
    <s v="Socks"/>
    <x v="0"/>
    <n v="51"/>
    <x v="17"/>
    <s v="L"/>
    <s v="Charcoal"/>
    <s v="Spring"/>
    <n v="4"/>
    <s v="No"/>
    <s v="Standard"/>
    <s v="No"/>
    <s v="No"/>
    <n v="2"/>
    <s v="Credit Card"/>
    <s v="Monthly"/>
    <s v="Monthly"/>
    <n v="4"/>
  </r>
  <r>
    <x v="2032"/>
    <n v="46"/>
    <x v="0"/>
    <s v="Blouse"/>
    <x v="0"/>
    <n v="36"/>
    <x v="36"/>
    <s v="M"/>
    <s v="Maroon"/>
    <s v="Winter"/>
    <n v="4.2"/>
    <s v="No"/>
    <s v="Next Day Air"/>
    <s v="No"/>
    <s v="No"/>
    <n v="13"/>
    <s v="Cash"/>
    <s v="Annually"/>
    <s v="Annually"/>
    <n v="6"/>
  </r>
  <r>
    <x v="2033"/>
    <n v="57"/>
    <x v="0"/>
    <s v="Jeans"/>
    <x v="0"/>
    <n v="55"/>
    <x v="26"/>
    <s v="L"/>
    <s v="Olive"/>
    <s v="Summer"/>
    <n v="3.6"/>
    <s v="No"/>
    <s v="Express"/>
    <s v="No"/>
    <s v="No"/>
    <n v="33"/>
    <s v="Venmo"/>
    <s v="Annually"/>
    <s v="Annually"/>
    <n v="6"/>
  </r>
  <r>
    <x v="2034"/>
    <n v="61"/>
    <x v="0"/>
    <s v="Shorts"/>
    <x v="0"/>
    <n v="30"/>
    <x v="15"/>
    <s v="M"/>
    <s v="Peach"/>
    <s v="Spring"/>
    <n v="2.9"/>
    <s v="No"/>
    <s v="Store Pickup"/>
    <s v="No"/>
    <s v="No"/>
    <n v="27"/>
    <s v="PayPal"/>
    <s v="Monthly"/>
    <s v="Monthly"/>
    <n v="4"/>
  </r>
  <r>
    <x v="2035"/>
    <n v="53"/>
    <x v="0"/>
    <s v="T-shirt"/>
    <x v="0"/>
    <n v="70"/>
    <x v="19"/>
    <s v="S"/>
    <s v="Yellow"/>
    <s v="Summer"/>
    <n v="4.0999999999999996"/>
    <s v="No"/>
    <s v="Express"/>
    <s v="No"/>
    <s v="No"/>
    <n v="43"/>
    <s v="Bank Transfer"/>
    <s v="Weekly"/>
    <s v="Weekly"/>
    <n v="1"/>
  </r>
  <r>
    <x v="2036"/>
    <n v="37"/>
    <x v="0"/>
    <s v="Blouse"/>
    <x v="0"/>
    <n v="63"/>
    <x v="46"/>
    <s v="S"/>
    <s v="Lavender"/>
    <s v="Winter"/>
    <n v="3.1"/>
    <s v="No"/>
    <s v="Next Day Air"/>
    <s v="No"/>
    <s v="No"/>
    <n v="46"/>
    <s v="Cash"/>
    <s v="Weekly"/>
    <s v="Weekly"/>
    <n v="1"/>
  </r>
  <r>
    <x v="2037"/>
    <n v="39"/>
    <x v="0"/>
    <s v="Belt"/>
    <x v="3"/>
    <n v="87"/>
    <x v="26"/>
    <s v="S"/>
    <s v="Green"/>
    <s v="Summer"/>
    <n v="4.3"/>
    <s v="No"/>
    <s v="Express"/>
    <s v="No"/>
    <s v="No"/>
    <n v="7"/>
    <s v="Venmo"/>
    <s v="Bi-Weekly"/>
    <s v="Bi-Weekly"/>
    <n v="2"/>
  </r>
  <r>
    <x v="2038"/>
    <n v="53"/>
    <x v="0"/>
    <s v="Blouse"/>
    <x v="0"/>
    <n v="70"/>
    <x v="10"/>
    <s v="L"/>
    <s v="Orange"/>
    <s v="Spring"/>
    <n v="4.4000000000000004"/>
    <s v="No"/>
    <s v="Next Day Air"/>
    <s v="No"/>
    <s v="No"/>
    <n v="35"/>
    <s v="Credit Card"/>
    <s v="Fortnightly"/>
    <s v="Fortnightly"/>
    <n v="3"/>
  </r>
  <r>
    <x v="2039"/>
    <n v="35"/>
    <x v="0"/>
    <s v="T-shirt"/>
    <x v="0"/>
    <n v="51"/>
    <x v="46"/>
    <s v="M"/>
    <s v="Olive"/>
    <s v="Spring"/>
    <n v="3.1"/>
    <s v="No"/>
    <s v="Next Day Air"/>
    <s v="No"/>
    <s v="No"/>
    <n v="31"/>
    <s v="Debit Card"/>
    <s v="Bi-Weekly"/>
    <s v="Bi-Weekly"/>
    <n v="2"/>
  </r>
  <r>
    <x v="2040"/>
    <n v="69"/>
    <x v="0"/>
    <s v="Jewelry"/>
    <x v="3"/>
    <n v="25"/>
    <x v="36"/>
    <s v="XL"/>
    <s v="Gray"/>
    <s v="Spring"/>
    <n v="2.9"/>
    <s v="No"/>
    <s v="Free Shipping"/>
    <s v="No"/>
    <s v="No"/>
    <n v="42"/>
    <s v="Venmo"/>
    <s v="Quarterly"/>
    <s v="Quarterly"/>
    <n v="5"/>
  </r>
  <r>
    <x v="2041"/>
    <n v="66"/>
    <x v="0"/>
    <s v="Jacket"/>
    <x v="2"/>
    <n v="32"/>
    <x v="14"/>
    <s v="S"/>
    <s v="Lavender"/>
    <s v="Winter"/>
    <n v="3.2"/>
    <s v="No"/>
    <s v="Next Day Air"/>
    <s v="No"/>
    <s v="No"/>
    <n v="14"/>
    <s v="PayPal"/>
    <s v="Bi-Weekly"/>
    <s v="Bi-Weekly"/>
    <n v="2"/>
  </r>
  <r>
    <x v="2042"/>
    <n v="19"/>
    <x v="0"/>
    <s v="Shoes"/>
    <x v="1"/>
    <n v="52"/>
    <x v="15"/>
    <s v="M"/>
    <s v="Red"/>
    <s v="Spring"/>
    <n v="4"/>
    <s v="No"/>
    <s v="2-Day Shipping"/>
    <s v="No"/>
    <s v="No"/>
    <n v="35"/>
    <s v="Venmo"/>
    <s v="Monthly"/>
    <s v="Monthly"/>
    <n v="4"/>
  </r>
  <r>
    <x v="2043"/>
    <n v="47"/>
    <x v="0"/>
    <s v="Gloves"/>
    <x v="3"/>
    <n v="33"/>
    <x v="14"/>
    <s v="M"/>
    <s v="Charcoal"/>
    <s v="Summer"/>
    <n v="2.7"/>
    <s v="No"/>
    <s v="Standard"/>
    <s v="No"/>
    <s v="No"/>
    <n v="49"/>
    <s v="PayPal"/>
    <s v="Weekly"/>
    <s v="Weekly"/>
    <n v="1"/>
  </r>
  <r>
    <x v="2044"/>
    <n v="49"/>
    <x v="0"/>
    <s v="Jeans"/>
    <x v="0"/>
    <n v="68"/>
    <x v="9"/>
    <s v="L"/>
    <s v="Orange"/>
    <s v="Spring"/>
    <n v="3"/>
    <s v="No"/>
    <s v="Free Shipping"/>
    <s v="No"/>
    <s v="No"/>
    <n v="17"/>
    <s v="PayPal"/>
    <s v="Fortnightly"/>
    <s v="Fortnightly"/>
    <n v="3"/>
  </r>
  <r>
    <x v="2045"/>
    <n v="31"/>
    <x v="0"/>
    <s v="Jewelry"/>
    <x v="3"/>
    <n v="20"/>
    <x v="42"/>
    <s v="M"/>
    <s v="Red"/>
    <s v="Fall"/>
    <n v="4.4000000000000004"/>
    <s v="No"/>
    <s v="Express"/>
    <s v="No"/>
    <s v="No"/>
    <n v="26"/>
    <s v="PayPal"/>
    <s v="Quarterly"/>
    <s v="Quarterly"/>
    <n v="5"/>
  </r>
  <r>
    <x v="2046"/>
    <n v="39"/>
    <x v="0"/>
    <s v="Pants"/>
    <x v="0"/>
    <n v="32"/>
    <x v="19"/>
    <s v="M"/>
    <s v="Maroon"/>
    <s v="Winter"/>
    <n v="2.8"/>
    <s v="No"/>
    <s v="Free Shipping"/>
    <s v="No"/>
    <s v="No"/>
    <n v="30"/>
    <s v="Cash"/>
    <s v="Every 3 Months"/>
    <s v="Quarterly"/>
    <n v="5"/>
  </r>
  <r>
    <x v="2047"/>
    <n v="58"/>
    <x v="0"/>
    <s v="Jewelry"/>
    <x v="3"/>
    <n v="82"/>
    <x v="39"/>
    <s v="M"/>
    <s v="Silver"/>
    <s v="Summer"/>
    <n v="3.1"/>
    <s v="No"/>
    <s v="Store Pickup"/>
    <s v="No"/>
    <s v="No"/>
    <n v="32"/>
    <s v="Cash"/>
    <s v="Annually"/>
    <s v="Annually"/>
    <n v="6"/>
  </r>
  <r>
    <x v="2048"/>
    <n v="45"/>
    <x v="0"/>
    <s v="Sneakers"/>
    <x v="1"/>
    <n v="64"/>
    <x v="49"/>
    <s v="XL"/>
    <s v="Pink"/>
    <s v="Winter"/>
    <n v="3.9"/>
    <s v="No"/>
    <s v="Express"/>
    <s v="No"/>
    <s v="No"/>
    <n v="35"/>
    <s v="Bank Transfer"/>
    <s v="Quarterly"/>
    <s v="Quarterly"/>
    <n v="5"/>
  </r>
  <r>
    <x v="2049"/>
    <n v="68"/>
    <x v="0"/>
    <s v="Boots"/>
    <x v="1"/>
    <n v="24"/>
    <x v="3"/>
    <s v="L"/>
    <s v="Blue"/>
    <s v="Fall"/>
    <n v="2.7"/>
    <s v="No"/>
    <s v="Standard"/>
    <s v="No"/>
    <s v="No"/>
    <n v="15"/>
    <s v="Venmo"/>
    <s v="Annually"/>
    <s v="Annually"/>
    <n v="6"/>
  </r>
  <r>
    <x v="2050"/>
    <n v="35"/>
    <x v="0"/>
    <s v="Hat"/>
    <x v="3"/>
    <n v="96"/>
    <x v="16"/>
    <s v="M"/>
    <s v="Teal"/>
    <s v="Summer"/>
    <n v="3.4"/>
    <s v="No"/>
    <s v="Store Pickup"/>
    <s v="No"/>
    <s v="No"/>
    <n v="10"/>
    <s v="Debit Card"/>
    <s v="Annually"/>
    <s v="Annually"/>
    <n v="6"/>
  </r>
  <r>
    <x v="2051"/>
    <n v="65"/>
    <x v="0"/>
    <s v="T-shirt"/>
    <x v="0"/>
    <n v="94"/>
    <x v="2"/>
    <s v="L"/>
    <s v="Black"/>
    <s v="Spring"/>
    <n v="3.8"/>
    <s v="No"/>
    <s v="Free Shipping"/>
    <s v="No"/>
    <s v="No"/>
    <n v="14"/>
    <s v="Credit Card"/>
    <s v="Monthly"/>
    <s v="Monthly"/>
    <n v="4"/>
  </r>
  <r>
    <x v="2052"/>
    <n v="45"/>
    <x v="0"/>
    <s v="Backpack"/>
    <x v="3"/>
    <n v="48"/>
    <x v="13"/>
    <s v="M"/>
    <s v="Gray"/>
    <s v="Winter"/>
    <n v="3.7"/>
    <s v="No"/>
    <s v="2-Day Shipping"/>
    <s v="No"/>
    <s v="No"/>
    <n v="30"/>
    <s v="Bank Transfer"/>
    <s v="Annually"/>
    <s v="Annually"/>
    <n v="6"/>
  </r>
  <r>
    <x v="2053"/>
    <n v="19"/>
    <x v="0"/>
    <s v="Sunglasses"/>
    <x v="3"/>
    <n v="60"/>
    <x v="5"/>
    <s v="S"/>
    <s v="Purple"/>
    <s v="Spring"/>
    <n v="4.5"/>
    <s v="No"/>
    <s v="2-Day Shipping"/>
    <s v="No"/>
    <s v="No"/>
    <n v="16"/>
    <s v="Credit Card"/>
    <s v="Fortnightly"/>
    <s v="Fortnightly"/>
    <n v="3"/>
  </r>
  <r>
    <x v="2054"/>
    <n v="65"/>
    <x v="0"/>
    <s v="Sweater"/>
    <x v="0"/>
    <n v="56"/>
    <x v="32"/>
    <s v="XL"/>
    <s v="Gold"/>
    <s v="Spring"/>
    <n v="2.9"/>
    <s v="No"/>
    <s v="Express"/>
    <s v="No"/>
    <s v="No"/>
    <n v="14"/>
    <s v="PayPal"/>
    <s v="Annually"/>
    <s v="Annually"/>
    <n v="6"/>
  </r>
  <r>
    <x v="2055"/>
    <n v="28"/>
    <x v="0"/>
    <s v="Handbag"/>
    <x v="3"/>
    <n v="33"/>
    <x v="21"/>
    <s v="M"/>
    <s v="Silver"/>
    <s v="Fall"/>
    <n v="3.4"/>
    <s v="No"/>
    <s v="2-Day Shipping"/>
    <s v="No"/>
    <s v="No"/>
    <n v="28"/>
    <s v="Bank Transfer"/>
    <s v="Weekly"/>
    <s v="Weekly"/>
    <n v="1"/>
  </r>
  <r>
    <x v="2056"/>
    <n v="55"/>
    <x v="0"/>
    <s v="Backpack"/>
    <x v="3"/>
    <n v="46"/>
    <x v="46"/>
    <s v="L"/>
    <s v="Blue"/>
    <s v="Spring"/>
    <n v="4.4000000000000004"/>
    <s v="No"/>
    <s v="2-Day Shipping"/>
    <s v="No"/>
    <s v="No"/>
    <n v="29"/>
    <s v="PayPal"/>
    <s v="Monthly"/>
    <s v="Monthly"/>
    <n v="4"/>
  </r>
  <r>
    <x v="2057"/>
    <n v="66"/>
    <x v="0"/>
    <s v="Socks"/>
    <x v="0"/>
    <n v="37"/>
    <x v="45"/>
    <s v="L"/>
    <s v="Yellow"/>
    <s v="Spring"/>
    <n v="4.2"/>
    <s v="No"/>
    <s v="Standard"/>
    <s v="No"/>
    <s v="No"/>
    <n v="5"/>
    <s v="PayPal"/>
    <s v="Every 3 Months"/>
    <s v="Quarterly"/>
    <n v="5"/>
  </r>
  <r>
    <x v="2058"/>
    <n v="29"/>
    <x v="0"/>
    <s v="Shirt"/>
    <x v="0"/>
    <n v="98"/>
    <x v="47"/>
    <s v="M"/>
    <s v="Brown"/>
    <s v="Winter"/>
    <n v="3.3"/>
    <s v="No"/>
    <s v="Store Pickup"/>
    <s v="No"/>
    <s v="No"/>
    <n v="17"/>
    <s v="Bank Transfer"/>
    <s v="Quarterly"/>
    <s v="Quarterly"/>
    <n v="5"/>
  </r>
  <r>
    <x v="2059"/>
    <n v="56"/>
    <x v="0"/>
    <s v="Shorts"/>
    <x v="0"/>
    <n v="50"/>
    <x v="18"/>
    <s v="XL"/>
    <s v="Beige"/>
    <s v="Spring"/>
    <n v="3.7"/>
    <s v="No"/>
    <s v="Express"/>
    <s v="No"/>
    <s v="No"/>
    <n v="50"/>
    <s v="PayPal"/>
    <s v="Weekly"/>
    <s v="Weekly"/>
    <n v="1"/>
  </r>
  <r>
    <x v="2060"/>
    <n v="21"/>
    <x v="0"/>
    <s v="Belt"/>
    <x v="3"/>
    <n v="63"/>
    <x v="48"/>
    <s v="M"/>
    <s v="Blue"/>
    <s v="Fall"/>
    <n v="3.2"/>
    <s v="No"/>
    <s v="Next Day Air"/>
    <s v="No"/>
    <s v="No"/>
    <n v="23"/>
    <s v="Bank Transfer"/>
    <s v="Quarterly"/>
    <s v="Quarterly"/>
    <n v="5"/>
  </r>
  <r>
    <x v="2061"/>
    <n v="32"/>
    <x v="0"/>
    <s v="Sweater"/>
    <x v="0"/>
    <n v="70"/>
    <x v="49"/>
    <s v="S"/>
    <s v="Magenta"/>
    <s v="Summer"/>
    <n v="2.6"/>
    <s v="No"/>
    <s v="Store Pickup"/>
    <s v="No"/>
    <s v="No"/>
    <n v="22"/>
    <s v="Debit Card"/>
    <s v="Annually"/>
    <s v="Annually"/>
    <n v="6"/>
  </r>
  <r>
    <x v="2062"/>
    <n v="54"/>
    <x v="0"/>
    <s v="Coat"/>
    <x v="2"/>
    <n v="63"/>
    <x v="36"/>
    <s v="L"/>
    <s v="Silver"/>
    <s v="Fall"/>
    <n v="2.8"/>
    <s v="No"/>
    <s v="Standard"/>
    <s v="No"/>
    <s v="No"/>
    <n v="15"/>
    <s v="Cash"/>
    <s v="Quarterly"/>
    <s v="Quarterly"/>
    <n v="5"/>
  </r>
  <r>
    <x v="2063"/>
    <n v="61"/>
    <x v="0"/>
    <s v="Shorts"/>
    <x v="0"/>
    <n v="86"/>
    <x v="27"/>
    <s v="M"/>
    <s v="Cyan"/>
    <s v="Fall"/>
    <n v="2.9"/>
    <s v="No"/>
    <s v="Standard"/>
    <s v="No"/>
    <s v="No"/>
    <n v="32"/>
    <s v="Cash"/>
    <s v="Monthly"/>
    <s v="Monthly"/>
    <n v="4"/>
  </r>
  <r>
    <x v="2064"/>
    <n v="31"/>
    <x v="0"/>
    <s v="Shoes"/>
    <x v="1"/>
    <n v="99"/>
    <x v="10"/>
    <s v="M"/>
    <s v="Green"/>
    <s v="Summer"/>
    <n v="4"/>
    <s v="No"/>
    <s v="2-Day Shipping"/>
    <s v="No"/>
    <s v="No"/>
    <n v="5"/>
    <s v="Bank Transfer"/>
    <s v="Monthly"/>
    <s v="Monthly"/>
    <n v="4"/>
  </r>
  <r>
    <x v="2065"/>
    <n v="27"/>
    <x v="0"/>
    <s v="Sneakers"/>
    <x v="1"/>
    <n v="40"/>
    <x v="4"/>
    <s v="M"/>
    <s v="Blue"/>
    <s v="Spring"/>
    <n v="2.9"/>
    <s v="No"/>
    <s v="Free Shipping"/>
    <s v="No"/>
    <s v="No"/>
    <n v="6"/>
    <s v="Bank Transfer"/>
    <s v="Bi-Weekly"/>
    <s v="Bi-Weekly"/>
    <n v="2"/>
  </r>
  <r>
    <x v="2066"/>
    <n v="64"/>
    <x v="0"/>
    <s v="Sneakers"/>
    <x v="1"/>
    <n v="92"/>
    <x v="26"/>
    <s v="M"/>
    <s v="Olive"/>
    <s v="Fall"/>
    <n v="4.7"/>
    <s v="No"/>
    <s v="Store Pickup"/>
    <s v="No"/>
    <s v="No"/>
    <n v="44"/>
    <s v="Debit Card"/>
    <s v="Fortnightly"/>
    <s v="Fortnightly"/>
    <n v="3"/>
  </r>
  <r>
    <x v="2067"/>
    <n v="60"/>
    <x v="0"/>
    <s v="Pants"/>
    <x v="0"/>
    <n v="21"/>
    <x v="33"/>
    <s v="XL"/>
    <s v="Beige"/>
    <s v="Fall"/>
    <n v="3.1"/>
    <s v="No"/>
    <s v="2-Day Shipping"/>
    <s v="No"/>
    <s v="No"/>
    <n v="23"/>
    <s v="Cash"/>
    <s v="Fortnightly"/>
    <s v="Fortnightly"/>
    <n v="3"/>
  </r>
  <r>
    <x v="2068"/>
    <n v="70"/>
    <x v="0"/>
    <s v="Jewelry"/>
    <x v="3"/>
    <n v="81"/>
    <x v="34"/>
    <s v="XL"/>
    <s v="Black"/>
    <s v="Summer"/>
    <n v="3.9"/>
    <s v="No"/>
    <s v="Store Pickup"/>
    <s v="No"/>
    <s v="No"/>
    <n v="44"/>
    <s v="Venmo"/>
    <s v="Monthly"/>
    <s v="Monthly"/>
    <n v="4"/>
  </r>
  <r>
    <x v="2069"/>
    <n v="36"/>
    <x v="0"/>
    <s v="T-shirt"/>
    <x v="0"/>
    <n v="82"/>
    <x v="21"/>
    <s v="M"/>
    <s v="Indigo"/>
    <s v="Fall"/>
    <n v="3.4"/>
    <s v="No"/>
    <s v="Free Shipping"/>
    <s v="No"/>
    <s v="No"/>
    <n v="3"/>
    <s v="Debit Card"/>
    <s v="Quarterly"/>
    <s v="Quarterly"/>
    <n v="5"/>
  </r>
  <r>
    <x v="2070"/>
    <n v="56"/>
    <x v="0"/>
    <s v="Jewelry"/>
    <x v="3"/>
    <n v="88"/>
    <x v="43"/>
    <s v="XL"/>
    <s v="Red"/>
    <s v="Spring"/>
    <n v="3.1"/>
    <s v="No"/>
    <s v="Express"/>
    <s v="No"/>
    <s v="No"/>
    <n v="14"/>
    <s v="Cash"/>
    <s v="Monthly"/>
    <s v="Monthly"/>
    <n v="4"/>
  </r>
  <r>
    <x v="2071"/>
    <n v="69"/>
    <x v="0"/>
    <s v="Jacket"/>
    <x v="2"/>
    <n v="100"/>
    <x v="36"/>
    <s v="S"/>
    <s v="Yellow"/>
    <s v="Fall"/>
    <n v="4.8"/>
    <s v="No"/>
    <s v="Store Pickup"/>
    <s v="No"/>
    <s v="No"/>
    <n v="37"/>
    <s v="PayPal"/>
    <s v="Quarterly"/>
    <s v="Quarterly"/>
    <n v="5"/>
  </r>
  <r>
    <x v="2072"/>
    <n v="39"/>
    <x v="0"/>
    <s v="Backpack"/>
    <x v="3"/>
    <n v="66"/>
    <x v="2"/>
    <s v="M"/>
    <s v="Beige"/>
    <s v="Winter"/>
    <n v="3.9"/>
    <s v="No"/>
    <s v="Next Day Air"/>
    <s v="No"/>
    <s v="No"/>
    <n v="22"/>
    <s v="Bank Transfer"/>
    <s v="Weekly"/>
    <s v="Weekly"/>
    <n v="1"/>
  </r>
  <r>
    <x v="2073"/>
    <n v="38"/>
    <x v="0"/>
    <s v="Belt"/>
    <x v="3"/>
    <n v="25"/>
    <x v="21"/>
    <s v="S"/>
    <s v="Green"/>
    <s v="Winter"/>
    <n v="3.5"/>
    <s v="No"/>
    <s v="Next Day Air"/>
    <s v="No"/>
    <s v="No"/>
    <n v="2"/>
    <s v="PayPal"/>
    <s v="Every 3 Months"/>
    <s v="Quarterly"/>
    <n v="5"/>
  </r>
  <r>
    <x v="2074"/>
    <n v="36"/>
    <x v="0"/>
    <s v="Scarf"/>
    <x v="3"/>
    <n v="53"/>
    <x v="20"/>
    <s v="M"/>
    <s v="White"/>
    <s v="Summer"/>
    <n v="3.1"/>
    <s v="No"/>
    <s v="Free Shipping"/>
    <s v="No"/>
    <s v="No"/>
    <n v="44"/>
    <s v="Debit Card"/>
    <s v="Fortnightly"/>
    <s v="Fortnightly"/>
    <n v="3"/>
  </r>
  <r>
    <x v="2075"/>
    <n v="46"/>
    <x v="0"/>
    <s v="Sweater"/>
    <x v="0"/>
    <n v="28"/>
    <x v="36"/>
    <s v="S"/>
    <s v="Turquoise"/>
    <s v="Fall"/>
    <n v="4.7"/>
    <s v="No"/>
    <s v="Express"/>
    <s v="No"/>
    <s v="No"/>
    <n v="49"/>
    <s v="Debit Card"/>
    <s v="Monthly"/>
    <s v="Monthly"/>
    <n v="4"/>
  </r>
  <r>
    <x v="2076"/>
    <n v="59"/>
    <x v="0"/>
    <s v="Gloves"/>
    <x v="3"/>
    <n v="23"/>
    <x v="20"/>
    <s v="S"/>
    <s v="Indigo"/>
    <s v="Fall"/>
    <n v="4.5999999999999996"/>
    <s v="No"/>
    <s v="Free Shipping"/>
    <s v="No"/>
    <s v="No"/>
    <n v="22"/>
    <s v="Debit Card"/>
    <s v="Bi-Weekly"/>
    <s v="Bi-Weekly"/>
    <n v="2"/>
  </r>
  <r>
    <x v="2077"/>
    <n v="64"/>
    <x v="0"/>
    <s v="Scarf"/>
    <x v="3"/>
    <n v="34"/>
    <x v="43"/>
    <s v="L"/>
    <s v="Orange"/>
    <s v="Fall"/>
    <n v="3.3"/>
    <s v="No"/>
    <s v="Free Shipping"/>
    <s v="No"/>
    <s v="No"/>
    <n v="26"/>
    <s v="Bank Transfer"/>
    <s v="Annually"/>
    <s v="Annually"/>
    <n v="6"/>
  </r>
  <r>
    <x v="2078"/>
    <n v="49"/>
    <x v="0"/>
    <s v="Dress"/>
    <x v="0"/>
    <n v="42"/>
    <x v="11"/>
    <s v="M"/>
    <s v="Blue"/>
    <s v="Spring"/>
    <n v="3.2"/>
    <s v="No"/>
    <s v="Next Day Air"/>
    <s v="No"/>
    <s v="No"/>
    <n v="40"/>
    <s v="Debit Card"/>
    <s v="Weekly"/>
    <s v="Weekly"/>
    <n v="1"/>
  </r>
  <r>
    <x v="2079"/>
    <n v="32"/>
    <x v="0"/>
    <s v="Jeans"/>
    <x v="0"/>
    <n v="24"/>
    <x v="6"/>
    <s v="L"/>
    <s v="Violet"/>
    <s v="Summer"/>
    <n v="3.1"/>
    <s v="No"/>
    <s v="Next Day Air"/>
    <s v="No"/>
    <s v="No"/>
    <n v="16"/>
    <s v="PayPal"/>
    <s v="Quarterly"/>
    <s v="Quarterly"/>
    <n v="5"/>
  </r>
  <r>
    <x v="2080"/>
    <n v="29"/>
    <x v="0"/>
    <s v="Sunglasses"/>
    <x v="3"/>
    <n v="47"/>
    <x v="45"/>
    <s v="S"/>
    <s v="Gray"/>
    <s v="Fall"/>
    <n v="3.5"/>
    <s v="No"/>
    <s v="Free Shipping"/>
    <s v="No"/>
    <s v="No"/>
    <n v="17"/>
    <s v="Debit Card"/>
    <s v="Bi-Weekly"/>
    <s v="Bi-Weekly"/>
    <n v="2"/>
  </r>
  <r>
    <x v="2081"/>
    <n v="24"/>
    <x v="0"/>
    <s v="Coat"/>
    <x v="2"/>
    <n v="78"/>
    <x v="15"/>
    <s v="S"/>
    <s v="Cyan"/>
    <s v="Spring"/>
    <n v="4.3"/>
    <s v="No"/>
    <s v="Standard"/>
    <s v="No"/>
    <s v="No"/>
    <n v="48"/>
    <s v="Bank Transfer"/>
    <s v="Bi-Weekly"/>
    <s v="Bi-Weekly"/>
    <n v="2"/>
  </r>
  <r>
    <x v="2082"/>
    <n v="41"/>
    <x v="0"/>
    <s v="Jeans"/>
    <x v="0"/>
    <n v="89"/>
    <x v="10"/>
    <s v="M"/>
    <s v="Yellow"/>
    <s v="Summer"/>
    <n v="2.9"/>
    <s v="No"/>
    <s v="Free Shipping"/>
    <s v="No"/>
    <s v="No"/>
    <n v="28"/>
    <s v="Venmo"/>
    <s v="Every 3 Months"/>
    <s v="Quarterly"/>
    <n v="5"/>
  </r>
  <r>
    <x v="2083"/>
    <n v="41"/>
    <x v="0"/>
    <s v="Scarf"/>
    <x v="3"/>
    <n v="59"/>
    <x v="16"/>
    <s v="L"/>
    <s v="Orange"/>
    <s v="Fall"/>
    <n v="2.7"/>
    <s v="No"/>
    <s v="Store Pickup"/>
    <s v="No"/>
    <s v="No"/>
    <n v="26"/>
    <s v="Credit Card"/>
    <s v="Fortnightly"/>
    <s v="Fortnightly"/>
    <n v="3"/>
  </r>
  <r>
    <x v="2084"/>
    <n v="32"/>
    <x v="0"/>
    <s v="Blouse"/>
    <x v="0"/>
    <n v="94"/>
    <x v="34"/>
    <s v="S"/>
    <s v="Brown"/>
    <s v="Summer"/>
    <n v="4"/>
    <s v="No"/>
    <s v="Standard"/>
    <s v="No"/>
    <s v="No"/>
    <n v="43"/>
    <s v="Bank Transfer"/>
    <s v="Quarterly"/>
    <s v="Quarterly"/>
    <n v="5"/>
  </r>
  <r>
    <x v="2085"/>
    <n v="69"/>
    <x v="0"/>
    <s v="Jeans"/>
    <x v="0"/>
    <n v="49"/>
    <x v="14"/>
    <s v="M"/>
    <s v="Teal"/>
    <s v="Fall"/>
    <n v="4.5999999999999996"/>
    <s v="No"/>
    <s v="Free Shipping"/>
    <s v="No"/>
    <s v="No"/>
    <n v="38"/>
    <s v="Debit Card"/>
    <s v="Weekly"/>
    <s v="Weekly"/>
    <n v="1"/>
  </r>
  <r>
    <x v="2086"/>
    <n v="65"/>
    <x v="0"/>
    <s v="Dress"/>
    <x v="0"/>
    <n v="89"/>
    <x v="25"/>
    <s v="L"/>
    <s v="Beige"/>
    <s v="Summer"/>
    <n v="4.7"/>
    <s v="No"/>
    <s v="2-Day Shipping"/>
    <s v="No"/>
    <s v="No"/>
    <n v="36"/>
    <s v="Cash"/>
    <s v="Every 3 Months"/>
    <s v="Quarterly"/>
    <n v="5"/>
  </r>
  <r>
    <x v="2087"/>
    <n v="54"/>
    <x v="0"/>
    <s v="Hat"/>
    <x v="3"/>
    <n v="91"/>
    <x v="48"/>
    <s v="M"/>
    <s v="Blue"/>
    <s v="Summer"/>
    <n v="4.7"/>
    <s v="No"/>
    <s v="Standard"/>
    <s v="No"/>
    <s v="No"/>
    <n v="1"/>
    <s v="Credit Card"/>
    <s v="Weekly"/>
    <s v="Weekly"/>
    <n v="1"/>
  </r>
  <r>
    <x v="2088"/>
    <n v="39"/>
    <x v="0"/>
    <s v="Sandals"/>
    <x v="1"/>
    <n v="89"/>
    <x v="18"/>
    <s v="L"/>
    <s v="Orange"/>
    <s v="Spring"/>
    <n v="4"/>
    <s v="No"/>
    <s v="Standard"/>
    <s v="No"/>
    <s v="No"/>
    <n v="49"/>
    <s v="Debit Card"/>
    <s v="Annually"/>
    <s v="Annually"/>
    <n v="6"/>
  </r>
  <r>
    <x v="2089"/>
    <n v="37"/>
    <x v="0"/>
    <s v="Jacket"/>
    <x v="2"/>
    <n v="57"/>
    <x v="33"/>
    <s v="L"/>
    <s v="Gold"/>
    <s v="Spring"/>
    <n v="3.6"/>
    <s v="No"/>
    <s v="Free Shipping"/>
    <s v="No"/>
    <s v="No"/>
    <n v="41"/>
    <s v="Credit Card"/>
    <s v="Every 3 Months"/>
    <s v="Quarterly"/>
    <n v="5"/>
  </r>
  <r>
    <x v="2090"/>
    <n v="51"/>
    <x v="0"/>
    <s v="Socks"/>
    <x v="0"/>
    <n v="71"/>
    <x v="2"/>
    <s v="S"/>
    <s v="Teal"/>
    <s v="Winter"/>
    <n v="3.4"/>
    <s v="No"/>
    <s v="Free Shipping"/>
    <s v="No"/>
    <s v="No"/>
    <n v="21"/>
    <s v="Debit Card"/>
    <s v="Monthly"/>
    <s v="Monthly"/>
    <n v="4"/>
  </r>
  <r>
    <x v="2091"/>
    <n v="26"/>
    <x v="0"/>
    <s v="Jeans"/>
    <x v="0"/>
    <n v="97"/>
    <x v="47"/>
    <s v="XL"/>
    <s v="Beige"/>
    <s v="Fall"/>
    <n v="3"/>
    <s v="No"/>
    <s v="Next Day Air"/>
    <s v="No"/>
    <s v="No"/>
    <n v="24"/>
    <s v="Bank Transfer"/>
    <s v="Quarterly"/>
    <s v="Quarterly"/>
    <n v="5"/>
  </r>
  <r>
    <x v="2092"/>
    <n v="42"/>
    <x v="0"/>
    <s v="Sandals"/>
    <x v="1"/>
    <n v="45"/>
    <x v="46"/>
    <s v="M"/>
    <s v="Silver"/>
    <s v="Fall"/>
    <n v="2.6"/>
    <s v="No"/>
    <s v="Next Day Air"/>
    <s v="No"/>
    <s v="No"/>
    <n v="27"/>
    <s v="Bank Transfer"/>
    <s v="Weekly"/>
    <s v="Weekly"/>
    <n v="1"/>
  </r>
  <r>
    <x v="2093"/>
    <n v="21"/>
    <x v="0"/>
    <s v="Dress"/>
    <x v="0"/>
    <n v="91"/>
    <x v="47"/>
    <s v="M"/>
    <s v="Maroon"/>
    <s v="Spring"/>
    <n v="4.2"/>
    <s v="No"/>
    <s v="Store Pickup"/>
    <s v="No"/>
    <s v="No"/>
    <n v="4"/>
    <s v="Debit Card"/>
    <s v="Annually"/>
    <s v="Annually"/>
    <n v="6"/>
  </r>
  <r>
    <x v="2094"/>
    <n v="53"/>
    <x v="0"/>
    <s v="Socks"/>
    <x v="0"/>
    <n v="25"/>
    <x v="36"/>
    <s v="M"/>
    <s v="Indigo"/>
    <s v="Spring"/>
    <n v="3.4"/>
    <s v="No"/>
    <s v="Standard"/>
    <s v="No"/>
    <s v="No"/>
    <n v="19"/>
    <s v="Venmo"/>
    <s v="Annually"/>
    <s v="Annually"/>
    <n v="6"/>
  </r>
  <r>
    <x v="2095"/>
    <n v="36"/>
    <x v="0"/>
    <s v="Hoodie"/>
    <x v="0"/>
    <n v="63"/>
    <x v="35"/>
    <s v="M"/>
    <s v="Gray"/>
    <s v="Fall"/>
    <n v="4"/>
    <s v="No"/>
    <s v="Store Pickup"/>
    <s v="No"/>
    <s v="No"/>
    <n v="1"/>
    <s v="Bank Transfer"/>
    <s v="Fortnightly"/>
    <s v="Fortnightly"/>
    <n v="3"/>
  </r>
  <r>
    <x v="2096"/>
    <n v="21"/>
    <x v="0"/>
    <s v="Dress"/>
    <x v="0"/>
    <n v="52"/>
    <x v="17"/>
    <s v="L"/>
    <s v="Blue"/>
    <s v="Summer"/>
    <n v="4.7"/>
    <s v="No"/>
    <s v="Free Shipping"/>
    <s v="No"/>
    <s v="No"/>
    <n v="27"/>
    <s v="Debit Card"/>
    <s v="Annually"/>
    <s v="Annually"/>
    <n v="6"/>
  </r>
  <r>
    <x v="2097"/>
    <n v="33"/>
    <x v="0"/>
    <s v="Sneakers"/>
    <x v="1"/>
    <n v="43"/>
    <x v="44"/>
    <s v="S"/>
    <s v="Cyan"/>
    <s v="Winter"/>
    <n v="3.9"/>
    <s v="No"/>
    <s v="Next Day Air"/>
    <s v="No"/>
    <s v="No"/>
    <n v="5"/>
    <s v="Credit Card"/>
    <s v="Weekly"/>
    <s v="Weekly"/>
    <n v="1"/>
  </r>
  <r>
    <x v="2098"/>
    <n v="49"/>
    <x v="0"/>
    <s v="T-shirt"/>
    <x v="0"/>
    <n v="28"/>
    <x v="7"/>
    <s v="M"/>
    <s v="White"/>
    <s v="Summer"/>
    <n v="3.3"/>
    <s v="No"/>
    <s v="2-Day Shipping"/>
    <s v="No"/>
    <s v="No"/>
    <n v="20"/>
    <s v="Venmo"/>
    <s v="Quarterly"/>
    <s v="Quarterly"/>
    <n v="5"/>
  </r>
  <r>
    <x v="2099"/>
    <n v="31"/>
    <x v="0"/>
    <s v="T-shirt"/>
    <x v="0"/>
    <n v="78"/>
    <x v="19"/>
    <s v="L"/>
    <s v="Green"/>
    <s v="Summer"/>
    <n v="2.9"/>
    <s v="No"/>
    <s v="Express"/>
    <s v="No"/>
    <s v="No"/>
    <n v="50"/>
    <s v="PayPal"/>
    <s v="Annually"/>
    <s v="Annually"/>
    <n v="6"/>
  </r>
  <r>
    <x v="2100"/>
    <n v="68"/>
    <x v="0"/>
    <s v="Sweater"/>
    <x v="0"/>
    <n v="31"/>
    <x v="49"/>
    <s v="M"/>
    <s v="Silver"/>
    <s v="Spring"/>
    <n v="4.4000000000000004"/>
    <s v="No"/>
    <s v="Free Shipping"/>
    <s v="No"/>
    <s v="No"/>
    <n v="36"/>
    <s v="Cash"/>
    <s v="Fortnightly"/>
    <s v="Fortnightly"/>
    <n v="3"/>
  </r>
  <r>
    <x v="2101"/>
    <n v="49"/>
    <x v="0"/>
    <s v="Shirt"/>
    <x v="0"/>
    <n v="23"/>
    <x v="4"/>
    <s v="M"/>
    <s v="Blue"/>
    <s v="Winter"/>
    <n v="3.6"/>
    <s v="No"/>
    <s v="Next Day Air"/>
    <s v="No"/>
    <s v="No"/>
    <n v="12"/>
    <s v="Bank Transfer"/>
    <s v="Bi-Weekly"/>
    <s v="Bi-Weekly"/>
    <n v="2"/>
  </r>
  <r>
    <x v="2102"/>
    <n v="23"/>
    <x v="0"/>
    <s v="Hat"/>
    <x v="3"/>
    <n v="25"/>
    <x v="37"/>
    <s v="M"/>
    <s v="Brown"/>
    <s v="Spring"/>
    <n v="4.5"/>
    <s v="No"/>
    <s v="Store Pickup"/>
    <s v="No"/>
    <s v="No"/>
    <n v="23"/>
    <s v="Cash"/>
    <s v="Monthly"/>
    <s v="Monthly"/>
    <n v="4"/>
  </r>
  <r>
    <x v="2103"/>
    <n v="30"/>
    <x v="0"/>
    <s v="Pants"/>
    <x v="0"/>
    <n v="86"/>
    <x v="27"/>
    <s v="S"/>
    <s v="Red"/>
    <s v="Summer"/>
    <n v="3.7"/>
    <s v="No"/>
    <s v="Store Pickup"/>
    <s v="No"/>
    <s v="No"/>
    <n v="21"/>
    <s v="Venmo"/>
    <s v="Weekly"/>
    <s v="Weekly"/>
    <n v="1"/>
  </r>
  <r>
    <x v="2104"/>
    <n v="53"/>
    <x v="0"/>
    <s v="Shoes"/>
    <x v="1"/>
    <n v="88"/>
    <x v="35"/>
    <s v="M"/>
    <s v="Gold"/>
    <s v="Spring"/>
    <n v="2.8"/>
    <s v="No"/>
    <s v="Free Shipping"/>
    <s v="No"/>
    <s v="No"/>
    <n v="47"/>
    <s v="Venmo"/>
    <s v="Weekly"/>
    <s v="Weekly"/>
    <n v="1"/>
  </r>
  <r>
    <x v="2105"/>
    <n v="65"/>
    <x v="0"/>
    <s v="Gloves"/>
    <x v="3"/>
    <n v="35"/>
    <x v="36"/>
    <s v="M"/>
    <s v="Silver"/>
    <s v="Spring"/>
    <n v="4.5"/>
    <s v="No"/>
    <s v="Free Shipping"/>
    <s v="No"/>
    <s v="No"/>
    <n v="38"/>
    <s v="Venmo"/>
    <s v="Bi-Weekly"/>
    <s v="Bi-Weekly"/>
    <n v="2"/>
  </r>
  <r>
    <x v="2106"/>
    <n v="60"/>
    <x v="0"/>
    <s v="Jewelry"/>
    <x v="3"/>
    <n v="34"/>
    <x v="34"/>
    <s v="M"/>
    <s v="Gray"/>
    <s v="Fall"/>
    <n v="4.4000000000000004"/>
    <s v="No"/>
    <s v="Standard"/>
    <s v="No"/>
    <s v="No"/>
    <n v="40"/>
    <s v="Credit Card"/>
    <s v="Every 3 Months"/>
    <s v="Quarterly"/>
    <n v="5"/>
  </r>
  <r>
    <x v="2107"/>
    <n v="46"/>
    <x v="0"/>
    <s v="Pants"/>
    <x v="0"/>
    <n v="75"/>
    <x v="12"/>
    <s v="M"/>
    <s v="Black"/>
    <s v="Winter"/>
    <n v="3.3"/>
    <s v="No"/>
    <s v="Standard"/>
    <s v="No"/>
    <s v="No"/>
    <n v="35"/>
    <s v="PayPal"/>
    <s v="Quarterly"/>
    <s v="Quarterly"/>
    <n v="5"/>
  </r>
  <r>
    <x v="2108"/>
    <n v="54"/>
    <x v="0"/>
    <s v="Hoodie"/>
    <x v="0"/>
    <n v="46"/>
    <x v="25"/>
    <s v="XL"/>
    <s v="Beige"/>
    <s v="Winter"/>
    <n v="4.2"/>
    <s v="No"/>
    <s v="Express"/>
    <s v="No"/>
    <s v="No"/>
    <n v="4"/>
    <s v="Credit Card"/>
    <s v="Quarterly"/>
    <s v="Quarterly"/>
    <n v="5"/>
  </r>
  <r>
    <x v="2109"/>
    <n v="59"/>
    <x v="0"/>
    <s v="Jewelry"/>
    <x v="3"/>
    <n v="31"/>
    <x v="18"/>
    <s v="L"/>
    <s v="Peach"/>
    <s v="Fall"/>
    <n v="2.7"/>
    <s v="No"/>
    <s v="Free Shipping"/>
    <s v="No"/>
    <s v="No"/>
    <n v="28"/>
    <s v="Venmo"/>
    <s v="Every 3 Months"/>
    <s v="Quarterly"/>
    <n v="5"/>
  </r>
  <r>
    <x v="2110"/>
    <n v="52"/>
    <x v="0"/>
    <s v="Socks"/>
    <x v="0"/>
    <n v="93"/>
    <x v="6"/>
    <s v="L"/>
    <s v="Cyan"/>
    <s v="Spring"/>
    <n v="3.9"/>
    <s v="No"/>
    <s v="Store Pickup"/>
    <s v="No"/>
    <s v="No"/>
    <n v="36"/>
    <s v="Debit Card"/>
    <s v="Every 3 Months"/>
    <s v="Quarterly"/>
    <n v="5"/>
  </r>
  <r>
    <x v="2111"/>
    <n v="41"/>
    <x v="0"/>
    <s v="Sunglasses"/>
    <x v="3"/>
    <n v="85"/>
    <x v="9"/>
    <s v="XL"/>
    <s v="Pink"/>
    <s v="Spring"/>
    <n v="2.6"/>
    <s v="No"/>
    <s v="Free Shipping"/>
    <s v="No"/>
    <s v="No"/>
    <n v="15"/>
    <s v="Bank Transfer"/>
    <s v="Annually"/>
    <s v="Annually"/>
    <n v="6"/>
  </r>
  <r>
    <x v="2112"/>
    <n v="43"/>
    <x v="0"/>
    <s v="Belt"/>
    <x v="3"/>
    <n v="68"/>
    <x v="30"/>
    <s v="M"/>
    <s v="Lavender"/>
    <s v="Fall"/>
    <n v="4.5"/>
    <s v="No"/>
    <s v="2-Day Shipping"/>
    <s v="No"/>
    <s v="No"/>
    <n v="7"/>
    <s v="Cash"/>
    <s v="Fortnightly"/>
    <s v="Fortnightly"/>
    <n v="3"/>
  </r>
  <r>
    <x v="2113"/>
    <n v="63"/>
    <x v="0"/>
    <s v="Dress"/>
    <x v="0"/>
    <n v="40"/>
    <x v="41"/>
    <s v="M"/>
    <s v="Brown"/>
    <s v="Spring"/>
    <n v="2.7"/>
    <s v="No"/>
    <s v="Store Pickup"/>
    <s v="No"/>
    <s v="No"/>
    <n v="29"/>
    <s v="PayPal"/>
    <s v="Every 3 Months"/>
    <s v="Quarterly"/>
    <n v="5"/>
  </r>
  <r>
    <x v="2114"/>
    <n v="37"/>
    <x v="0"/>
    <s v="Shirt"/>
    <x v="0"/>
    <n v="51"/>
    <x v="34"/>
    <s v="M"/>
    <s v="Magenta"/>
    <s v="Winter"/>
    <n v="2.9"/>
    <s v="No"/>
    <s v="Standard"/>
    <s v="No"/>
    <s v="No"/>
    <n v="12"/>
    <s v="Debit Card"/>
    <s v="Annually"/>
    <s v="Annually"/>
    <n v="6"/>
  </r>
  <r>
    <x v="2115"/>
    <n v="44"/>
    <x v="0"/>
    <s v="Scarf"/>
    <x v="3"/>
    <n v="85"/>
    <x v="3"/>
    <s v="M"/>
    <s v="Violet"/>
    <s v="Winter"/>
    <n v="3.4"/>
    <s v="No"/>
    <s v="Store Pickup"/>
    <s v="No"/>
    <s v="No"/>
    <n v="16"/>
    <s v="Bank Transfer"/>
    <s v="Bi-Weekly"/>
    <s v="Bi-Weekly"/>
    <n v="2"/>
  </r>
  <r>
    <x v="2116"/>
    <n v="67"/>
    <x v="0"/>
    <s v="Jacket"/>
    <x v="2"/>
    <n v="23"/>
    <x v="23"/>
    <s v="M"/>
    <s v="Teal"/>
    <s v="Summer"/>
    <n v="2.9"/>
    <s v="No"/>
    <s v="Express"/>
    <s v="No"/>
    <s v="No"/>
    <n v="50"/>
    <s v="Debit Card"/>
    <s v="Bi-Weekly"/>
    <s v="Bi-Weekly"/>
    <n v="2"/>
  </r>
  <r>
    <x v="2117"/>
    <n v="27"/>
    <x v="0"/>
    <s v="Dress"/>
    <x v="0"/>
    <n v="28"/>
    <x v="24"/>
    <s v="L"/>
    <s v="Brown"/>
    <s v="Summer"/>
    <n v="3.8"/>
    <s v="No"/>
    <s v="Free Shipping"/>
    <s v="No"/>
    <s v="No"/>
    <n v="11"/>
    <s v="Debit Card"/>
    <s v="Annually"/>
    <s v="Annually"/>
    <n v="6"/>
  </r>
  <r>
    <x v="2118"/>
    <n v="60"/>
    <x v="0"/>
    <s v="Socks"/>
    <x v="0"/>
    <n v="44"/>
    <x v="42"/>
    <s v="M"/>
    <s v="Olive"/>
    <s v="Fall"/>
    <n v="4.2"/>
    <s v="No"/>
    <s v="2-Day Shipping"/>
    <s v="No"/>
    <s v="No"/>
    <n v="28"/>
    <s v="Debit Card"/>
    <s v="Quarterly"/>
    <s v="Quarterly"/>
    <n v="5"/>
  </r>
  <r>
    <x v="2119"/>
    <n v="58"/>
    <x v="0"/>
    <s v="Jewelry"/>
    <x v="3"/>
    <n v="57"/>
    <x v="43"/>
    <s v="M"/>
    <s v="Indigo"/>
    <s v="Spring"/>
    <n v="3.5"/>
    <s v="No"/>
    <s v="Store Pickup"/>
    <s v="No"/>
    <s v="No"/>
    <n v="36"/>
    <s v="Venmo"/>
    <s v="Bi-Weekly"/>
    <s v="Bi-Weekly"/>
    <n v="2"/>
  </r>
  <r>
    <x v="2120"/>
    <n v="53"/>
    <x v="0"/>
    <s v="Scarf"/>
    <x v="3"/>
    <n v="98"/>
    <x v="9"/>
    <s v="S"/>
    <s v="Red"/>
    <s v="Fall"/>
    <n v="3.1"/>
    <s v="No"/>
    <s v="Next Day Air"/>
    <s v="No"/>
    <s v="No"/>
    <n v="38"/>
    <s v="PayPal"/>
    <s v="Quarterly"/>
    <s v="Quarterly"/>
    <n v="5"/>
  </r>
  <r>
    <x v="2121"/>
    <n v="43"/>
    <x v="0"/>
    <s v="Backpack"/>
    <x v="3"/>
    <n v="68"/>
    <x v="29"/>
    <s v="M"/>
    <s v="Olive"/>
    <s v="Winter"/>
    <n v="3.5"/>
    <s v="No"/>
    <s v="2-Day Shipping"/>
    <s v="No"/>
    <s v="No"/>
    <n v="32"/>
    <s v="Bank Transfer"/>
    <s v="Monthly"/>
    <s v="Monthly"/>
    <n v="4"/>
  </r>
  <r>
    <x v="2122"/>
    <n v="32"/>
    <x v="0"/>
    <s v="Jacket"/>
    <x v="2"/>
    <n v="36"/>
    <x v="41"/>
    <s v="L"/>
    <s v="Teal"/>
    <s v="Fall"/>
    <n v="4"/>
    <s v="No"/>
    <s v="Express"/>
    <s v="No"/>
    <s v="No"/>
    <n v="42"/>
    <s v="Debit Card"/>
    <s v="Weekly"/>
    <s v="Weekly"/>
    <n v="1"/>
  </r>
  <r>
    <x v="2123"/>
    <n v="54"/>
    <x v="0"/>
    <s v="Coat"/>
    <x v="2"/>
    <n v="71"/>
    <x v="43"/>
    <s v="L"/>
    <s v="Cyan"/>
    <s v="Spring"/>
    <n v="3.7"/>
    <s v="No"/>
    <s v="Express"/>
    <s v="No"/>
    <s v="No"/>
    <n v="22"/>
    <s v="Debit Card"/>
    <s v="Bi-Weekly"/>
    <s v="Bi-Weekly"/>
    <n v="2"/>
  </r>
  <r>
    <x v="2124"/>
    <n v="47"/>
    <x v="0"/>
    <s v="Skirt"/>
    <x v="0"/>
    <n v="60"/>
    <x v="3"/>
    <s v="M"/>
    <s v="Teal"/>
    <s v="Fall"/>
    <n v="4.2"/>
    <s v="No"/>
    <s v="Next Day Air"/>
    <s v="No"/>
    <s v="No"/>
    <n v="22"/>
    <s v="Venmo"/>
    <s v="Quarterly"/>
    <s v="Quarterly"/>
    <n v="5"/>
  </r>
  <r>
    <x v="2125"/>
    <n v="57"/>
    <x v="0"/>
    <s v="Coat"/>
    <x v="2"/>
    <n v="87"/>
    <x v="13"/>
    <s v="M"/>
    <s v="Beige"/>
    <s v="Fall"/>
    <n v="4.8"/>
    <s v="No"/>
    <s v="Store Pickup"/>
    <s v="No"/>
    <s v="No"/>
    <n v="31"/>
    <s v="PayPal"/>
    <s v="Quarterly"/>
    <s v="Quarterly"/>
    <n v="5"/>
  </r>
  <r>
    <x v="2126"/>
    <n v="63"/>
    <x v="0"/>
    <s v="Shoes"/>
    <x v="1"/>
    <n v="38"/>
    <x v="15"/>
    <s v="XL"/>
    <s v="Magenta"/>
    <s v="Winter"/>
    <n v="4.0999999999999996"/>
    <s v="No"/>
    <s v="Express"/>
    <s v="No"/>
    <s v="No"/>
    <n v="28"/>
    <s v="Credit Card"/>
    <s v="Monthly"/>
    <s v="Monthly"/>
    <n v="4"/>
  </r>
  <r>
    <x v="2127"/>
    <n v="70"/>
    <x v="0"/>
    <s v="Boots"/>
    <x v="1"/>
    <n v="45"/>
    <x v="17"/>
    <s v="M"/>
    <s v="Indigo"/>
    <s v="Spring"/>
    <n v="4.5"/>
    <s v="No"/>
    <s v="2-Day Shipping"/>
    <s v="No"/>
    <s v="No"/>
    <n v="40"/>
    <s v="Debit Card"/>
    <s v="Weekly"/>
    <s v="Weekly"/>
    <n v="1"/>
  </r>
  <r>
    <x v="2128"/>
    <n v="62"/>
    <x v="0"/>
    <s v="Coat"/>
    <x v="2"/>
    <n v="47"/>
    <x v="35"/>
    <s v="L"/>
    <s v="Cyan"/>
    <s v="Fall"/>
    <n v="2.7"/>
    <s v="No"/>
    <s v="2-Day Shipping"/>
    <s v="No"/>
    <s v="No"/>
    <n v="21"/>
    <s v="PayPal"/>
    <s v="Weekly"/>
    <s v="Weekly"/>
    <n v="1"/>
  </r>
  <r>
    <x v="2129"/>
    <n v="40"/>
    <x v="0"/>
    <s v="Skirt"/>
    <x v="0"/>
    <n v="57"/>
    <x v="46"/>
    <s v="L"/>
    <s v="Orange"/>
    <s v="Fall"/>
    <n v="2.8"/>
    <s v="No"/>
    <s v="Store Pickup"/>
    <s v="No"/>
    <s v="No"/>
    <n v="12"/>
    <s v="PayPal"/>
    <s v="Every 3 Months"/>
    <s v="Quarterly"/>
    <n v="5"/>
  </r>
  <r>
    <x v="2130"/>
    <n v="25"/>
    <x v="0"/>
    <s v="Backpack"/>
    <x v="3"/>
    <n v="68"/>
    <x v="28"/>
    <s v="L"/>
    <s v="Violet"/>
    <s v="Summer"/>
    <n v="3.7"/>
    <s v="No"/>
    <s v="Free Shipping"/>
    <s v="No"/>
    <s v="No"/>
    <n v="33"/>
    <s v="Credit Card"/>
    <s v="Annually"/>
    <s v="Annually"/>
    <n v="6"/>
  </r>
  <r>
    <x v="2131"/>
    <n v="19"/>
    <x v="0"/>
    <s v="Shorts"/>
    <x v="0"/>
    <n v="52"/>
    <x v="6"/>
    <s v="M"/>
    <s v="Red"/>
    <s v="Fall"/>
    <n v="3.6"/>
    <s v="No"/>
    <s v="Express"/>
    <s v="No"/>
    <s v="No"/>
    <n v="9"/>
    <s v="Bank Transfer"/>
    <s v="Fortnightly"/>
    <s v="Fortnightly"/>
    <n v="3"/>
  </r>
  <r>
    <x v="2132"/>
    <n v="25"/>
    <x v="0"/>
    <s v="Skirt"/>
    <x v="0"/>
    <n v="87"/>
    <x v="34"/>
    <s v="M"/>
    <s v="Magenta"/>
    <s v="Fall"/>
    <n v="4.7"/>
    <s v="No"/>
    <s v="2-Day Shipping"/>
    <s v="No"/>
    <s v="No"/>
    <n v="15"/>
    <s v="Debit Card"/>
    <s v="Weekly"/>
    <s v="Weekly"/>
    <n v="1"/>
  </r>
  <r>
    <x v="2133"/>
    <n v="21"/>
    <x v="0"/>
    <s v="Hat"/>
    <x v="3"/>
    <n v="34"/>
    <x v="1"/>
    <s v="M"/>
    <s v="Olive"/>
    <s v="Summer"/>
    <n v="3.8"/>
    <s v="No"/>
    <s v="Standard"/>
    <s v="No"/>
    <s v="No"/>
    <n v="13"/>
    <s v="Bank Transfer"/>
    <s v="Annually"/>
    <s v="Annually"/>
    <n v="6"/>
  </r>
  <r>
    <x v="2134"/>
    <n v="55"/>
    <x v="0"/>
    <s v="Sandals"/>
    <x v="1"/>
    <n v="41"/>
    <x v="41"/>
    <s v="XL"/>
    <s v="Maroon"/>
    <s v="Winter"/>
    <n v="2.9"/>
    <s v="No"/>
    <s v="Standard"/>
    <s v="No"/>
    <s v="No"/>
    <n v="35"/>
    <s v="Credit Card"/>
    <s v="Fortnightly"/>
    <s v="Fortnightly"/>
    <n v="3"/>
  </r>
  <r>
    <x v="2135"/>
    <n v="34"/>
    <x v="0"/>
    <s v="Sunglasses"/>
    <x v="3"/>
    <n v="94"/>
    <x v="18"/>
    <s v="S"/>
    <s v="Yellow"/>
    <s v="Winter"/>
    <n v="4.5999999999999996"/>
    <s v="No"/>
    <s v="Next Day Air"/>
    <s v="No"/>
    <s v="No"/>
    <n v="1"/>
    <s v="Debit Card"/>
    <s v="Every 3 Months"/>
    <s v="Quarterly"/>
    <n v="5"/>
  </r>
  <r>
    <x v="2136"/>
    <n v="47"/>
    <x v="0"/>
    <s v="Sunglasses"/>
    <x v="3"/>
    <n v="93"/>
    <x v="14"/>
    <s v="M"/>
    <s v="Red"/>
    <s v="Summer"/>
    <n v="2.8"/>
    <s v="No"/>
    <s v="Standard"/>
    <s v="No"/>
    <s v="No"/>
    <n v="25"/>
    <s v="Bank Transfer"/>
    <s v="Fortnightly"/>
    <s v="Fortnightly"/>
    <n v="3"/>
  </r>
  <r>
    <x v="2137"/>
    <n v="27"/>
    <x v="0"/>
    <s v="Socks"/>
    <x v="0"/>
    <n v="51"/>
    <x v="27"/>
    <s v="XL"/>
    <s v="Purple"/>
    <s v="Winter"/>
    <n v="4.5999999999999996"/>
    <s v="No"/>
    <s v="2-Day Shipping"/>
    <s v="No"/>
    <s v="No"/>
    <n v="20"/>
    <s v="Credit Card"/>
    <s v="Every 3 Months"/>
    <s v="Quarterly"/>
    <n v="5"/>
  </r>
  <r>
    <x v="2138"/>
    <n v="67"/>
    <x v="0"/>
    <s v="Sweater"/>
    <x v="0"/>
    <n v="42"/>
    <x v="16"/>
    <s v="M"/>
    <s v="Teal"/>
    <s v="Fall"/>
    <n v="2.8"/>
    <s v="No"/>
    <s v="Next Day Air"/>
    <s v="No"/>
    <s v="No"/>
    <n v="36"/>
    <s v="Venmo"/>
    <s v="Quarterly"/>
    <s v="Quarterly"/>
    <n v="5"/>
  </r>
  <r>
    <x v="2139"/>
    <n v="40"/>
    <x v="0"/>
    <s v="Boots"/>
    <x v="1"/>
    <n v="95"/>
    <x v="14"/>
    <s v="M"/>
    <s v="Red"/>
    <s v="Winter"/>
    <n v="3"/>
    <s v="No"/>
    <s v="Free Shipping"/>
    <s v="No"/>
    <s v="No"/>
    <n v="33"/>
    <s v="Cash"/>
    <s v="Weekly"/>
    <s v="Weekly"/>
    <n v="1"/>
  </r>
  <r>
    <x v="2140"/>
    <n v="53"/>
    <x v="0"/>
    <s v="Handbag"/>
    <x v="3"/>
    <n v="90"/>
    <x v="35"/>
    <s v="M"/>
    <s v="Brown"/>
    <s v="Fall"/>
    <n v="3.7"/>
    <s v="No"/>
    <s v="Standard"/>
    <s v="No"/>
    <s v="No"/>
    <n v="36"/>
    <s v="Cash"/>
    <s v="Fortnightly"/>
    <s v="Fortnightly"/>
    <n v="3"/>
  </r>
  <r>
    <x v="2141"/>
    <n v="24"/>
    <x v="0"/>
    <s v="Dress"/>
    <x v="0"/>
    <n v="98"/>
    <x v="0"/>
    <s v="M"/>
    <s v="Peach"/>
    <s v="Winter"/>
    <n v="4.0999999999999996"/>
    <s v="No"/>
    <s v="2-Day Shipping"/>
    <s v="No"/>
    <s v="No"/>
    <n v="32"/>
    <s v="PayPal"/>
    <s v="Annually"/>
    <s v="Annually"/>
    <n v="6"/>
  </r>
  <r>
    <x v="2142"/>
    <n v="47"/>
    <x v="0"/>
    <s v="Hat"/>
    <x v="3"/>
    <n v="39"/>
    <x v="25"/>
    <s v="M"/>
    <s v="Maroon"/>
    <s v="Winter"/>
    <n v="4.3"/>
    <s v="No"/>
    <s v="Next Day Air"/>
    <s v="No"/>
    <s v="No"/>
    <n v="21"/>
    <s v="Venmo"/>
    <s v="Quarterly"/>
    <s v="Quarterly"/>
    <n v="5"/>
  </r>
  <r>
    <x v="2143"/>
    <n v="53"/>
    <x v="0"/>
    <s v="Sandals"/>
    <x v="1"/>
    <n v="66"/>
    <x v="10"/>
    <s v="L"/>
    <s v="Red"/>
    <s v="Fall"/>
    <n v="3.8"/>
    <s v="No"/>
    <s v="Next Day Air"/>
    <s v="No"/>
    <s v="No"/>
    <n v="48"/>
    <s v="Venmo"/>
    <s v="Bi-Weekly"/>
    <s v="Bi-Weekly"/>
    <n v="2"/>
  </r>
  <r>
    <x v="2144"/>
    <n v="47"/>
    <x v="0"/>
    <s v="Shoes"/>
    <x v="1"/>
    <n v="23"/>
    <x v="33"/>
    <s v="L"/>
    <s v="Orange"/>
    <s v="Winter"/>
    <n v="3.7"/>
    <s v="No"/>
    <s v="Free Shipping"/>
    <s v="No"/>
    <s v="No"/>
    <n v="25"/>
    <s v="PayPal"/>
    <s v="Quarterly"/>
    <s v="Quarterly"/>
    <n v="5"/>
  </r>
  <r>
    <x v="2145"/>
    <n v="38"/>
    <x v="0"/>
    <s v="Skirt"/>
    <x v="0"/>
    <n v="73"/>
    <x v="39"/>
    <s v="S"/>
    <s v="White"/>
    <s v="Winter"/>
    <n v="4.8"/>
    <s v="No"/>
    <s v="Standard"/>
    <s v="No"/>
    <s v="No"/>
    <n v="32"/>
    <s v="PayPal"/>
    <s v="Annually"/>
    <s v="Annually"/>
    <n v="6"/>
  </r>
  <r>
    <x v="2146"/>
    <n v="48"/>
    <x v="0"/>
    <s v="Sunglasses"/>
    <x v="3"/>
    <n v="23"/>
    <x v="40"/>
    <s v="XL"/>
    <s v="White"/>
    <s v="Summer"/>
    <n v="4.5999999999999996"/>
    <s v="No"/>
    <s v="Standard"/>
    <s v="No"/>
    <s v="No"/>
    <n v="45"/>
    <s v="PayPal"/>
    <s v="Every 3 Months"/>
    <s v="Quarterly"/>
    <n v="5"/>
  </r>
  <r>
    <x v="2147"/>
    <n v="47"/>
    <x v="0"/>
    <s v="Skirt"/>
    <x v="0"/>
    <n v="43"/>
    <x v="9"/>
    <s v="S"/>
    <s v="Charcoal"/>
    <s v="Fall"/>
    <n v="4.8"/>
    <s v="No"/>
    <s v="Standard"/>
    <s v="No"/>
    <s v="No"/>
    <n v="4"/>
    <s v="Cash"/>
    <s v="Fortnightly"/>
    <s v="Fortnightly"/>
    <n v="3"/>
  </r>
  <r>
    <x v="2148"/>
    <n v="19"/>
    <x v="0"/>
    <s v="T-shirt"/>
    <x v="0"/>
    <n v="45"/>
    <x v="43"/>
    <s v="XL"/>
    <s v="Turquoise"/>
    <s v="Winter"/>
    <n v="4.5999999999999996"/>
    <s v="No"/>
    <s v="2-Day Shipping"/>
    <s v="No"/>
    <s v="No"/>
    <n v="19"/>
    <s v="PayPal"/>
    <s v="Bi-Weekly"/>
    <s v="Bi-Weekly"/>
    <n v="2"/>
  </r>
  <r>
    <x v="2149"/>
    <n v="38"/>
    <x v="0"/>
    <s v="Sandals"/>
    <x v="1"/>
    <n v="21"/>
    <x v="11"/>
    <s v="L"/>
    <s v="Orange"/>
    <s v="Winter"/>
    <n v="4"/>
    <s v="No"/>
    <s v="Standard"/>
    <s v="No"/>
    <s v="No"/>
    <n v="1"/>
    <s v="Bank Transfer"/>
    <s v="Weekly"/>
    <s v="Weekly"/>
    <n v="1"/>
  </r>
  <r>
    <x v="2150"/>
    <n v="57"/>
    <x v="0"/>
    <s v="Shirt"/>
    <x v="0"/>
    <n v="40"/>
    <x v="26"/>
    <s v="M"/>
    <s v="Orange"/>
    <s v="Spring"/>
    <n v="2.6"/>
    <s v="No"/>
    <s v="2-Day Shipping"/>
    <s v="No"/>
    <s v="No"/>
    <n v="12"/>
    <s v="Cash"/>
    <s v="Weekly"/>
    <s v="Weekly"/>
    <n v="1"/>
  </r>
  <r>
    <x v="2151"/>
    <n v="70"/>
    <x v="0"/>
    <s v="Jeans"/>
    <x v="0"/>
    <n v="58"/>
    <x v="34"/>
    <s v="L"/>
    <s v="Brown"/>
    <s v="Fall"/>
    <n v="2.6"/>
    <s v="No"/>
    <s v="2-Day Shipping"/>
    <s v="No"/>
    <s v="No"/>
    <n v="18"/>
    <s v="Venmo"/>
    <s v="Monthly"/>
    <s v="Monthly"/>
    <n v="4"/>
  </r>
  <r>
    <x v="2152"/>
    <n v="38"/>
    <x v="0"/>
    <s v="Shorts"/>
    <x v="0"/>
    <n v="48"/>
    <x v="32"/>
    <s v="L"/>
    <s v="Magenta"/>
    <s v="Summer"/>
    <n v="4.5"/>
    <s v="No"/>
    <s v="Next Day Air"/>
    <s v="No"/>
    <s v="No"/>
    <n v="43"/>
    <s v="Bank Transfer"/>
    <s v="Bi-Weekly"/>
    <s v="Bi-Weekly"/>
    <n v="2"/>
  </r>
  <r>
    <x v="2153"/>
    <n v="35"/>
    <x v="0"/>
    <s v="Shirt"/>
    <x v="0"/>
    <n v="94"/>
    <x v="0"/>
    <s v="M"/>
    <s v="Violet"/>
    <s v="Fall"/>
    <n v="4.2"/>
    <s v="No"/>
    <s v="Free Shipping"/>
    <s v="No"/>
    <s v="No"/>
    <n v="31"/>
    <s v="PayPal"/>
    <s v="Annually"/>
    <s v="Annually"/>
    <n v="6"/>
  </r>
  <r>
    <x v="2154"/>
    <n v="46"/>
    <x v="0"/>
    <s v="Scarf"/>
    <x v="3"/>
    <n v="74"/>
    <x v="5"/>
    <s v="M"/>
    <s v="Violet"/>
    <s v="Spring"/>
    <n v="3.4"/>
    <s v="No"/>
    <s v="Store Pickup"/>
    <s v="No"/>
    <s v="No"/>
    <n v="33"/>
    <s v="Cash"/>
    <s v="Every 3 Months"/>
    <s v="Quarterly"/>
    <n v="5"/>
  </r>
  <r>
    <x v="2155"/>
    <n v="32"/>
    <x v="0"/>
    <s v="Handbag"/>
    <x v="3"/>
    <n v="51"/>
    <x v="11"/>
    <s v="L"/>
    <s v="Yellow"/>
    <s v="Fall"/>
    <n v="3.7"/>
    <s v="No"/>
    <s v="Store Pickup"/>
    <s v="No"/>
    <s v="No"/>
    <n v="46"/>
    <s v="PayPal"/>
    <s v="Monthly"/>
    <s v="Monthly"/>
    <n v="4"/>
  </r>
  <r>
    <x v="2156"/>
    <n v="38"/>
    <x v="0"/>
    <s v="Skirt"/>
    <x v="0"/>
    <n v="83"/>
    <x v="9"/>
    <s v="M"/>
    <s v="Maroon"/>
    <s v="Winter"/>
    <n v="3.6"/>
    <s v="No"/>
    <s v="Next Day Air"/>
    <s v="No"/>
    <s v="No"/>
    <n v="41"/>
    <s v="Debit Card"/>
    <s v="Bi-Weekly"/>
    <s v="Bi-Weekly"/>
    <n v="2"/>
  </r>
  <r>
    <x v="2157"/>
    <n v="41"/>
    <x v="0"/>
    <s v="Handbag"/>
    <x v="3"/>
    <n v="68"/>
    <x v="16"/>
    <s v="L"/>
    <s v="Turquoise"/>
    <s v="Winter"/>
    <n v="4"/>
    <s v="No"/>
    <s v="Next Day Air"/>
    <s v="No"/>
    <s v="No"/>
    <n v="41"/>
    <s v="Venmo"/>
    <s v="Fortnightly"/>
    <s v="Fortnightly"/>
    <n v="3"/>
  </r>
  <r>
    <x v="2158"/>
    <n v="19"/>
    <x v="0"/>
    <s v="Gloves"/>
    <x v="3"/>
    <n v="84"/>
    <x v="2"/>
    <s v="XL"/>
    <s v="Olive"/>
    <s v="Spring"/>
    <n v="4.5999999999999996"/>
    <s v="No"/>
    <s v="Standard"/>
    <s v="No"/>
    <s v="No"/>
    <n v="9"/>
    <s v="Bank Transfer"/>
    <s v="Fortnightly"/>
    <s v="Fortnightly"/>
    <n v="3"/>
  </r>
  <r>
    <x v="2159"/>
    <n v="18"/>
    <x v="0"/>
    <s v="Shirt"/>
    <x v="0"/>
    <n v="58"/>
    <x v="7"/>
    <s v="M"/>
    <s v="Peach"/>
    <s v="Fall"/>
    <n v="3"/>
    <s v="No"/>
    <s v="Free Shipping"/>
    <s v="No"/>
    <s v="No"/>
    <n v="34"/>
    <s v="Cash"/>
    <s v="Annually"/>
    <s v="Annually"/>
    <n v="6"/>
  </r>
  <r>
    <x v="2160"/>
    <n v="45"/>
    <x v="0"/>
    <s v="Blouse"/>
    <x v="0"/>
    <n v="92"/>
    <x v="8"/>
    <s v="L"/>
    <s v="Charcoal"/>
    <s v="Winter"/>
    <n v="3.3"/>
    <s v="No"/>
    <s v="Express"/>
    <s v="No"/>
    <s v="No"/>
    <n v="21"/>
    <s v="PayPal"/>
    <s v="Annually"/>
    <s v="Annually"/>
    <n v="6"/>
  </r>
  <r>
    <x v="2161"/>
    <n v="23"/>
    <x v="0"/>
    <s v="Dress"/>
    <x v="0"/>
    <n v="69"/>
    <x v="47"/>
    <s v="S"/>
    <s v="Peach"/>
    <s v="Summer"/>
    <n v="3.8"/>
    <s v="No"/>
    <s v="Express"/>
    <s v="No"/>
    <s v="No"/>
    <n v="5"/>
    <s v="Debit Card"/>
    <s v="Fortnightly"/>
    <s v="Fortnightly"/>
    <n v="3"/>
  </r>
  <r>
    <x v="2162"/>
    <n v="60"/>
    <x v="0"/>
    <s v="Shorts"/>
    <x v="0"/>
    <n v="48"/>
    <x v="4"/>
    <s v="S"/>
    <s v="Black"/>
    <s v="Summer"/>
    <n v="2.7"/>
    <s v="No"/>
    <s v="Free Shipping"/>
    <s v="No"/>
    <s v="No"/>
    <n v="32"/>
    <s v="PayPal"/>
    <s v="Weekly"/>
    <s v="Weekly"/>
    <n v="1"/>
  </r>
  <r>
    <x v="2163"/>
    <n v="52"/>
    <x v="0"/>
    <s v="Shoes"/>
    <x v="1"/>
    <n v="60"/>
    <x v="14"/>
    <s v="L"/>
    <s v="Gray"/>
    <s v="Spring"/>
    <n v="4.5"/>
    <s v="No"/>
    <s v="Express"/>
    <s v="No"/>
    <s v="No"/>
    <n v="44"/>
    <s v="Bank Transfer"/>
    <s v="Monthly"/>
    <s v="Monthly"/>
    <n v="4"/>
  </r>
  <r>
    <x v="2164"/>
    <n v="42"/>
    <x v="0"/>
    <s v="Sandals"/>
    <x v="1"/>
    <n v="20"/>
    <x v="44"/>
    <s v="S"/>
    <s v="Olive"/>
    <s v="Winter"/>
    <n v="4.8"/>
    <s v="No"/>
    <s v="Next Day Air"/>
    <s v="No"/>
    <s v="No"/>
    <n v="46"/>
    <s v="PayPal"/>
    <s v="Bi-Weekly"/>
    <s v="Bi-Weekly"/>
    <n v="2"/>
  </r>
  <r>
    <x v="2165"/>
    <n v="29"/>
    <x v="0"/>
    <s v="Pants"/>
    <x v="0"/>
    <n v="55"/>
    <x v="37"/>
    <s v="M"/>
    <s v="Turquoise"/>
    <s v="Summer"/>
    <n v="4.2"/>
    <s v="No"/>
    <s v="Express"/>
    <s v="No"/>
    <s v="No"/>
    <n v="42"/>
    <s v="Credit Card"/>
    <s v="Every 3 Months"/>
    <s v="Quarterly"/>
    <n v="5"/>
  </r>
  <r>
    <x v="2166"/>
    <n v="31"/>
    <x v="0"/>
    <s v="Jacket"/>
    <x v="2"/>
    <n v="88"/>
    <x v="32"/>
    <s v="S"/>
    <s v="Purple"/>
    <s v="Spring"/>
    <n v="3.5"/>
    <s v="No"/>
    <s v="Express"/>
    <s v="No"/>
    <s v="No"/>
    <n v="50"/>
    <s v="Credit Card"/>
    <s v="Bi-Weekly"/>
    <s v="Bi-Weekly"/>
    <n v="2"/>
  </r>
  <r>
    <x v="2167"/>
    <n v="30"/>
    <x v="0"/>
    <s v="Skirt"/>
    <x v="0"/>
    <n v="48"/>
    <x v="31"/>
    <s v="L"/>
    <s v="Green"/>
    <s v="Winter"/>
    <n v="4.9000000000000004"/>
    <s v="No"/>
    <s v="Standard"/>
    <s v="No"/>
    <s v="No"/>
    <n v="33"/>
    <s v="Venmo"/>
    <s v="Fortnightly"/>
    <s v="Fortnightly"/>
    <n v="3"/>
  </r>
  <r>
    <x v="2168"/>
    <n v="23"/>
    <x v="0"/>
    <s v="Handbag"/>
    <x v="3"/>
    <n v="74"/>
    <x v="39"/>
    <s v="M"/>
    <s v="Beige"/>
    <s v="Spring"/>
    <n v="4.0999999999999996"/>
    <s v="No"/>
    <s v="Next Day Air"/>
    <s v="No"/>
    <s v="No"/>
    <n v="32"/>
    <s v="Cash"/>
    <s v="Quarterly"/>
    <s v="Quarterly"/>
    <n v="5"/>
  </r>
  <r>
    <x v="2169"/>
    <n v="31"/>
    <x v="0"/>
    <s v="Coat"/>
    <x v="2"/>
    <n v="42"/>
    <x v="20"/>
    <s v="M"/>
    <s v="Brown"/>
    <s v="Fall"/>
    <n v="2.9"/>
    <s v="No"/>
    <s v="Next Day Air"/>
    <s v="No"/>
    <s v="No"/>
    <n v="32"/>
    <s v="Bank Transfer"/>
    <s v="Bi-Weekly"/>
    <s v="Bi-Weekly"/>
    <n v="2"/>
  </r>
  <r>
    <x v="2170"/>
    <n v="40"/>
    <x v="0"/>
    <s v="Sweater"/>
    <x v="0"/>
    <n v="32"/>
    <x v="36"/>
    <s v="M"/>
    <s v="Turquoise"/>
    <s v="Fall"/>
    <n v="4"/>
    <s v="No"/>
    <s v="Next Day Air"/>
    <s v="No"/>
    <s v="No"/>
    <n v="37"/>
    <s v="Venmo"/>
    <s v="Every 3 Months"/>
    <s v="Quarterly"/>
    <n v="5"/>
  </r>
  <r>
    <x v="2171"/>
    <n v="39"/>
    <x v="0"/>
    <s v="Shorts"/>
    <x v="0"/>
    <n v="98"/>
    <x v="9"/>
    <s v="M"/>
    <s v="Yellow"/>
    <s v="Summer"/>
    <n v="4.5999999999999996"/>
    <s v="No"/>
    <s v="Store Pickup"/>
    <s v="No"/>
    <s v="No"/>
    <n v="9"/>
    <s v="Cash"/>
    <s v="Fortnightly"/>
    <s v="Fortnightly"/>
    <n v="3"/>
  </r>
  <r>
    <x v="2172"/>
    <n v="28"/>
    <x v="0"/>
    <s v="Skirt"/>
    <x v="0"/>
    <n v="89"/>
    <x v="3"/>
    <s v="S"/>
    <s v="Lavender"/>
    <s v="Fall"/>
    <n v="2.8"/>
    <s v="No"/>
    <s v="Store Pickup"/>
    <s v="No"/>
    <s v="No"/>
    <n v="6"/>
    <s v="PayPal"/>
    <s v="Fortnightly"/>
    <s v="Fortnightly"/>
    <n v="3"/>
  </r>
  <r>
    <x v="2173"/>
    <n v="23"/>
    <x v="0"/>
    <s v="Gloves"/>
    <x v="3"/>
    <n v="97"/>
    <x v="12"/>
    <s v="S"/>
    <s v="Cyan"/>
    <s v="Summer"/>
    <n v="5"/>
    <s v="No"/>
    <s v="2-Day Shipping"/>
    <s v="No"/>
    <s v="No"/>
    <n v="36"/>
    <s v="Venmo"/>
    <s v="Quarterly"/>
    <s v="Quarterly"/>
    <n v="5"/>
  </r>
  <r>
    <x v="2174"/>
    <n v="42"/>
    <x v="0"/>
    <s v="Backpack"/>
    <x v="3"/>
    <n v="49"/>
    <x v="24"/>
    <s v="S"/>
    <s v="Olive"/>
    <s v="Spring"/>
    <n v="2.9"/>
    <s v="No"/>
    <s v="Store Pickup"/>
    <s v="No"/>
    <s v="No"/>
    <n v="1"/>
    <s v="Cash"/>
    <s v="Annually"/>
    <s v="Annually"/>
    <n v="6"/>
  </r>
  <r>
    <x v="2175"/>
    <n v="68"/>
    <x v="0"/>
    <s v="Dress"/>
    <x v="0"/>
    <n v="50"/>
    <x v="43"/>
    <s v="M"/>
    <s v="Silver"/>
    <s v="Spring"/>
    <n v="3.3"/>
    <s v="No"/>
    <s v="Free Shipping"/>
    <s v="No"/>
    <s v="No"/>
    <n v="48"/>
    <s v="Credit Card"/>
    <s v="Fortnightly"/>
    <s v="Fortnightly"/>
    <n v="3"/>
  </r>
  <r>
    <x v="2176"/>
    <n v="24"/>
    <x v="0"/>
    <s v="Belt"/>
    <x v="3"/>
    <n v="91"/>
    <x v="34"/>
    <s v="S"/>
    <s v="Red"/>
    <s v="Winter"/>
    <n v="3.4"/>
    <s v="No"/>
    <s v="2-Day Shipping"/>
    <s v="No"/>
    <s v="No"/>
    <n v="44"/>
    <s v="Debit Card"/>
    <s v="Quarterly"/>
    <s v="Quarterly"/>
    <n v="5"/>
  </r>
  <r>
    <x v="2177"/>
    <n v="24"/>
    <x v="0"/>
    <s v="Gloves"/>
    <x v="3"/>
    <n v="93"/>
    <x v="6"/>
    <s v="XL"/>
    <s v="Green"/>
    <s v="Winter"/>
    <n v="3"/>
    <s v="No"/>
    <s v="Express"/>
    <s v="No"/>
    <s v="No"/>
    <n v="9"/>
    <s v="PayPal"/>
    <s v="Bi-Weekly"/>
    <s v="Bi-Weekly"/>
    <n v="2"/>
  </r>
  <r>
    <x v="2178"/>
    <n v="21"/>
    <x v="0"/>
    <s v="Jewelry"/>
    <x v="3"/>
    <n v="98"/>
    <x v="20"/>
    <s v="M"/>
    <s v="Gold"/>
    <s v="Summer"/>
    <n v="4.7"/>
    <s v="No"/>
    <s v="Standard"/>
    <s v="No"/>
    <s v="No"/>
    <n v="32"/>
    <s v="Venmo"/>
    <s v="Annually"/>
    <s v="Annually"/>
    <n v="6"/>
  </r>
  <r>
    <x v="2179"/>
    <n v="49"/>
    <x v="0"/>
    <s v="Socks"/>
    <x v="0"/>
    <n v="82"/>
    <x v="12"/>
    <s v="L"/>
    <s v="Lavender"/>
    <s v="Fall"/>
    <n v="2.9"/>
    <s v="No"/>
    <s v="Next Day Air"/>
    <s v="No"/>
    <s v="No"/>
    <n v="14"/>
    <s v="PayPal"/>
    <s v="Monthly"/>
    <s v="Monthly"/>
    <n v="4"/>
  </r>
  <r>
    <x v="2180"/>
    <n v="41"/>
    <x v="0"/>
    <s v="Coat"/>
    <x v="2"/>
    <n v="37"/>
    <x v="39"/>
    <s v="M"/>
    <s v="Yellow"/>
    <s v="Summer"/>
    <n v="4.0999999999999996"/>
    <s v="No"/>
    <s v="Store Pickup"/>
    <s v="No"/>
    <s v="No"/>
    <n v="43"/>
    <s v="Cash"/>
    <s v="Quarterly"/>
    <s v="Quarterly"/>
    <n v="5"/>
  </r>
  <r>
    <x v="2181"/>
    <n v="22"/>
    <x v="0"/>
    <s v="Handbag"/>
    <x v="3"/>
    <n v="63"/>
    <x v="11"/>
    <s v="M"/>
    <s v="Black"/>
    <s v="Fall"/>
    <n v="3.2"/>
    <s v="No"/>
    <s v="Free Shipping"/>
    <s v="No"/>
    <s v="No"/>
    <n v="32"/>
    <s v="Bank Transfer"/>
    <s v="Bi-Weekly"/>
    <s v="Bi-Weekly"/>
    <n v="2"/>
  </r>
  <r>
    <x v="2182"/>
    <n v="42"/>
    <x v="0"/>
    <s v="Blouse"/>
    <x v="0"/>
    <n v="99"/>
    <x v="35"/>
    <s v="M"/>
    <s v="Maroon"/>
    <s v="Winter"/>
    <n v="2.7"/>
    <s v="No"/>
    <s v="Store Pickup"/>
    <s v="No"/>
    <s v="No"/>
    <n v="26"/>
    <s v="Venmo"/>
    <s v="Bi-Weekly"/>
    <s v="Bi-Weekly"/>
    <n v="2"/>
  </r>
  <r>
    <x v="2183"/>
    <n v="30"/>
    <x v="0"/>
    <s v="Shorts"/>
    <x v="0"/>
    <n v="37"/>
    <x v="23"/>
    <s v="M"/>
    <s v="Maroon"/>
    <s v="Spring"/>
    <n v="4.7"/>
    <s v="No"/>
    <s v="Store Pickup"/>
    <s v="No"/>
    <s v="No"/>
    <n v="2"/>
    <s v="Cash"/>
    <s v="Monthly"/>
    <s v="Monthly"/>
    <n v="4"/>
  </r>
  <r>
    <x v="2184"/>
    <n v="38"/>
    <x v="0"/>
    <s v="Shoes"/>
    <x v="1"/>
    <n v="34"/>
    <x v="22"/>
    <s v="S"/>
    <s v="Gold"/>
    <s v="Spring"/>
    <n v="3.2"/>
    <s v="No"/>
    <s v="Free Shipping"/>
    <s v="No"/>
    <s v="No"/>
    <n v="16"/>
    <s v="PayPal"/>
    <s v="Every 3 Months"/>
    <s v="Quarterly"/>
    <n v="5"/>
  </r>
  <r>
    <x v="2185"/>
    <n v="40"/>
    <x v="0"/>
    <s v="Shorts"/>
    <x v="0"/>
    <n v="32"/>
    <x v="17"/>
    <s v="M"/>
    <s v="Violet"/>
    <s v="Winter"/>
    <n v="2.5"/>
    <s v="No"/>
    <s v="Express"/>
    <s v="No"/>
    <s v="No"/>
    <n v="50"/>
    <s v="Debit Card"/>
    <s v="Every 3 Months"/>
    <s v="Quarterly"/>
    <n v="5"/>
  </r>
  <r>
    <x v="2186"/>
    <n v="55"/>
    <x v="0"/>
    <s v="Sandals"/>
    <x v="1"/>
    <n v="23"/>
    <x v="35"/>
    <s v="XL"/>
    <s v="Teal"/>
    <s v="Winter"/>
    <n v="4.3"/>
    <s v="No"/>
    <s v="Next Day Air"/>
    <s v="No"/>
    <s v="No"/>
    <n v="6"/>
    <s v="PayPal"/>
    <s v="Every 3 Months"/>
    <s v="Quarterly"/>
    <n v="5"/>
  </r>
  <r>
    <x v="2187"/>
    <n v="37"/>
    <x v="0"/>
    <s v="Blouse"/>
    <x v="0"/>
    <n v="78"/>
    <x v="37"/>
    <s v="M"/>
    <s v="Violet"/>
    <s v="Spring"/>
    <n v="4.4000000000000004"/>
    <s v="No"/>
    <s v="Free Shipping"/>
    <s v="No"/>
    <s v="No"/>
    <n v="20"/>
    <s v="PayPal"/>
    <s v="Annually"/>
    <s v="Annually"/>
    <n v="6"/>
  </r>
  <r>
    <x v="2188"/>
    <n v="41"/>
    <x v="0"/>
    <s v="Coat"/>
    <x v="2"/>
    <n v="54"/>
    <x v="18"/>
    <s v="M"/>
    <s v="Brown"/>
    <s v="Winter"/>
    <n v="4.7"/>
    <s v="No"/>
    <s v="Next Day Air"/>
    <s v="No"/>
    <s v="No"/>
    <n v="9"/>
    <s v="Credit Card"/>
    <s v="Weekly"/>
    <s v="Weekly"/>
    <n v="1"/>
  </r>
  <r>
    <x v="2189"/>
    <n v="38"/>
    <x v="0"/>
    <s v="Blouse"/>
    <x v="0"/>
    <n v="94"/>
    <x v="48"/>
    <s v="XL"/>
    <s v="Brown"/>
    <s v="Fall"/>
    <n v="4"/>
    <s v="No"/>
    <s v="Express"/>
    <s v="No"/>
    <s v="No"/>
    <n v="47"/>
    <s v="Credit Card"/>
    <s v="Bi-Weekly"/>
    <s v="Bi-Weekly"/>
    <n v="2"/>
  </r>
  <r>
    <x v="2190"/>
    <n v="42"/>
    <x v="0"/>
    <s v="Belt"/>
    <x v="3"/>
    <n v="75"/>
    <x v="29"/>
    <s v="S"/>
    <s v="Maroon"/>
    <s v="Spring"/>
    <n v="4.5999999999999996"/>
    <s v="No"/>
    <s v="Express"/>
    <s v="No"/>
    <s v="No"/>
    <n v="33"/>
    <s v="Credit Card"/>
    <s v="Annually"/>
    <s v="Annually"/>
    <n v="6"/>
  </r>
  <r>
    <x v="2191"/>
    <n v="26"/>
    <x v="0"/>
    <s v="Blouse"/>
    <x v="0"/>
    <n v="69"/>
    <x v="38"/>
    <s v="S"/>
    <s v="Maroon"/>
    <s v="Summer"/>
    <n v="3.8"/>
    <s v="No"/>
    <s v="Next Day Air"/>
    <s v="No"/>
    <s v="No"/>
    <n v="46"/>
    <s v="Cash"/>
    <s v="Bi-Weekly"/>
    <s v="Bi-Weekly"/>
    <n v="2"/>
  </r>
  <r>
    <x v="2192"/>
    <n v="41"/>
    <x v="0"/>
    <s v="Scarf"/>
    <x v="3"/>
    <n v="35"/>
    <x v="41"/>
    <s v="L"/>
    <s v="Yellow"/>
    <s v="Winter"/>
    <n v="3.2"/>
    <s v="No"/>
    <s v="Next Day Air"/>
    <s v="No"/>
    <s v="No"/>
    <n v="9"/>
    <s v="Credit Card"/>
    <s v="Monthly"/>
    <s v="Monthly"/>
    <n v="4"/>
  </r>
  <r>
    <x v="2193"/>
    <n v="27"/>
    <x v="0"/>
    <s v="Shirt"/>
    <x v="0"/>
    <n v="78"/>
    <x v="18"/>
    <s v="L"/>
    <s v="Turquoise"/>
    <s v="Spring"/>
    <n v="5"/>
    <s v="No"/>
    <s v="Express"/>
    <s v="No"/>
    <s v="No"/>
    <n v="8"/>
    <s v="PayPal"/>
    <s v="Monthly"/>
    <s v="Monthly"/>
    <n v="4"/>
  </r>
  <r>
    <x v="2194"/>
    <n v="61"/>
    <x v="0"/>
    <s v="Socks"/>
    <x v="0"/>
    <n v="29"/>
    <x v="0"/>
    <s v="M"/>
    <s v="Silver"/>
    <s v="Summer"/>
    <n v="3.5"/>
    <s v="No"/>
    <s v="Standard"/>
    <s v="No"/>
    <s v="No"/>
    <n v="48"/>
    <s v="Bank Transfer"/>
    <s v="Quarterly"/>
    <s v="Quarterly"/>
    <n v="5"/>
  </r>
  <r>
    <x v="2195"/>
    <n v="58"/>
    <x v="0"/>
    <s v="Jeans"/>
    <x v="0"/>
    <n v="62"/>
    <x v="14"/>
    <s v="M"/>
    <s v="Brown"/>
    <s v="Fall"/>
    <n v="3.7"/>
    <s v="No"/>
    <s v="Next Day Air"/>
    <s v="No"/>
    <s v="No"/>
    <n v="2"/>
    <s v="Cash"/>
    <s v="Monthly"/>
    <s v="Monthly"/>
    <n v="4"/>
  </r>
  <r>
    <x v="2196"/>
    <n v="25"/>
    <x v="0"/>
    <s v="Dress"/>
    <x v="0"/>
    <n v="58"/>
    <x v="34"/>
    <s v="M"/>
    <s v="Gray"/>
    <s v="Spring"/>
    <n v="4.8"/>
    <s v="No"/>
    <s v="Next Day Air"/>
    <s v="No"/>
    <s v="No"/>
    <n v="31"/>
    <s v="PayPal"/>
    <s v="Weekly"/>
    <s v="Weekly"/>
    <n v="1"/>
  </r>
  <r>
    <x v="2197"/>
    <n v="33"/>
    <x v="0"/>
    <s v="Boots"/>
    <x v="1"/>
    <n v="88"/>
    <x v="38"/>
    <s v="M"/>
    <s v="Indigo"/>
    <s v="Summer"/>
    <n v="3.7"/>
    <s v="No"/>
    <s v="2-Day Shipping"/>
    <s v="No"/>
    <s v="No"/>
    <n v="40"/>
    <s v="Venmo"/>
    <s v="Monthly"/>
    <s v="Monthly"/>
    <n v="4"/>
  </r>
  <r>
    <x v="2198"/>
    <n v="57"/>
    <x v="0"/>
    <s v="Scarf"/>
    <x v="3"/>
    <n v="80"/>
    <x v="14"/>
    <s v="L"/>
    <s v="Turquoise"/>
    <s v="Summer"/>
    <n v="3.5"/>
    <s v="No"/>
    <s v="Free Shipping"/>
    <s v="No"/>
    <s v="No"/>
    <n v="35"/>
    <s v="Venmo"/>
    <s v="Monthly"/>
    <s v="Monthly"/>
    <n v="4"/>
  </r>
  <r>
    <x v="2199"/>
    <n v="39"/>
    <x v="0"/>
    <s v="Scarf"/>
    <x v="3"/>
    <n v="47"/>
    <x v="17"/>
    <s v="M"/>
    <s v="Maroon"/>
    <s v="Summer"/>
    <n v="4.9000000000000004"/>
    <s v="No"/>
    <s v="Store Pickup"/>
    <s v="No"/>
    <s v="No"/>
    <n v="40"/>
    <s v="Debit Card"/>
    <s v="Monthly"/>
    <s v="Monthly"/>
    <n v="4"/>
  </r>
  <r>
    <x v="2200"/>
    <n v="60"/>
    <x v="0"/>
    <s v="Gloves"/>
    <x v="3"/>
    <n v="51"/>
    <x v="5"/>
    <s v="L"/>
    <s v="Charcoal"/>
    <s v="Summer"/>
    <n v="4.7"/>
    <s v="No"/>
    <s v="Next Day Air"/>
    <s v="No"/>
    <s v="No"/>
    <n v="27"/>
    <s v="Debit Card"/>
    <s v="Every 3 Months"/>
    <s v="Quarterly"/>
    <n v="5"/>
  </r>
  <r>
    <x v="2201"/>
    <n v="39"/>
    <x v="0"/>
    <s v="Pants"/>
    <x v="0"/>
    <n v="25"/>
    <x v="31"/>
    <s v="L"/>
    <s v="Peach"/>
    <s v="Spring"/>
    <n v="4.9000000000000004"/>
    <s v="No"/>
    <s v="2-Day Shipping"/>
    <s v="No"/>
    <s v="No"/>
    <n v="10"/>
    <s v="Venmo"/>
    <s v="Annually"/>
    <s v="Annually"/>
    <n v="6"/>
  </r>
  <r>
    <x v="2202"/>
    <n v="42"/>
    <x v="0"/>
    <s v="Dress"/>
    <x v="0"/>
    <n v="36"/>
    <x v="15"/>
    <s v="M"/>
    <s v="Red"/>
    <s v="Summer"/>
    <n v="4.3"/>
    <s v="No"/>
    <s v="Next Day Air"/>
    <s v="No"/>
    <s v="No"/>
    <n v="23"/>
    <s v="Credit Card"/>
    <s v="Weekly"/>
    <s v="Weekly"/>
    <n v="1"/>
  </r>
  <r>
    <x v="2203"/>
    <n v="53"/>
    <x v="0"/>
    <s v="Dress"/>
    <x v="0"/>
    <n v="79"/>
    <x v="3"/>
    <s v="M"/>
    <s v="Indigo"/>
    <s v="Winter"/>
    <n v="3.1"/>
    <s v="No"/>
    <s v="Free Shipping"/>
    <s v="No"/>
    <s v="No"/>
    <n v="32"/>
    <s v="Cash"/>
    <s v="Quarterly"/>
    <s v="Quarterly"/>
    <n v="5"/>
  </r>
  <r>
    <x v="2204"/>
    <n v="20"/>
    <x v="0"/>
    <s v="Jeans"/>
    <x v="0"/>
    <n v="41"/>
    <x v="4"/>
    <s v="S"/>
    <s v="Lavender"/>
    <s v="Winter"/>
    <n v="3.4"/>
    <s v="No"/>
    <s v="2-Day Shipping"/>
    <s v="No"/>
    <s v="No"/>
    <n v="6"/>
    <s v="Debit Card"/>
    <s v="Monthly"/>
    <s v="Monthly"/>
    <n v="4"/>
  </r>
  <r>
    <x v="2205"/>
    <n v="46"/>
    <x v="0"/>
    <s v="Sweater"/>
    <x v="0"/>
    <n v="68"/>
    <x v="25"/>
    <s v="XL"/>
    <s v="Red"/>
    <s v="Fall"/>
    <n v="2.7"/>
    <s v="No"/>
    <s v="Express"/>
    <s v="No"/>
    <s v="No"/>
    <n v="27"/>
    <s v="PayPal"/>
    <s v="Weekly"/>
    <s v="Weekly"/>
    <n v="1"/>
  </r>
  <r>
    <x v="2206"/>
    <n v="46"/>
    <x v="0"/>
    <s v="Sandals"/>
    <x v="1"/>
    <n v="51"/>
    <x v="26"/>
    <s v="L"/>
    <s v="Green"/>
    <s v="Spring"/>
    <n v="2.6"/>
    <s v="No"/>
    <s v="Store Pickup"/>
    <s v="No"/>
    <s v="No"/>
    <n v="25"/>
    <s v="Bank Transfer"/>
    <s v="Fortnightly"/>
    <s v="Fortnightly"/>
    <n v="3"/>
  </r>
  <r>
    <x v="2207"/>
    <n v="69"/>
    <x v="0"/>
    <s v="Handbag"/>
    <x v="3"/>
    <n v="38"/>
    <x v="35"/>
    <s v="M"/>
    <s v="Gray"/>
    <s v="Fall"/>
    <n v="2.9"/>
    <s v="No"/>
    <s v="Next Day Air"/>
    <s v="No"/>
    <s v="No"/>
    <n v="11"/>
    <s v="Credit Card"/>
    <s v="Annually"/>
    <s v="Annually"/>
    <n v="6"/>
  </r>
  <r>
    <x v="2208"/>
    <n v="28"/>
    <x v="0"/>
    <s v="Scarf"/>
    <x v="3"/>
    <n v="46"/>
    <x v="24"/>
    <s v="XL"/>
    <s v="Violet"/>
    <s v="Summer"/>
    <n v="2.7"/>
    <s v="No"/>
    <s v="2-Day Shipping"/>
    <s v="No"/>
    <s v="No"/>
    <n v="23"/>
    <s v="PayPal"/>
    <s v="Monthly"/>
    <s v="Monthly"/>
    <n v="4"/>
  </r>
  <r>
    <x v="2209"/>
    <n v="42"/>
    <x v="0"/>
    <s v="Sandals"/>
    <x v="1"/>
    <n v="20"/>
    <x v="40"/>
    <s v="XL"/>
    <s v="Beige"/>
    <s v="Summer"/>
    <n v="4.5"/>
    <s v="No"/>
    <s v="2-Day Shipping"/>
    <s v="No"/>
    <s v="No"/>
    <n v="44"/>
    <s v="Bank Transfer"/>
    <s v="Quarterly"/>
    <s v="Quarterly"/>
    <n v="5"/>
  </r>
  <r>
    <x v="2210"/>
    <n v="30"/>
    <x v="0"/>
    <s v="Sunglasses"/>
    <x v="3"/>
    <n v="25"/>
    <x v="41"/>
    <s v="M"/>
    <s v="Orange"/>
    <s v="Summer"/>
    <n v="3.1"/>
    <s v="No"/>
    <s v="Store Pickup"/>
    <s v="No"/>
    <s v="No"/>
    <n v="35"/>
    <s v="PayPal"/>
    <s v="Fortnightly"/>
    <s v="Fortnightly"/>
    <n v="3"/>
  </r>
  <r>
    <x v="2211"/>
    <n v="50"/>
    <x v="0"/>
    <s v="Sweater"/>
    <x v="0"/>
    <n v="89"/>
    <x v="1"/>
    <s v="L"/>
    <s v="Purple"/>
    <s v="Winter"/>
    <n v="3.2"/>
    <s v="No"/>
    <s v="Free Shipping"/>
    <s v="No"/>
    <s v="No"/>
    <n v="45"/>
    <s v="Debit Card"/>
    <s v="Every 3 Months"/>
    <s v="Quarterly"/>
    <n v="5"/>
  </r>
  <r>
    <x v="2212"/>
    <n v="59"/>
    <x v="0"/>
    <s v="Pants"/>
    <x v="0"/>
    <n v="77"/>
    <x v="43"/>
    <s v="M"/>
    <s v="Brown"/>
    <s v="Winter"/>
    <n v="3.3"/>
    <s v="No"/>
    <s v="Next Day Air"/>
    <s v="No"/>
    <s v="No"/>
    <n v="22"/>
    <s v="Bank Transfer"/>
    <s v="Quarterly"/>
    <s v="Quarterly"/>
    <n v="5"/>
  </r>
  <r>
    <x v="2213"/>
    <n v="54"/>
    <x v="0"/>
    <s v="Hat"/>
    <x v="3"/>
    <n v="94"/>
    <x v="11"/>
    <s v="M"/>
    <s v="Maroon"/>
    <s v="Fall"/>
    <n v="2.9"/>
    <s v="No"/>
    <s v="Express"/>
    <s v="No"/>
    <s v="No"/>
    <n v="18"/>
    <s v="Debit Card"/>
    <s v="Quarterly"/>
    <s v="Quarterly"/>
    <n v="5"/>
  </r>
  <r>
    <x v="2214"/>
    <n v="50"/>
    <x v="0"/>
    <s v="Belt"/>
    <x v="3"/>
    <n v="100"/>
    <x v="37"/>
    <s v="L"/>
    <s v="Gold"/>
    <s v="Fall"/>
    <n v="4.0999999999999996"/>
    <s v="No"/>
    <s v="Standard"/>
    <s v="No"/>
    <s v="No"/>
    <n v="20"/>
    <s v="Debit Card"/>
    <s v="Weekly"/>
    <s v="Weekly"/>
    <n v="1"/>
  </r>
  <r>
    <x v="2215"/>
    <n v="25"/>
    <x v="0"/>
    <s v="Sandals"/>
    <x v="1"/>
    <n v="96"/>
    <x v="8"/>
    <s v="M"/>
    <s v="Indigo"/>
    <s v="Winter"/>
    <n v="2.7"/>
    <s v="No"/>
    <s v="Express"/>
    <s v="No"/>
    <s v="No"/>
    <n v="28"/>
    <s v="Credit Card"/>
    <s v="Fortnightly"/>
    <s v="Fortnightly"/>
    <n v="3"/>
  </r>
  <r>
    <x v="2216"/>
    <n v="41"/>
    <x v="0"/>
    <s v="Pants"/>
    <x v="0"/>
    <n v="36"/>
    <x v="34"/>
    <s v="XL"/>
    <s v="Silver"/>
    <s v="Winter"/>
    <n v="4"/>
    <s v="No"/>
    <s v="Store Pickup"/>
    <s v="No"/>
    <s v="No"/>
    <n v="15"/>
    <s v="Venmo"/>
    <s v="Bi-Weekly"/>
    <s v="Bi-Weekly"/>
    <n v="2"/>
  </r>
  <r>
    <x v="2217"/>
    <n v="35"/>
    <x v="0"/>
    <s v="Jewelry"/>
    <x v="3"/>
    <n v="27"/>
    <x v="27"/>
    <s v="XL"/>
    <s v="Red"/>
    <s v="Fall"/>
    <n v="2.6"/>
    <s v="No"/>
    <s v="Store Pickup"/>
    <s v="No"/>
    <s v="No"/>
    <n v="42"/>
    <s v="Bank Transfer"/>
    <s v="Fortnightly"/>
    <s v="Fortnightly"/>
    <n v="3"/>
  </r>
  <r>
    <x v="2218"/>
    <n v="67"/>
    <x v="0"/>
    <s v="Sunglasses"/>
    <x v="3"/>
    <n v="67"/>
    <x v="37"/>
    <s v="M"/>
    <s v="Magenta"/>
    <s v="Winter"/>
    <n v="3.5"/>
    <s v="No"/>
    <s v="Store Pickup"/>
    <s v="No"/>
    <s v="No"/>
    <n v="20"/>
    <s v="Debit Card"/>
    <s v="Quarterly"/>
    <s v="Quarterly"/>
    <n v="5"/>
  </r>
  <r>
    <x v="2219"/>
    <n v="33"/>
    <x v="0"/>
    <s v="Blouse"/>
    <x v="0"/>
    <n v="91"/>
    <x v="46"/>
    <s v="S"/>
    <s v="Purple"/>
    <s v="Fall"/>
    <n v="2.8"/>
    <s v="No"/>
    <s v="Store Pickup"/>
    <s v="No"/>
    <s v="No"/>
    <n v="16"/>
    <s v="Bank Transfer"/>
    <s v="Fortnightly"/>
    <s v="Fortnightly"/>
    <n v="3"/>
  </r>
  <r>
    <x v="2220"/>
    <n v="19"/>
    <x v="0"/>
    <s v="Belt"/>
    <x v="3"/>
    <n v="62"/>
    <x v="5"/>
    <s v="XL"/>
    <s v="Beige"/>
    <s v="Fall"/>
    <n v="4.5"/>
    <s v="No"/>
    <s v="Store Pickup"/>
    <s v="No"/>
    <s v="No"/>
    <n v="47"/>
    <s v="Cash"/>
    <s v="Annually"/>
    <s v="Annually"/>
    <n v="6"/>
  </r>
  <r>
    <x v="2221"/>
    <n v="25"/>
    <x v="0"/>
    <s v="Shorts"/>
    <x v="0"/>
    <n v="88"/>
    <x v="23"/>
    <s v="XL"/>
    <s v="White"/>
    <s v="Fall"/>
    <n v="3"/>
    <s v="No"/>
    <s v="Free Shipping"/>
    <s v="No"/>
    <s v="No"/>
    <n v="34"/>
    <s v="Credit Card"/>
    <s v="Annually"/>
    <s v="Annually"/>
    <n v="6"/>
  </r>
  <r>
    <x v="2222"/>
    <n v="32"/>
    <x v="0"/>
    <s v="Pants"/>
    <x v="0"/>
    <n v="66"/>
    <x v="42"/>
    <s v="M"/>
    <s v="Teal"/>
    <s v="Summer"/>
    <n v="4.4000000000000004"/>
    <s v="No"/>
    <s v="Store Pickup"/>
    <s v="No"/>
    <s v="No"/>
    <n v="30"/>
    <s v="Credit Card"/>
    <s v="Weekly"/>
    <s v="Weekly"/>
    <n v="1"/>
  </r>
  <r>
    <x v="2223"/>
    <n v="30"/>
    <x v="0"/>
    <s v="Sandals"/>
    <x v="1"/>
    <n v="65"/>
    <x v="23"/>
    <s v="M"/>
    <s v="Gray"/>
    <s v="Fall"/>
    <n v="4.7"/>
    <s v="No"/>
    <s v="Next Day Air"/>
    <s v="No"/>
    <s v="No"/>
    <n v="5"/>
    <s v="PayPal"/>
    <s v="Quarterly"/>
    <s v="Quarterly"/>
    <n v="5"/>
  </r>
  <r>
    <x v="2224"/>
    <n v="18"/>
    <x v="0"/>
    <s v="Gloves"/>
    <x v="3"/>
    <n v="25"/>
    <x v="43"/>
    <s v="L"/>
    <s v="Charcoal"/>
    <s v="Winter"/>
    <n v="4.3"/>
    <s v="No"/>
    <s v="Standard"/>
    <s v="No"/>
    <s v="No"/>
    <n v="38"/>
    <s v="Cash"/>
    <s v="Quarterly"/>
    <s v="Quarterly"/>
    <n v="5"/>
  </r>
  <r>
    <x v="2225"/>
    <n v="38"/>
    <x v="0"/>
    <s v="Belt"/>
    <x v="3"/>
    <n v="64"/>
    <x v="47"/>
    <s v="S"/>
    <s v="Olive"/>
    <s v="Spring"/>
    <n v="4.8"/>
    <s v="No"/>
    <s v="Free Shipping"/>
    <s v="No"/>
    <s v="No"/>
    <n v="18"/>
    <s v="Credit Card"/>
    <s v="Annually"/>
    <s v="Annually"/>
    <n v="6"/>
  </r>
  <r>
    <x v="2226"/>
    <n v="22"/>
    <x v="0"/>
    <s v="Shirt"/>
    <x v="0"/>
    <n v="72"/>
    <x v="9"/>
    <s v="L"/>
    <s v="Blue"/>
    <s v="Spring"/>
    <n v="4.8"/>
    <s v="No"/>
    <s v="Store Pickup"/>
    <s v="No"/>
    <s v="No"/>
    <n v="28"/>
    <s v="Cash"/>
    <s v="Annually"/>
    <s v="Annually"/>
    <n v="6"/>
  </r>
  <r>
    <x v="2227"/>
    <n v="40"/>
    <x v="0"/>
    <s v="Scarf"/>
    <x v="3"/>
    <n v="74"/>
    <x v="47"/>
    <s v="S"/>
    <s v="Gray"/>
    <s v="Summer"/>
    <n v="4.4000000000000004"/>
    <s v="No"/>
    <s v="Next Day Air"/>
    <s v="No"/>
    <s v="No"/>
    <n v="42"/>
    <s v="Credit Card"/>
    <s v="Fortnightly"/>
    <s v="Fortnightly"/>
    <n v="3"/>
  </r>
  <r>
    <x v="2228"/>
    <n v="54"/>
    <x v="0"/>
    <s v="Gloves"/>
    <x v="3"/>
    <n v="50"/>
    <x v="23"/>
    <s v="M"/>
    <s v="Green"/>
    <s v="Fall"/>
    <n v="3.7"/>
    <s v="No"/>
    <s v="Free Shipping"/>
    <s v="No"/>
    <s v="No"/>
    <n v="5"/>
    <s v="Credit Card"/>
    <s v="Weekly"/>
    <s v="Weekly"/>
    <n v="1"/>
  </r>
  <r>
    <x v="2229"/>
    <n v="70"/>
    <x v="0"/>
    <s v="Pants"/>
    <x v="0"/>
    <n v="97"/>
    <x v="46"/>
    <s v="M"/>
    <s v="Silver"/>
    <s v="Fall"/>
    <n v="3.9"/>
    <s v="No"/>
    <s v="Express"/>
    <s v="No"/>
    <s v="No"/>
    <n v="50"/>
    <s v="Venmo"/>
    <s v="Monthly"/>
    <s v="Monthly"/>
    <n v="4"/>
  </r>
  <r>
    <x v="2230"/>
    <n v="52"/>
    <x v="0"/>
    <s v="Sneakers"/>
    <x v="1"/>
    <n v="36"/>
    <x v="24"/>
    <s v="S"/>
    <s v="Teal"/>
    <s v="Spring"/>
    <n v="3.8"/>
    <s v="No"/>
    <s v="Express"/>
    <s v="No"/>
    <s v="No"/>
    <n v="33"/>
    <s v="Venmo"/>
    <s v="Fortnightly"/>
    <s v="Fortnightly"/>
    <n v="3"/>
  </r>
  <r>
    <x v="2231"/>
    <n v="34"/>
    <x v="0"/>
    <s v="Jacket"/>
    <x v="2"/>
    <n v="49"/>
    <x v="40"/>
    <s v="M"/>
    <s v="Beige"/>
    <s v="Fall"/>
    <n v="4.0999999999999996"/>
    <s v="No"/>
    <s v="Store Pickup"/>
    <s v="No"/>
    <s v="No"/>
    <n v="1"/>
    <s v="Credit Card"/>
    <s v="Weekly"/>
    <s v="Weekly"/>
    <n v="1"/>
  </r>
  <r>
    <x v="2232"/>
    <n v="65"/>
    <x v="0"/>
    <s v="Shoes"/>
    <x v="1"/>
    <n v="64"/>
    <x v="17"/>
    <s v="L"/>
    <s v="Lavender"/>
    <s v="Spring"/>
    <n v="4"/>
    <s v="No"/>
    <s v="Store Pickup"/>
    <s v="No"/>
    <s v="No"/>
    <n v="14"/>
    <s v="Cash"/>
    <s v="Fortnightly"/>
    <s v="Fortnightly"/>
    <n v="3"/>
  </r>
  <r>
    <x v="2233"/>
    <n v="38"/>
    <x v="0"/>
    <s v="Blouse"/>
    <x v="0"/>
    <n v="31"/>
    <x v="20"/>
    <s v="XL"/>
    <s v="Gray"/>
    <s v="Summer"/>
    <n v="4.5"/>
    <s v="No"/>
    <s v="Express"/>
    <s v="No"/>
    <s v="No"/>
    <n v="48"/>
    <s v="Credit Card"/>
    <s v="Monthly"/>
    <s v="Monthly"/>
    <n v="4"/>
  </r>
  <r>
    <x v="2234"/>
    <n v="35"/>
    <x v="0"/>
    <s v="Boots"/>
    <x v="1"/>
    <n v="66"/>
    <x v="13"/>
    <s v="S"/>
    <s v="Yellow"/>
    <s v="Winter"/>
    <n v="4"/>
    <s v="No"/>
    <s v="Express"/>
    <s v="No"/>
    <s v="No"/>
    <n v="26"/>
    <s v="Cash"/>
    <s v="Weekly"/>
    <s v="Weekly"/>
    <n v="1"/>
  </r>
  <r>
    <x v="2235"/>
    <n v="40"/>
    <x v="0"/>
    <s v="Socks"/>
    <x v="0"/>
    <n v="82"/>
    <x v="26"/>
    <s v="M"/>
    <s v="Gray"/>
    <s v="Spring"/>
    <n v="4.5"/>
    <s v="No"/>
    <s v="2-Day Shipping"/>
    <s v="No"/>
    <s v="No"/>
    <n v="44"/>
    <s v="Credit Card"/>
    <s v="Annually"/>
    <s v="Annually"/>
    <n v="6"/>
  </r>
  <r>
    <x v="2236"/>
    <n v="23"/>
    <x v="0"/>
    <s v="T-shirt"/>
    <x v="0"/>
    <n v="88"/>
    <x v="7"/>
    <s v="M"/>
    <s v="Yellow"/>
    <s v="Winter"/>
    <n v="2.7"/>
    <s v="No"/>
    <s v="Standard"/>
    <s v="No"/>
    <s v="No"/>
    <n v="18"/>
    <s v="Debit Card"/>
    <s v="Fortnightly"/>
    <s v="Fortnightly"/>
    <n v="3"/>
  </r>
  <r>
    <x v="2237"/>
    <n v="45"/>
    <x v="0"/>
    <s v="Sandals"/>
    <x v="1"/>
    <n v="34"/>
    <x v="15"/>
    <s v="S"/>
    <s v="Black"/>
    <s v="Summer"/>
    <n v="3.8"/>
    <s v="No"/>
    <s v="Next Day Air"/>
    <s v="No"/>
    <s v="No"/>
    <n v="31"/>
    <s v="Venmo"/>
    <s v="Every 3 Months"/>
    <s v="Quarterly"/>
    <n v="5"/>
  </r>
  <r>
    <x v="2238"/>
    <n v="40"/>
    <x v="0"/>
    <s v="Sneakers"/>
    <x v="1"/>
    <n v="84"/>
    <x v="20"/>
    <s v="L"/>
    <s v="Beige"/>
    <s v="Winter"/>
    <n v="3.8"/>
    <s v="No"/>
    <s v="Standard"/>
    <s v="No"/>
    <s v="No"/>
    <n v="18"/>
    <s v="Debit Card"/>
    <s v="Weekly"/>
    <s v="Weekly"/>
    <n v="1"/>
  </r>
  <r>
    <x v="2239"/>
    <n v="42"/>
    <x v="0"/>
    <s v="Jewelry"/>
    <x v="3"/>
    <n v="96"/>
    <x v="15"/>
    <s v="L"/>
    <s v="Indigo"/>
    <s v="Summer"/>
    <n v="3.8"/>
    <s v="No"/>
    <s v="2-Day Shipping"/>
    <s v="No"/>
    <s v="No"/>
    <n v="41"/>
    <s v="Credit Card"/>
    <s v="Every 3 Months"/>
    <s v="Quarterly"/>
    <n v="5"/>
  </r>
  <r>
    <x v="2240"/>
    <n v="57"/>
    <x v="0"/>
    <s v="Sandals"/>
    <x v="1"/>
    <n v="71"/>
    <x v="18"/>
    <s v="L"/>
    <s v="Green"/>
    <s v="Winter"/>
    <n v="4.3"/>
    <s v="No"/>
    <s v="Next Day Air"/>
    <s v="No"/>
    <s v="No"/>
    <n v="18"/>
    <s v="Debit Card"/>
    <s v="Every 3 Months"/>
    <s v="Quarterly"/>
    <n v="5"/>
  </r>
  <r>
    <x v="2241"/>
    <n v="18"/>
    <x v="0"/>
    <s v="Jacket"/>
    <x v="2"/>
    <n v="77"/>
    <x v="33"/>
    <s v="M"/>
    <s v="Purple"/>
    <s v="Summer"/>
    <n v="3.5"/>
    <s v="No"/>
    <s v="Free Shipping"/>
    <s v="No"/>
    <s v="No"/>
    <n v="3"/>
    <s v="Bank Transfer"/>
    <s v="Bi-Weekly"/>
    <s v="Bi-Weekly"/>
    <n v="2"/>
  </r>
  <r>
    <x v="2242"/>
    <n v="18"/>
    <x v="0"/>
    <s v="Skirt"/>
    <x v="0"/>
    <n v="66"/>
    <x v="22"/>
    <s v="M"/>
    <s v="Orange"/>
    <s v="Spring"/>
    <n v="3.8"/>
    <s v="No"/>
    <s v="Next Day Air"/>
    <s v="No"/>
    <s v="No"/>
    <n v="5"/>
    <s v="Credit Card"/>
    <s v="Bi-Weekly"/>
    <s v="Bi-Weekly"/>
    <n v="2"/>
  </r>
  <r>
    <x v="2243"/>
    <n v="56"/>
    <x v="0"/>
    <s v="Shirt"/>
    <x v="0"/>
    <n v="21"/>
    <x v="2"/>
    <s v="M"/>
    <s v="Teal"/>
    <s v="Winter"/>
    <n v="3.7"/>
    <s v="No"/>
    <s v="2-Day Shipping"/>
    <s v="No"/>
    <s v="No"/>
    <n v="13"/>
    <s v="Debit Card"/>
    <s v="Annually"/>
    <s v="Annually"/>
    <n v="6"/>
  </r>
  <r>
    <x v="2244"/>
    <n v="35"/>
    <x v="0"/>
    <s v="Shorts"/>
    <x v="0"/>
    <n v="37"/>
    <x v="36"/>
    <s v="M"/>
    <s v="Gold"/>
    <s v="Summer"/>
    <n v="4.8"/>
    <s v="No"/>
    <s v="2-Day Shipping"/>
    <s v="No"/>
    <s v="No"/>
    <n v="22"/>
    <s v="PayPal"/>
    <s v="Annually"/>
    <s v="Annually"/>
    <n v="6"/>
  </r>
  <r>
    <x v="2245"/>
    <n v="49"/>
    <x v="0"/>
    <s v="Socks"/>
    <x v="0"/>
    <n v="90"/>
    <x v="12"/>
    <s v="L"/>
    <s v="Gray"/>
    <s v="Fall"/>
    <n v="4.9000000000000004"/>
    <s v="No"/>
    <s v="Free Shipping"/>
    <s v="No"/>
    <s v="No"/>
    <n v="45"/>
    <s v="PayPal"/>
    <s v="Fortnightly"/>
    <s v="Fortnightly"/>
    <n v="3"/>
  </r>
  <r>
    <x v="2246"/>
    <n v="49"/>
    <x v="0"/>
    <s v="Jacket"/>
    <x v="2"/>
    <n v="96"/>
    <x v="11"/>
    <s v="M"/>
    <s v="Cyan"/>
    <s v="Fall"/>
    <n v="4.3"/>
    <s v="No"/>
    <s v="Store Pickup"/>
    <s v="No"/>
    <s v="No"/>
    <n v="39"/>
    <s v="PayPal"/>
    <s v="Every 3 Months"/>
    <s v="Quarterly"/>
    <n v="5"/>
  </r>
  <r>
    <x v="2247"/>
    <n v="34"/>
    <x v="0"/>
    <s v="Jewelry"/>
    <x v="3"/>
    <n v="37"/>
    <x v="20"/>
    <s v="L"/>
    <s v="Teal"/>
    <s v="Summer"/>
    <n v="4.4000000000000004"/>
    <s v="No"/>
    <s v="Next Day Air"/>
    <s v="No"/>
    <s v="No"/>
    <n v="18"/>
    <s v="Venmo"/>
    <s v="Annually"/>
    <s v="Annually"/>
    <n v="6"/>
  </r>
  <r>
    <x v="2248"/>
    <n v="63"/>
    <x v="0"/>
    <s v="T-shirt"/>
    <x v="0"/>
    <n v="66"/>
    <x v="3"/>
    <s v="M"/>
    <s v="Violet"/>
    <s v="Winter"/>
    <n v="3.4"/>
    <s v="No"/>
    <s v="Free Shipping"/>
    <s v="No"/>
    <s v="No"/>
    <n v="19"/>
    <s v="PayPal"/>
    <s v="Fortnightly"/>
    <s v="Fortnightly"/>
    <n v="3"/>
  </r>
  <r>
    <x v="2249"/>
    <n v="42"/>
    <x v="0"/>
    <s v="Gloves"/>
    <x v="3"/>
    <n v="45"/>
    <x v="5"/>
    <s v="XL"/>
    <s v="Indigo"/>
    <s v="Spring"/>
    <n v="4.3"/>
    <s v="No"/>
    <s v="Next Day Air"/>
    <s v="No"/>
    <s v="No"/>
    <n v="29"/>
    <s v="Debit Card"/>
    <s v="Weekly"/>
    <s v="Weekly"/>
    <n v="1"/>
  </r>
  <r>
    <x v="2250"/>
    <n v="41"/>
    <x v="0"/>
    <s v="Shoes"/>
    <x v="1"/>
    <n v="89"/>
    <x v="24"/>
    <s v="L"/>
    <s v="Pink"/>
    <s v="Summer"/>
    <n v="4.5999999999999996"/>
    <s v="No"/>
    <s v="Store Pickup"/>
    <s v="No"/>
    <s v="No"/>
    <n v="19"/>
    <s v="Credit Card"/>
    <s v="Weekly"/>
    <s v="Weekly"/>
    <n v="1"/>
  </r>
  <r>
    <x v="2251"/>
    <n v="26"/>
    <x v="0"/>
    <s v="Shoes"/>
    <x v="1"/>
    <n v="94"/>
    <x v="41"/>
    <s v="L"/>
    <s v="Gold"/>
    <s v="Fall"/>
    <n v="3.8"/>
    <s v="No"/>
    <s v="Free Shipping"/>
    <s v="No"/>
    <s v="No"/>
    <n v="22"/>
    <s v="Debit Card"/>
    <s v="Monthly"/>
    <s v="Monthly"/>
    <n v="4"/>
  </r>
  <r>
    <x v="2252"/>
    <n v="48"/>
    <x v="0"/>
    <s v="Shoes"/>
    <x v="1"/>
    <n v="96"/>
    <x v="43"/>
    <s v="S"/>
    <s v="Maroon"/>
    <s v="Summer"/>
    <n v="3.9"/>
    <s v="No"/>
    <s v="Express"/>
    <s v="No"/>
    <s v="No"/>
    <n v="21"/>
    <s v="Bank Transfer"/>
    <s v="Annually"/>
    <s v="Annually"/>
    <n v="6"/>
  </r>
  <r>
    <x v="2253"/>
    <n v="62"/>
    <x v="0"/>
    <s v="Hoodie"/>
    <x v="0"/>
    <n v="31"/>
    <x v="19"/>
    <s v="M"/>
    <s v="Brown"/>
    <s v="Spring"/>
    <n v="2.6"/>
    <s v="No"/>
    <s v="Store Pickup"/>
    <s v="No"/>
    <s v="No"/>
    <n v="22"/>
    <s v="PayPal"/>
    <s v="Monthly"/>
    <s v="Monthly"/>
    <n v="4"/>
  </r>
  <r>
    <x v="2254"/>
    <n v="24"/>
    <x v="0"/>
    <s v="Belt"/>
    <x v="3"/>
    <n v="79"/>
    <x v="25"/>
    <s v="M"/>
    <s v="Gold"/>
    <s v="Winter"/>
    <n v="4.2"/>
    <s v="No"/>
    <s v="Store Pickup"/>
    <s v="No"/>
    <s v="No"/>
    <n v="44"/>
    <s v="PayPal"/>
    <s v="Every 3 Months"/>
    <s v="Quarterly"/>
    <n v="5"/>
  </r>
  <r>
    <x v="2255"/>
    <n v="48"/>
    <x v="0"/>
    <s v="Coat"/>
    <x v="2"/>
    <n v="39"/>
    <x v="49"/>
    <s v="L"/>
    <s v="Teal"/>
    <s v="Spring"/>
    <n v="4.5999999999999996"/>
    <s v="No"/>
    <s v="Store Pickup"/>
    <s v="No"/>
    <s v="No"/>
    <n v="42"/>
    <s v="Bank Transfer"/>
    <s v="Quarterly"/>
    <s v="Quarterly"/>
    <n v="5"/>
  </r>
  <r>
    <x v="2256"/>
    <n v="31"/>
    <x v="0"/>
    <s v="Blouse"/>
    <x v="0"/>
    <n v="22"/>
    <x v="18"/>
    <s v="M"/>
    <s v="Turquoise"/>
    <s v="Fall"/>
    <n v="5"/>
    <s v="No"/>
    <s v="Standard"/>
    <s v="No"/>
    <s v="No"/>
    <n v="33"/>
    <s v="Credit Card"/>
    <s v="Quarterly"/>
    <s v="Quarterly"/>
    <n v="5"/>
  </r>
  <r>
    <x v="2257"/>
    <n v="41"/>
    <x v="0"/>
    <s v="Skirt"/>
    <x v="0"/>
    <n v="32"/>
    <x v="30"/>
    <s v="L"/>
    <s v="Olive"/>
    <s v="Fall"/>
    <n v="4.2"/>
    <s v="No"/>
    <s v="Standard"/>
    <s v="No"/>
    <s v="No"/>
    <n v="6"/>
    <s v="Bank Transfer"/>
    <s v="Annually"/>
    <s v="Annually"/>
    <n v="6"/>
  </r>
  <r>
    <x v="2258"/>
    <n v="24"/>
    <x v="0"/>
    <s v="T-shirt"/>
    <x v="0"/>
    <n v="71"/>
    <x v="31"/>
    <s v="L"/>
    <s v="Cyan"/>
    <s v="Winter"/>
    <n v="4.3"/>
    <s v="No"/>
    <s v="Store Pickup"/>
    <s v="No"/>
    <s v="No"/>
    <n v="44"/>
    <s v="Credit Card"/>
    <s v="Every 3 Months"/>
    <s v="Quarterly"/>
    <n v="5"/>
  </r>
  <r>
    <x v="2259"/>
    <n v="60"/>
    <x v="0"/>
    <s v="Jeans"/>
    <x v="0"/>
    <n v="96"/>
    <x v="20"/>
    <s v="XL"/>
    <s v="Beige"/>
    <s v="Spring"/>
    <n v="3.3"/>
    <s v="No"/>
    <s v="Free Shipping"/>
    <s v="No"/>
    <s v="No"/>
    <n v="24"/>
    <s v="Cash"/>
    <s v="Annually"/>
    <s v="Annually"/>
    <n v="6"/>
  </r>
  <r>
    <x v="2260"/>
    <n v="38"/>
    <x v="0"/>
    <s v="Scarf"/>
    <x v="3"/>
    <n v="82"/>
    <x v="9"/>
    <s v="M"/>
    <s v="Blue"/>
    <s v="Fall"/>
    <n v="4.9000000000000004"/>
    <s v="No"/>
    <s v="Express"/>
    <s v="No"/>
    <s v="No"/>
    <n v="16"/>
    <s v="PayPal"/>
    <s v="Quarterly"/>
    <s v="Quarterly"/>
    <n v="5"/>
  </r>
  <r>
    <x v="2261"/>
    <n v="58"/>
    <x v="0"/>
    <s v="Backpack"/>
    <x v="3"/>
    <n v="76"/>
    <x v="36"/>
    <s v="L"/>
    <s v="Gold"/>
    <s v="Spring"/>
    <n v="4.4000000000000004"/>
    <s v="No"/>
    <s v="Standard"/>
    <s v="No"/>
    <s v="No"/>
    <n v="12"/>
    <s v="Bank Transfer"/>
    <s v="Fortnightly"/>
    <s v="Fortnightly"/>
    <n v="3"/>
  </r>
  <r>
    <x v="2262"/>
    <n v="53"/>
    <x v="0"/>
    <s v="Backpack"/>
    <x v="3"/>
    <n v="22"/>
    <x v="28"/>
    <s v="M"/>
    <s v="Green"/>
    <s v="Winter"/>
    <n v="3.1"/>
    <s v="No"/>
    <s v="2-Day Shipping"/>
    <s v="No"/>
    <s v="No"/>
    <n v="50"/>
    <s v="PayPal"/>
    <s v="Monthly"/>
    <s v="Monthly"/>
    <n v="4"/>
  </r>
  <r>
    <x v="2263"/>
    <n v="44"/>
    <x v="0"/>
    <s v="Scarf"/>
    <x v="3"/>
    <n v="40"/>
    <x v="27"/>
    <s v="XL"/>
    <s v="Green"/>
    <s v="Winter"/>
    <n v="3.5"/>
    <s v="No"/>
    <s v="Store Pickup"/>
    <s v="No"/>
    <s v="No"/>
    <n v="42"/>
    <s v="Cash"/>
    <s v="Quarterly"/>
    <s v="Quarterly"/>
    <n v="5"/>
  </r>
  <r>
    <x v="2264"/>
    <n v="51"/>
    <x v="0"/>
    <s v="Hat"/>
    <x v="3"/>
    <n v="92"/>
    <x v="25"/>
    <s v="M"/>
    <s v="Turquoise"/>
    <s v="Summer"/>
    <n v="3.9"/>
    <s v="No"/>
    <s v="2-Day Shipping"/>
    <s v="No"/>
    <s v="No"/>
    <n v="50"/>
    <s v="PayPal"/>
    <s v="Monthly"/>
    <s v="Monthly"/>
    <n v="4"/>
  </r>
  <r>
    <x v="2265"/>
    <n v="36"/>
    <x v="0"/>
    <s v="Coat"/>
    <x v="2"/>
    <n v="94"/>
    <x v="6"/>
    <s v="XL"/>
    <s v="Yellow"/>
    <s v="Fall"/>
    <n v="3.9"/>
    <s v="No"/>
    <s v="Store Pickup"/>
    <s v="No"/>
    <s v="No"/>
    <n v="10"/>
    <s v="PayPal"/>
    <s v="Quarterly"/>
    <s v="Quarterly"/>
    <n v="5"/>
  </r>
  <r>
    <x v="2266"/>
    <n v="20"/>
    <x v="0"/>
    <s v="Dress"/>
    <x v="0"/>
    <n v="44"/>
    <x v="9"/>
    <s v="M"/>
    <s v="Yellow"/>
    <s v="Fall"/>
    <n v="4.3"/>
    <s v="No"/>
    <s v="Store Pickup"/>
    <s v="No"/>
    <s v="No"/>
    <n v="32"/>
    <s v="Debit Card"/>
    <s v="Weekly"/>
    <s v="Weekly"/>
    <n v="1"/>
  </r>
  <r>
    <x v="2267"/>
    <n v="32"/>
    <x v="0"/>
    <s v="Gloves"/>
    <x v="3"/>
    <n v="49"/>
    <x v="0"/>
    <s v="S"/>
    <s v="Blue"/>
    <s v="Spring"/>
    <n v="3.8"/>
    <s v="No"/>
    <s v="Express"/>
    <s v="No"/>
    <s v="No"/>
    <n v="37"/>
    <s v="Venmo"/>
    <s v="Weekly"/>
    <s v="Weekly"/>
    <n v="1"/>
  </r>
  <r>
    <x v="2268"/>
    <n v="66"/>
    <x v="0"/>
    <s v="Sweater"/>
    <x v="0"/>
    <n v="26"/>
    <x v="42"/>
    <s v="L"/>
    <s v="Charcoal"/>
    <s v="Spring"/>
    <n v="2.7"/>
    <s v="No"/>
    <s v="2-Day Shipping"/>
    <s v="No"/>
    <s v="No"/>
    <n v="15"/>
    <s v="Bank Transfer"/>
    <s v="Monthly"/>
    <s v="Monthly"/>
    <n v="4"/>
  </r>
  <r>
    <x v="2269"/>
    <n v="49"/>
    <x v="0"/>
    <s v="Skirt"/>
    <x v="0"/>
    <n v="38"/>
    <x v="0"/>
    <s v="M"/>
    <s v="Yellow"/>
    <s v="Fall"/>
    <n v="4.4000000000000004"/>
    <s v="No"/>
    <s v="Store Pickup"/>
    <s v="No"/>
    <s v="No"/>
    <n v="27"/>
    <s v="Credit Card"/>
    <s v="Annually"/>
    <s v="Annually"/>
    <n v="6"/>
  </r>
  <r>
    <x v="2270"/>
    <n v="27"/>
    <x v="0"/>
    <s v="Blouse"/>
    <x v="0"/>
    <n v="72"/>
    <x v="42"/>
    <s v="L"/>
    <s v="Purple"/>
    <s v="Spring"/>
    <n v="3.5"/>
    <s v="No"/>
    <s v="Express"/>
    <s v="No"/>
    <s v="No"/>
    <n v="7"/>
    <s v="Venmo"/>
    <s v="Weekly"/>
    <s v="Weekly"/>
    <n v="1"/>
  </r>
  <r>
    <x v="2271"/>
    <n v="29"/>
    <x v="0"/>
    <s v="Dress"/>
    <x v="0"/>
    <n v="99"/>
    <x v="29"/>
    <s v="M"/>
    <s v="Green"/>
    <s v="Summer"/>
    <n v="3.4"/>
    <s v="No"/>
    <s v="Free Shipping"/>
    <s v="No"/>
    <s v="No"/>
    <n v="49"/>
    <s v="PayPal"/>
    <s v="Quarterly"/>
    <s v="Quarterly"/>
    <n v="5"/>
  </r>
  <r>
    <x v="2272"/>
    <n v="29"/>
    <x v="0"/>
    <s v="Jacket"/>
    <x v="2"/>
    <n v="38"/>
    <x v="1"/>
    <s v="L"/>
    <s v="Charcoal"/>
    <s v="Spring"/>
    <n v="4"/>
    <s v="No"/>
    <s v="Standard"/>
    <s v="No"/>
    <s v="No"/>
    <n v="44"/>
    <s v="PayPal"/>
    <s v="Monthly"/>
    <s v="Monthly"/>
    <n v="4"/>
  </r>
  <r>
    <x v="2273"/>
    <n v="55"/>
    <x v="0"/>
    <s v="Coat"/>
    <x v="2"/>
    <n v="96"/>
    <x v="35"/>
    <s v="L"/>
    <s v="Silver"/>
    <s v="Winter"/>
    <n v="4.8"/>
    <s v="No"/>
    <s v="Express"/>
    <s v="No"/>
    <s v="No"/>
    <n v="13"/>
    <s v="PayPal"/>
    <s v="Bi-Weekly"/>
    <s v="Bi-Weekly"/>
    <n v="2"/>
  </r>
  <r>
    <x v="2274"/>
    <n v="57"/>
    <x v="0"/>
    <s v="Dress"/>
    <x v="0"/>
    <n v="27"/>
    <x v="14"/>
    <s v="L"/>
    <s v="Turquoise"/>
    <s v="Spring"/>
    <n v="4.5"/>
    <s v="No"/>
    <s v="Next Day Air"/>
    <s v="No"/>
    <s v="No"/>
    <n v="38"/>
    <s v="PayPal"/>
    <s v="Fortnightly"/>
    <s v="Fortnightly"/>
    <n v="3"/>
  </r>
  <r>
    <x v="2275"/>
    <n v="29"/>
    <x v="0"/>
    <s v="Shorts"/>
    <x v="0"/>
    <n v="24"/>
    <x v="19"/>
    <s v="M"/>
    <s v="Gray"/>
    <s v="Winter"/>
    <n v="4.4000000000000004"/>
    <s v="No"/>
    <s v="Standard"/>
    <s v="No"/>
    <s v="No"/>
    <n v="10"/>
    <s v="Debit Card"/>
    <s v="Weekly"/>
    <s v="Weekly"/>
    <n v="1"/>
  </r>
  <r>
    <x v="2276"/>
    <n v="31"/>
    <x v="0"/>
    <s v="Jeans"/>
    <x v="0"/>
    <n v="82"/>
    <x v="5"/>
    <s v="L"/>
    <s v="Red"/>
    <s v="Summer"/>
    <n v="4.0999999999999996"/>
    <s v="No"/>
    <s v="2-Day Shipping"/>
    <s v="No"/>
    <s v="No"/>
    <n v="25"/>
    <s v="Debit Card"/>
    <s v="Weekly"/>
    <s v="Weekly"/>
    <n v="1"/>
  </r>
  <r>
    <x v="2277"/>
    <n v="25"/>
    <x v="0"/>
    <s v="Hat"/>
    <x v="3"/>
    <n v="56"/>
    <x v="15"/>
    <s v="M"/>
    <s v="Beige"/>
    <s v="Summer"/>
    <n v="4.5999999999999996"/>
    <s v="No"/>
    <s v="Next Day Air"/>
    <s v="No"/>
    <s v="No"/>
    <n v="18"/>
    <s v="Credit Card"/>
    <s v="Quarterly"/>
    <s v="Quarterly"/>
    <n v="5"/>
  </r>
  <r>
    <x v="2278"/>
    <n v="61"/>
    <x v="0"/>
    <s v="Gloves"/>
    <x v="3"/>
    <n v="25"/>
    <x v="33"/>
    <s v="M"/>
    <s v="Maroon"/>
    <s v="Fall"/>
    <n v="3.8"/>
    <s v="No"/>
    <s v="Store Pickup"/>
    <s v="No"/>
    <s v="No"/>
    <n v="6"/>
    <s v="Cash"/>
    <s v="Every 3 Months"/>
    <s v="Quarterly"/>
    <n v="5"/>
  </r>
  <r>
    <x v="2279"/>
    <n v="53"/>
    <x v="0"/>
    <s v="Sneakers"/>
    <x v="1"/>
    <n v="67"/>
    <x v="8"/>
    <s v="L"/>
    <s v="Indigo"/>
    <s v="Spring"/>
    <n v="2.9"/>
    <s v="No"/>
    <s v="Free Shipping"/>
    <s v="No"/>
    <s v="No"/>
    <n v="35"/>
    <s v="Bank Transfer"/>
    <s v="Quarterly"/>
    <s v="Quarterly"/>
    <n v="5"/>
  </r>
  <r>
    <x v="2280"/>
    <n v="22"/>
    <x v="0"/>
    <s v="Shoes"/>
    <x v="1"/>
    <n v="21"/>
    <x v="0"/>
    <s v="M"/>
    <s v="Red"/>
    <s v="Summer"/>
    <n v="2.8"/>
    <s v="No"/>
    <s v="Standard"/>
    <s v="No"/>
    <s v="No"/>
    <n v="31"/>
    <s v="Credit Card"/>
    <s v="Fortnightly"/>
    <s v="Fortnightly"/>
    <n v="3"/>
  </r>
  <r>
    <x v="2281"/>
    <n v="28"/>
    <x v="0"/>
    <s v="Hoodie"/>
    <x v="0"/>
    <n v="27"/>
    <x v="23"/>
    <s v="XL"/>
    <s v="Maroon"/>
    <s v="Summer"/>
    <n v="3"/>
    <s v="No"/>
    <s v="Store Pickup"/>
    <s v="No"/>
    <s v="No"/>
    <n v="41"/>
    <s v="Bank Transfer"/>
    <s v="Annually"/>
    <s v="Annually"/>
    <n v="6"/>
  </r>
  <r>
    <x v="2282"/>
    <n v="18"/>
    <x v="0"/>
    <s v="Sneakers"/>
    <x v="1"/>
    <n v="97"/>
    <x v="37"/>
    <s v="S"/>
    <s v="Red"/>
    <s v="Fall"/>
    <n v="4.2"/>
    <s v="No"/>
    <s v="2-Day Shipping"/>
    <s v="No"/>
    <s v="No"/>
    <n v="8"/>
    <s v="Credit Card"/>
    <s v="Annually"/>
    <s v="Annually"/>
    <n v="6"/>
  </r>
  <r>
    <x v="2283"/>
    <n v="44"/>
    <x v="0"/>
    <s v="Handbag"/>
    <x v="3"/>
    <n v="45"/>
    <x v="31"/>
    <s v="S"/>
    <s v="Black"/>
    <s v="Winter"/>
    <n v="4.0999999999999996"/>
    <s v="No"/>
    <s v="Free Shipping"/>
    <s v="No"/>
    <s v="No"/>
    <n v="34"/>
    <s v="Credit Card"/>
    <s v="Fortnightly"/>
    <s v="Fortnightly"/>
    <n v="3"/>
  </r>
  <r>
    <x v="2284"/>
    <n v="32"/>
    <x v="0"/>
    <s v="Blouse"/>
    <x v="0"/>
    <n v="63"/>
    <x v="44"/>
    <s v="XL"/>
    <s v="Black"/>
    <s v="Fall"/>
    <n v="4.0999999999999996"/>
    <s v="No"/>
    <s v="Express"/>
    <s v="No"/>
    <s v="No"/>
    <n v="20"/>
    <s v="Venmo"/>
    <s v="Annually"/>
    <s v="Annually"/>
    <n v="6"/>
  </r>
  <r>
    <x v="2285"/>
    <n v="34"/>
    <x v="0"/>
    <s v="Belt"/>
    <x v="3"/>
    <n v="100"/>
    <x v="49"/>
    <s v="L"/>
    <s v="Pink"/>
    <s v="Summer"/>
    <n v="4.5999999999999996"/>
    <s v="No"/>
    <s v="2-Day Shipping"/>
    <s v="No"/>
    <s v="No"/>
    <n v="38"/>
    <s v="PayPal"/>
    <s v="Every 3 Months"/>
    <s v="Quarterly"/>
    <n v="5"/>
  </r>
  <r>
    <x v="2286"/>
    <n v="67"/>
    <x v="0"/>
    <s v="Socks"/>
    <x v="0"/>
    <n v="38"/>
    <x v="45"/>
    <s v="L"/>
    <s v="Blue"/>
    <s v="Spring"/>
    <n v="2.5"/>
    <s v="No"/>
    <s v="Store Pickup"/>
    <s v="No"/>
    <s v="No"/>
    <n v="35"/>
    <s v="Venmo"/>
    <s v="Quarterly"/>
    <s v="Quarterly"/>
    <n v="5"/>
  </r>
  <r>
    <x v="2287"/>
    <n v="66"/>
    <x v="0"/>
    <s v="Blouse"/>
    <x v="0"/>
    <n v="45"/>
    <x v="43"/>
    <s v="L"/>
    <s v="Green"/>
    <s v="Summer"/>
    <n v="3"/>
    <s v="No"/>
    <s v="Store Pickup"/>
    <s v="No"/>
    <s v="No"/>
    <n v="6"/>
    <s v="Debit Card"/>
    <s v="Annually"/>
    <s v="Annually"/>
    <n v="6"/>
  </r>
  <r>
    <x v="2288"/>
    <n v="28"/>
    <x v="0"/>
    <s v="Jewelry"/>
    <x v="3"/>
    <n v="91"/>
    <x v="18"/>
    <s v="M"/>
    <s v="Orange"/>
    <s v="Fall"/>
    <n v="3.8"/>
    <s v="No"/>
    <s v="Next Day Air"/>
    <s v="No"/>
    <s v="No"/>
    <n v="50"/>
    <s v="PayPal"/>
    <s v="Weekly"/>
    <s v="Weekly"/>
    <n v="1"/>
  </r>
  <r>
    <x v="2289"/>
    <n v="70"/>
    <x v="0"/>
    <s v="Shorts"/>
    <x v="0"/>
    <n v="82"/>
    <x v="22"/>
    <s v="M"/>
    <s v="Orange"/>
    <s v="Fall"/>
    <n v="4.0999999999999996"/>
    <s v="No"/>
    <s v="Free Shipping"/>
    <s v="No"/>
    <s v="No"/>
    <n v="47"/>
    <s v="Venmo"/>
    <s v="Weekly"/>
    <s v="Weekly"/>
    <n v="1"/>
  </r>
  <r>
    <x v="2290"/>
    <n v="37"/>
    <x v="0"/>
    <s v="Boots"/>
    <x v="1"/>
    <n v="48"/>
    <x v="23"/>
    <s v="L"/>
    <s v="Magenta"/>
    <s v="Winter"/>
    <n v="3.3"/>
    <s v="No"/>
    <s v="Standard"/>
    <s v="No"/>
    <s v="No"/>
    <n v="23"/>
    <s v="PayPal"/>
    <s v="Quarterly"/>
    <s v="Quarterly"/>
    <n v="5"/>
  </r>
  <r>
    <x v="2291"/>
    <n v="28"/>
    <x v="0"/>
    <s v="Coat"/>
    <x v="2"/>
    <n v="30"/>
    <x v="31"/>
    <s v="M"/>
    <s v="Indigo"/>
    <s v="Spring"/>
    <n v="5"/>
    <s v="No"/>
    <s v="2-Day Shipping"/>
    <s v="No"/>
    <s v="No"/>
    <n v="13"/>
    <s v="Credit Card"/>
    <s v="Quarterly"/>
    <s v="Quarterly"/>
    <n v="5"/>
  </r>
  <r>
    <x v="2292"/>
    <n v="43"/>
    <x v="0"/>
    <s v="T-shirt"/>
    <x v="0"/>
    <n v="34"/>
    <x v="34"/>
    <s v="S"/>
    <s v="Beige"/>
    <s v="Spring"/>
    <n v="3.8"/>
    <s v="No"/>
    <s v="Next Day Air"/>
    <s v="No"/>
    <s v="No"/>
    <n v="31"/>
    <s v="Debit Card"/>
    <s v="Monthly"/>
    <s v="Monthly"/>
    <n v="4"/>
  </r>
  <r>
    <x v="2293"/>
    <n v="37"/>
    <x v="0"/>
    <s v="Sweater"/>
    <x v="0"/>
    <n v="68"/>
    <x v="42"/>
    <s v="L"/>
    <s v="Green"/>
    <s v="Fall"/>
    <n v="3.3"/>
    <s v="No"/>
    <s v="Express"/>
    <s v="No"/>
    <s v="No"/>
    <n v="16"/>
    <s v="Debit Card"/>
    <s v="Every 3 Months"/>
    <s v="Quarterly"/>
    <n v="5"/>
  </r>
  <r>
    <x v="2294"/>
    <n v="54"/>
    <x v="0"/>
    <s v="Sunglasses"/>
    <x v="3"/>
    <n v="95"/>
    <x v="33"/>
    <s v="M"/>
    <s v="Red"/>
    <s v="Winter"/>
    <n v="5"/>
    <s v="No"/>
    <s v="Express"/>
    <s v="No"/>
    <s v="No"/>
    <n v="40"/>
    <s v="Debit Card"/>
    <s v="Annually"/>
    <s v="Annually"/>
    <n v="6"/>
  </r>
  <r>
    <x v="2295"/>
    <n v="50"/>
    <x v="0"/>
    <s v="Hat"/>
    <x v="3"/>
    <n v="22"/>
    <x v="39"/>
    <s v="L"/>
    <s v="Beige"/>
    <s v="Spring"/>
    <n v="2.9"/>
    <s v="No"/>
    <s v="2-Day Shipping"/>
    <s v="No"/>
    <s v="No"/>
    <n v="45"/>
    <s v="PayPal"/>
    <s v="Quarterly"/>
    <s v="Quarterly"/>
    <n v="5"/>
  </r>
  <r>
    <x v="2296"/>
    <n v="46"/>
    <x v="0"/>
    <s v="Gloves"/>
    <x v="3"/>
    <n v="88"/>
    <x v="47"/>
    <s v="M"/>
    <s v="Green"/>
    <s v="Fall"/>
    <n v="2.5"/>
    <s v="No"/>
    <s v="Next Day Air"/>
    <s v="No"/>
    <s v="No"/>
    <n v="50"/>
    <s v="Venmo"/>
    <s v="Every 3 Months"/>
    <s v="Quarterly"/>
    <n v="5"/>
  </r>
  <r>
    <x v="2297"/>
    <n v="60"/>
    <x v="0"/>
    <s v="Socks"/>
    <x v="0"/>
    <n v="83"/>
    <x v="18"/>
    <s v="M"/>
    <s v="Orange"/>
    <s v="Summer"/>
    <n v="4.7"/>
    <s v="No"/>
    <s v="Standard"/>
    <s v="No"/>
    <s v="No"/>
    <n v="1"/>
    <s v="Bank Transfer"/>
    <s v="Quarterly"/>
    <s v="Quarterly"/>
    <n v="5"/>
  </r>
  <r>
    <x v="2298"/>
    <n v="40"/>
    <x v="0"/>
    <s v="Handbag"/>
    <x v="3"/>
    <n v="87"/>
    <x v="6"/>
    <s v="L"/>
    <s v="Cyan"/>
    <s v="Spring"/>
    <n v="2.9"/>
    <s v="No"/>
    <s v="2-Day Shipping"/>
    <s v="No"/>
    <s v="No"/>
    <n v="10"/>
    <s v="Cash"/>
    <s v="Every 3 Months"/>
    <s v="Quarterly"/>
    <n v="5"/>
  </r>
  <r>
    <x v="2299"/>
    <n v="64"/>
    <x v="0"/>
    <s v="Coat"/>
    <x v="2"/>
    <n v="57"/>
    <x v="37"/>
    <s v="M"/>
    <s v="Violet"/>
    <s v="Summer"/>
    <n v="3.7"/>
    <s v="No"/>
    <s v="Store Pickup"/>
    <s v="No"/>
    <s v="No"/>
    <n v="48"/>
    <s v="Credit Card"/>
    <s v="Every 3 Months"/>
    <s v="Quarterly"/>
    <n v="5"/>
  </r>
  <r>
    <x v="2300"/>
    <n v="18"/>
    <x v="0"/>
    <s v="Coat"/>
    <x v="2"/>
    <n v="88"/>
    <x v="38"/>
    <s v="XL"/>
    <s v="Lavender"/>
    <s v="Summer"/>
    <n v="4.4000000000000004"/>
    <s v="No"/>
    <s v="2-Day Shipping"/>
    <s v="No"/>
    <s v="No"/>
    <n v="38"/>
    <s v="Credit Card"/>
    <s v="Monthly"/>
    <s v="Monthly"/>
    <n v="4"/>
  </r>
  <r>
    <x v="2301"/>
    <n v="37"/>
    <x v="0"/>
    <s v="Pants"/>
    <x v="0"/>
    <n v="20"/>
    <x v="1"/>
    <s v="L"/>
    <s v="Turquoise"/>
    <s v="Winter"/>
    <n v="2.9"/>
    <s v="No"/>
    <s v="Next Day Air"/>
    <s v="No"/>
    <s v="No"/>
    <n v="21"/>
    <s v="Debit Card"/>
    <s v="Annually"/>
    <s v="Annually"/>
    <n v="6"/>
  </r>
  <r>
    <x v="2302"/>
    <n v="36"/>
    <x v="0"/>
    <s v="Belt"/>
    <x v="3"/>
    <n v="39"/>
    <x v="6"/>
    <s v="L"/>
    <s v="Pink"/>
    <s v="Summer"/>
    <n v="3.6"/>
    <s v="No"/>
    <s v="Store Pickup"/>
    <s v="No"/>
    <s v="No"/>
    <n v="38"/>
    <s v="Venmo"/>
    <s v="Monthly"/>
    <s v="Monthly"/>
    <n v="4"/>
  </r>
  <r>
    <x v="2303"/>
    <n v="51"/>
    <x v="0"/>
    <s v="Sunglasses"/>
    <x v="3"/>
    <n v="71"/>
    <x v="32"/>
    <s v="S"/>
    <s v="Beige"/>
    <s v="Spring"/>
    <n v="4.8"/>
    <s v="No"/>
    <s v="2-Day Shipping"/>
    <s v="No"/>
    <s v="No"/>
    <n v="31"/>
    <s v="Credit Card"/>
    <s v="Fortnightly"/>
    <s v="Fortnightly"/>
    <n v="3"/>
  </r>
  <r>
    <x v="2304"/>
    <n v="26"/>
    <x v="0"/>
    <s v="Hoodie"/>
    <x v="0"/>
    <n v="73"/>
    <x v="7"/>
    <s v="L"/>
    <s v="Silver"/>
    <s v="Winter"/>
    <n v="4.7"/>
    <s v="No"/>
    <s v="Free Shipping"/>
    <s v="No"/>
    <s v="No"/>
    <n v="9"/>
    <s v="Debit Card"/>
    <s v="Fortnightly"/>
    <s v="Fortnightly"/>
    <n v="3"/>
  </r>
  <r>
    <x v="2305"/>
    <n v="68"/>
    <x v="0"/>
    <s v="Handbag"/>
    <x v="3"/>
    <n v="63"/>
    <x v="1"/>
    <s v="M"/>
    <s v="Gold"/>
    <s v="Summer"/>
    <n v="2.6"/>
    <s v="No"/>
    <s v="Free Shipping"/>
    <s v="No"/>
    <s v="No"/>
    <n v="47"/>
    <s v="Cash"/>
    <s v="Weekly"/>
    <s v="Weekly"/>
    <n v="1"/>
  </r>
  <r>
    <x v="2306"/>
    <n v="27"/>
    <x v="0"/>
    <s v="Gloves"/>
    <x v="3"/>
    <n v="78"/>
    <x v="20"/>
    <s v="L"/>
    <s v="Silver"/>
    <s v="Winter"/>
    <n v="3.4"/>
    <s v="No"/>
    <s v="Standard"/>
    <s v="No"/>
    <s v="No"/>
    <n v="8"/>
    <s v="Cash"/>
    <s v="Bi-Weekly"/>
    <s v="Bi-Weekly"/>
    <n v="2"/>
  </r>
  <r>
    <x v="2307"/>
    <n v="28"/>
    <x v="0"/>
    <s v="Skirt"/>
    <x v="0"/>
    <n v="96"/>
    <x v="9"/>
    <s v="L"/>
    <s v="Green"/>
    <s v="Fall"/>
    <n v="3.5"/>
    <s v="No"/>
    <s v="Next Day Air"/>
    <s v="No"/>
    <s v="No"/>
    <n v="30"/>
    <s v="Debit Card"/>
    <s v="Annually"/>
    <s v="Annually"/>
    <n v="6"/>
  </r>
  <r>
    <x v="2308"/>
    <n v="49"/>
    <x v="0"/>
    <s v="Sunglasses"/>
    <x v="3"/>
    <n v="81"/>
    <x v="25"/>
    <s v="M"/>
    <s v="Teal"/>
    <s v="Winter"/>
    <n v="3.4"/>
    <s v="No"/>
    <s v="2-Day Shipping"/>
    <s v="No"/>
    <s v="No"/>
    <n v="22"/>
    <s v="Bank Transfer"/>
    <s v="Quarterly"/>
    <s v="Quarterly"/>
    <n v="5"/>
  </r>
  <r>
    <x v="2309"/>
    <n v="70"/>
    <x v="0"/>
    <s v="Dress"/>
    <x v="0"/>
    <n v="95"/>
    <x v="39"/>
    <s v="S"/>
    <s v="Gold"/>
    <s v="Fall"/>
    <n v="5"/>
    <s v="No"/>
    <s v="2-Day Shipping"/>
    <s v="No"/>
    <s v="No"/>
    <n v="3"/>
    <s v="Bank Transfer"/>
    <s v="Quarterly"/>
    <s v="Quarterly"/>
    <n v="5"/>
  </r>
  <r>
    <x v="2310"/>
    <n v="30"/>
    <x v="0"/>
    <s v="Gloves"/>
    <x v="3"/>
    <n v="68"/>
    <x v="41"/>
    <s v="M"/>
    <s v="Cyan"/>
    <s v="Spring"/>
    <n v="4.5999999999999996"/>
    <s v="No"/>
    <s v="Standard"/>
    <s v="No"/>
    <s v="No"/>
    <n v="15"/>
    <s v="PayPal"/>
    <s v="Monthly"/>
    <s v="Monthly"/>
    <n v="4"/>
  </r>
  <r>
    <x v="2311"/>
    <n v="27"/>
    <x v="0"/>
    <s v="Sneakers"/>
    <x v="1"/>
    <n v="28"/>
    <x v="6"/>
    <s v="L"/>
    <s v="Gold"/>
    <s v="Spring"/>
    <n v="4.8"/>
    <s v="No"/>
    <s v="2-Day Shipping"/>
    <s v="No"/>
    <s v="No"/>
    <n v="10"/>
    <s v="Bank Transfer"/>
    <s v="Every 3 Months"/>
    <s v="Quarterly"/>
    <n v="5"/>
  </r>
  <r>
    <x v="2312"/>
    <n v="19"/>
    <x v="0"/>
    <s v="T-shirt"/>
    <x v="0"/>
    <n v="30"/>
    <x v="34"/>
    <s v="L"/>
    <s v="Violet"/>
    <s v="Summer"/>
    <n v="3.7"/>
    <s v="No"/>
    <s v="Free Shipping"/>
    <s v="No"/>
    <s v="No"/>
    <n v="19"/>
    <s v="Cash"/>
    <s v="Every 3 Months"/>
    <s v="Quarterly"/>
    <n v="5"/>
  </r>
  <r>
    <x v="2313"/>
    <n v="64"/>
    <x v="0"/>
    <s v="Dress"/>
    <x v="0"/>
    <n v="31"/>
    <x v="42"/>
    <s v="M"/>
    <s v="Black"/>
    <s v="Summer"/>
    <n v="4.7"/>
    <s v="No"/>
    <s v="Next Day Air"/>
    <s v="No"/>
    <s v="No"/>
    <n v="36"/>
    <s v="Bank Transfer"/>
    <s v="Fortnightly"/>
    <s v="Fortnightly"/>
    <n v="3"/>
  </r>
  <r>
    <x v="2314"/>
    <n v="42"/>
    <x v="0"/>
    <s v="Handbag"/>
    <x v="3"/>
    <n v="95"/>
    <x v="41"/>
    <s v="XL"/>
    <s v="Brown"/>
    <s v="Winter"/>
    <n v="4.4000000000000004"/>
    <s v="No"/>
    <s v="Express"/>
    <s v="No"/>
    <s v="No"/>
    <n v="12"/>
    <s v="Bank Transfer"/>
    <s v="Every 3 Months"/>
    <s v="Quarterly"/>
    <n v="5"/>
  </r>
  <r>
    <x v="2315"/>
    <n v="69"/>
    <x v="0"/>
    <s v="Socks"/>
    <x v="0"/>
    <n v="79"/>
    <x v="34"/>
    <s v="M"/>
    <s v="Indigo"/>
    <s v="Winter"/>
    <n v="3.5"/>
    <s v="No"/>
    <s v="2-Day Shipping"/>
    <s v="No"/>
    <s v="No"/>
    <n v="49"/>
    <s v="Debit Card"/>
    <s v="Quarterly"/>
    <s v="Quarterly"/>
    <n v="5"/>
  </r>
  <r>
    <x v="2316"/>
    <n v="28"/>
    <x v="0"/>
    <s v="Sneakers"/>
    <x v="1"/>
    <n v="39"/>
    <x v="6"/>
    <s v="L"/>
    <s v="Yellow"/>
    <s v="Winter"/>
    <n v="3.8"/>
    <s v="No"/>
    <s v="Standard"/>
    <s v="No"/>
    <s v="No"/>
    <n v="7"/>
    <s v="Debit Card"/>
    <s v="Annually"/>
    <s v="Annually"/>
    <n v="6"/>
  </r>
  <r>
    <x v="2317"/>
    <n v="47"/>
    <x v="0"/>
    <s v="Jacket"/>
    <x v="2"/>
    <n v="34"/>
    <x v="32"/>
    <s v="M"/>
    <s v="Purple"/>
    <s v="Summer"/>
    <n v="4.7"/>
    <s v="No"/>
    <s v="Next Day Air"/>
    <s v="No"/>
    <s v="No"/>
    <n v="28"/>
    <s v="Bank Transfer"/>
    <s v="Monthly"/>
    <s v="Monthly"/>
    <n v="4"/>
  </r>
  <r>
    <x v="2318"/>
    <n v="69"/>
    <x v="0"/>
    <s v="Hoodie"/>
    <x v="0"/>
    <n v="28"/>
    <x v="5"/>
    <s v="L"/>
    <s v="White"/>
    <s v="Spring"/>
    <n v="3.1"/>
    <s v="No"/>
    <s v="Store Pickup"/>
    <s v="No"/>
    <s v="No"/>
    <n v="30"/>
    <s v="Credit Card"/>
    <s v="Annually"/>
    <s v="Annually"/>
    <n v="6"/>
  </r>
  <r>
    <x v="2319"/>
    <n v="56"/>
    <x v="0"/>
    <s v="Sandals"/>
    <x v="1"/>
    <n v="38"/>
    <x v="1"/>
    <s v="XL"/>
    <s v="Turquoise"/>
    <s v="Winter"/>
    <n v="5"/>
    <s v="No"/>
    <s v="Free Shipping"/>
    <s v="No"/>
    <s v="No"/>
    <n v="29"/>
    <s v="PayPal"/>
    <s v="Monthly"/>
    <s v="Monthly"/>
    <n v="4"/>
  </r>
  <r>
    <x v="2320"/>
    <n v="28"/>
    <x v="0"/>
    <s v="Shoes"/>
    <x v="1"/>
    <n v="55"/>
    <x v="35"/>
    <s v="M"/>
    <s v="Olive"/>
    <s v="Spring"/>
    <n v="3.7"/>
    <s v="No"/>
    <s v="Free Shipping"/>
    <s v="No"/>
    <s v="No"/>
    <n v="9"/>
    <s v="Debit Card"/>
    <s v="Every 3 Months"/>
    <s v="Quarterly"/>
    <n v="5"/>
  </r>
  <r>
    <x v="2321"/>
    <n v="50"/>
    <x v="0"/>
    <s v="Sandals"/>
    <x v="1"/>
    <n v="31"/>
    <x v="24"/>
    <s v="M"/>
    <s v="Beige"/>
    <s v="Winter"/>
    <n v="3"/>
    <s v="No"/>
    <s v="Next Day Air"/>
    <s v="No"/>
    <s v="No"/>
    <n v="27"/>
    <s v="Debit Card"/>
    <s v="Fortnightly"/>
    <s v="Fortnightly"/>
    <n v="3"/>
  </r>
  <r>
    <x v="2322"/>
    <n v="39"/>
    <x v="0"/>
    <s v="Coat"/>
    <x v="2"/>
    <n v="84"/>
    <x v="39"/>
    <s v="S"/>
    <s v="Lavender"/>
    <s v="Spring"/>
    <n v="4.5"/>
    <s v="No"/>
    <s v="Store Pickup"/>
    <s v="No"/>
    <s v="No"/>
    <n v="21"/>
    <s v="Venmo"/>
    <s v="Fortnightly"/>
    <s v="Fortnightly"/>
    <n v="3"/>
  </r>
  <r>
    <x v="2323"/>
    <n v="35"/>
    <x v="0"/>
    <s v="Gloves"/>
    <x v="3"/>
    <n v="93"/>
    <x v="33"/>
    <s v="L"/>
    <s v="White"/>
    <s v="Winter"/>
    <n v="4.7"/>
    <s v="No"/>
    <s v="Express"/>
    <s v="No"/>
    <s v="No"/>
    <n v="36"/>
    <s v="Credit Card"/>
    <s v="Monthly"/>
    <s v="Monthly"/>
    <n v="4"/>
  </r>
  <r>
    <x v="2324"/>
    <n v="59"/>
    <x v="0"/>
    <s v="Coat"/>
    <x v="2"/>
    <n v="28"/>
    <x v="4"/>
    <s v="L"/>
    <s v="Brown"/>
    <s v="Winter"/>
    <n v="3.5"/>
    <s v="No"/>
    <s v="Free Shipping"/>
    <s v="No"/>
    <s v="No"/>
    <n v="19"/>
    <s v="Debit Card"/>
    <s v="Annually"/>
    <s v="Annually"/>
    <n v="6"/>
  </r>
  <r>
    <x v="2325"/>
    <n v="44"/>
    <x v="0"/>
    <s v="Boots"/>
    <x v="1"/>
    <n v="55"/>
    <x v="14"/>
    <s v="M"/>
    <s v="Charcoal"/>
    <s v="Summer"/>
    <n v="4.4000000000000004"/>
    <s v="No"/>
    <s v="2-Day Shipping"/>
    <s v="No"/>
    <s v="No"/>
    <n v="47"/>
    <s v="Cash"/>
    <s v="Weekly"/>
    <s v="Weekly"/>
    <n v="1"/>
  </r>
  <r>
    <x v="2326"/>
    <n v="66"/>
    <x v="0"/>
    <s v="Skirt"/>
    <x v="0"/>
    <n v="63"/>
    <x v="19"/>
    <s v="L"/>
    <s v="Maroon"/>
    <s v="Winter"/>
    <n v="2.6"/>
    <s v="No"/>
    <s v="Standard"/>
    <s v="No"/>
    <s v="No"/>
    <n v="38"/>
    <s v="Bank Transfer"/>
    <s v="Annually"/>
    <s v="Annually"/>
    <n v="6"/>
  </r>
  <r>
    <x v="2327"/>
    <n v="20"/>
    <x v="0"/>
    <s v="Skirt"/>
    <x v="0"/>
    <n v="94"/>
    <x v="15"/>
    <s v="M"/>
    <s v="Red"/>
    <s v="Winter"/>
    <n v="4.2"/>
    <s v="No"/>
    <s v="2-Day Shipping"/>
    <s v="No"/>
    <s v="No"/>
    <n v="22"/>
    <s v="Venmo"/>
    <s v="Bi-Weekly"/>
    <s v="Bi-Weekly"/>
    <n v="2"/>
  </r>
  <r>
    <x v="2328"/>
    <n v="45"/>
    <x v="0"/>
    <s v="Pants"/>
    <x v="0"/>
    <n v="36"/>
    <x v="25"/>
    <s v="M"/>
    <s v="Maroon"/>
    <s v="Fall"/>
    <n v="2.6"/>
    <s v="No"/>
    <s v="Express"/>
    <s v="No"/>
    <s v="No"/>
    <n v="29"/>
    <s v="Venmo"/>
    <s v="Bi-Weekly"/>
    <s v="Bi-Weekly"/>
    <n v="2"/>
  </r>
  <r>
    <x v="2329"/>
    <n v="49"/>
    <x v="0"/>
    <s v="Hat"/>
    <x v="3"/>
    <n v="97"/>
    <x v="43"/>
    <s v="S"/>
    <s v="Teal"/>
    <s v="Spring"/>
    <n v="4.8"/>
    <s v="No"/>
    <s v="Free Shipping"/>
    <s v="No"/>
    <s v="No"/>
    <n v="42"/>
    <s v="Bank Transfer"/>
    <s v="Annually"/>
    <s v="Annually"/>
    <n v="6"/>
  </r>
  <r>
    <x v="2330"/>
    <n v="60"/>
    <x v="0"/>
    <s v="Backpack"/>
    <x v="3"/>
    <n v="63"/>
    <x v="28"/>
    <s v="L"/>
    <s v="Orange"/>
    <s v="Summer"/>
    <n v="2.9"/>
    <s v="No"/>
    <s v="Store Pickup"/>
    <s v="No"/>
    <s v="No"/>
    <n v="47"/>
    <s v="PayPal"/>
    <s v="Every 3 Months"/>
    <s v="Quarterly"/>
    <n v="5"/>
  </r>
  <r>
    <x v="2331"/>
    <n v="61"/>
    <x v="0"/>
    <s v="Scarf"/>
    <x v="3"/>
    <n v="77"/>
    <x v="26"/>
    <s v="S"/>
    <s v="Olive"/>
    <s v="Spring"/>
    <n v="4.3"/>
    <s v="No"/>
    <s v="2-Day Shipping"/>
    <s v="No"/>
    <s v="No"/>
    <n v="10"/>
    <s v="Credit Card"/>
    <s v="Bi-Weekly"/>
    <s v="Bi-Weekly"/>
    <n v="2"/>
  </r>
  <r>
    <x v="2332"/>
    <n v="36"/>
    <x v="0"/>
    <s v="Scarf"/>
    <x v="3"/>
    <n v="53"/>
    <x v="36"/>
    <s v="XL"/>
    <s v="Olive"/>
    <s v="Fall"/>
    <n v="2.6"/>
    <s v="No"/>
    <s v="Store Pickup"/>
    <s v="No"/>
    <s v="No"/>
    <n v="10"/>
    <s v="Venmo"/>
    <s v="Monthly"/>
    <s v="Monthly"/>
    <n v="4"/>
  </r>
  <r>
    <x v="2333"/>
    <n v="33"/>
    <x v="0"/>
    <s v="Shirt"/>
    <x v="0"/>
    <n v="77"/>
    <x v="23"/>
    <s v="M"/>
    <s v="Beige"/>
    <s v="Spring"/>
    <n v="3.8"/>
    <s v="No"/>
    <s v="Next Day Air"/>
    <s v="No"/>
    <s v="No"/>
    <n v="1"/>
    <s v="PayPal"/>
    <s v="Every 3 Months"/>
    <s v="Quarterly"/>
    <n v="5"/>
  </r>
  <r>
    <x v="2334"/>
    <n v="49"/>
    <x v="0"/>
    <s v="Boots"/>
    <x v="1"/>
    <n v="79"/>
    <x v="23"/>
    <s v="L"/>
    <s v="Green"/>
    <s v="Summer"/>
    <n v="4.2"/>
    <s v="No"/>
    <s v="Standard"/>
    <s v="No"/>
    <s v="No"/>
    <n v="7"/>
    <s v="Credit Card"/>
    <s v="Monthly"/>
    <s v="Monthly"/>
    <n v="4"/>
  </r>
  <r>
    <x v="2335"/>
    <n v="31"/>
    <x v="0"/>
    <s v="Coat"/>
    <x v="2"/>
    <n v="37"/>
    <x v="37"/>
    <s v="M"/>
    <s v="Black"/>
    <s v="Summer"/>
    <n v="3.9"/>
    <s v="No"/>
    <s v="Store Pickup"/>
    <s v="No"/>
    <s v="No"/>
    <n v="10"/>
    <s v="Venmo"/>
    <s v="Fortnightly"/>
    <s v="Fortnightly"/>
    <n v="3"/>
  </r>
  <r>
    <x v="2336"/>
    <n v="19"/>
    <x v="0"/>
    <s v="Belt"/>
    <x v="3"/>
    <n v="94"/>
    <x v="18"/>
    <s v="M"/>
    <s v="Green"/>
    <s v="Winter"/>
    <n v="3.1"/>
    <s v="No"/>
    <s v="Free Shipping"/>
    <s v="No"/>
    <s v="No"/>
    <n v="11"/>
    <s v="Credit Card"/>
    <s v="Weekly"/>
    <s v="Weekly"/>
    <n v="1"/>
  </r>
  <r>
    <x v="2337"/>
    <n v="39"/>
    <x v="0"/>
    <s v="Boots"/>
    <x v="1"/>
    <n v="76"/>
    <x v="25"/>
    <s v="S"/>
    <s v="Violet"/>
    <s v="Fall"/>
    <n v="3.6"/>
    <s v="No"/>
    <s v="Store Pickup"/>
    <s v="No"/>
    <s v="No"/>
    <n v="5"/>
    <s v="Cash"/>
    <s v="Annually"/>
    <s v="Annually"/>
    <n v="6"/>
  </r>
  <r>
    <x v="2338"/>
    <n v="66"/>
    <x v="0"/>
    <s v="Sneakers"/>
    <x v="1"/>
    <n v="68"/>
    <x v="42"/>
    <s v="S"/>
    <s v="Silver"/>
    <s v="Fall"/>
    <n v="4"/>
    <s v="No"/>
    <s v="Express"/>
    <s v="No"/>
    <s v="No"/>
    <n v="21"/>
    <s v="PayPal"/>
    <s v="Quarterly"/>
    <s v="Quarterly"/>
    <n v="5"/>
  </r>
  <r>
    <x v="2339"/>
    <n v="25"/>
    <x v="0"/>
    <s v="Shirt"/>
    <x v="0"/>
    <n v="65"/>
    <x v="26"/>
    <s v="L"/>
    <s v="Maroon"/>
    <s v="Spring"/>
    <n v="3.4"/>
    <s v="No"/>
    <s v="Next Day Air"/>
    <s v="No"/>
    <s v="No"/>
    <n v="24"/>
    <s v="Bank Transfer"/>
    <s v="Quarterly"/>
    <s v="Quarterly"/>
    <n v="5"/>
  </r>
  <r>
    <x v="2340"/>
    <n v="63"/>
    <x v="0"/>
    <s v="Blouse"/>
    <x v="0"/>
    <n v="24"/>
    <x v="12"/>
    <s v="M"/>
    <s v="Cyan"/>
    <s v="Summer"/>
    <n v="2.6"/>
    <s v="No"/>
    <s v="Standard"/>
    <s v="No"/>
    <s v="No"/>
    <n v="37"/>
    <s v="Credit Card"/>
    <s v="Fortnightly"/>
    <s v="Fortnightly"/>
    <n v="3"/>
  </r>
  <r>
    <x v="2341"/>
    <n v="56"/>
    <x v="0"/>
    <s v="Jacket"/>
    <x v="2"/>
    <n v="31"/>
    <x v="39"/>
    <s v="L"/>
    <s v="Teal"/>
    <s v="Summer"/>
    <n v="4.5"/>
    <s v="No"/>
    <s v="Express"/>
    <s v="No"/>
    <s v="No"/>
    <n v="22"/>
    <s v="Venmo"/>
    <s v="Every 3 Months"/>
    <s v="Quarterly"/>
    <n v="5"/>
  </r>
  <r>
    <x v="2342"/>
    <n v="20"/>
    <x v="0"/>
    <s v="Skirt"/>
    <x v="0"/>
    <n v="89"/>
    <x v="30"/>
    <s v="M"/>
    <s v="Olive"/>
    <s v="Fall"/>
    <n v="4.9000000000000004"/>
    <s v="No"/>
    <s v="Standard"/>
    <s v="No"/>
    <s v="No"/>
    <n v="16"/>
    <s v="Debit Card"/>
    <s v="Fortnightly"/>
    <s v="Fortnightly"/>
    <n v="3"/>
  </r>
  <r>
    <x v="2343"/>
    <n v="58"/>
    <x v="0"/>
    <s v="Socks"/>
    <x v="0"/>
    <n v="49"/>
    <x v="33"/>
    <s v="M"/>
    <s v="Red"/>
    <s v="Summer"/>
    <n v="4.4000000000000004"/>
    <s v="No"/>
    <s v="2-Day Shipping"/>
    <s v="No"/>
    <s v="No"/>
    <n v="44"/>
    <s v="PayPal"/>
    <s v="Monthly"/>
    <s v="Monthly"/>
    <n v="4"/>
  </r>
  <r>
    <x v="2344"/>
    <n v="34"/>
    <x v="0"/>
    <s v="Sandals"/>
    <x v="1"/>
    <n v="92"/>
    <x v="3"/>
    <s v="XL"/>
    <s v="Lavender"/>
    <s v="Fall"/>
    <n v="3.5"/>
    <s v="No"/>
    <s v="Express"/>
    <s v="No"/>
    <s v="No"/>
    <n v="14"/>
    <s v="Venmo"/>
    <s v="Bi-Weekly"/>
    <s v="Bi-Weekly"/>
    <n v="2"/>
  </r>
  <r>
    <x v="2345"/>
    <n v="28"/>
    <x v="0"/>
    <s v="T-shirt"/>
    <x v="0"/>
    <n v="32"/>
    <x v="14"/>
    <s v="S"/>
    <s v="Orange"/>
    <s v="Winter"/>
    <n v="3.3"/>
    <s v="No"/>
    <s v="Express"/>
    <s v="No"/>
    <s v="No"/>
    <n v="23"/>
    <s v="Bank Transfer"/>
    <s v="Every 3 Months"/>
    <s v="Quarterly"/>
    <n v="5"/>
  </r>
  <r>
    <x v="2346"/>
    <n v="22"/>
    <x v="0"/>
    <s v="Jacket"/>
    <x v="2"/>
    <n v="67"/>
    <x v="35"/>
    <s v="L"/>
    <s v="Brown"/>
    <s v="Winter"/>
    <n v="3.1"/>
    <s v="No"/>
    <s v="Standard"/>
    <s v="No"/>
    <s v="No"/>
    <n v="46"/>
    <s v="Debit Card"/>
    <s v="Fortnightly"/>
    <s v="Fortnightly"/>
    <n v="3"/>
  </r>
  <r>
    <x v="2347"/>
    <n v="37"/>
    <x v="0"/>
    <s v="Belt"/>
    <x v="3"/>
    <n v="64"/>
    <x v="18"/>
    <s v="S"/>
    <s v="Gray"/>
    <s v="Fall"/>
    <n v="4.2"/>
    <s v="No"/>
    <s v="Express"/>
    <s v="No"/>
    <s v="No"/>
    <n v="46"/>
    <s v="Cash"/>
    <s v="Every 3 Months"/>
    <s v="Quarterly"/>
    <n v="5"/>
  </r>
  <r>
    <x v="2348"/>
    <n v="54"/>
    <x v="0"/>
    <s v="Shoes"/>
    <x v="1"/>
    <n v="84"/>
    <x v="1"/>
    <s v="M"/>
    <s v="Orange"/>
    <s v="Spring"/>
    <n v="4.9000000000000004"/>
    <s v="No"/>
    <s v="Next Day Air"/>
    <s v="No"/>
    <s v="No"/>
    <n v="16"/>
    <s v="PayPal"/>
    <s v="Every 3 Months"/>
    <s v="Quarterly"/>
    <n v="5"/>
  </r>
  <r>
    <x v="2349"/>
    <n v="65"/>
    <x v="0"/>
    <s v="Blouse"/>
    <x v="0"/>
    <n v="34"/>
    <x v="14"/>
    <s v="M"/>
    <s v="Orange"/>
    <s v="Fall"/>
    <n v="3.9"/>
    <s v="No"/>
    <s v="Standard"/>
    <s v="No"/>
    <s v="No"/>
    <n v="40"/>
    <s v="Credit Card"/>
    <s v="Every 3 Months"/>
    <s v="Quarterly"/>
    <n v="5"/>
  </r>
  <r>
    <x v="2350"/>
    <n v="57"/>
    <x v="0"/>
    <s v="Shoes"/>
    <x v="1"/>
    <n v="26"/>
    <x v="11"/>
    <s v="M"/>
    <s v="Turquoise"/>
    <s v="Winter"/>
    <n v="4.2"/>
    <s v="No"/>
    <s v="Free Shipping"/>
    <s v="No"/>
    <s v="No"/>
    <n v="21"/>
    <s v="Cash"/>
    <s v="Annually"/>
    <s v="Annually"/>
    <n v="6"/>
  </r>
  <r>
    <x v="2351"/>
    <n v="38"/>
    <x v="0"/>
    <s v="Sweater"/>
    <x v="0"/>
    <n v="50"/>
    <x v="13"/>
    <s v="S"/>
    <s v="Cyan"/>
    <s v="Fall"/>
    <n v="4.9000000000000004"/>
    <s v="No"/>
    <s v="Store Pickup"/>
    <s v="No"/>
    <s v="No"/>
    <n v="25"/>
    <s v="PayPal"/>
    <s v="Bi-Weekly"/>
    <s v="Bi-Weekly"/>
    <n v="2"/>
  </r>
  <r>
    <x v="2352"/>
    <n v="70"/>
    <x v="0"/>
    <s v="Boots"/>
    <x v="1"/>
    <n v="46"/>
    <x v="43"/>
    <s v="M"/>
    <s v="Yellow"/>
    <s v="Fall"/>
    <n v="2.8"/>
    <s v="No"/>
    <s v="Store Pickup"/>
    <s v="No"/>
    <s v="No"/>
    <n v="25"/>
    <s v="Bank Transfer"/>
    <s v="Quarterly"/>
    <s v="Quarterly"/>
    <n v="5"/>
  </r>
  <r>
    <x v="2353"/>
    <n v="56"/>
    <x v="0"/>
    <s v="Handbag"/>
    <x v="3"/>
    <n v="71"/>
    <x v="6"/>
    <s v="M"/>
    <s v="White"/>
    <s v="Fall"/>
    <n v="4.0999999999999996"/>
    <s v="No"/>
    <s v="Standard"/>
    <s v="No"/>
    <s v="No"/>
    <n v="25"/>
    <s v="Debit Card"/>
    <s v="Every 3 Months"/>
    <s v="Quarterly"/>
    <n v="5"/>
  </r>
  <r>
    <x v="2354"/>
    <n v="56"/>
    <x v="0"/>
    <s v="Blouse"/>
    <x v="0"/>
    <n v="78"/>
    <x v="48"/>
    <s v="M"/>
    <s v="Blue"/>
    <s v="Summer"/>
    <n v="4.8"/>
    <s v="No"/>
    <s v="Next Day Air"/>
    <s v="No"/>
    <s v="No"/>
    <n v="27"/>
    <s v="Venmo"/>
    <s v="Monthly"/>
    <s v="Monthly"/>
    <n v="4"/>
  </r>
  <r>
    <x v="2355"/>
    <n v="22"/>
    <x v="0"/>
    <s v="Skirt"/>
    <x v="0"/>
    <n v="35"/>
    <x v="30"/>
    <s v="S"/>
    <s v="Purple"/>
    <s v="Winter"/>
    <n v="4.0999999999999996"/>
    <s v="No"/>
    <s v="Next Day Air"/>
    <s v="No"/>
    <s v="No"/>
    <n v="12"/>
    <s v="Cash"/>
    <s v="Monthly"/>
    <s v="Monthly"/>
    <n v="4"/>
  </r>
  <r>
    <x v="2356"/>
    <n v="57"/>
    <x v="0"/>
    <s v="Backpack"/>
    <x v="3"/>
    <n v="58"/>
    <x v="6"/>
    <s v="M"/>
    <s v="Gray"/>
    <s v="Summer"/>
    <n v="3"/>
    <s v="No"/>
    <s v="Free Shipping"/>
    <s v="No"/>
    <s v="No"/>
    <n v="27"/>
    <s v="Debit Card"/>
    <s v="Quarterly"/>
    <s v="Quarterly"/>
    <n v="5"/>
  </r>
  <r>
    <x v="2357"/>
    <n v="53"/>
    <x v="0"/>
    <s v="Shirt"/>
    <x v="0"/>
    <n v="67"/>
    <x v="49"/>
    <s v="L"/>
    <s v="Cyan"/>
    <s v="Fall"/>
    <n v="4.2"/>
    <s v="No"/>
    <s v="2-Day Shipping"/>
    <s v="No"/>
    <s v="No"/>
    <n v="40"/>
    <s v="Credit Card"/>
    <s v="Bi-Weekly"/>
    <s v="Bi-Weekly"/>
    <n v="2"/>
  </r>
  <r>
    <x v="2358"/>
    <n v="53"/>
    <x v="0"/>
    <s v="Sweater"/>
    <x v="0"/>
    <n v="93"/>
    <x v="21"/>
    <s v="L"/>
    <s v="Pink"/>
    <s v="Spring"/>
    <n v="3.8"/>
    <s v="No"/>
    <s v="Standard"/>
    <s v="No"/>
    <s v="No"/>
    <n v="38"/>
    <s v="Credit Card"/>
    <s v="Quarterly"/>
    <s v="Quarterly"/>
    <n v="5"/>
  </r>
  <r>
    <x v="2359"/>
    <n v="19"/>
    <x v="0"/>
    <s v="Scarf"/>
    <x v="3"/>
    <n v="81"/>
    <x v="38"/>
    <s v="S"/>
    <s v="Gold"/>
    <s v="Spring"/>
    <n v="3.3"/>
    <s v="No"/>
    <s v="2-Day Shipping"/>
    <s v="No"/>
    <s v="No"/>
    <n v="44"/>
    <s v="Bank Transfer"/>
    <s v="Every 3 Months"/>
    <s v="Quarterly"/>
    <n v="5"/>
  </r>
  <r>
    <x v="2360"/>
    <n v="49"/>
    <x v="0"/>
    <s v="Handbag"/>
    <x v="3"/>
    <n v="80"/>
    <x v="14"/>
    <s v="L"/>
    <s v="Silver"/>
    <s v="Fall"/>
    <n v="4.7"/>
    <s v="No"/>
    <s v="2-Day Shipping"/>
    <s v="No"/>
    <s v="No"/>
    <n v="27"/>
    <s v="Venmo"/>
    <s v="Every 3 Months"/>
    <s v="Quarterly"/>
    <n v="5"/>
  </r>
  <r>
    <x v="2361"/>
    <n v="44"/>
    <x v="0"/>
    <s v="Scarf"/>
    <x v="3"/>
    <n v="64"/>
    <x v="15"/>
    <s v="M"/>
    <s v="Gray"/>
    <s v="Spring"/>
    <n v="4.3"/>
    <s v="No"/>
    <s v="2-Day Shipping"/>
    <s v="No"/>
    <s v="No"/>
    <n v="30"/>
    <s v="Credit Card"/>
    <s v="Every 3 Months"/>
    <s v="Quarterly"/>
    <n v="5"/>
  </r>
  <r>
    <x v="2362"/>
    <n v="27"/>
    <x v="0"/>
    <s v="Jeans"/>
    <x v="0"/>
    <n v="41"/>
    <x v="41"/>
    <s v="M"/>
    <s v="Brown"/>
    <s v="Fall"/>
    <n v="2.7"/>
    <s v="No"/>
    <s v="Standard"/>
    <s v="No"/>
    <s v="No"/>
    <n v="24"/>
    <s v="Credit Card"/>
    <s v="Monthly"/>
    <s v="Monthly"/>
    <n v="4"/>
  </r>
  <r>
    <x v="2363"/>
    <n v="60"/>
    <x v="0"/>
    <s v="Socks"/>
    <x v="0"/>
    <n v="79"/>
    <x v="38"/>
    <s v="XL"/>
    <s v="Pink"/>
    <s v="Winter"/>
    <n v="4.2"/>
    <s v="No"/>
    <s v="Express"/>
    <s v="No"/>
    <s v="No"/>
    <n v="38"/>
    <s v="Cash"/>
    <s v="Bi-Weekly"/>
    <s v="Bi-Weekly"/>
    <n v="2"/>
  </r>
  <r>
    <x v="2364"/>
    <n v="62"/>
    <x v="0"/>
    <s v="Sunglasses"/>
    <x v="3"/>
    <n v="60"/>
    <x v="16"/>
    <s v="L"/>
    <s v="Maroon"/>
    <s v="Winter"/>
    <n v="4.2"/>
    <s v="No"/>
    <s v="Free Shipping"/>
    <s v="No"/>
    <s v="No"/>
    <n v="4"/>
    <s v="PayPal"/>
    <s v="Quarterly"/>
    <s v="Quarterly"/>
    <n v="5"/>
  </r>
  <r>
    <x v="2365"/>
    <n v="52"/>
    <x v="0"/>
    <s v="Sneakers"/>
    <x v="1"/>
    <n v="91"/>
    <x v="5"/>
    <s v="S"/>
    <s v="Peach"/>
    <s v="Winter"/>
    <n v="2.5"/>
    <s v="No"/>
    <s v="Next Day Air"/>
    <s v="No"/>
    <s v="No"/>
    <n v="32"/>
    <s v="Venmo"/>
    <s v="Monthly"/>
    <s v="Monthly"/>
    <n v="4"/>
  </r>
  <r>
    <x v="2366"/>
    <n v="30"/>
    <x v="0"/>
    <s v="Shoes"/>
    <x v="1"/>
    <n v="66"/>
    <x v="35"/>
    <s v="L"/>
    <s v="Brown"/>
    <s v="Winter"/>
    <n v="3.6"/>
    <s v="No"/>
    <s v="Express"/>
    <s v="No"/>
    <s v="No"/>
    <n v="32"/>
    <s v="Credit Card"/>
    <s v="Fortnightly"/>
    <s v="Fortnightly"/>
    <n v="3"/>
  </r>
  <r>
    <x v="2367"/>
    <n v="66"/>
    <x v="0"/>
    <s v="Socks"/>
    <x v="0"/>
    <n v="85"/>
    <x v="25"/>
    <s v="L"/>
    <s v="Green"/>
    <s v="Winter"/>
    <n v="3.4"/>
    <s v="No"/>
    <s v="Standard"/>
    <s v="No"/>
    <s v="No"/>
    <n v="28"/>
    <s v="Bank Transfer"/>
    <s v="Bi-Weekly"/>
    <s v="Bi-Weekly"/>
    <n v="2"/>
  </r>
  <r>
    <x v="2368"/>
    <n v="29"/>
    <x v="0"/>
    <s v="Sunglasses"/>
    <x v="3"/>
    <n v="38"/>
    <x v="32"/>
    <s v="M"/>
    <s v="Lavender"/>
    <s v="Summer"/>
    <n v="3.3"/>
    <s v="No"/>
    <s v="Standard"/>
    <s v="No"/>
    <s v="No"/>
    <n v="6"/>
    <s v="Debit Card"/>
    <s v="Every 3 Months"/>
    <s v="Quarterly"/>
    <n v="5"/>
  </r>
  <r>
    <x v="2369"/>
    <n v="24"/>
    <x v="0"/>
    <s v="Sweater"/>
    <x v="0"/>
    <n v="23"/>
    <x v="34"/>
    <s v="M"/>
    <s v="Cyan"/>
    <s v="Winter"/>
    <n v="4.5999999999999996"/>
    <s v="No"/>
    <s v="Standard"/>
    <s v="No"/>
    <s v="No"/>
    <n v="24"/>
    <s v="PayPal"/>
    <s v="Monthly"/>
    <s v="Monthly"/>
    <n v="4"/>
  </r>
  <r>
    <x v="2370"/>
    <n v="51"/>
    <x v="0"/>
    <s v="Shoes"/>
    <x v="1"/>
    <n v="71"/>
    <x v="29"/>
    <s v="M"/>
    <s v="Black"/>
    <s v="Spring"/>
    <n v="3.9"/>
    <s v="No"/>
    <s v="Store Pickup"/>
    <s v="No"/>
    <s v="No"/>
    <n v="38"/>
    <s v="Venmo"/>
    <s v="Weekly"/>
    <s v="Weekly"/>
    <n v="1"/>
  </r>
  <r>
    <x v="2371"/>
    <n v="67"/>
    <x v="0"/>
    <s v="Socks"/>
    <x v="0"/>
    <n v="25"/>
    <x v="27"/>
    <s v="M"/>
    <s v="Charcoal"/>
    <s v="Winter"/>
    <n v="3.7"/>
    <s v="No"/>
    <s v="Next Day Air"/>
    <s v="No"/>
    <s v="No"/>
    <n v="28"/>
    <s v="Debit Card"/>
    <s v="Annually"/>
    <s v="Annually"/>
    <n v="6"/>
  </r>
  <r>
    <x v="2372"/>
    <n v="50"/>
    <x v="0"/>
    <s v="Boots"/>
    <x v="1"/>
    <n v="39"/>
    <x v="15"/>
    <s v="XL"/>
    <s v="Silver"/>
    <s v="Spring"/>
    <n v="3.1"/>
    <s v="No"/>
    <s v="Express"/>
    <s v="No"/>
    <s v="No"/>
    <n v="9"/>
    <s v="PayPal"/>
    <s v="Fortnightly"/>
    <s v="Fortnightly"/>
    <n v="3"/>
  </r>
  <r>
    <x v="2373"/>
    <n v="37"/>
    <x v="0"/>
    <s v="Hoodie"/>
    <x v="0"/>
    <n v="20"/>
    <x v="49"/>
    <s v="M"/>
    <s v="Gray"/>
    <s v="Spring"/>
    <n v="4.9000000000000004"/>
    <s v="No"/>
    <s v="Express"/>
    <s v="No"/>
    <s v="No"/>
    <n v="21"/>
    <s v="Debit Card"/>
    <s v="Every 3 Months"/>
    <s v="Quarterly"/>
    <n v="5"/>
  </r>
  <r>
    <x v="2374"/>
    <n v="69"/>
    <x v="0"/>
    <s v="Gloves"/>
    <x v="3"/>
    <n v="73"/>
    <x v="47"/>
    <s v="L"/>
    <s v="Peach"/>
    <s v="Winter"/>
    <n v="4.7"/>
    <s v="No"/>
    <s v="Standard"/>
    <s v="No"/>
    <s v="No"/>
    <n v="31"/>
    <s v="Debit Card"/>
    <s v="Monthly"/>
    <s v="Monthly"/>
    <n v="4"/>
  </r>
  <r>
    <x v="2375"/>
    <n v="60"/>
    <x v="0"/>
    <s v="Backpack"/>
    <x v="3"/>
    <n v="63"/>
    <x v="41"/>
    <s v="L"/>
    <s v="Peach"/>
    <s v="Fall"/>
    <n v="2.9"/>
    <s v="No"/>
    <s v="Next Day Air"/>
    <s v="No"/>
    <s v="No"/>
    <n v="18"/>
    <s v="Credit Card"/>
    <s v="Quarterly"/>
    <s v="Quarterly"/>
    <n v="5"/>
  </r>
  <r>
    <x v="2376"/>
    <n v="21"/>
    <x v="0"/>
    <s v="Gloves"/>
    <x v="3"/>
    <n v="94"/>
    <x v="30"/>
    <s v="XL"/>
    <s v="Cyan"/>
    <s v="Spring"/>
    <n v="4.0999999999999996"/>
    <s v="No"/>
    <s v="Express"/>
    <s v="No"/>
    <s v="No"/>
    <n v="5"/>
    <s v="Cash"/>
    <s v="Weekly"/>
    <s v="Weekly"/>
    <n v="1"/>
  </r>
  <r>
    <x v="2377"/>
    <n v="44"/>
    <x v="0"/>
    <s v="Blouse"/>
    <x v="0"/>
    <n v="94"/>
    <x v="45"/>
    <s v="L"/>
    <s v="Magenta"/>
    <s v="Fall"/>
    <n v="4"/>
    <s v="No"/>
    <s v="Next Day Air"/>
    <s v="No"/>
    <s v="No"/>
    <n v="22"/>
    <s v="Cash"/>
    <s v="Annually"/>
    <s v="Annually"/>
    <n v="6"/>
  </r>
  <r>
    <x v="2378"/>
    <n v="26"/>
    <x v="0"/>
    <s v="Scarf"/>
    <x v="3"/>
    <n v="71"/>
    <x v="13"/>
    <s v="L"/>
    <s v="Teal"/>
    <s v="Summer"/>
    <n v="2.7"/>
    <s v="No"/>
    <s v="Store Pickup"/>
    <s v="No"/>
    <s v="No"/>
    <n v="37"/>
    <s v="PayPal"/>
    <s v="Bi-Weekly"/>
    <s v="Bi-Weekly"/>
    <n v="2"/>
  </r>
  <r>
    <x v="2379"/>
    <n v="40"/>
    <x v="0"/>
    <s v="Hat"/>
    <x v="3"/>
    <n v="77"/>
    <x v="45"/>
    <s v="M"/>
    <s v="Peach"/>
    <s v="Spring"/>
    <n v="4"/>
    <s v="No"/>
    <s v="2-Day Shipping"/>
    <s v="No"/>
    <s v="No"/>
    <n v="22"/>
    <s v="Debit Card"/>
    <s v="Monthly"/>
    <s v="Monthly"/>
    <n v="4"/>
  </r>
  <r>
    <x v="2380"/>
    <n v="41"/>
    <x v="0"/>
    <s v="Scarf"/>
    <x v="3"/>
    <n v="66"/>
    <x v="38"/>
    <s v="M"/>
    <s v="Black"/>
    <s v="Fall"/>
    <n v="2.5"/>
    <s v="No"/>
    <s v="Next Day Air"/>
    <s v="No"/>
    <s v="No"/>
    <n v="36"/>
    <s v="PayPal"/>
    <s v="Fortnightly"/>
    <s v="Fortnightly"/>
    <n v="3"/>
  </r>
  <r>
    <x v="2381"/>
    <n v="62"/>
    <x v="0"/>
    <s v="Sandals"/>
    <x v="1"/>
    <n v="23"/>
    <x v="48"/>
    <s v="M"/>
    <s v="Teal"/>
    <s v="Summer"/>
    <n v="4.5"/>
    <s v="No"/>
    <s v="Free Shipping"/>
    <s v="No"/>
    <s v="No"/>
    <n v="23"/>
    <s v="PayPal"/>
    <s v="Annually"/>
    <s v="Annually"/>
    <n v="6"/>
  </r>
  <r>
    <x v="2382"/>
    <n v="39"/>
    <x v="0"/>
    <s v="Sweater"/>
    <x v="0"/>
    <n v="60"/>
    <x v="18"/>
    <s v="M"/>
    <s v="Turquoise"/>
    <s v="Spring"/>
    <n v="3.9"/>
    <s v="No"/>
    <s v="Express"/>
    <s v="No"/>
    <s v="No"/>
    <n v="44"/>
    <s v="Debit Card"/>
    <s v="Weekly"/>
    <s v="Weekly"/>
    <n v="1"/>
  </r>
  <r>
    <x v="2383"/>
    <n v="53"/>
    <x v="0"/>
    <s v="Backpack"/>
    <x v="3"/>
    <n v="72"/>
    <x v="3"/>
    <s v="L"/>
    <s v="Gold"/>
    <s v="Spring"/>
    <n v="4.9000000000000004"/>
    <s v="No"/>
    <s v="2-Day Shipping"/>
    <s v="No"/>
    <s v="No"/>
    <n v="25"/>
    <s v="Bank Transfer"/>
    <s v="Annually"/>
    <s v="Annually"/>
    <n v="6"/>
  </r>
  <r>
    <x v="2384"/>
    <n v="24"/>
    <x v="0"/>
    <s v="Blouse"/>
    <x v="0"/>
    <n v="35"/>
    <x v="15"/>
    <s v="L"/>
    <s v="Green"/>
    <s v="Winter"/>
    <n v="3.3"/>
    <s v="No"/>
    <s v="2-Day Shipping"/>
    <s v="No"/>
    <s v="No"/>
    <n v="40"/>
    <s v="PayPal"/>
    <s v="Quarterly"/>
    <s v="Quarterly"/>
    <n v="5"/>
  </r>
  <r>
    <x v="2385"/>
    <n v="41"/>
    <x v="0"/>
    <s v="Scarf"/>
    <x v="3"/>
    <n v="31"/>
    <x v="19"/>
    <s v="M"/>
    <s v="Brown"/>
    <s v="Fall"/>
    <n v="3.8"/>
    <s v="No"/>
    <s v="Express"/>
    <s v="No"/>
    <s v="No"/>
    <n v="12"/>
    <s v="PayPal"/>
    <s v="Weekly"/>
    <s v="Weekly"/>
    <n v="1"/>
  </r>
  <r>
    <x v="2386"/>
    <n v="19"/>
    <x v="0"/>
    <s v="Socks"/>
    <x v="0"/>
    <n v="33"/>
    <x v="26"/>
    <s v="L"/>
    <s v="Blue"/>
    <s v="Summer"/>
    <n v="2.9"/>
    <s v="No"/>
    <s v="Standard"/>
    <s v="No"/>
    <s v="No"/>
    <n v="14"/>
    <s v="Venmo"/>
    <s v="Monthly"/>
    <s v="Monthly"/>
    <n v="4"/>
  </r>
  <r>
    <x v="2387"/>
    <n v="36"/>
    <x v="0"/>
    <s v="Hat"/>
    <x v="3"/>
    <n v="95"/>
    <x v="30"/>
    <s v="M"/>
    <s v="Gold"/>
    <s v="Summer"/>
    <n v="4"/>
    <s v="No"/>
    <s v="2-Day Shipping"/>
    <s v="No"/>
    <s v="No"/>
    <n v="14"/>
    <s v="Debit Card"/>
    <s v="Monthly"/>
    <s v="Monthly"/>
    <n v="4"/>
  </r>
  <r>
    <x v="2388"/>
    <n v="21"/>
    <x v="0"/>
    <s v="Dress"/>
    <x v="0"/>
    <n v="68"/>
    <x v="15"/>
    <s v="M"/>
    <s v="Peach"/>
    <s v="Fall"/>
    <n v="4.0999999999999996"/>
    <s v="No"/>
    <s v="Store Pickup"/>
    <s v="No"/>
    <s v="No"/>
    <n v="10"/>
    <s v="Debit Card"/>
    <s v="Annually"/>
    <s v="Annually"/>
    <n v="6"/>
  </r>
  <r>
    <x v="2389"/>
    <n v="25"/>
    <x v="0"/>
    <s v="Coat"/>
    <x v="2"/>
    <n v="87"/>
    <x v="23"/>
    <s v="M"/>
    <s v="Violet"/>
    <s v="Spring"/>
    <n v="3.1"/>
    <s v="No"/>
    <s v="Store Pickup"/>
    <s v="No"/>
    <s v="No"/>
    <n v="17"/>
    <s v="Bank Transfer"/>
    <s v="Every 3 Months"/>
    <s v="Quarterly"/>
    <n v="5"/>
  </r>
  <r>
    <x v="2390"/>
    <n v="65"/>
    <x v="0"/>
    <s v="Shirt"/>
    <x v="0"/>
    <n v="64"/>
    <x v="28"/>
    <s v="XL"/>
    <s v="Yellow"/>
    <s v="Winter"/>
    <n v="4.5999999999999996"/>
    <s v="No"/>
    <s v="Express"/>
    <s v="No"/>
    <s v="No"/>
    <n v="24"/>
    <s v="Debit Card"/>
    <s v="Fortnightly"/>
    <s v="Fortnightly"/>
    <n v="3"/>
  </r>
  <r>
    <x v="2391"/>
    <n v="42"/>
    <x v="0"/>
    <s v="Shirt"/>
    <x v="0"/>
    <n v="74"/>
    <x v="49"/>
    <s v="M"/>
    <s v="Black"/>
    <s v="Winter"/>
    <n v="4.5999999999999996"/>
    <s v="No"/>
    <s v="Next Day Air"/>
    <s v="No"/>
    <s v="No"/>
    <n v="31"/>
    <s v="Bank Transfer"/>
    <s v="Quarterly"/>
    <s v="Quarterly"/>
    <n v="5"/>
  </r>
  <r>
    <x v="2392"/>
    <n v="40"/>
    <x v="0"/>
    <s v="Jeans"/>
    <x v="0"/>
    <n v="62"/>
    <x v="9"/>
    <s v="L"/>
    <s v="Silver"/>
    <s v="Spring"/>
    <n v="2.6"/>
    <s v="No"/>
    <s v="2-Day Shipping"/>
    <s v="No"/>
    <s v="No"/>
    <n v="36"/>
    <s v="Cash"/>
    <s v="Annually"/>
    <s v="Annually"/>
    <n v="6"/>
  </r>
  <r>
    <x v="2393"/>
    <n v="58"/>
    <x v="0"/>
    <s v="Socks"/>
    <x v="0"/>
    <n v="97"/>
    <x v="7"/>
    <s v="M"/>
    <s v="Brown"/>
    <s v="Winter"/>
    <n v="5"/>
    <s v="No"/>
    <s v="2-Day Shipping"/>
    <s v="No"/>
    <s v="No"/>
    <n v="38"/>
    <s v="PayPal"/>
    <s v="Every 3 Months"/>
    <s v="Quarterly"/>
    <n v="5"/>
  </r>
  <r>
    <x v="2394"/>
    <n v="40"/>
    <x v="0"/>
    <s v="Sandals"/>
    <x v="1"/>
    <n v="47"/>
    <x v="39"/>
    <s v="L"/>
    <s v="Peach"/>
    <s v="Fall"/>
    <n v="2.9"/>
    <s v="No"/>
    <s v="2-Day Shipping"/>
    <s v="No"/>
    <s v="No"/>
    <n v="23"/>
    <s v="Debit Card"/>
    <s v="Fortnightly"/>
    <s v="Fortnightly"/>
    <n v="3"/>
  </r>
  <r>
    <x v="2395"/>
    <n v="62"/>
    <x v="0"/>
    <s v="Blouse"/>
    <x v="0"/>
    <n v="83"/>
    <x v="39"/>
    <s v="M"/>
    <s v="Cyan"/>
    <s v="Winter"/>
    <n v="3.5"/>
    <s v="No"/>
    <s v="2-Day Shipping"/>
    <s v="No"/>
    <s v="No"/>
    <n v="47"/>
    <s v="PayPal"/>
    <s v="Bi-Weekly"/>
    <s v="Bi-Weekly"/>
    <n v="2"/>
  </r>
  <r>
    <x v="2396"/>
    <n v="38"/>
    <x v="0"/>
    <s v="Shirt"/>
    <x v="0"/>
    <n v="82"/>
    <x v="4"/>
    <s v="M"/>
    <s v="Olive"/>
    <s v="Spring"/>
    <n v="3.7"/>
    <s v="No"/>
    <s v="2-Day Shipping"/>
    <s v="No"/>
    <s v="No"/>
    <n v="20"/>
    <s v="Venmo"/>
    <s v="Weekly"/>
    <s v="Weekly"/>
    <n v="1"/>
  </r>
  <r>
    <x v="2397"/>
    <n v="37"/>
    <x v="0"/>
    <s v="Sunglasses"/>
    <x v="3"/>
    <n v="26"/>
    <x v="8"/>
    <s v="L"/>
    <s v="Black"/>
    <s v="Fall"/>
    <n v="2.9"/>
    <s v="No"/>
    <s v="Store Pickup"/>
    <s v="No"/>
    <s v="No"/>
    <n v="41"/>
    <s v="Venmo"/>
    <s v="Monthly"/>
    <s v="Monthly"/>
    <n v="4"/>
  </r>
  <r>
    <x v="2398"/>
    <n v="65"/>
    <x v="0"/>
    <s v="Jacket"/>
    <x v="2"/>
    <n v="81"/>
    <x v="20"/>
    <s v="M"/>
    <s v="Orange"/>
    <s v="Winter"/>
    <n v="4.3"/>
    <s v="No"/>
    <s v="Free Shipping"/>
    <s v="No"/>
    <s v="No"/>
    <n v="44"/>
    <s v="Bank Transfer"/>
    <s v="Fortnightly"/>
    <s v="Fortnightly"/>
    <n v="3"/>
  </r>
  <r>
    <x v="2399"/>
    <n v="55"/>
    <x v="0"/>
    <s v="Dress"/>
    <x v="0"/>
    <n v="44"/>
    <x v="13"/>
    <s v="L"/>
    <s v="Beige"/>
    <s v="Spring"/>
    <n v="3.2"/>
    <s v="No"/>
    <s v="Store Pickup"/>
    <s v="No"/>
    <s v="No"/>
    <n v="31"/>
    <s v="Cash"/>
    <s v="Monthly"/>
    <s v="Monthly"/>
    <n v="4"/>
  </r>
  <r>
    <x v="2400"/>
    <n v="43"/>
    <x v="0"/>
    <s v="Sunglasses"/>
    <x v="3"/>
    <n v="88"/>
    <x v="4"/>
    <s v="M"/>
    <s v="Peach"/>
    <s v="Winter"/>
    <n v="4.2"/>
    <s v="No"/>
    <s v="Next Day Air"/>
    <s v="No"/>
    <s v="No"/>
    <n v="11"/>
    <s v="Credit Card"/>
    <s v="Bi-Weekly"/>
    <s v="Bi-Weekly"/>
    <n v="2"/>
  </r>
  <r>
    <x v="2401"/>
    <n v="43"/>
    <x v="0"/>
    <s v="Boots"/>
    <x v="1"/>
    <n v="76"/>
    <x v="4"/>
    <s v="M"/>
    <s v="Pink"/>
    <s v="Winter"/>
    <n v="4.2"/>
    <s v="No"/>
    <s v="Standard"/>
    <s v="No"/>
    <s v="No"/>
    <n v="25"/>
    <s v="PayPal"/>
    <s v="Bi-Weekly"/>
    <s v="Bi-Weekly"/>
    <n v="2"/>
  </r>
  <r>
    <x v="2402"/>
    <n v="45"/>
    <x v="0"/>
    <s v="Scarf"/>
    <x v="3"/>
    <n v="89"/>
    <x v="40"/>
    <s v="M"/>
    <s v="Brown"/>
    <s v="Winter"/>
    <n v="3.8"/>
    <s v="No"/>
    <s v="Free Shipping"/>
    <s v="No"/>
    <s v="No"/>
    <n v="31"/>
    <s v="Cash"/>
    <s v="Weekly"/>
    <s v="Weekly"/>
    <n v="1"/>
  </r>
  <r>
    <x v="2403"/>
    <n v="64"/>
    <x v="0"/>
    <s v="Shorts"/>
    <x v="0"/>
    <n v="22"/>
    <x v="9"/>
    <s v="M"/>
    <s v="Magenta"/>
    <s v="Fall"/>
    <n v="4.4000000000000004"/>
    <s v="No"/>
    <s v="Standard"/>
    <s v="No"/>
    <s v="No"/>
    <n v="40"/>
    <s v="Debit Card"/>
    <s v="Weekly"/>
    <s v="Weekly"/>
    <n v="1"/>
  </r>
  <r>
    <x v="2404"/>
    <n v="28"/>
    <x v="0"/>
    <s v="Shorts"/>
    <x v="0"/>
    <n v="33"/>
    <x v="8"/>
    <s v="L"/>
    <s v="Cyan"/>
    <s v="Winter"/>
    <n v="3.1"/>
    <s v="No"/>
    <s v="2-Day Shipping"/>
    <s v="No"/>
    <s v="No"/>
    <n v="23"/>
    <s v="Credit Card"/>
    <s v="Bi-Weekly"/>
    <s v="Bi-Weekly"/>
    <n v="2"/>
  </r>
  <r>
    <x v="2405"/>
    <n v="69"/>
    <x v="0"/>
    <s v="Jeans"/>
    <x v="0"/>
    <n v="97"/>
    <x v="18"/>
    <s v="XL"/>
    <s v="Silver"/>
    <s v="Fall"/>
    <n v="5"/>
    <s v="No"/>
    <s v="Standard"/>
    <s v="No"/>
    <s v="No"/>
    <n v="5"/>
    <s v="Debit Card"/>
    <s v="Quarterly"/>
    <s v="Quarterly"/>
    <n v="5"/>
  </r>
  <r>
    <x v="2406"/>
    <n v="54"/>
    <x v="0"/>
    <s v="Scarf"/>
    <x v="3"/>
    <n v="57"/>
    <x v="18"/>
    <s v="M"/>
    <s v="Indigo"/>
    <s v="Winter"/>
    <n v="4.7"/>
    <s v="No"/>
    <s v="Standard"/>
    <s v="No"/>
    <s v="No"/>
    <n v="26"/>
    <s v="PayPal"/>
    <s v="Weekly"/>
    <s v="Weekly"/>
    <n v="1"/>
  </r>
  <r>
    <x v="2407"/>
    <n v="52"/>
    <x v="0"/>
    <s v="Shorts"/>
    <x v="0"/>
    <n v="38"/>
    <x v="26"/>
    <s v="M"/>
    <s v="Beige"/>
    <s v="Summer"/>
    <n v="3"/>
    <s v="No"/>
    <s v="Express"/>
    <s v="No"/>
    <s v="No"/>
    <n v="11"/>
    <s v="Credit Card"/>
    <s v="Bi-Weekly"/>
    <s v="Bi-Weekly"/>
    <n v="2"/>
  </r>
  <r>
    <x v="2408"/>
    <n v="23"/>
    <x v="0"/>
    <s v="Sneakers"/>
    <x v="1"/>
    <n v="55"/>
    <x v="11"/>
    <s v="XL"/>
    <s v="Black"/>
    <s v="Fall"/>
    <n v="4.2"/>
    <s v="No"/>
    <s v="Next Day Air"/>
    <s v="No"/>
    <s v="No"/>
    <n v="44"/>
    <s v="Debit Card"/>
    <s v="Every 3 Months"/>
    <s v="Quarterly"/>
    <n v="5"/>
  </r>
  <r>
    <x v="2409"/>
    <n v="26"/>
    <x v="0"/>
    <s v="Jewelry"/>
    <x v="3"/>
    <n v="37"/>
    <x v="47"/>
    <s v="L"/>
    <s v="Yellow"/>
    <s v="Spring"/>
    <n v="3"/>
    <s v="No"/>
    <s v="Store Pickup"/>
    <s v="No"/>
    <s v="No"/>
    <n v="47"/>
    <s v="Cash"/>
    <s v="Every 3 Months"/>
    <s v="Quarterly"/>
    <n v="5"/>
  </r>
  <r>
    <x v="2410"/>
    <n v="48"/>
    <x v="0"/>
    <s v="Shoes"/>
    <x v="1"/>
    <n v="43"/>
    <x v="48"/>
    <s v="M"/>
    <s v="Maroon"/>
    <s v="Summer"/>
    <n v="3.7"/>
    <s v="No"/>
    <s v="Free Shipping"/>
    <s v="No"/>
    <s v="No"/>
    <n v="46"/>
    <s v="PayPal"/>
    <s v="Monthly"/>
    <s v="Monthly"/>
    <n v="4"/>
  </r>
  <r>
    <x v="2411"/>
    <n v="49"/>
    <x v="0"/>
    <s v="Hoodie"/>
    <x v="0"/>
    <n v="96"/>
    <x v="41"/>
    <s v="M"/>
    <s v="Cyan"/>
    <s v="Summer"/>
    <n v="2.7"/>
    <s v="No"/>
    <s v="Free Shipping"/>
    <s v="No"/>
    <s v="No"/>
    <n v="35"/>
    <s v="Cash"/>
    <s v="Every 3 Months"/>
    <s v="Quarterly"/>
    <n v="5"/>
  </r>
  <r>
    <x v="2412"/>
    <n v="53"/>
    <x v="0"/>
    <s v="Jacket"/>
    <x v="2"/>
    <n v="51"/>
    <x v="4"/>
    <s v="M"/>
    <s v="Pink"/>
    <s v="Winter"/>
    <n v="4.3"/>
    <s v="No"/>
    <s v="2-Day Shipping"/>
    <s v="No"/>
    <s v="No"/>
    <n v="8"/>
    <s v="Bank Transfer"/>
    <s v="Bi-Weekly"/>
    <s v="Bi-Weekly"/>
    <n v="2"/>
  </r>
  <r>
    <x v="2413"/>
    <n v="69"/>
    <x v="0"/>
    <s v="Shorts"/>
    <x v="0"/>
    <n v="95"/>
    <x v="38"/>
    <s v="XL"/>
    <s v="Violet"/>
    <s v="Fall"/>
    <n v="2.7"/>
    <s v="No"/>
    <s v="2-Day Shipping"/>
    <s v="No"/>
    <s v="No"/>
    <n v="30"/>
    <s v="Bank Transfer"/>
    <s v="Weekly"/>
    <s v="Weekly"/>
    <n v="1"/>
  </r>
  <r>
    <x v="2414"/>
    <n v="26"/>
    <x v="0"/>
    <s v="Socks"/>
    <x v="0"/>
    <n v="26"/>
    <x v="41"/>
    <s v="M"/>
    <s v="Lavender"/>
    <s v="Summer"/>
    <n v="3.7"/>
    <s v="No"/>
    <s v="Next Day Air"/>
    <s v="No"/>
    <s v="No"/>
    <n v="14"/>
    <s v="Credit Card"/>
    <s v="Bi-Weekly"/>
    <s v="Bi-Weekly"/>
    <n v="2"/>
  </r>
  <r>
    <x v="2415"/>
    <n v="21"/>
    <x v="0"/>
    <s v="Coat"/>
    <x v="2"/>
    <n v="34"/>
    <x v="11"/>
    <s v="XL"/>
    <s v="Lavender"/>
    <s v="Fall"/>
    <n v="4.3"/>
    <s v="No"/>
    <s v="Standard"/>
    <s v="No"/>
    <s v="No"/>
    <n v="30"/>
    <s v="Bank Transfer"/>
    <s v="Weekly"/>
    <s v="Weekly"/>
    <n v="1"/>
  </r>
  <r>
    <x v="2416"/>
    <n v="59"/>
    <x v="0"/>
    <s v="Sandals"/>
    <x v="1"/>
    <n v="83"/>
    <x v="43"/>
    <s v="S"/>
    <s v="Black"/>
    <s v="Summer"/>
    <n v="4"/>
    <s v="No"/>
    <s v="Next Day Air"/>
    <s v="No"/>
    <s v="No"/>
    <n v="26"/>
    <s v="Credit Card"/>
    <s v="Every 3 Months"/>
    <s v="Quarterly"/>
    <n v="5"/>
  </r>
  <r>
    <x v="2417"/>
    <n v="21"/>
    <x v="0"/>
    <s v="Backpack"/>
    <x v="3"/>
    <n v="24"/>
    <x v="29"/>
    <s v="M"/>
    <s v="Olive"/>
    <s v="Fall"/>
    <n v="3.3"/>
    <s v="No"/>
    <s v="Standard"/>
    <s v="No"/>
    <s v="No"/>
    <n v="32"/>
    <s v="Venmo"/>
    <s v="Fortnightly"/>
    <s v="Fortnightly"/>
    <n v="3"/>
  </r>
  <r>
    <x v="2418"/>
    <n v="22"/>
    <x v="0"/>
    <s v="Pants"/>
    <x v="0"/>
    <n v="69"/>
    <x v="49"/>
    <s v="S"/>
    <s v="Indigo"/>
    <s v="Fall"/>
    <n v="4"/>
    <s v="No"/>
    <s v="Next Day Air"/>
    <s v="No"/>
    <s v="No"/>
    <n v="47"/>
    <s v="Cash"/>
    <s v="Every 3 Months"/>
    <s v="Quarterly"/>
    <n v="5"/>
  </r>
  <r>
    <x v="2419"/>
    <n v="26"/>
    <x v="0"/>
    <s v="Sweater"/>
    <x v="0"/>
    <n v="40"/>
    <x v="17"/>
    <s v="M"/>
    <s v="Blue"/>
    <s v="Fall"/>
    <n v="2.7"/>
    <s v="No"/>
    <s v="Next Day Air"/>
    <s v="No"/>
    <s v="No"/>
    <n v="11"/>
    <s v="Credit Card"/>
    <s v="Every 3 Months"/>
    <s v="Quarterly"/>
    <n v="5"/>
  </r>
  <r>
    <x v="2420"/>
    <n v="41"/>
    <x v="0"/>
    <s v="Jacket"/>
    <x v="2"/>
    <n v="87"/>
    <x v="17"/>
    <s v="S"/>
    <s v="Green"/>
    <s v="Winter"/>
    <n v="4.2"/>
    <s v="No"/>
    <s v="Free Shipping"/>
    <s v="No"/>
    <s v="No"/>
    <n v="28"/>
    <s v="PayPal"/>
    <s v="Annually"/>
    <s v="Annually"/>
    <n v="6"/>
  </r>
  <r>
    <x v="2421"/>
    <n v="37"/>
    <x v="0"/>
    <s v="Sneakers"/>
    <x v="1"/>
    <n v="46"/>
    <x v="46"/>
    <s v="L"/>
    <s v="Pink"/>
    <s v="Spring"/>
    <n v="4.5999999999999996"/>
    <s v="No"/>
    <s v="Standard"/>
    <s v="No"/>
    <s v="No"/>
    <n v="2"/>
    <s v="Debit Card"/>
    <s v="Every 3 Months"/>
    <s v="Quarterly"/>
    <n v="5"/>
  </r>
  <r>
    <x v="2422"/>
    <n v="30"/>
    <x v="0"/>
    <s v="Jewelry"/>
    <x v="3"/>
    <n v="82"/>
    <x v="42"/>
    <s v="M"/>
    <s v="Peach"/>
    <s v="Winter"/>
    <n v="4.8"/>
    <s v="No"/>
    <s v="Store Pickup"/>
    <s v="No"/>
    <s v="No"/>
    <n v="45"/>
    <s v="Credit Card"/>
    <s v="Weekly"/>
    <s v="Weekly"/>
    <n v="1"/>
  </r>
  <r>
    <x v="2423"/>
    <n v="49"/>
    <x v="0"/>
    <s v="Backpack"/>
    <x v="3"/>
    <n v="81"/>
    <x v="8"/>
    <s v="M"/>
    <s v="Purple"/>
    <s v="Summer"/>
    <n v="2.8"/>
    <s v="No"/>
    <s v="Free Shipping"/>
    <s v="No"/>
    <s v="No"/>
    <n v="7"/>
    <s v="Credit Card"/>
    <s v="Every 3 Months"/>
    <s v="Quarterly"/>
    <n v="5"/>
  </r>
  <r>
    <x v="2424"/>
    <n v="49"/>
    <x v="0"/>
    <s v="Jewelry"/>
    <x v="3"/>
    <n v="57"/>
    <x v="12"/>
    <s v="M"/>
    <s v="Peach"/>
    <s v="Winter"/>
    <n v="4.5"/>
    <s v="No"/>
    <s v="Next Day Air"/>
    <s v="No"/>
    <s v="No"/>
    <n v="28"/>
    <s v="Bank Transfer"/>
    <s v="Bi-Weekly"/>
    <s v="Bi-Weekly"/>
    <n v="2"/>
  </r>
  <r>
    <x v="2425"/>
    <n v="58"/>
    <x v="0"/>
    <s v="Shoes"/>
    <x v="1"/>
    <n v="49"/>
    <x v="25"/>
    <s v="S"/>
    <s v="Olive"/>
    <s v="Summer"/>
    <n v="3"/>
    <s v="No"/>
    <s v="2-Day Shipping"/>
    <s v="No"/>
    <s v="No"/>
    <n v="34"/>
    <s v="Bank Transfer"/>
    <s v="Quarterly"/>
    <s v="Quarterly"/>
    <n v="5"/>
  </r>
  <r>
    <x v="2426"/>
    <n v="70"/>
    <x v="0"/>
    <s v="Jacket"/>
    <x v="2"/>
    <n v="42"/>
    <x v="20"/>
    <s v="M"/>
    <s v="Olive"/>
    <s v="Fall"/>
    <n v="4.5999999999999996"/>
    <s v="No"/>
    <s v="Free Shipping"/>
    <s v="No"/>
    <s v="No"/>
    <n v="26"/>
    <s v="Debit Card"/>
    <s v="Every 3 Months"/>
    <s v="Quarterly"/>
    <n v="5"/>
  </r>
  <r>
    <x v="2427"/>
    <n v="27"/>
    <x v="0"/>
    <s v="Jacket"/>
    <x v="2"/>
    <n v="26"/>
    <x v="4"/>
    <s v="M"/>
    <s v="Purple"/>
    <s v="Spring"/>
    <n v="3.3"/>
    <s v="No"/>
    <s v="Standard"/>
    <s v="No"/>
    <s v="No"/>
    <n v="45"/>
    <s v="Cash"/>
    <s v="Quarterly"/>
    <s v="Quarterly"/>
    <n v="5"/>
  </r>
  <r>
    <x v="2428"/>
    <n v="65"/>
    <x v="0"/>
    <s v="T-shirt"/>
    <x v="0"/>
    <n v="38"/>
    <x v="37"/>
    <s v="M"/>
    <s v="Violet"/>
    <s v="Spring"/>
    <n v="4.4000000000000004"/>
    <s v="No"/>
    <s v="Next Day Air"/>
    <s v="No"/>
    <s v="No"/>
    <n v="34"/>
    <s v="Debit Card"/>
    <s v="Annually"/>
    <s v="Annually"/>
    <n v="6"/>
  </r>
  <r>
    <x v="2429"/>
    <n v="57"/>
    <x v="0"/>
    <s v="Sneakers"/>
    <x v="1"/>
    <n v="57"/>
    <x v="41"/>
    <s v="XL"/>
    <s v="Maroon"/>
    <s v="Summer"/>
    <n v="4.4000000000000004"/>
    <s v="No"/>
    <s v="Standard"/>
    <s v="No"/>
    <s v="No"/>
    <n v="47"/>
    <s v="Credit Card"/>
    <s v="Fortnightly"/>
    <s v="Fortnightly"/>
    <n v="3"/>
  </r>
  <r>
    <x v="2430"/>
    <n v="20"/>
    <x v="0"/>
    <s v="Jacket"/>
    <x v="2"/>
    <n v="100"/>
    <x v="25"/>
    <s v="XL"/>
    <s v="White"/>
    <s v="Summer"/>
    <n v="4.3"/>
    <s v="No"/>
    <s v="Express"/>
    <s v="No"/>
    <s v="No"/>
    <n v="42"/>
    <s v="Cash"/>
    <s v="Quarterly"/>
    <s v="Quarterly"/>
    <n v="5"/>
  </r>
  <r>
    <x v="2431"/>
    <n v="34"/>
    <x v="0"/>
    <s v="Hoodie"/>
    <x v="0"/>
    <n v="73"/>
    <x v="15"/>
    <s v="S"/>
    <s v="Olive"/>
    <s v="Fall"/>
    <n v="3.4"/>
    <s v="No"/>
    <s v="Express"/>
    <s v="No"/>
    <s v="No"/>
    <n v="27"/>
    <s v="Bank Transfer"/>
    <s v="Every 3 Months"/>
    <s v="Quarterly"/>
    <n v="5"/>
  </r>
  <r>
    <x v="2432"/>
    <n v="59"/>
    <x v="0"/>
    <s v="Jacket"/>
    <x v="2"/>
    <n v="66"/>
    <x v="11"/>
    <s v="M"/>
    <s v="Peach"/>
    <s v="Winter"/>
    <n v="2.8"/>
    <s v="No"/>
    <s v="Store Pickup"/>
    <s v="No"/>
    <s v="No"/>
    <n v="43"/>
    <s v="Venmo"/>
    <s v="Monthly"/>
    <s v="Monthly"/>
    <n v="4"/>
  </r>
  <r>
    <x v="2433"/>
    <n v="54"/>
    <x v="0"/>
    <s v="T-shirt"/>
    <x v="0"/>
    <n v="73"/>
    <x v="4"/>
    <s v="M"/>
    <s v="Blue"/>
    <s v="Spring"/>
    <n v="3.4"/>
    <s v="No"/>
    <s v="Standard"/>
    <s v="No"/>
    <s v="No"/>
    <n v="16"/>
    <s v="Cash"/>
    <s v="Bi-Weekly"/>
    <s v="Bi-Weekly"/>
    <n v="2"/>
  </r>
  <r>
    <x v="2434"/>
    <n v="36"/>
    <x v="0"/>
    <s v="Gloves"/>
    <x v="3"/>
    <n v="45"/>
    <x v="40"/>
    <s v="M"/>
    <s v="Brown"/>
    <s v="Spring"/>
    <n v="5"/>
    <s v="No"/>
    <s v="Store Pickup"/>
    <s v="No"/>
    <s v="No"/>
    <n v="40"/>
    <s v="Credit Card"/>
    <s v="Monthly"/>
    <s v="Monthly"/>
    <n v="4"/>
  </r>
  <r>
    <x v="2435"/>
    <n v="21"/>
    <x v="0"/>
    <s v="Sneakers"/>
    <x v="1"/>
    <n v="27"/>
    <x v="11"/>
    <s v="S"/>
    <s v="Black"/>
    <s v="Fall"/>
    <n v="4.5"/>
    <s v="No"/>
    <s v="Free Shipping"/>
    <s v="No"/>
    <s v="No"/>
    <n v="29"/>
    <s v="Cash"/>
    <s v="Bi-Weekly"/>
    <s v="Bi-Weekly"/>
    <n v="2"/>
  </r>
  <r>
    <x v="2436"/>
    <n v="52"/>
    <x v="0"/>
    <s v="T-shirt"/>
    <x v="0"/>
    <n v="24"/>
    <x v="39"/>
    <s v="M"/>
    <s v="Yellow"/>
    <s v="Fall"/>
    <n v="2.7"/>
    <s v="No"/>
    <s v="Store Pickup"/>
    <s v="No"/>
    <s v="No"/>
    <n v="38"/>
    <s v="Credit Card"/>
    <s v="Quarterly"/>
    <s v="Quarterly"/>
    <n v="5"/>
  </r>
  <r>
    <x v="2437"/>
    <n v="43"/>
    <x v="0"/>
    <s v="Sneakers"/>
    <x v="1"/>
    <n v="59"/>
    <x v="5"/>
    <s v="XL"/>
    <s v="Magenta"/>
    <s v="Winter"/>
    <n v="3.4"/>
    <s v="No"/>
    <s v="Store Pickup"/>
    <s v="No"/>
    <s v="No"/>
    <n v="34"/>
    <s v="Credit Card"/>
    <s v="Weekly"/>
    <s v="Weekly"/>
    <n v="1"/>
  </r>
  <r>
    <x v="2438"/>
    <n v="32"/>
    <x v="0"/>
    <s v="Jeans"/>
    <x v="0"/>
    <n v="20"/>
    <x v="12"/>
    <s v="S"/>
    <s v="Cyan"/>
    <s v="Winter"/>
    <n v="3.4"/>
    <s v="No"/>
    <s v="Express"/>
    <s v="No"/>
    <s v="No"/>
    <n v="30"/>
    <s v="Venmo"/>
    <s v="Weekly"/>
    <s v="Weekly"/>
    <n v="1"/>
  </r>
  <r>
    <x v="2439"/>
    <n v="55"/>
    <x v="0"/>
    <s v="Handbag"/>
    <x v="3"/>
    <n v="44"/>
    <x v="10"/>
    <s v="M"/>
    <s v="Maroon"/>
    <s v="Summer"/>
    <n v="2.8"/>
    <s v="No"/>
    <s v="Standard"/>
    <s v="No"/>
    <s v="No"/>
    <n v="45"/>
    <s v="Bank Transfer"/>
    <s v="Annually"/>
    <s v="Annually"/>
    <n v="6"/>
  </r>
  <r>
    <x v="2440"/>
    <n v="31"/>
    <x v="0"/>
    <s v="Socks"/>
    <x v="0"/>
    <n v="90"/>
    <x v="27"/>
    <s v="M"/>
    <s v="Red"/>
    <s v="Spring"/>
    <n v="4.7"/>
    <s v="No"/>
    <s v="Standard"/>
    <s v="No"/>
    <s v="No"/>
    <n v="47"/>
    <s v="Bank Transfer"/>
    <s v="Annually"/>
    <s v="Annually"/>
    <n v="6"/>
  </r>
  <r>
    <x v="2441"/>
    <n v="45"/>
    <x v="0"/>
    <s v="Jewelry"/>
    <x v="3"/>
    <n v="36"/>
    <x v="18"/>
    <s v="M"/>
    <s v="Black"/>
    <s v="Fall"/>
    <n v="4.7"/>
    <s v="No"/>
    <s v="Free Shipping"/>
    <s v="No"/>
    <s v="No"/>
    <n v="5"/>
    <s v="Credit Card"/>
    <s v="Monthly"/>
    <s v="Monthly"/>
    <n v="4"/>
  </r>
  <r>
    <x v="2442"/>
    <n v="53"/>
    <x v="0"/>
    <s v="Blouse"/>
    <x v="0"/>
    <n v="95"/>
    <x v="5"/>
    <s v="L"/>
    <s v="Violet"/>
    <s v="Winter"/>
    <n v="4.7"/>
    <s v="No"/>
    <s v="Free Shipping"/>
    <s v="No"/>
    <s v="No"/>
    <n v="50"/>
    <s v="Debit Card"/>
    <s v="Bi-Weekly"/>
    <s v="Bi-Weekly"/>
    <n v="2"/>
  </r>
  <r>
    <x v="2443"/>
    <n v="24"/>
    <x v="0"/>
    <s v="Backpack"/>
    <x v="3"/>
    <n v="30"/>
    <x v="45"/>
    <s v="M"/>
    <s v="Green"/>
    <s v="Spring"/>
    <n v="3.4"/>
    <s v="No"/>
    <s v="2-Day Shipping"/>
    <s v="No"/>
    <s v="No"/>
    <n v="24"/>
    <s v="Bank Transfer"/>
    <s v="Bi-Weekly"/>
    <s v="Bi-Weekly"/>
    <n v="2"/>
  </r>
  <r>
    <x v="2444"/>
    <n v="47"/>
    <x v="0"/>
    <s v="Scarf"/>
    <x v="3"/>
    <n v="65"/>
    <x v="8"/>
    <s v="S"/>
    <s v="Gold"/>
    <s v="Fall"/>
    <n v="3.7"/>
    <s v="No"/>
    <s v="Express"/>
    <s v="No"/>
    <s v="No"/>
    <n v="15"/>
    <s v="Debit Card"/>
    <s v="Bi-Weekly"/>
    <s v="Bi-Weekly"/>
    <n v="2"/>
  </r>
  <r>
    <x v="2445"/>
    <n v="63"/>
    <x v="0"/>
    <s v="Scarf"/>
    <x v="3"/>
    <n v="96"/>
    <x v="30"/>
    <s v="M"/>
    <s v="Brown"/>
    <s v="Summer"/>
    <n v="4.0999999999999996"/>
    <s v="No"/>
    <s v="Store Pickup"/>
    <s v="No"/>
    <s v="No"/>
    <n v="50"/>
    <s v="Cash"/>
    <s v="Weekly"/>
    <s v="Weekly"/>
    <n v="1"/>
  </r>
  <r>
    <x v="2446"/>
    <n v="38"/>
    <x v="0"/>
    <s v="Shirt"/>
    <x v="0"/>
    <n v="65"/>
    <x v="29"/>
    <s v="L"/>
    <s v="Peach"/>
    <s v="Spring"/>
    <n v="2.9"/>
    <s v="No"/>
    <s v="2-Day Shipping"/>
    <s v="No"/>
    <s v="No"/>
    <n v="7"/>
    <s v="Credit Card"/>
    <s v="Monthly"/>
    <s v="Monthly"/>
    <n v="4"/>
  </r>
  <r>
    <x v="2447"/>
    <n v="59"/>
    <x v="0"/>
    <s v="Pants"/>
    <x v="0"/>
    <n v="47"/>
    <x v="45"/>
    <s v="L"/>
    <s v="Peach"/>
    <s v="Fall"/>
    <n v="3.2"/>
    <s v="No"/>
    <s v="Store Pickup"/>
    <s v="No"/>
    <s v="No"/>
    <n v="10"/>
    <s v="Venmo"/>
    <s v="Fortnightly"/>
    <s v="Fortnightly"/>
    <n v="3"/>
  </r>
  <r>
    <x v="2448"/>
    <n v="54"/>
    <x v="0"/>
    <s v="Hat"/>
    <x v="3"/>
    <n v="25"/>
    <x v="30"/>
    <s v="S"/>
    <s v="Violet"/>
    <s v="Fall"/>
    <n v="3"/>
    <s v="No"/>
    <s v="Free Shipping"/>
    <s v="No"/>
    <s v="No"/>
    <n v="38"/>
    <s v="PayPal"/>
    <s v="Bi-Weekly"/>
    <s v="Bi-Weekly"/>
    <n v="2"/>
  </r>
  <r>
    <x v="2449"/>
    <n v="26"/>
    <x v="0"/>
    <s v="Coat"/>
    <x v="2"/>
    <n v="56"/>
    <x v="15"/>
    <s v="S"/>
    <s v="Violet"/>
    <s v="Fall"/>
    <n v="4.0999999999999996"/>
    <s v="No"/>
    <s v="Express"/>
    <s v="No"/>
    <s v="No"/>
    <n v="31"/>
    <s v="Venmo"/>
    <s v="Fortnightly"/>
    <s v="Fortnightly"/>
    <n v="3"/>
  </r>
  <r>
    <x v="2450"/>
    <n v="68"/>
    <x v="0"/>
    <s v="T-shirt"/>
    <x v="0"/>
    <n v="76"/>
    <x v="17"/>
    <s v="M"/>
    <s v="Magenta"/>
    <s v="Fall"/>
    <n v="4.5"/>
    <s v="No"/>
    <s v="Standard"/>
    <s v="No"/>
    <s v="No"/>
    <n v="7"/>
    <s v="Venmo"/>
    <s v="Quarterly"/>
    <s v="Quarterly"/>
    <n v="5"/>
  </r>
  <r>
    <x v="2451"/>
    <n v="41"/>
    <x v="0"/>
    <s v="Socks"/>
    <x v="0"/>
    <n v="60"/>
    <x v="19"/>
    <s v="M"/>
    <s v="Purple"/>
    <s v="Fall"/>
    <n v="3.4"/>
    <s v="No"/>
    <s v="Store Pickup"/>
    <s v="No"/>
    <s v="No"/>
    <n v="27"/>
    <s v="Venmo"/>
    <s v="Monthly"/>
    <s v="Monthly"/>
    <n v="4"/>
  </r>
  <r>
    <x v="2452"/>
    <n v="68"/>
    <x v="0"/>
    <s v="Shirt"/>
    <x v="0"/>
    <n v="67"/>
    <x v="14"/>
    <s v="L"/>
    <s v="Purple"/>
    <s v="Winter"/>
    <n v="4.0999999999999996"/>
    <s v="No"/>
    <s v="Express"/>
    <s v="No"/>
    <s v="No"/>
    <n v="45"/>
    <s v="Bank Transfer"/>
    <s v="Every 3 Months"/>
    <s v="Quarterly"/>
    <n v="5"/>
  </r>
  <r>
    <x v="2453"/>
    <n v="21"/>
    <x v="0"/>
    <s v="Sweater"/>
    <x v="0"/>
    <n v="95"/>
    <x v="44"/>
    <s v="XL"/>
    <s v="Cyan"/>
    <s v="Spring"/>
    <n v="4.5999999999999996"/>
    <s v="No"/>
    <s v="Store Pickup"/>
    <s v="No"/>
    <s v="No"/>
    <n v="13"/>
    <s v="Cash"/>
    <s v="Annually"/>
    <s v="Annually"/>
    <n v="6"/>
  </r>
  <r>
    <x v="2454"/>
    <n v="32"/>
    <x v="0"/>
    <s v="Gloves"/>
    <x v="3"/>
    <n v="72"/>
    <x v="29"/>
    <s v="M"/>
    <s v="Magenta"/>
    <s v="Winter"/>
    <n v="4.5999999999999996"/>
    <s v="No"/>
    <s v="Express"/>
    <s v="No"/>
    <s v="No"/>
    <n v="33"/>
    <s v="Venmo"/>
    <s v="Annually"/>
    <s v="Annually"/>
    <n v="6"/>
  </r>
  <r>
    <x v="2455"/>
    <n v="20"/>
    <x v="0"/>
    <s v="Belt"/>
    <x v="3"/>
    <n v="98"/>
    <x v="29"/>
    <s v="L"/>
    <s v="Lavender"/>
    <s v="Spring"/>
    <n v="3.4"/>
    <s v="No"/>
    <s v="Express"/>
    <s v="No"/>
    <s v="No"/>
    <n v="25"/>
    <s v="Cash"/>
    <s v="Every 3 Months"/>
    <s v="Quarterly"/>
    <n v="5"/>
  </r>
  <r>
    <x v="2456"/>
    <n v="59"/>
    <x v="0"/>
    <s v="Jeans"/>
    <x v="0"/>
    <n v="83"/>
    <x v="43"/>
    <s v="M"/>
    <s v="Green"/>
    <s v="Winter"/>
    <n v="3.3"/>
    <s v="No"/>
    <s v="2-Day Shipping"/>
    <s v="No"/>
    <s v="No"/>
    <n v="5"/>
    <s v="PayPal"/>
    <s v="Monthly"/>
    <s v="Monthly"/>
    <n v="4"/>
  </r>
  <r>
    <x v="2457"/>
    <n v="53"/>
    <x v="0"/>
    <s v="Handbag"/>
    <x v="3"/>
    <n v="37"/>
    <x v="12"/>
    <s v="M"/>
    <s v="Maroon"/>
    <s v="Fall"/>
    <n v="3.6"/>
    <s v="No"/>
    <s v="2-Day Shipping"/>
    <s v="No"/>
    <s v="No"/>
    <n v="23"/>
    <s v="Cash"/>
    <s v="Quarterly"/>
    <s v="Quarterly"/>
    <n v="5"/>
  </r>
  <r>
    <x v="2458"/>
    <n v="66"/>
    <x v="0"/>
    <s v="T-shirt"/>
    <x v="0"/>
    <n v="85"/>
    <x v="21"/>
    <s v="L"/>
    <s v="Turquoise"/>
    <s v="Fall"/>
    <n v="4.5999999999999996"/>
    <s v="No"/>
    <s v="Free Shipping"/>
    <s v="No"/>
    <s v="No"/>
    <n v="17"/>
    <s v="Bank Transfer"/>
    <s v="Weekly"/>
    <s v="Weekly"/>
    <n v="1"/>
  </r>
  <r>
    <x v="2459"/>
    <n v="47"/>
    <x v="0"/>
    <s v="Socks"/>
    <x v="0"/>
    <n v="36"/>
    <x v="9"/>
    <s v="L"/>
    <s v="Violet"/>
    <s v="Fall"/>
    <n v="4.3"/>
    <s v="No"/>
    <s v="2-Day Shipping"/>
    <s v="No"/>
    <s v="No"/>
    <n v="14"/>
    <s v="Cash"/>
    <s v="Weekly"/>
    <s v="Weekly"/>
    <n v="1"/>
  </r>
  <r>
    <x v="2460"/>
    <n v="58"/>
    <x v="0"/>
    <s v="Jeans"/>
    <x v="0"/>
    <n v="36"/>
    <x v="1"/>
    <s v="S"/>
    <s v="Lavender"/>
    <s v="Winter"/>
    <n v="4"/>
    <s v="No"/>
    <s v="Store Pickup"/>
    <s v="No"/>
    <s v="No"/>
    <n v="28"/>
    <s v="Credit Card"/>
    <s v="Annually"/>
    <s v="Annually"/>
    <n v="6"/>
  </r>
  <r>
    <x v="2461"/>
    <n v="28"/>
    <x v="0"/>
    <s v="Scarf"/>
    <x v="3"/>
    <n v="86"/>
    <x v="38"/>
    <s v="L"/>
    <s v="Red"/>
    <s v="Summer"/>
    <n v="4.8"/>
    <s v="No"/>
    <s v="Next Day Air"/>
    <s v="No"/>
    <s v="No"/>
    <n v="19"/>
    <s v="Credit Card"/>
    <s v="Weekly"/>
    <s v="Weekly"/>
    <n v="1"/>
  </r>
  <r>
    <x v="2462"/>
    <n v="68"/>
    <x v="0"/>
    <s v="Pants"/>
    <x v="0"/>
    <n v="99"/>
    <x v="9"/>
    <s v="XL"/>
    <s v="Orange"/>
    <s v="Spring"/>
    <n v="4.3"/>
    <s v="No"/>
    <s v="Standard"/>
    <s v="No"/>
    <s v="No"/>
    <n v="31"/>
    <s v="Bank Transfer"/>
    <s v="Bi-Weekly"/>
    <s v="Bi-Weekly"/>
    <n v="2"/>
  </r>
  <r>
    <x v="2463"/>
    <n v="60"/>
    <x v="0"/>
    <s v="Blouse"/>
    <x v="0"/>
    <n v="21"/>
    <x v="16"/>
    <s v="XL"/>
    <s v="Indigo"/>
    <s v="Summer"/>
    <n v="3.3"/>
    <s v="No"/>
    <s v="Standard"/>
    <s v="No"/>
    <s v="No"/>
    <n v="25"/>
    <s v="Cash"/>
    <s v="Bi-Weekly"/>
    <s v="Bi-Weekly"/>
    <n v="2"/>
  </r>
  <r>
    <x v="2464"/>
    <n v="47"/>
    <x v="0"/>
    <s v="Jacket"/>
    <x v="2"/>
    <n v="84"/>
    <x v="11"/>
    <s v="L"/>
    <s v="Teal"/>
    <s v="Winter"/>
    <n v="2.8"/>
    <s v="No"/>
    <s v="Express"/>
    <s v="No"/>
    <s v="No"/>
    <n v="4"/>
    <s v="Cash"/>
    <s v="Bi-Weekly"/>
    <s v="Bi-Weekly"/>
    <n v="2"/>
  </r>
  <r>
    <x v="2465"/>
    <n v="18"/>
    <x v="0"/>
    <s v="Sandals"/>
    <x v="1"/>
    <n v="63"/>
    <x v="21"/>
    <s v="M"/>
    <s v="Brown"/>
    <s v="Spring"/>
    <n v="4.4000000000000004"/>
    <s v="No"/>
    <s v="Free Shipping"/>
    <s v="No"/>
    <s v="No"/>
    <n v="20"/>
    <s v="Bank Transfer"/>
    <s v="Weekly"/>
    <s v="Weekly"/>
    <n v="1"/>
  </r>
  <r>
    <x v="2466"/>
    <n v="32"/>
    <x v="0"/>
    <s v="Shorts"/>
    <x v="0"/>
    <n v="84"/>
    <x v="45"/>
    <s v="S"/>
    <s v="Pink"/>
    <s v="Summer"/>
    <n v="3.7"/>
    <s v="No"/>
    <s v="Express"/>
    <s v="No"/>
    <s v="No"/>
    <n v="37"/>
    <s v="Cash"/>
    <s v="Annually"/>
    <s v="Annually"/>
    <n v="6"/>
  </r>
  <r>
    <x v="2467"/>
    <n v="27"/>
    <x v="0"/>
    <s v="Shorts"/>
    <x v="0"/>
    <n v="72"/>
    <x v="32"/>
    <s v="M"/>
    <s v="Lavender"/>
    <s v="Spring"/>
    <n v="3.6"/>
    <s v="No"/>
    <s v="Express"/>
    <s v="No"/>
    <s v="No"/>
    <n v="28"/>
    <s v="Credit Card"/>
    <s v="Annually"/>
    <s v="Annually"/>
    <n v="6"/>
  </r>
  <r>
    <x v="2468"/>
    <n v="65"/>
    <x v="0"/>
    <s v="Skirt"/>
    <x v="0"/>
    <n v="21"/>
    <x v="39"/>
    <s v="L"/>
    <s v="Cyan"/>
    <s v="Winter"/>
    <n v="3.7"/>
    <s v="No"/>
    <s v="2-Day Shipping"/>
    <s v="No"/>
    <s v="No"/>
    <n v="6"/>
    <s v="Venmo"/>
    <s v="Weekly"/>
    <s v="Weekly"/>
    <n v="1"/>
  </r>
  <r>
    <x v="2469"/>
    <n v="68"/>
    <x v="0"/>
    <s v="Sandals"/>
    <x v="1"/>
    <n v="92"/>
    <x v="33"/>
    <s v="M"/>
    <s v="Yellow"/>
    <s v="Fall"/>
    <n v="5"/>
    <s v="No"/>
    <s v="Standard"/>
    <s v="No"/>
    <s v="No"/>
    <n v="27"/>
    <s v="PayPal"/>
    <s v="Annually"/>
    <s v="Annually"/>
    <n v="6"/>
  </r>
  <r>
    <x v="2470"/>
    <n v="55"/>
    <x v="0"/>
    <s v="Blouse"/>
    <x v="0"/>
    <n v="72"/>
    <x v="28"/>
    <s v="XL"/>
    <s v="Pink"/>
    <s v="Fall"/>
    <n v="2.7"/>
    <s v="No"/>
    <s v="Next Day Air"/>
    <s v="No"/>
    <s v="No"/>
    <n v="29"/>
    <s v="Credit Card"/>
    <s v="Fortnightly"/>
    <s v="Fortnightly"/>
    <n v="3"/>
  </r>
  <r>
    <x v="2471"/>
    <n v="30"/>
    <x v="0"/>
    <s v="Sandals"/>
    <x v="1"/>
    <n v="83"/>
    <x v="19"/>
    <s v="M"/>
    <s v="Gray"/>
    <s v="Spring"/>
    <n v="4.3"/>
    <s v="No"/>
    <s v="Store Pickup"/>
    <s v="No"/>
    <s v="No"/>
    <n v="1"/>
    <s v="Cash"/>
    <s v="Annually"/>
    <s v="Annually"/>
    <n v="6"/>
  </r>
  <r>
    <x v="2472"/>
    <n v="24"/>
    <x v="0"/>
    <s v="Shirt"/>
    <x v="0"/>
    <n v="73"/>
    <x v="40"/>
    <s v="M"/>
    <s v="Peach"/>
    <s v="Summer"/>
    <n v="4.0999999999999996"/>
    <s v="No"/>
    <s v="Standard"/>
    <s v="No"/>
    <s v="No"/>
    <n v="31"/>
    <s v="Credit Card"/>
    <s v="Annually"/>
    <s v="Annually"/>
    <n v="6"/>
  </r>
  <r>
    <x v="2473"/>
    <n v="57"/>
    <x v="0"/>
    <s v="Socks"/>
    <x v="0"/>
    <n v="98"/>
    <x v="10"/>
    <s v="M"/>
    <s v="Red"/>
    <s v="Winter"/>
    <n v="2.6"/>
    <s v="No"/>
    <s v="Next Day Air"/>
    <s v="No"/>
    <s v="No"/>
    <n v="28"/>
    <s v="Cash"/>
    <s v="Quarterly"/>
    <s v="Quarterly"/>
    <n v="5"/>
  </r>
  <r>
    <x v="2474"/>
    <n v="23"/>
    <x v="0"/>
    <s v="T-shirt"/>
    <x v="0"/>
    <n v="76"/>
    <x v="17"/>
    <s v="M"/>
    <s v="Olive"/>
    <s v="Fall"/>
    <n v="3.2"/>
    <s v="No"/>
    <s v="Store Pickup"/>
    <s v="No"/>
    <s v="No"/>
    <n v="19"/>
    <s v="Bank Transfer"/>
    <s v="Quarterly"/>
    <s v="Quarterly"/>
    <n v="5"/>
  </r>
  <r>
    <x v="2475"/>
    <n v="69"/>
    <x v="0"/>
    <s v="Dress"/>
    <x v="0"/>
    <n v="43"/>
    <x v="18"/>
    <s v="S"/>
    <s v="Lavender"/>
    <s v="Summer"/>
    <n v="3.5"/>
    <s v="No"/>
    <s v="Next Day Air"/>
    <s v="No"/>
    <s v="No"/>
    <n v="36"/>
    <s v="Venmo"/>
    <s v="Monthly"/>
    <s v="Monthly"/>
    <n v="4"/>
  </r>
  <r>
    <x v="2476"/>
    <n v="60"/>
    <x v="0"/>
    <s v="Hat"/>
    <x v="3"/>
    <n v="60"/>
    <x v="24"/>
    <s v="M"/>
    <s v="Turquoise"/>
    <s v="Summer"/>
    <n v="3.7"/>
    <s v="No"/>
    <s v="Next Day Air"/>
    <s v="No"/>
    <s v="No"/>
    <n v="28"/>
    <s v="Cash"/>
    <s v="Monthly"/>
    <s v="Monthly"/>
    <n v="4"/>
  </r>
  <r>
    <x v="2477"/>
    <n v="25"/>
    <x v="0"/>
    <s v="Gloves"/>
    <x v="3"/>
    <n v="40"/>
    <x v="18"/>
    <s v="L"/>
    <s v="Turquoise"/>
    <s v="Spring"/>
    <n v="3.8"/>
    <s v="No"/>
    <s v="2-Day Shipping"/>
    <s v="No"/>
    <s v="No"/>
    <n v="29"/>
    <s v="PayPal"/>
    <s v="Weekly"/>
    <s v="Weekly"/>
    <n v="1"/>
  </r>
  <r>
    <x v="2478"/>
    <n v="18"/>
    <x v="0"/>
    <s v="Socks"/>
    <x v="0"/>
    <n v="93"/>
    <x v="34"/>
    <s v="S"/>
    <s v="Maroon"/>
    <s v="Winter"/>
    <n v="4.8"/>
    <s v="No"/>
    <s v="2-Day Shipping"/>
    <s v="No"/>
    <s v="No"/>
    <n v="9"/>
    <s v="Bank Transfer"/>
    <s v="Every 3 Months"/>
    <s v="Quarterly"/>
    <n v="5"/>
  </r>
  <r>
    <x v="2479"/>
    <n v="37"/>
    <x v="0"/>
    <s v="Dress"/>
    <x v="0"/>
    <n v="98"/>
    <x v="23"/>
    <s v="S"/>
    <s v="Olive"/>
    <s v="Fall"/>
    <n v="4.2"/>
    <s v="No"/>
    <s v="Standard"/>
    <s v="No"/>
    <s v="No"/>
    <n v="26"/>
    <s v="Credit Card"/>
    <s v="Every 3 Months"/>
    <s v="Quarterly"/>
    <n v="5"/>
  </r>
  <r>
    <x v="2480"/>
    <n v="61"/>
    <x v="0"/>
    <s v="Socks"/>
    <x v="0"/>
    <n v="91"/>
    <x v="31"/>
    <s v="XL"/>
    <s v="Maroon"/>
    <s v="Summer"/>
    <n v="2.9"/>
    <s v="No"/>
    <s v="Next Day Air"/>
    <s v="No"/>
    <s v="No"/>
    <n v="7"/>
    <s v="Credit Card"/>
    <s v="Fortnightly"/>
    <s v="Fortnightly"/>
    <n v="3"/>
  </r>
  <r>
    <x v="2481"/>
    <n v="41"/>
    <x v="0"/>
    <s v="Belt"/>
    <x v="3"/>
    <n v="92"/>
    <x v="32"/>
    <s v="XL"/>
    <s v="Cyan"/>
    <s v="Fall"/>
    <n v="2.9"/>
    <s v="No"/>
    <s v="Free Shipping"/>
    <s v="No"/>
    <s v="No"/>
    <n v="35"/>
    <s v="Debit Card"/>
    <s v="Weekly"/>
    <s v="Weekly"/>
    <n v="1"/>
  </r>
  <r>
    <x v="2482"/>
    <n v="69"/>
    <x v="0"/>
    <s v="Handbag"/>
    <x v="3"/>
    <n v="87"/>
    <x v="28"/>
    <s v="S"/>
    <s v="Peach"/>
    <s v="Winter"/>
    <n v="4.8"/>
    <s v="No"/>
    <s v="Next Day Air"/>
    <s v="No"/>
    <s v="No"/>
    <n v="46"/>
    <s v="Credit Card"/>
    <s v="Every 3 Months"/>
    <s v="Quarterly"/>
    <n v="5"/>
  </r>
  <r>
    <x v="2483"/>
    <n v="32"/>
    <x v="0"/>
    <s v="Skirt"/>
    <x v="0"/>
    <n v="96"/>
    <x v="28"/>
    <s v="S"/>
    <s v="Teal"/>
    <s v="Fall"/>
    <n v="2.9"/>
    <s v="No"/>
    <s v="Standard"/>
    <s v="No"/>
    <s v="No"/>
    <n v="8"/>
    <s v="Debit Card"/>
    <s v="Monthly"/>
    <s v="Monthly"/>
    <n v="4"/>
  </r>
  <r>
    <x v="2484"/>
    <n v="60"/>
    <x v="0"/>
    <s v="Hoodie"/>
    <x v="0"/>
    <n v="97"/>
    <x v="13"/>
    <s v="M"/>
    <s v="Green"/>
    <s v="Summer"/>
    <n v="4.8"/>
    <s v="No"/>
    <s v="2-Day Shipping"/>
    <s v="No"/>
    <s v="No"/>
    <n v="50"/>
    <s v="Cash"/>
    <s v="Every 3 Months"/>
    <s v="Quarterly"/>
    <n v="5"/>
  </r>
  <r>
    <x v="2485"/>
    <n v="43"/>
    <x v="0"/>
    <s v="Blouse"/>
    <x v="0"/>
    <n v="55"/>
    <x v="7"/>
    <s v="M"/>
    <s v="Beige"/>
    <s v="Spring"/>
    <n v="4.5999999999999996"/>
    <s v="No"/>
    <s v="2-Day Shipping"/>
    <s v="No"/>
    <s v="No"/>
    <n v="37"/>
    <s v="Bank Transfer"/>
    <s v="Annually"/>
    <s v="Annually"/>
    <n v="6"/>
  </r>
  <r>
    <x v="2486"/>
    <n v="61"/>
    <x v="0"/>
    <s v="Jeans"/>
    <x v="0"/>
    <n v="58"/>
    <x v="21"/>
    <s v="L"/>
    <s v="Magenta"/>
    <s v="Spring"/>
    <n v="4.4000000000000004"/>
    <s v="No"/>
    <s v="Store Pickup"/>
    <s v="No"/>
    <s v="No"/>
    <n v="6"/>
    <s v="Credit Card"/>
    <s v="Fortnightly"/>
    <s v="Fortnightly"/>
    <n v="3"/>
  </r>
  <r>
    <x v="2487"/>
    <n v="57"/>
    <x v="0"/>
    <s v="Boots"/>
    <x v="1"/>
    <n v="21"/>
    <x v="6"/>
    <s v="L"/>
    <s v="Violet"/>
    <s v="Spring"/>
    <n v="3"/>
    <s v="No"/>
    <s v="Next Day Air"/>
    <s v="No"/>
    <s v="No"/>
    <n v="16"/>
    <s v="PayPal"/>
    <s v="Bi-Weekly"/>
    <s v="Bi-Weekly"/>
    <n v="2"/>
  </r>
  <r>
    <x v="2488"/>
    <n v="56"/>
    <x v="0"/>
    <s v="Handbag"/>
    <x v="3"/>
    <n v="82"/>
    <x v="13"/>
    <s v="XL"/>
    <s v="Charcoal"/>
    <s v="Summer"/>
    <n v="4.4000000000000004"/>
    <s v="No"/>
    <s v="Express"/>
    <s v="No"/>
    <s v="No"/>
    <n v="30"/>
    <s v="PayPal"/>
    <s v="Monthly"/>
    <s v="Monthly"/>
    <n v="4"/>
  </r>
  <r>
    <x v="2489"/>
    <n v="66"/>
    <x v="0"/>
    <s v="Coat"/>
    <x v="2"/>
    <n v="34"/>
    <x v="45"/>
    <s v="M"/>
    <s v="Green"/>
    <s v="Winter"/>
    <n v="3.9"/>
    <s v="No"/>
    <s v="Express"/>
    <s v="No"/>
    <s v="No"/>
    <n v="50"/>
    <s v="Venmo"/>
    <s v="Quarterly"/>
    <s v="Quarterly"/>
    <n v="5"/>
  </r>
  <r>
    <x v="2490"/>
    <n v="52"/>
    <x v="0"/>
    <s v="Blouse"/>
    <x v="0"/>
    <n v="78"/>
    <x v="6"/>
    <s v="M"/>
    <s v="Gray"/>
    <s v="Spring"/>
    <n v="4"/>
    <s v="No"/>
    <s v="Free Shipping"/>
    <s v="No"/>
    <s v="No"/>
    <n v="5"/>
    <s v="Cash"/>
    <s v="Every 3 Months"/>
    <s v="Quarterly"/>
    <n v="5"/>
  </r>
  <r>
    <x v="2491"/>
    <n v="63"/>
    <x v="0"/>
    <s v="Handbag"/>
    <x v="3"/>
    <n v="47"/>
    <x v="17"/>
    <s v="M"/>
    <s v="Magenta"/>
    <s v="Spring"/>
    <n v="2.5"/>
    <s v="No"/>
    <s v="Express"/>
    <s v="No"/>
    <s v="No"/>
    <n v="15"/>
    <s v="Bank Transfer"/>
    <s v="Monthly"/>
    <s v="Monthly"/>
    <n v="4"/>
  </r>
  <r>
    <x v="2492"/>
    <n v="50"/>
    <x v="0"/>
    <s v="Sunglasses"/>
    <x v="3"/>
    <n v="96"/>
    <x v="45"/>
    <s v="S"/>
    <s v="Silver"/>
    <s v="Summer"/>
    <n v="4.0999999999999996"/>
    <s v="No"/>
    <s v="Next Day Air"/>
    <s v="No"/>
    <s v="No"/>
    <n v="34"/>
    <s v="Bank Transfer"/>
    <s v="Bi-Weekly"/>
    <s v="Bi-Weekly"/>
    <n v="2"/>
  </r>
  <r>
    <x v="2493"/>
    <n v="21"/>
    <x v="0"/>
    <s v="Socks"/>
    <x v="0"/>
    <n v="23"/>
    <x v="1"/>
    <s v="S"/>
    <s v="Beige"/>
    <s v="Fall"/>
    <n v="4.8"/>
    <s v="No"/>
    <s v="2-Day Shipping"/>
    <s v="No"/>
    <s v="No"/>
    <n v="6"/>
    <s v="Venmo"/>
    <s v="Every 3 Months"/>
    <s v="Quarterly"/>
    <n v="5"/>
  </r>
  <r>
    <x v="2494"/>
    <n v="42"/>
    <x v="0"/>
    <s v="Shoes"/>
    <x v="1"/>
    <n v="27"/>
    <x v="19"/>
    <s v="S"/>
    <s v="Peach"/>
    <s v="Winter"/>
    <n v="2.6"/>
    <s v="No"/>
    <s v="Store Pickup"/>
    <s v="No"/>
    <s v="No"/>
    <n v="26"/>
    <s v="Debit Card"/>
    <s v="Annually"/>
    <s v="Annually"/>
    <n v="6"/>
  </r>
  <r>
    <x v="2495"/>
    <n v="40"/>
    <x v="0"/>
    <s v="Backpack"/>
    <x v="3"/>
    <n v="37"/>
    <x v="43"/>
    <s v="XL"/>
    <s v="Orange"/>
    <s v="Spring"/>
    <n v="3.1"/>
    <s v="No"/>
    <s v="Free Shipping"/>
    <s v="No"/>
    <s v="No"/>
    <n v="34"/>
    <s v="Credit Card"/>
    <s v="Every 3 Months"/>
    <s v="Quarterly"/>
    <n v="5"/>
  </r>
  <r>
    <x v="2496"/>
    <n v="67"/>
    <x v="0"/>
    <s v="Scarf"/>
    <x v="3"/>
    <n v="79"/>
    <x v="26"/>
    <s v="S"/>
    <s v="Yellow"/>
    <s v="Summer"/>
    <n v="3.2"/>
    <s v="No"/>
    <s v="Store Pickup"/>
    <s v="No"/>
    <s v="No"/>
    <n v="37"/>
    <s v="Credit Card"/>
    <s v="Weekly"/>
    <s v="Weekly"/>
    <n v="1"/>
  </r>
  <r>
    <x v="2497"/>
    <n v="35"/>
    <x v="0"/>
    <s v="Backpack"/>
    <x v="3"/>
    <n v="40"/>
    <x v="24"/>
    <s v="M"/>
    <s v="Violet"/>
    <s v="Summer"/>
    <n v="4.2"/>
    <s v="No"/>
    <s v="Standard"/>
    <s v="No"/>
    <s v="No"/>
    <n v="28"/>
    <s v="Bank Transfer"/>
    <s v="Annually"/>
    <s v="Annually"/>
    <n v="6"/>
  </r>
  <r>
    <x v="2498"/>
    <n v="18"/>
    <x v="0"/>
    <s v="Coat"/>
    <x v="2"/>
    <n v="39"/>
    <x v="2"/>
    <s v="S"/>
    <s v="Green"/>
    <s v="Fall"/>
    <n v="2.6"/>
    <s v="No"/>
    <s v="Next Day Air"/>
    <s v="No"/>
    <s v="No"/>
    <n v="38"/>
    <s v="Cash"/>
    <s v="Fortnightly"/>
    <s v="Fortnightly"/>
    <n v="3"/>
  </r>
  <r>
    <x v="2499"/>
    <n v="52"/>
    <x v="0"/>
    <s v="Hoodie"/>
    <x v="0"/>
    <n v="73"/>
    <x v="7"/>
    <s v="L"/>
    <s v="Pink"/>
    <s v="Summer"/>
    <n v="3.1"/>
    <s v="No"/>
    <s v="Next Day Air"/>
    <s v="No"/>
    <s v="No"/>
    <n v="2"/>
    <s v="Cash"/>
    <s v="Quarterly"/>
    <s v="Quarterly"/>
    <n v="5"/>
  </r>
  <r>
    <x v="2500"/>
    <n v="59"/>
    <x v="0"/>
    <s v="Gloves"/>
    <x v="3"/>
    <n v="84"/>
    <x v="2"/>
    <s v="M"/>
    <s v="Violet"/>
    <s v="Fall"/>
    <n v="2.9"/>
    <s v="No"/>
    <s v="Store Pickup"/>
    <s v="No"/>
    <s v="No"/>
    <n v="32"/>
    <s v="Cash"/>
    <s v="Bi-Weekly"/>
    <s v="Bi-Weekly"/>
    <n v="2"/>
  </r>
  <r>
    <x v="2501"/>
    <n v="49"/>
    <x v="0"/>
    <s v="Shorts"/>
    <x v="0"/>
    <n v="94"/>
    <x v="8"/>
    <s v="M"/>
    <s v="Violet"/>
    <s v="Fall"/>
    <n v="4.5999999999999996"/>
    <s v="No"/>
    <s v="Free Shipping"/>
    <s v="No"/>
    <s v="No"/>
    <n v="30"/>
    <s v="Venmo"/>
    <s v="Bi-Weekly"/>
    <s v="Bi-Weekly"/>
    <n v="2"/>
  </r>
  <r>
    <x v="2502"/>
    <n v="46"/>
    <x v="0"/>
    <s v="Skirt"/>
    <x v="0"/>
    <n v="47"/>
    <x v="37"/>
    <s v="L"/>
    <s v="Pink"/>
    <s v="Spring"/>
    <n v="4.0999999999999996"/>
    <s v="No"/>
    <s v="Standard"/>
    <s v="No"/>
    <s v="No"/>
    <n v="17"/>
    <s v="PayPal"/>
    <s v="Every 3 Months"/>
    <s v="Quarterly"/>
    <n v="5"/>
  </r>
  <r>
    <x v="2503"/>
    <n v="69"/>
    <x v="0"/>
    <s v="Boots"/>
    <x v="1"/>
    <n v="77"/>
    <x v="31"/>
    <s v="M"/>
    <s v="Violet"/>
    <s v="Summer"/>
    <n v="2.5"/>
    <s v="No"/>
    <s v="Store Pickup"/>
    <s v="No"/>
    <s v="No"/>
    <n v="5"/>
    <s v="Debit Card"/>
    <s v="Bi-Weekly"/>
    <s v="Bi-Weekly"/>
    <n v="2"/>
  </r>
  <r>
    <x v="2504"/>
    <n v="56"/>
    <x v="0"/>
    <s v="Shorts"/>
    <x v="0"/>
    <n v="94"/>
    <x v="3"/>
    <s v="M"/>
    <s v="Turquoise"/>
    <s v="Winter"/>
    <n v="4"/>
    <s v="No"/>
    <s v="Store Pickup"/>
    <s v="No"/>
    <s v="No"/>
    <n v="31"/>
    <s v="Cash"/>
    <s v="Bi-Weekly"/>
    <s v="Bi-Weekly"/>
    <n v="2"/>
  </r>
  <r>
    <x v="2505"/>
    <n v="27"/>
    <x v="0"/>
    <s v="Handbag"/>
    <x v="3"/>
    <n v="75"/>
    <x v="26"/>
    <s v="M"/>
    <s v="Cyan"/>
    <s v="Summer"/>
    <n v="3.5"/>
    <s v="No"/>
    <s v="Express"/>
    <s v="No"/>
    <s v="No"/>
    <n v="43"/>
    <s v="PayPal"/>
    <s v="Quarterly"/>
    <s v="Quarterly"/>
    <n v="5"/>
  </r>
  <r>
    <x v="2506"/>
    <n v="57"/>
    <x v="0"/>
    <s v="Dress"/>
    <x v="0"/>
    <n v="82"/>
    <x v="14"/>
    <s v="XL"/>
    <s v="Orange"/>
    <s v="Spring"/>
    <n v="4.4000000000000004"/>
    <s v="No"/>
    <s v="Free Shipping"/>
    <s v="No"/>
    <s v="No"/>
    <n v="19"/>
    <s v="Venmo"/>
    <s v="Annually"/>
    <s v="Annually"/>
    <n v="6"/>
  </r>
  <r>
    <x v="2507"/>
    <n v="58"/>
    <x v="0"/>
    <s v="Shoes"/>
    <x v="1"/>
    <n v="36"/>
    <x v="7"/>
    <s v="M"/>
    <s v="Cyan"/>
    <s v="Fall"/>
    <n v="2.9"/>
    <s v="No"/>
    <s v="Store Pickup"/>
    <s v="No"/>
    <s v="No"/>
    <n v="32"/>
    <s v="Credit Card"/>
    <s v="Every 3 Months"/>
    <s v="Quarterly"/>
    <n v="5"/>
  </r>
  <r>
    <x v="2508"/>
    <n v="23"/>
    <x v="0"/>
    <s v="Sneakers"/>
    <x v="1"/>
    <n v="90"/>
    <x v="18"/>
    <s v="XL"/>
    <s v="Indigo"/>
    <s v="Spring"/>
    <n v="3.1"/>
    <s v="No"/>
    <s v="2-Day Shipping"/>
    <s v="No"/>
    <s v="No"/>
    <n v="5"/>
    <s v="Debit Card"/>
    <s v="Bi-Weekly"/>
    <s v="Bi-Weekly"/>
    <n v="2"/>
  </r>
  <r>
    <x v="2509"/>
    <n v="19"/>
    <x v="0"/>
    <s v="Socks"/>
    <x v="0"/>
    <n v="48"/>
    <x v="47"/>
    <s v="M"/>
    <s v="Black"/>
    <s v="Spring"/>
    <n v="4.4000000000000004"/>
    <s v="No"/>
    <s v="Free Shipping"/>
    <s v="No"/>
    <s v="No"/>
    <n v="9"/>
    <s v="Bank Transfer"/>
    <s v="Quarterly"/>
    <s v="Quarterly"/>
    <n v="5"/>
  </r>
  <r>
    <x v="2510"/>
    <n v="40"/>
    <x v="0"/>
    <s v="Jacket"/>
    <x v="2"/>
    <n v="42"/>
    <x v="45"/>
    <s v="L"/>
    <s v="Purple"/>
    <s v="Winter"/>
    <n v="4.4000000000000004"/>
    <s v="No"/>
    <s v="Standard"/>
    <s v="No"/>
    <s v="No"/>
    <n v="48"/>
    <s v="Credit Card"/>
    <s v="Weekly"/>
    <s v="Weekly"/>
    <n v="1"/>
  </r>
  <r>
    <x v="2511"/>
    <n v="54"/>
    <x v="0"/>
    <s v="Backpack"/>
    <x v="3"/>
    <n v="33"/>
    <x v="37"/>
    <s v="M"/>
    <s v="Cyan"/>
    <s v="Summer"/>
    <n v="2.7"/>
    <s v="No"/>
    <s v="Store Pickup"/>
    <s v="No"/>
    <s v="No"/>
    <n v="1"/>
    <s v="PayPal"/>
    <s v="Quarterly"/>
    <s v="Quarterly"/>
    <n v="5"/>
  </r>
  <r>
    <x v="2512"/>
    <n v="50"/>
    <x v="0"/>
    <s v="Socks"/>
    <x v="0"/>
    <n v="63"/>
    <x v="25"/>
    <s v="M"/>
    <s v="Green"/>
    <s v="Summer"/>
    <n v="4.9000000000000004"/>
    <s v="No"/>
    <s v="Free Shipping"/>
    <s v="No"/>
    <s v="No"/>
    <n v="20"/>
    <s v="Credit Card"/>
    <s v="Monthly"/>
    <s v="Monthly"/>
    <n v="4"/>
  </r>
  <r>
    <x v="2513"/>
    <n v="69"/>
    <x v="0"/>
    <s v="Handbag"/>
    <x v="3"/>
    <n v="53"/>
    <x v="47"/>
    <s v="L"/>
    <s v="Teal"/>
    <s v="Winter"/>
    <n v="3.5"/>
    <s v="No"/>
    <s v="2-Day Shipping"/>
    <s v="No"/>
    <s v="No"/>
    <n v="42"/>
    <s v="Cash"/>
    <s v="Annually"/>
    <s v="Annually"/>
    <n v="6"/>
  </r>
  <r>
    <x v="2514"/>
    <n v="42"/>
    <x v="0"/>
    <s v="Hat"/>
    <x v="3"/>
    <n v="37"/>
    <x v="29"/>
    <s v="L"/>
    <s v="Teal"/>
    <s v="Spring"/>
    <n v="4.8"/>
    <s v="No"/>
    <s v="Free Shipping"/>
    <s v="No"/>
    <s v="No"/>
    <n v="45"/>
    <s v="PayPal"/>
    <s v="Bi-Weekly"/>
    <s v="Bi-Weekly"/>
    <n v="2"/>
  </r>
  <r>
    <x v="2515"/>
    <n v="37"/>
    <x v="0"/>
    <s v="Blouse"/>
    <x v="0"/>
    <n v="92"/>
    <x v="23"/>
    <s v="M"/>
    <s v="Magenta"/>
    <s v="Summer"/>
    <n v="4.2"/>
    <s v="No"/>
    <s v="2-Day Shipping"/>
    <s v="No"/>
    <s v="No"/>
    <n v="41"/>
    <s v="Cash"/>
    <s v="Monthly"/>
    <s v="Monthly"/>
    <n v="4"/>
  </r>
  <r>
    <x v="2516"/>
    <n v="46"/>
    <x v="0"/>
    <s v="Shorts"/>
    <x v="0"/>
    <n v="73"/>
    <x v="40"/>
    <s v="XL"/>
    <s v="Brown"/>
    <s v="Spring"/>
    <n v="4.5999999999999996"/>
    <s v="No"/>
    <s v="Standard"/>
    <s v="No"/>
    <s v="No"/>
    <n v="36"/>
    <s v="Debit Card"/>
    <s v="Quarterly"/>
    <s v="Quarterly"/>
    <n v="5"/>
  </r>
  <r>
    <x v="2517"/>
    <n v="64"/>
    <x v="0"/>
    <s v="Shirt"/>
    <x v="0"/>
    <n v="38"/>
    <x v="5"/>
    <s v="L"/>
    <s v="Orange"/>
    <s v="Spring"/>
    <n v="2.9"/>
    <s v="No"/>
    <s v="Standard"/>
    <s v="No"/>
    <s v="No"/>
    <n v="10"/>
    <s v="Venmo"/>
    <s v="Annually"/>
    <s v="Annually"/>
    <n v="6"/>
  </r>
  <r>
    <x v="2518"/>
    <n v="20"/>
    <x v="0"/>
    <s v="Boots"/>
    <x v="1"/>
    <n v="51"/>
    <x v="1"/>
    <s v="XL"/>
    <s v="Blue"/>
    <s v="Fall"/>
    <n v="4"/>
    <s v="No"/>
    <s v="Store Pickup"/>
    <s v="No"/>
    <s v="No"/>
    <n v="31"/>
    <s v="Venmo"/>
    <s v="Annually"/>
    <s v="Annually"/>
    <n v="6"/>
  </r>
  <r>
    <x v="2519"/>
    <n v="40"/>
    <x v="0"/>
    <s v="Jacket"/>
    <x v="2"/>
    <n v="90"/>
    <x v="49"/>
    <s v="L"/>
    <s v="Magenta"/>
    <s v="Spring"/>
    <n v="4.9000000000000004"/>
    <s v="No"/>
    <s v="Standard"/>
    <s v="No"/>
    <s v="No"/>
    <n v="21"/>
    <s v="Credit Card"/>
    <s v="Quarterly"/>
    <s v="Quarterly"/>
    <n v="5"/>
  </r>
  <r>
    <x v="2520"/>
    <n v="64"/>
    <x v="0"/>
    <s v="Jacket"/>
    <x v="2"/>
    <n v="56"/>
    <x v="26"/>
    <s v="L"/>
    <s v="Magenta"/>
    <s v="Summer"/>
    <n v="3.1"/>
    <s v="No"/>
    <s v="Next Day Air"/>
    <s v="No"/>
    <s v="No"/>
    <n v="16"/>
    <s v="Cash"/>
    <s v="Every 3 Months"/>
    <s v="Quarterly"/>
    <n v="5"/>
  </r>
  <r>
    <x v="2521"/>
    <n v="29"/>
    <x v="0"/>
    <s v="Handbag"/>
    <x v="3"/>
    <n v="33"/>
    <x v="46"/>
    <s v="M"/>
    <s v="Magenta"/>
    <s v="Fall"/>
    <n v="4.4000000000000004"/>
    <s v="No"/>
    <s v="Standard"/>
    <s v="No"/>
    <s v="No"/>
    <n v="18"/>
    <s v="PayPal"/>
    <s v="Every 3 Months"/>
    <s v="Quarterly"/>
    <n v="5"/>
  </r>
  <r>
    <x v="2522"/>
    <n v="20"/>
    <x v="0"/>
    <s v="Belt"/>
    <x v="3"/>
    <n v="53"/>
    <x v="2"/>
    <s v="S"/>
    <s v="Olive"/>
    <s v="Winter"/>
    <n v="2.5"/>
    <s v="No"/>
    <s v="2-Day Shipping"/>
    <s v="No"/>
    <s v="No"/>
    <n v="20"/>
    <s v="Debit Card"/>
    <s v="Weekly"/>
    <s v="Weekly"/>
    <n v="1"/>
  </r>
  <r>
    <x v="2523"/>
    <n v="43"/>
    <x v="0"/>
    <s v="Handbag"/>
    <x v="3"/>
    <n v="24"/>
    <x v="32"/>
    <s v="S"/>
    <s v="Cyan"/>
    <s v="Spring"/>
    <n v="3.4"/>
    <s v="No"/>
    <s v="Express"/>
    <s v="No"/>
    <s v="No"/>
    <n v="21"/>
    <s v="Bank Transfer"/>
    <s v="Annually"/>
    <s v="Annually"/>
    <n v="6"/>
  </r>
  <r>
    <x v="2524"/>
    <n v="60"/>
    <x v="0"/>
    <s v="Coat"/>
    <x v="2"/>
    <n v="59"/>
    <x v="23"/>
    <s v="M"/>
    <s v="Purple"/>
    <s v="Spring"/>
    <n v="3.7"/>
    <s v="No"/>
    <s v="Express"/>
    <s v="No"/>
    <s v="No"/>
    <n v="23"/>
    <s v="Credit Card"/>
    <s v="Quarterly"/>
    <s v="Quarterly"/>
    <n v="5"/>
  </r>
  <r>
    <x v="2525"/>
    <n v="39"/>
    <x v="0"/>
    <s v="Sweater"/>
    <x v="0"/>
    <n v="72"/>
    <x v="0"/>
    <s v="M"/>
    <s v="Purple"/>
    <s v="Winter"/>
    <n v="4.2"/>
    <s v="No"/>
    <s v="Standard"/>
    <s v="No"/>
    <s v="No"/>
    <n v="20"/>
    <s v="PayPal"/>
    <s v="Weekly"/>
    <s v="Weekly"/>
    <n v="1"/>
  </r>
  <r>
    <x v="2526"/>
    <n v="47"/>
    <x v="0"/>
    <s v="Shorts"/>
    <x v="0"/>
    <n v="28"/>
    <x v="3"/>
    <s v="S"/>
    <s v="Peach"/>
    <s v="Spring"/>
    <n v="3.4"/>
    <s v="No"/>
    <s v="Express"/>
    <s v="No"/>
    <s v="No"/>
    <n v="30"/>
    <s v="PayPal"/>
    <s v="Bi-Weekly"/>
    <s v="Bi-Weekly"/>
    <n v="2"/>
  </r>
  <r>
    <x v="2527"/>
    <n v="19"/>
    <x v="0"/>
    <s v="Pants"/>
    <x v="0"/>
    <n v="36"/>
    <x v="26"/>
    <s v="M"/>
    <s v="Gold"/>
    <s v="Fall"/>
    <n v="3.6"/>
    <s v="No"/>
    <s v="Express"/>
    <s v="No"/>
    <s v="No"/>
    <n v="33"/>
    <s v="Bank Transfer"/>
    <s v="Every 3 Months"/>
    <s v="Quarterly"/>
    <n v="5"/>
  </r>
  <r>
    <x v="2528"/>
    <n v="52"/>
    <x v="0"/>
    <s v="Jewelry"/>
    <x v="3"/>
    <n v="47"/>
    <x v="15"/>
    <s v="S"/>
    <s v="Peach"/>
    <s v="Fall"/>
    <n v="4.7"/>
    <s v="No"/>
    <s v="2-Day Shipping"/>
    <s v="No"/>
    <s v="No"/>
    <n v="31"/>
    <s v="Debit Card"/>
    <s v="Monthly"/>
    <s v="Monthly"/>
    <n v="4"/>
  </r>
  <r>
    <x v="2529"/>
    <n v="34"/>
    <x v="0"/>
    <s v="Gloves"/>
    <x v="3"/>
    <n v="62"/>
    <x v="30"/>
    <s v="M"/>
    <s v="Magenta"/>
    <s v="Spring"/>
    <n v="4.7"/>
    <s v="No"/>
    <s v="Next Day Air"/>
    <s v="No"/>
    <s v="No"/>
    <n v="48"/>
    <s v="Bank Transfer"/>
    <s v="Monthly"/>
    <s v="Monthly"/>
    <n v="4"/>
  </r>
  <r>
    <x v="2530"/>
    <n v="25"/>
    <x v="0"/>
    <s v="Skirt"/>
    <x v="0"/>
    <n v="98"/>
    <x v="2"/>
    <s v="S"/>
    <s v="Cyan"/>
    <s v="Spring"/>
    <n v="3.6"/>
    <s v="No"/>
    <s v="Free Shipping"/>
    <s v="No"/>
    <s v="No"/>
    <n v="28"/>
    <s v="Debit Card"/>
    <s v="Weekly"/>
    <s v="Weekly"/>
    <n v="1"/>
  </r>
  <r>
    <x v="2531"/>
    <n v="43"/>
    <x v="0"/>
    <s v="Sandals"/>
    <x v="1"/>
    <n v="28"/>
    <x v="21"/>
    <s v="M"/>
    <s v="Violet"/>
    <s v="Summer"/>
    <n v="4.5999999999999996"/>
    <s v="No"/>
    <s v="Free Shipping"/>
    <s v="No"/>
    <s v="No"/>
    <n v="7"/>
    <s v="Cash"/>
    <s v="Every 3 Months"/>
    <s v="Quarterly"/>
    <n v="5"/>
  </r>
  <r>
    <x v="2532"/>
    <n v="55"/>
    <x v="0"/>
    <s v="Socks"/>
    <x v="0"/>
    <n v="86"/>
    <x v="43"/>
    <s v="S"/>
    <s v="Charcoal"/>
    <s v="Summer"/>
    <n v="2.6"/>
    <s v="No"/>
    <s v="Next Day Air"/>
    <s v="No"/>
    <s v="No"/>
    <n v="4"/>
    <s v="Debit Card"/>
    <s v="Weekly"/>
    <s v="Weekly"/>
    <n v="1"/>
  </r>
  <r>
    <x v="2533"/>
    <n v="66"/>
    <x v="0"/>
    <s v="Jewelry"/>
    <x v="3"/>
    <n v="46"/>
    <x v="38"/>
    <s v="S"/>
    <s v="Blue"/>
    <s v="Summer"/>
    <n v="3.1"/>
    <s v="No"/>
    <s v="Standard"/>
    <s v="No"/>
    <s v="No"/>
    <n v="49"/>
    <s v="Cash"/>
    <s v="Bi-Weekly"/>
    <s v="Bi-Weekly"/>
    <n v="2"/>
  </r>
  <r>
    <x v="2534"/>
    <n v="41"/>
    <x v="0"/>
    <s v="Sunglasses"/>
    <x v="3"/>
    <n v="42"/>
    <x v="41"/>
    <s v="XL"/>
    <s v="Red"/>
    <s v="Fall"/>
    <n v="3.2"/>
    <s v="No"/>
    <s v="Free Shipping"/>
    <s v="No"/>
    <s v="No"/>
    <n v="22"/>
    <s v="Cash"/>
    <s v="Weekly"/>
    <s v="Weekly"/>
    <n v="1"/>
  </r>
  <r>
    <x v="2535"/>
    <n v="47"/>
    <x v="0"/>
    <s v="Coat"/>
    <x v="2"/>
    <n v="80"/>
    <x v="34"/>
    <s v="S"/>
    <s v="Purple"/>
    <s v="Winter"/>
    <n v="3.9"/>
    <s v="No"/>
    <s v="Express"/>
    <s v="No"/>
    <s v="No"/>
    <n v="39"/>
    <s v="Bank Transfer"/>
    <s v="Fortnightly"/>
    <s v="Fortnightly"/>
    <n v="3"/>
  </r>
  <r>
    <x v="2536"/>
    <n v="51"/>
    <x v="0"/>
    <s v="Belt"/>
    <x v="3"/>
    <n v="39"/>
    <x v="19"/>
    <s v="L"/>
    <s v="Gray"/>
    <s v="Spring"/>
    <n v="4.9000000000000004"/>
    <s v="No"/>
    <s v="Express"/>
    <s v="No"/>
    <s v="No"/>
    <n v="45"/>
    <s v="PayPal"/>
    <s v="Every 3 Months"/>
    <s v="Quarterly"/>
    <n v="5"/>
  </r>
  <r>
    <x v="2537"/>
    <n v="44"/>
    <x v="0"/>
    <s v="Coat"/>
    <x v="2"/>
    <n v="49"/>
    <x v="1"/>
    <s v="M"/>
    <s v="Purple"/>
    <s v="Summer"/>
    <n v="4.0999999999999996"/>
    <s v="No"/>
    <s v="2-Day Shipping"/>
    <s v="No"/>
    <s v="No"/>
    <n v="30"/>
    <s v="PayPal"/>
    <s v="Fortnightly"/>
    <s v="Fortnightly"/>
    <n v="3"/>
  </r>
  <r>
    <x v="2538"/>
    <n v="18"/>
    <x v="0"/>
    <s v="Scarf"/>
    <x v="3"/>
    <n v="32"/>
    <x v="32"/>
    <s v="M"/>
    <s v="Silver"/>
    <s v="Summer"/>
    <n v="4.2"/>
    <s v="No"/>
    <s v="Next Day Air"/>
    <s v="No"/>
    <s v="No"/>
    <n v="33"/>
    <s v="Credit Card"/>
    <s v="Bi-Weekly"/>
    <s v="Bi-Weekly"/>
    <n v="2"/>
  </r>
  <r>
    <x v="2539"/>
    <n v="33"/>
    <x v="0"/>
    <s v="Sandals"/>
    <x v="1"/>
    <n v="73"/>
    <x v="2"/>
    <s v="M"/>
    <s v="Purple"/>
    <s v="Fall"/>
    <n v="4.0999999999999996"/>
    <s v="No"/>
    <s v="Next Day Air"/>
    <s v="No"/>
    <s v="No"/>
    <n v="24"/>
    <s v="Cash"/>
    <s v="Bi-Weekly"/>
    <s v="Bi-Weekly"/>
    <n v="2"/>
  </r>
  <r>
    <x v="2540"/>
    <n v="24"/>
    <x v="0"/>
    <s v="Belt"/>
    <x v="3"/>
    <n v="42"/>
    <x v="32"/>
    <s v="M"/>
    <s v="Charcoal"/>
    <s v="Summer"/>
    <n v="3.9"/>
    <s v="No"/>
    <s v="Free Shipping"/>
    <s v="No"/>
    <s v="No"/>
    <n v="11"/>
    <s v="Debit Card"/>
    <s v="Quarterly"/>
    <s v="Quarterly"/>
    <n v="5"/>
  </r>
  <r>
    <x v="2541"/>
    <n v="33"/>
    <x v="0"/>
    <s v="Scarf"/>
    <x v="3"/>
    <n v="58"/>
    <x v="47"/>
    <s v="M"/>
    <s v="Silver"/>
    <s v="Spring"/>
    <n v="2.7"/>
    <s v="No"/>
    <s v="Next Day Air"/>
    <s v="No"/>
    <s v="No"/>
    <n v="13"/>
    <s v="Venmo"/>
    <s v="Every 3 Months"/>
    <s v="Quarterly"/>
    <n v="5"/>
  </r>
  <r>
    <x v="2542"/>
    <n v="61"/>
    <x v="0"/>
    <s v="Jewelry"/>
    <x v="3"/>
    <n v="22"/>
    <x v="10"/>
    <s v="M"/>
    <s v="White"/>
    <s v="Winter"/>
    <n v="3.7"/>
    <s v="No"/>
    <s v="Express"/>
    <s v="No"/>
    <s v="No"/>
    <n v="27"/>
    <s v="PayPal"/>
    <s v="Annually"/>
    <s v="Annually"/>
    <n v="6"/>
  </r>
  <r>
    <x v="2543"/>
    <n v="27"/>
    <x v="0"/>
    <s v="Scarf"/>
    <x v="3"/>
    <n v="56"/>
    <x v="8"/>
    <s v="L"/>
    <s v="Peach"/>
    <s v="Spring"/>
    <n v="2.7"/>
    <s v="No"/>
    <s v="Next Day Air"/>
    <s v="No"/>
    <s v="No"/>
    <n v="30"/>
    <s v="PayPal"/>
    <s v="Bi-Weekly"/>
    <s v="Bi-Weekly"/>
    <n v="2"/>
  </r>
  <r>
    <x v="2544"/>
    <n v="46"/>
    <x v="0"/>
    <s v="Pants"/>
    <x v="0"/>
    <n v="70"/>
    <x v="12"/>
    <s v="M"/>
    <s v="Red"/>
    <s v="Spring"/>
    <n v="2.5"/>
    <s v="No"/>
    <s v="Next Day Air"/>
    <s v="No"/>
    <s v="No"/>
    <n v="39"/>
    <s v="Venmo"/>
    <s v="Quarterly"/>
    <s v="Quarterly"/>
    <n v="5"/>
  </r>
  <r>
    <x v="2545"/>
    <n v="38"/>
    <x v="0"/>
    <s v="Shoes"/>
    <x v="1"/>
    <n v="50"/>
    <x v="21"/>
    <s v="L"/>
    <s v="Olive"/>
    <s v="Spring"/>
    <n v="3.9"/>
    <s v="No"/>
    <s v="Free Shipping"/>
    <s v="No"/>
    <s v="No"/>
    <n v="10"/>
    <s v="Debit Card"/>
    <s v="Annually"/>
    <s v="Annually"/>
    <n v="6"/>
  </r>
  <r>
    <x v="2546"/>
    <n v="63"/>
    <x v="0"/>
    <s v="Boots"/>
    <x v="1"/>
    <n v="21"/>
    <x v="21"/>
    <s v="L"/>
    <s v="Gray"/>
    <s v="Summer"/>
    <n v="3"/>
    <s v="No"/>
    <s v="Express"/>
    <s v="No"/>
    <s v="No"/>
    <n v="4"/>
    <s v="Credit Card"/>
    <s v="Quarterly"/>
    <s v="Quarterly"/>
    <n v="5"/>
  </r>
  <r>
    <x v="2547"/>
    <n v="47"/>
    <x v="0"/>
    <s v="Jacket"/>
    <x v="2"/>
    <n v="97"/>
    <x v="16"/>
    <s v="M"/>
    <s v="Beige"/>
    <s v="Summer"/>
    <n v="3.2"/>
    <s v="No"/>
    <s v="2-Day Shipping"/>
    <s v="No"/>
    <s v="No"/>
    <n v="16"/>
    <s v="Cash"/>
    <s v="Weekly"/>
    <s v="Weekly"/>
    <n v="1"/>
  </r>
  <r>
    <x v="2548"/>
    <n v="42"/>
    <x v="0"/>
    <s v="Backpack"/>
    <x v="3"/>
    <n v="63"/>
    <x v="21"/>
    <s v="L"/>
    <s v="Pink"/>
    <s v="Winter"/>
    <n v="3.8"/>
    <s v="No"/>
    <s v="Standard"/>
    <s v="No"/>
    <s v="No"/>
    <n v="34"/>
    <s v="Credit Card"/>
    <s v="Monthly"/>
    <s v="Monthly"/>
    <n v="4"/>
  </r>
  <r>
    <x v="2549"/>
    <n v="41"/>
    <x v="0"/>
    <s v="Jacket"/>
    <x v="2"/>
    <n v="60"/>
    <x v="41"/>
    <s v="M"/>
    <s v="Red"/>
    <s v="Fall"/>
    <n v="2.7"/>
    <s v="No"/>
    <s v="Standard"/>
    <s v="No"/>
    <s v="No"/>
    <n v="11"/>
    <s v="Debit Card"/>
    <s v="Every 3 Months"/>
    <s v="Quarterly"/>
    <n v="5"/>
  </r>
  <r>
    <x v="2550"/>
    <n v="53"/>
    <x v="0"/>
    <s v="Boots"/>
    <x v="1"/>
    <n v="52"/>
    <x v="13"/>
    <s v="XL"/>
    <s v="Peach"/>
    <s v="Fall"/>
    <n v="3"/>
    <s v="No"/>
    <s v="Store Pickup"/>
    <s v="No"/>
    <s v="No"/>
    <n v="30"/>
    <s v="Debit Card"/>
    <s v="Fortnightly"/>
    <s v="Fortnightly"/>
    <n v="3"/>
  </r>
  <r>
    <x v="2551"/>
    <n v="29"/>
    <x v="0"/>
    <s v="Shoes"/>
    <x v="1"/>
    <n v="32"/>
    <x v="46"/>
    <s v="M"/>
    <s v="Maroon"/>
    <s v="Winter"/>
    <n v="4.0999999999999996"/>
    <s v="No"/>
    <s v="Next Day Air"/>
    <s v="No"/>
    <s v="No"/>
    <n v="40"/>
    <s v="Debit Card"/>
    <s v="Annually"/>
    <s v="Annually"/>
    <n v="6"/>
  </r>
  <r>
    <x v="2552"/>
    <n v="61"/>
    <x v="0"/>
    <s v="Belt"/>
    <x v="3"/>
    <n v="48"/>
    <x v="33"/>
    <s v="XL"/>
    <s v="Purple"/>
    <s v="Spring"/>
    <n v="3.2"/>
    <s v="No"/>
    <s v="2-Day Shipping"/>
    <s v="No"/>
    <s v="No"/>
    <n v="13"/>
    <s v="Credit Card"/>
    <s v="Annually"/>
    <s v="Annually"/>
    <n v="6"/>
  </r>
  <r>
    <x v="2553"/>
    <n v="69"/>
    <x v="0"/>
    <s v="Jewelry"/>
    <x v="3"/>
    <n v="25"/>
    <x v="34"/>
    <s v="M"/>
    <s v="Maroon"/>
    <s v="Summer"/>
    <n v="4.5"/>
    <s v="No"/>
    <s v="Store Pickup"/>
    <s v="No"/>
    <s v="No"/>
    <n v="28"/>
    <s v="Venmo"/>
    <s v="Every 3 Months"/>
    <s v="Quarterly"/>
    <n v="5"/>
  </r>
  <r>
    <x v="2554"/>
    <n v="51"/>
    <x v="0"/>
    <s v="Jewelry"/>
    <x v="3"/>
    <n v="68"/>
    <x v="23"/>
    <s v="M"/>
    <s v="Gray"/>
    <s v="Summer"/>
    <n v="4.3"/>
    <s v="No"/>
    <s v="Store Pickup"/>
    <s v="No"/>
    <s v="No"/>
    <n v="49"/>
    <s v="Debit Card"/>
    <s v="Bi-Weekly"/>
    <s v="Bi-Weekly"/>
    <n v="2"/>
  </r>
  <r>
    <x v="2555"/>
    <n v="24"/>
    <x v="0"/>
    <s v="Pants"/>
    <x v="0"/>
    <n v="74"/>
    <x v="37"/>
    <s v="M"/>
    <s v="Gray"/>
    <s v="Fall"/>
    <n v="3.5"/>
    <s v="No"/>
    <s v="Standard"/>
    <s v="No"/>
    <s v="No"/>
    <n v="23"/>
    <s v="Credit Card"/>
    <s v="Weekly"/>
    <s v="Weekly"/>
    <n v="1"/>
  </r>
  <r>
    <x v="2556"/>
    <n v="24"/>
    <x v="0"/>
    <s v="T-shirt"/>
    <x v="0"/>
    <n v="88"/>
    <x v="6"/>
    <s v="XL"/>
    <s v="Magenta"/>
    <s v="Fall"/>
    <n v="3.1"/>
    <s v="No"/>
    <s v="Standard"/>
    <s v="No"/>
    <s v="No"/>
    <n v="4"/>
    <s v="Bank Transfer"/>
    <s v="Quarterly"/>
    <s v="Quarterly"/>
    <n v="5"/>
  </r>
  <r>
    <x v="2557"/>
    <n v="70"/>
    <x v="0"/>
    <s v="Shorts"/>
    <x v="0"/>
    <n v="23"/>
    <x v="19"/>
    <s v="L"/>
    <s v="Cyan"/>
    <s v="Spring"/>
    <n v="3.9"/>
    <s v="No"/>
    <s v="Standard"/>
    <s v="No"/>
    <s v="No"/>
    <n v="17"/>
    <s v="PayPal"/>
    <s v="Fortnightly"/>
    <s v="Fortnightly"/>
    <n v="3"/>
  </r>
  <r>
    <x v="2558"/>
    <n v="49"/>
    <x v="0"/>
    <s v="Hoodie"/>
    <x v="0"/>
    <n v="32"/>
    <x v="18"/>
    <s v="M"/>
    <s v="Silver"/>
    <s v="Fall"/>
    <n v="2.7"/>
    <s v="No"/>
    <s v="Express"/>
    <s v="No"/>
    <s v="No"/>
    <n v="24"/>
    <s v="PayPal"/>
    <s v="Fortnightly"/>
    <s v="Fortnightly"/>
    <n v="3"/>
  </r>
  <r>
    <x v="2559"/>
    <n v="48"/>
    <x v="0"/>
    <s v="Belt"/>
    <x v="3"/>
    <n v="71"/>
    <x v="16"/>
    <s v="S"/>
    <s v="Green"/>
    <s v="Winter"/>
    <n v="4"/>
    <s v="No"/>
    <s v="Free Shipping"/>
    <s v="No"/>
    <s v="No"/>
    <n v="21"/>
    <s v="Debit Card"/>
    <s v="Every 3 Months"/>
    <s v="Quarterly"/>
    <n v="5"/>
  </r>
  <r>
    <x v="2560"/>
    <n v="58"/>
    <x v="0"/>
    <s v="Boots"/>
    <x v="1"/>
    <n v="62"/>
    <x v="18"/>
    <s v="M"/>
    <s v="Violet"/>
    <s v="Spring"/>
    <n v="2.7"/>
    <s v="No"/>
    <s v="Next Day Air"/>
    <s v="No"/>
    <s v="No"/>
    <n v="17"/>
    <s v="Debit Card"/>
    <s v="Bi-Weekly"/>
    <s v="Bi-Weekly"/>
    <n v="2"/>
  </r>
  <r>
    <x v="2561"/>
    <n v="32"/>
    <x v="0"/>
    <s v="Hoodie"/>
    <x v="0"/>
    <n v="20"/>
    <x v="14"/>
    <s v="L"/>
    <s v="Magenta"/>
    <s v="Spring"/>
    <n v="2.7"/>
    <s v="No"/>
    <s v="Free Shipping"/>
    <s v="No"/>
    <s v="No"/>
    <n v="22"/>
    <s v="Debit Card"/>
    <s v="Quarterly"/>
    <s v="Quarterly"/>
    <n v="5"/>
  </r>
  <r>
    <x v="2562"/>
    <n v="57"/>
    <x v="0"/>
    <s v="Shorts"/>
    <x v="0"/>
    <n v="62"/>
    <x v="28"/>
    <s v="XL"/>
    <s v="Yellow"/>
    <s v="Spring"/>
    <n v="4.7"/>
    <s v="No"/>
    <s v="Standard"/>
    <s v="No"/>
    <s v="No"/>
    <n v="27"/>
    <s v="Cash"/>
    <s v="Fortnightly"/>
    <s v="Fortnightly"/>
    <n v="3"/>
  </r>
  <r>
    <x v="2563"/>
    <n v="69"/>
    <x v="0"/>
    <s v="Backpack"/>
    <x v="3"/>
    <n v="81"/>
    <x v="2"/>
    <s v="XL"/>
    <s v="Gray"/>
    <s v="Winter"/>
    <n v="4.5"/>
    <s v="No"/>
    <s v="Standard"/>
    <s v="No"/>
    <s v="No"/>
    <n v="1"/>
    <s v="Venmo"/>
    <s v="Every 3 Months"/>
    <s v="Quarterly"/>
    <n v="5"/>
  </r>
  <r>
    <x v="2564"/>
    <n v="42"/>
    <x v="0"/>
    <s v="Scarf"/>
    <x v="3"/>
    <n v="90"/>
    <x v="0"/>
    <s v="L"/>
    <s v="Indigo"/>
    <s v="Winter"/>
    <n v="3"/>
    <s v="No"/>
    <s v="2-Day Shipping"/>
    <s v="No"/>
    <s v="No"/>
    <n v="27"/>
    <s v="Bank Transfer"/>
    <s v="Weekly"/>
    <s v="Weekly"/>
    <n v="1"/>
  </r>
  <r>
    <x v="2565"/>
    <n v="30"/>
    <x v="0"/>
    <s v="Socks"/>
    <x v="0"/>
    <n v="43"/>
    <x v="34"/>
    <s v="S"/>
    <s v="Indigo"/>
    <s v="Fall"/>
    <n v="3.6"/>
    <s v="No"/>
    <s v="Store Pickup"/>
    <s v="No"/>
    <s v="No"/>
    <n v="8"/>
    <s v="Venmo"/>
    <s v="Quarterly"/>
    <s v="Quarterly"/>
    <n v="5"/>
  </r>
  <r>
    <x v="2566"/>
    <n v="35"/>
    <x v="0"/>
    <s v="Handbag"/>
    <x v="3"/>
    <n v="38"/>
    <x v="9"/>
    <s v="S"/>
    <s v="Yellow"/>
    <s v="Fall"/>
    <n v="3.3"/>
    <s v="No"/>
    <s v="Standard"/>
    <s v="No"/>
    <s v="No"/>
    <n v="43"/>
    <s v="PayPal"/>
    <s v="Quarterly"/>
    <s v="Quarterly"/>
    <n v="5"/>
  </r>
  <r>
    <x v="2567"/>
    <n v="19"/>
    <x v="0"/>
    <s v="Sunglasses"/>
    <x v="3"/>
    <n v="25"/>
    <x v="49"/>
    <s v="XL"/>
    <s v="Gold"/>
    <s v="Spring"/>
    <n v="4.3"/>
    <s v="No"/>
    <s v="Store Pickup"/>
    <s v="No"/>
    <s v="No"/>
    <n v="24"/>
    <s v="Cash"/>
    <s v="Fortnightly"/>
    <s v="Fortnightly"/>
    <n v="3"/>
  </r>
  <r>
    <x v="2568"/>
    <n v="52"/>
    <x v="0"/>
    <s v="T-shirt"/>
    <x v="0"/>
    <n v="98"/>
    <x v="21"/>
    <s v="XL"/>
    <s v="Green"/>
    <s v="Winter"/>
    <n v="4.3"/>
    <s v="No"/>
    <s v="Express"/>
    <s v="No"/>
    <s v="No"/>
    <n v="29"/>
    <s v="PayPal"/>
    <s v="Fortnightly"/>
    <s v="Fortnightly"/>
    <n v="3"/>
  </r>
  <r>
    <x v="2569"/>
    <n v="42"/>
    <x v="0"/>
    <s v="Dress"/>
    <x v="0"/>
    <n v="75"/>
    <x v="14"/>
    <s v="M"/>
    <s v="Charcoal"/>
    <s v="Spring"/>
    <n v="4.8"/>
    <s v="No"/>
    <s v="Free Shipping"/>
    <s v="No"/>
    <s v="No"/>
    <n v="10"/>
    <s v="Bank Transfer"/>
    <s v="Bi-Weekly"/>
    <s v="Bi-Weekly"/>
    <n v="2"/>
  </r>
  <r>
    <x v="2570"/>
    <n v="36"/>
    <x v="0"/>
    <s v="Sneakers"/>
    <x v="1"/>
    <n v="27"/>
    <x v="35"/>
    <s v="XL"/>
    <s v="Olive"/>
    <s v="Spring"/>
    <n v="4"/>
    <s v="No"/>
    <s v="Store Pickup"/>
    <s v="No"/>
    <s v="No"/>
    <n v="12"/>
    <s v="PayPal"/>
    <s v="Fortnightly"/>
    <s v="Fortnightly"/>
    <n v="3"/>
  </r>
  <r>
    <x v="2571"/>
    <n v="45"/>
    <x v="0"/>
    <s v="Sunglasses"/>
    <x v="3"/>
    <n v="27"/>
    <x v="16"/>
    <s v="L"/>
    <s v="Black"/>
    <s v="Winter"/>
    <n v="3.5"/>
    <s v="No"/>
    <s v="Standard"/>
    <s v="No"/>
    <s v="No"/>
    <n v="48"/>
    <s v="Cash"/>
    <s v="Fortnightly"/>
    <s v="Fortnightly"/>
    <n v="3"/>
  </r>
  <r>
    <x v="2572"/>
    <n v="54"/>
    <x v="0"/>
    <s v="Blouse"/>
    <x v="0"/>
    <n v="42"/>
    <x v="47"/>
    <s v="M"/>
    <s v="Silver"/>
    <s v="Fall"/>
    <n v="3.9"/>
    <s v="No"/>
    <s v="Next Day Air"/>
    <s v="No"/>
    <s v="No"/>
    <n v="40"/>
    <s v="Bank Transfer"/>
    <s v="Quarterly"/>
    <s v="Quarterly"/>
    <n v="5"/>
  </r>
  <r>
    <x v="2573"/>
    <n v="54"/>
    <x v="0"/>
    <s v="T-shirt"/>
    <x v="0"/>
    <n v="90"/>
    <x v="35"/>
    <s v="M"/>
    <s v="Red"/>
    <s v="Summer"/>
    <n v="4.4000000000000004"/>
    <s v="No"/>
    <s v="Store Pickup"/>
    <s v="No"/>
    <s v="No"/>
    <n v="1"/>
    <s v="Bank Transfer"/>
    <s v="Annually"/>
    <s v="Annually"/>
    <n v="6"/>
  </r>
  <r>
    <x v="2574"/>
    <n v="27"/>
    <x v="0"/>
    <s v="Hat"/>
    <x v="3"/>
    <n v="63"/>
    <x v="20"/>
    <s v="M"/>
    <s v="Brown"/>
    <s v="Summer"/>
    <n v="4.5999999999999996"/>
    <s v="No"/>
    <s v="2-Day Shipping"/>
    <s v="No"/>
    <s v="No"/>
    <n v="26"/>
    <s v="Credit Card"/>
    <s v="Fortnightly"/>
    <s v="Fortnightly"/>
    <n v="3"/>
  </r>
  <r>
    <x v="2575"/>
    <n v="53"/>
    <x v="0"/>
    <s v="Shorts"/>
    <x v="0"/>
    <n v="96"/>
    <x v="46"/>
    <s v="M"/>
    <s v="Silver"/>
    <s v="Fall"/>
    <n v="4"/>
    <s v="No"/>
    <s v="Express"/>
    <s v="No"/>
    <s v="No"/>
    <n v="9"/>
    <s v="PayPal"/>
    <s v="Annually"/>
    <s v="Annually"/>
    <n v="6"/>
  </r>
  <r>
    <x v="2576"/>
    <n v="20"/>
    <x v="0"/>
    <s v="Hoodie"/>
    <x v="0"/>
    <n v="40"/>
    <x v="13"/>
    <s v="M"/>
    <s v="Silver"/>
    <s v="Winter"/>
    <n v="4.2"/>
    <s v="No"/>
    <s v="Free Shipping"/>
    <s v="No"/>
    <s v="No"/>
    <n v="19"/>
    <s v="Debit Card"/>
    <s v="Quarterly"/>
    <s v="Quarterly"/>
    <n v="5"/>
  </r>
  <r>
    <x v="2577"/>
    <n v="52"/>
    <x v="0"/>
    <s v="Socks"/>
    <x v="0"/>
    <n v="39"/>
    <x v="46"/>
    <s v="L"/>
    <s v="Black"/>
    <s v="Fall"/>
    <n v="4.5"/>
    <s v="No"/>
    <s v="Next Day Air"/>
    <s v="No"/>
    <s v="No"/>
    <n v="37"/>
    <s v="Bank Transfer"/>
    <s v="Monthly"/>
    <s v="Monthly"/>
    <n v="4"/>
  </r>
  <r>
    <x v="2578"/>
    <n v="54"/>
    <x v="0"/>
    <s v="Sunglasses"/>
    <x v="3"/>
    <n v="48"/>
    <x v="34"/>
    <s v="M"/>
    <s v="Purple"/>
    <s v="Fall"/>
    <n v="3.9"/>
    <s v="No"/>
    <s v="Free Shipping"/>
    <s v="No"/>
    <s v="No"/>
    <n v="3"/>
    <s v="Cash"/>
    <s v="Quarterly"/>
    <s v="Quarterly"/>
    <n v="5"/>
  </r>
  <r>
    <x v="2579"/>
    <n v="65"/>
    <x v="0"/>
    <s v="Blouse"/>
    <x v="0"/>
    <n v="20"/>
    <x v="46"/>
    <s v="M"/>
    <s v="Purple"/>
    <s v="Summer"/>
    <n v="3.7"/>
    <s v="No"/>
    <s v="Express"/>
    <s v="No"/>
    <s v="No"/>
    <n v="40"/>
    <s v="Venmo"/>
    <s v="Weekly"/>
    <s v="Weekly"/>
    <n v="1"/>
  </r>
  <r>
    <x v="2580"/>
    <n v="43"/>
    <x v="0"/>
    <s v="Jeans"/>
    <x v="0"/>
    <n v="29"/>
    <x v="2"/>
    <s v="S"/>
    <s v="Turquoise"/>
    <s v="Summer"/>
    <n v="3.6"/>
    <s v="No"/>
    <s v="Store Pickup"/>
    <s v="No"/>
    <s v="No"/>
    <n v="13"/>
    <s v="Bank Transfer"/>
    <s v="Quarterly"/>
    <s v="Quarterly"/>
    <n v="5"/>
  </r>
  <r>
    <x v="2581"/>
    <n v="57"/>
    <x v="0"/>
    <s v="Dress"/>
    <x v="0"/>
    <n v="81"/>
    <x v="5"/>
    <s v="M"/>
    <s v="Gold"/>
    <s v="Winter"/>
    <n v="4.7"/>
    <s v="No"/>
    <s v="Express"/>
    <s v="No"/>
    <s v="No"/>
    <n v="48"/>
    <s v="Credit Card"/>
    <s v="Monthly"/>
    <s v="Monthly"/>
    <n v="4"/>
  </r>
  <r>
    <x v="2582"/>
    <n v="19"/>
    <x v="0"/>
    <s v="Dress"/>
    <x v="0"/>
    <n v="98"/>
    <x v="45"/>
    <s v="S"/>
    <s v="Indigo"/>
    <s v="Fall"/>
    <n v="3.6"/>
    <s v="No"/>
    <s v="2-Day Shipping"/>
    <s v="No"/>
    <s v="No"/>
    <n v="4"/>
    <s v="Venmo"/>
    <s v="Every 3 Months"/>
    <s v="Quarterly"/>
    <n v="5"/>
  </r>
  <r>
    <x v="2583"/>
    <n v="69"/>
    <x v="0"/>
    <s v="Jeans"/>
    <x v="0"/>
    <n v="93"/>
    <x v="19"/>
    <s v="M"/>
    <s v="Lavender"/>
    <s v="Fall"/>
    <n v="2.5"/>
    <s v="No"/>
    <s v="Next Day Air"/>
    <s v="No"/>
    <s v="No"/>
    <n v="9"/>
    <s v="Cash"/>
    <s v="Weekly"/>
    <s v="Weekly"/>
    <n v="1"/>
  </r>
  <r>
    <x v="2584"/>
    <n v="26"/>
    <x v="0"/>
    <s v="Socks"/>
    <x v="0"/>
    <n v="30"/>
    <x v="20"/>
    <s v="L"/>
    <s v="Blue"/>
    <s v="Summer"/>
    <n v="2.9"/>
    <s v="No"/>
    <s v="Store Pickup"/>
    <s v="No"/>
    <s v="No"/>
    <n v="26"/>
    <s v="Bank Transfer"/>
    <s v="Bi-Weekly"/>
    <s v="Bi-Weekly"/>
    <n v="2"/>
  </r>
  <r>
    <x v="2585"/>
    <n v="57"/>
    <x v="0"/>
    <s v="Sunglasses"/>
    <x v="3"/>
    <n v="37"/>
    <x v="48"/>
    <s v="L"/>
    <s v="Maroon"/>
    <s v="Fall"/>
    <n v="4.4000000000000004"/>
    <s v="No"/>
    <s v="Free Shipping"/>
    <s v="No"/>
    <s v="No"/>
    <n v="19"/>
    <s v="Debit Card"/>
    <s v="Weekly"/>
    <s v="Weekly"/>
    <n v="1"/>
  </r>
  <r>
    <x v="2586"/>
    <n v="20"/>
    <x v="0"/>
    <s v="Coat"/>
    <x v="2"/>
    <n v="28"/>
    <x v="1"/>
    <s v="L"/>
    <s v="Yellow"/>
    <s v="Winter"/>
    <n v="4.5999999999999996"/>
    <s v="No"/>
    <s v="Express"/>
    <s v="No"/>
    <s v="No"/>
    <n v="1"/>
    <s v="Credit Card"/>
    <s v="Every 3 Months"/>
    <s v="Quarterly"/>
    <n v="5"/>
  </r>
  <r>
    <x v="2587"/>
    <n v="55"/>
    <x v="0"/>
    <s v="Scarf"/>
    <x v="3"/>
    <n v="29"/>
    <x v="39"/>
    <s v="M"/>
    <s v="Purple"/>
    <s v="Winter"/>
    <n v="3.7"/>
    <s v="No"/>
    <s v="Express"/>
    <s v="No"/>
    <s v="No"/>
    <n v="29"/>
    <s v="PayPal"/>
    <s v="Every 3 Months"/>
    <s v="Quarterly"/>
    <n v="5"/>
  </r>
  <r>
    <x v="2588"/>
    <n v="44"/>
    <x v="0"/>
    <s v="Backpack"/>
    <x v="3"/>
    <n v="49"/>
    <x v="12"/>
    <s v="M"/>
    <s v="Peach"/>
    <s v="Summer"/>
    <n v="3.2"/>
    <s v="No"/>
    <s v="Free Shipping"/>
    <s v="No"/>
    <s v="No"/>
    <n v="38"/>
    <s v="Venmo"/>
    <s v="Bi-Weekly"/>
    <s v="Bi-Weekly"/>
    <n v="2"/>
  </r>
  <r>
    <x v="2589"/>
    <n v="52"/>
    <x v="0"/>
    <s v="Pants"/>
    <x v="0"/>
    <n v="53"/>
    <x v="25"/>
    <s v="M"/>
    <s v="Silver"/>
    <s v="Winter"/>
    <n v="4.9000000000000004"/>
    <s v="No"/>
    <s v="2-Day Shipping"/>
    <s v="No"/>
    <s v="No"/>
    <n v="31"/>
    <s v="PayPal"/>
    <s v="Annually"/>
    <s v="Annually"/>
    <n v="6"/>
  </r>
  <r>
    <x v="2590"/>
    <n v="57"/>
    <x v="0"/>
    <s v="Gloves"/>
    <x v="3"/>
    <n v="66"/>
    <x v="18"/>
    <s v="M"/>
    <s v="Turquoise"/>
    <s v="Summer"/>
    <n v="5"/>
    <s v="No"/>
    <s v="Free Shipping"/>
    <s v="No"/>
    <s v="No"/>
    <n v="35"/>
    <s v="Venmo"/>
    <s v="Annually"/>
    <s v="Annually"/>
    <n v="6"/>
  </r>
  <r>
    <x v="2591"/>
    <n v="40"/>
    <x v="0"/>
    <s v="Jacket"/>
    <x v="2"/>
    <n v="61"/>
    <x v="35"/>
    <s v="S"/>
    <s v="Olive"/>
    <s v="Spring"/>
    <n v="3.3"/>
    <s v="No"/>
    <s v="Express"/>
    <s v="No"/>
    <s v="No"/>
    <n v="40"/>
    <s v="Cash"/>
    <s v="Quarterly"/>
    <s v="Quarterly"/>
    <n v="5"/>
  </r>
  <r>
    <x v="2592"/>
    <n v="23"/>
    <x v="0"/>
    <s v="Shorts"/>
    <x v="0"/>
    <n v="23"/>
    <x v="44"/>
    <s v="XL"/>
    <s v="Peach"/>
    <s v="Summer"/>
    <n v="4.4000000000000004"/>
    <s v="No"/>
    <s v="Store Pickup"/>
    <s v="No"/>
    <s v="No"/>
    <n v="13"/>
    <s v="Venmo"/>
    <s v="Quarterly"/>
    <s v="Quarterly"/>
    <n v="5"/>
  </r>
  <r>
    <x v="2593"/>
    <n v="36"/>
    <x v="0"/>
    <s v="Pants"/>
    <x v="0"/>
    <n v="36"/>
    <x v="24"/>
    <s v="S"/>
    <s v="Indigo"/>
    <s v="Fall"/>
    <n v="4.7"/>
    <s v="No"/>
    <s v="Store Pickup"/>
    <s v="No"/>
    <s v="No"/>
    <n v="9"/>
    <s v="Bank Transfer"/>
    <s v="Every 3 Months"/>
    <s v="Quarterly"/>
    <n v="5"/>
  </r>
  <r>
    <x v="2594"/>
    <n v="59"/>
    <x v="0"/>
    <s v="Skirt"/>
    <x v="0"/>
    <n v="81"/>
    <x v="6"/>
    <s v="L"/>
    <s v="Indigo"/>
    <s v="Fall"/>
    <n v="3.6"/>
    <s v="No"/>
    <s v="Free Shipping"/>
    <s v="No"/>
    <s v="No"/>
    <n v="25"/>
    <s v="Cash"/>
    <s v="Every 3 Months"/>
    <s v="Quarterly"/>
    <n v="5"/>
  </r>
  <r>
    <x v="2595"/>
    <n v="29"/>
    <x v="0"/>
    <s v="Blouse"/>
    <x v="0"/>
    <n v="56"/>
    <x v="44"/>
    <s v="XL"/>
    <s v="Maroon"/>
    <s v="Summer"/>
    <n v="3.2"/>
    <s v="No"/>
    <s v="Free Shipping"/>
    <s v="No"/>
    <s v="No"/>
    <n v="3"/>
    <s v="Bank Transfer"/>
    <s v="Bi-Weekly"/>
    <s v="Bi-Weekly"/>
    <n v="2"/>
  </r>
  <r>
    <x v="2596"/>
    <n v="63"/>
    <x v="0"/>
    <s v="Shirt"/>
    <x v="0"/>
    <n v="78"/>
    <x v="7"/>
    <s v="L"/>
    <s v="Black"/>
    <s v="Spring"/>
    <n v="3"/>
    <s v="No"/>
    <s v="Next Day Air"/>
    <s v="No"/>
    <s v="No"/>
    <n v="35"/>
    <s v="Credit Card"/>
    <s v="Monthly"/>
    <s v="Monthly"/>
    <n v="4"/>
  </r>
  <r>
    <x v="2597"/>
    <n v="60"/>
    <x v="0"/>
    <s v="Jewelry"/>
    <x v="3"/>
    <n v="25"/>
    <x v="15"/>
    <s v="XL"/>
    <s v="Teal"/>
    <s v="Summer"/>
    <n v="4.4000000000000004"/>
    <s v="No"/>
    <s v="Store Pickup"/>
    <s v="No"/>
    <s v="No"/>
    <n v="13"/>
    <s v="Venmo"/>
    <s v="Bi-Weekly"/>
    <s v="Bi-Weekly"/>
    <n v="2"/>
  </r>
  <r>
    <x v="2598"/>
    <n v="64"/>
    <x v="0"/>
    <s v="Backpack"/>
    <x v="3"/>
    <n v="86"/>
    <x v="22"/>
    <s v="XL"/>
    <s v="Olive"/>
    <s v="Fall"/>
    <n v="3.3"/>
    <s v="No"/>
    <s v="Express"/>
    <s v="No"/>
    <s v="No"/>
    <n v="31"/>
    <s v="Debit Card"/>
    <s v="Annually"/>
    <s v="Annually"/>
    <n v="6"/>
  </r>
  <r>
    <x v="2599"/>
    <n v="63"/>
    <x v="0"/>
    <s v="Jewelry"/>
    <x v="3"/>
    <n v="99"/>
    <x v="34"/>
    <s v="M"/>
    <s v="Gold"/>
    <s v="Winter"/>
    <n v="3.4"/>
    <s v="No"/>
    <s v="Express"/>
    <s v="No"/>
    <s v="No"/>
    <n v="48"/>
    <s v="Credit Card"/>
    <s v="Monthly"/>
    <s v="Monthly"/>
    <n v="4"/>
  </r>
  <r>
    <x v="2600"/>
    <n v="21"/>
    <x v="0"/>
    <s v="Belt"/>
    <x v="3"/>
    <n v="83"/>
    <x v="14"/>
    <s v="M"/>
    <s v="Gray"/>
    <s v="Fall"/>
    <n v="3.9"/>
    <s v="No"/>
    <s v="Express"/>
    <s v="No"/>
    <s v="No"/>
    <n v="6"/>
    <s v="Bank Transfer"/>
    <s v="Bi-Weekly"/>
    <s v="Bi-Weekly"/>
    <n v="2"/>
  </r>
  <r>
    <x v="2601"/>
    <n v="61"/>
    <x v="0"/>
    <s v="Dress"/>
    <x v="0"/>
    <n v="33"/>
    <x v="16"/>
    <s v="L"/>
    <s v="Orange"/>
    <s v="Winter"/>
    <n v="2.9"/>
    <s v="No"/>
    <s v="Store Pickup"/>
    <s v="No"/>
    <s v="No"/>
    <n v="43"/>
    <s v="Cash"/>
    <s v="Monthly"/>
    <s v="Monthly"/>
    <n v="4"/>
  </r>
  <r>
    <x v="2602"/>
    <n v="65"/>
    <x v="0"/>
    <s v="Coat"/>
    <x v="2"/>
    <n v="44"/>
    <x v="36"/>
    <s v="M"/>
    <s v="Black"/>
    <s v="Fall"/>
    <n v="2.9"/>
    <s v="No"/>
    <s v="Free Shipping"/>
    <s v="No"/>
    <s v="No"/>
    <n v="1"/>
    <s v="Venmo"/>
    <s v="Quarterly"/>
    <s v="Quarterly"/>
    <n v="5"/>
  </r>
  <r>
    <x v="2603"/>
    <n v="69"/>
    <x v="0"/>
    <s v="Dress"/>
    <x v="0"/>
    <n v="58"/>
    <x v="47"/>
    <s v="M"/>
    <s v="Teal"/>
    <s v="Spring"/>
    <n v="2.7"/>
    <s v="No"/>
    <s v="2-Day Shipping"/>
    <s v="No"/>
    <s v="No"/>
    <n v="8"/>
    <s v="Cash"/>
    <s v="Annually"/>
    <s v="Annually"/>
    <n v="6"/>
  </r>
  <r>
    <x v="2604"/>
    <n v="47"/>
    <x v="0"/>
    <s v="Sweater"/>
    <x v="0"/>
    <n v="54"/>
    <x v="24"/>
    <s v="M"/>
    <s v="Beige"/>
    <s v="Spring"/>
    <n v="3.4"/>
    <s v="No"/>
    <s v="Store Pickup"/>
    <s v="No"/>
    <s v="No"/>
    <n v="6"/>
    <s v="Debit Card"/>
    <s v="Weekly"/>
    <s v="Weekly"/>
    <n v="1"/>
  </r>
  <r>
    <x v="2605"/>
    <n v="41"/>
    <x v="0"/>
    <s v="Hoodie"/>
    <x v="0"/>
    <n v="93"/>
    <x v="22"/>
    <s v="M"/>
    <s v="White"/>
    <s v="Spring"/>
    <n v="3.7"/>
    <s v="No"/>
    <s v="2-Day Shipping"/>
    <s v="No"/>
    <s v="No"/>
    <n v="32"/>
    <s v="Venmo"/>
    <s v="Fortnightly"/>
    <s v="Fortnightly"/>
    <n v="3"/>
  </r>
  <r>
    <x v="2606"/>
    <n v="68"/>
    <x v="0"/>
    <s v="Shoes"/>
    <x v="1"/>
    <n v="98"/>
    <x v="22"/>
    <s v="L"/>
    <s v="Turquoise"/>
    <s v="Spring"/>
    <n v="4.7"/>
    <s v="No"/>
    <s v="Standard"/>
    <s v="No"/>
    <s v="No"/>
    <n v="46"/>
    <s v="Bank Transfer"/>
    <s v="Bi-Weekly"/>
    <s v="Bi-Weekly"/>
    <n v="2"/>
  </r>
  <r>
    <x v="2607"/>
    <n v="41"/>
    <x v="0"/>
    <s v="Shoes"/>
    <x v="1"/>
    <n v="36"/>
    <x v="19"/>
    <s v="XL"/>
    <s v="Teal"/>
    <s v="Spring"/>
    <n v="3.1"/>
    <s v="No"/>
    <s v="Express"/>
    <s v="No"/>
    <s v="No"/>
    <n v="38"/>
    <s v="PayPal"/>
    <s v="Every 3 Months"/>
    <s v="Quarterly"/>
    <n v="5"/>
  </r>
  <r>
    <x v="2608"/>
    <n v="42"/>
    <x v="0"/>
    <s v="Jacket"/>
    <x v="2"/>
    <n v="68"/>
    <x v="16"/>
    <s v="L"/>
    <s v="Orange"/>
    <s v="Fall"/>
    <n v="4.2"/>
    <s v="No"/>
    <s v="2-Day Shipping"/>
    <s v="No"/>
    <s v="No"/>
    <n v="48"/>
    <s v="Credit Card"/>
    <s v="Fortnightly"/>
    <s v="Fortnightly"/>
    <n v="3"/>
  </r>
  <r>
    <x v="2609"/>
    <n v="66"/>
    <x v="0"/>
    <s v="Backpack"/>
    <x v="3"/>
    <n v="95"/>
    <x v="10"/>
    <s v="M"/>
    <s v="Black"/>
    <s v="Summer"/>
    <n v="3"/>
    <s v="No"/>
    <s v="Store Pickup"/>
    <s v="No"/>
    <s v="No"/>
    <n v="18"/>
    <s v="Debit Card"/>
    <s v="Bi-Weekly"/>
    <s v="Bi-Weekly"/>
    <n v="2"/>
  </r>
  <r>
    <x v="2610"/>
    <n v="66"/>
    <x v="0"/>
    <s v="Jeans"/>
    <x v="0"/>
    <n v="93"/>
    <x v="8"/>
    <s v="M"/>
    <s v="Violet"/>
    <s v="Spring"/>
    <n v="3.1"/>
    <s v="No"/>
    <s v="Express"/>
    <s v="No"/>
    <s v="No"/>
    <n v="25"/>
    <s v="Cash"/>
    <s v="Quarterly"/>
    <s v="Quarterly"/>
    <n v="5"/>
  </r>
  <r>
    <x v="2611"/>
    <n v="33"/>
    <x v="0"/>
    <s v="Jacket"/>
    <x v="2"/>
    <n v="99"/>
    <x v="49"/>
    <s v="L"/>
    <s v="Maroon"/>
    <s v="Fall"/>
    <n v="4.2"/>
    <s v="No"/>
    <s v="2-Day Shipping"/>
    <s v="No"/>
    <s v="No"/>
    <n v="4"/>
    <s v="Cash"/>
    <s v="Fortnightly"/>
    <s v="Fortnightly"/>
    <n v="3"/>
  </r>
  <r>
    <x v="2612"/>
    <n v="55"/>
    <x v="0"/>
    <s v="Sunglasses"/>
    <x v="3"/>
    <n v="22"/>
    <x v="7"/>
    <s v="M"/>
    <s v="Turquoise"/>
    <s v="Winter"/>
    <n v="3.8"/>
    <s v="No"/>
    <s v="Next Day Air"/>
    <s v="No"/>
    <s v="No"/>
    <n v="27"/>
    <s v="Venmo"/>
    <s v="Quarterly"/>
    <s v="Quarterly"/>
    <n v="5"/>
  </r>
  <r>
    <x v="2613"/>
    <n v="58"/>
    <x v="0"/>
    <s v="Gloves"/>
    <x v="3"/>
    <n v="88"/>
    <x v="45"/>
    <s v="M"/>
    <s v="Gold"/>
    <s v="Fall"/>
    <n v="2.9"/>
    <s v="No"/>
    <s v="Express"/>
    <s v="No"/>
    <s v="No"/>
    <n v="14"/>
    <s v="Bank Transfer"/>
    <s v="Monthly"/>
    <s v="Monthly"/>
    <n v="4"/>
  </r>
  <r>
    <x v="2614"/>
    <n v="18"/>
    <x v="0"/>
    <s v="Jacket"/>
    <x v="2"/>
    <n v="65"/>
    <x v="25"/>
    <s v="M"/>
    <s v="Turquoise"/>
    <s v="Spring"/>
    <n v="4.2"/>
    <s v="No"/>
    <s v="Express"/>
    <s v="No"/>
    <s v="No"/>
    <n v="36"/>
    <s v="Bank Transfer"/>
    <s v="Fortnightly"/>
    <s v="Fortnightly"/>
    <n v="3"/>
  </r>
  <r>
    <x v="2615"/>
    <n v="49"/>
    <x v="0"/>
    <s v="T-shirt"/>
    <x v="0"/>
    <n v="62"/>
    <x v="28"/>
    <s v="M"/>
    <s v="Maroon"/>
    <s v="Fall"/>
    <n v="3.1"/>
    <s v="No"/>
    <s v="2-Day Shipping"/>
    <s v="No"/>
    <s v="No"/>
    <n v="6"/>
    <s v="Debit Card"/>
    <s v="Quarterly"/>
    <s v="Quarterly"/>
    <n v="5"/>
  </r>
  <r>
    <x v="2616"/>
    <n v="61"/>
    <x v="0"/>
    <s v="Sandals"/>
    <x v="1"/>
    <n v="55"/>
    <x v="42"/>
    <s v="XL"/>
    <s v="Purple"/>
    <s v="Spring"/>
    <n v="3.6"/>
    <s v="No"/>
    <s v="Express"/>
    <s v="No"/>
    <s v="No"/>
    <n v="46"/>
    <s v="Cash"/>
    <s v="Annually"/>
    <s v="Annually"/>
    <n v="6"/>
  </r>
  <r>
    <x v="2617"/>
    <n v="31"/>
    <x v="0"/>
    <s v="Shorts"/>
    <x v="0"/>
    <n v="97"/>
    <x v="37"/>
    <s v="S"/>
    <s v="Maroon"/>
    <s v="Spring"/>
    <n v="4.8"/>
    <s v="No"/>
    <s v="Standard"/>
    <s v="No"/>
    <s v="No"/>
    <n v="29"/>
    <s v="Bank Transfer"/>
    <s v="Annually"/>
    <s v="Annually"/>
    <n v="6"/>
  </r>
  <r>
    <x v="2618"/>
    <n v="70"/>
    <x v="0"/>
    <s v="Handbag"/>
    <x v="3"/>
    <n v="77"/>
    <x v="7"/>
    <s v="L"/>
    <s v="Brown"/>
    <s v="Fall"/>
    <n v="4.0999999999999996"/>
    <s v="No"/>
    <s v="Express"/>
    <s v="No"/>
    <s v="No"/>
    <n v="12"/>
    <s v="Venmo"/>
    <s v="Monthly"/>
    <s v="Monthly"/>
    <n v="4"/>
  </r>
  <r>
    <x v="2619"/>
    <n v="68"/>
    <x v="0"/>
    <s v="Pants"/>
    <x v="0"/>
    <n v="40"/>
    <x v="39"/>
    <s v="L"/>
    <s v="Indigo"/>
    <s v="Winter"/>
    <n v="3.9"/>
    <s v="No"/>
    <s v="Free Shipping"/>
    <s v="No"/>
    <s v="No"/>
    <n v="47"/>
    <s v="Credit Card"/>
    <s v="Weekly"/>
    <s v="Weekly"/>
    <n v="1"/>
  </r>
  <r>
    <x v="2620"/>
    <n v="27"/>
    <x v="0"/>
    <s v="Blouse"/>
    <x v="0"/>
    <n v="23"/>
    <x v="31"/>
    <s v="S"/>
    <s v="Lavender"/>
    <s v="Winter"/>
    <n v="3"/>
    <s v="No"/>
    <s v="Standard"/>
    <s v="No"/>
    <s v="No"/>
    <n v="28"/>
    <s v="Debit Card"/>
    <s v="Annually"/>
    <s v="Annually"/>
    <n v="6"/>
  </r>
  <r>
    <x v="2621"/>
    <n v="48"/>
    <x v="0"/>
    <s v="Shoes"/>
    <x v="1"/>
    <n v="46"/>
    <x v="1"/>
    <s v="M"/>
    <s v="Beige"/>
    <s v="Winter"/>
    <n v="3"/>
    <s v="No"/>
    <s v="Express"/>
    <s v="No"/>
    <s v="No"/>
    <n v="21"/>
    <s v="Bank Transfer"/>
    <s v="Annually"/>
    <s v="Annually"/>
    <n v="6"/>
  </r>
  <r>
    <x v="2622"/>
    <n v="63"/>
    <x v="0"/>
    <s v="Backpack"/>
    <x v="3"/>
    <n v="75"/>
    <x v="13"/>
    <s v="M"/>
    <s v="Yellow"/>
    <s v="Spring"/>
    <n v="4.9000000000000004"/>
    <s v="No"/>
    <s v="2-Day Shipping"/>
    <s v="No"/>
    <s v="No"/>
    <n v="15"/>
    <s v="Credit Card"/>
    <s v="Annually"/>
    <s v="Annually"/>
    <n v="6"/>
  </r>
  <r>
    <x v="2623"/>
    <n v="49"/>
    <x v="0"/>
    <s v="Shoes"/>
    <x v="1"/>
    <n v="76"/>
    <x v="2"/>
    <s v="M"/>
    <s v="Gold"/>
    <s v="Fall"/>
    <n v="4.8"/>
    <s v="No"/>
    <s v="Next Day Air"/>
    <s v="No"/>
    <s v="No"/>
    <n v="38"/>
    <s v="Cash"/>
    <s v="Annually"/>
    <s v="Annually"/>
    <n v="6"/>
  </r>
  <r>
    <x v="2624"/>
    <n v="19"/>
    <x v="0"/>
    <s v="Dress"/>
    <x v="0"/>
    <n v="59"/>
    <x v="45"/>
    <s v="M"/>
    <s v="Indigo"/>
    <s v="Summer"/>
    <n v="3.3"/>
    <s v="No"/>
    <s v="Standard"/>
    <s v="No"/>
    <s v="No"/>
    <n v="19"/>
    <s v="Credit Card"/>
    <s v="Annually"/>
    <s v="Annually"/>
    <n v="6"/>
  </r>
  <r>
    <x v="2625"/>
    <n v="30"/>
    <x v="0"/>
    <s v="Skirt"/>
    <x v="0"/>
    <n v="51"/>
    <x v="24"/>
    <s v="L"/>
    <s v="Cyan"/>
    <s v="Summer"/>
    <n v="2.7"/>
    <s v="No"/>
    <s v="Standard"/>
    <s v="No"/>
    <s v="No"/>
    <n v="31"/>
    <s v="Credit Card"/>
    <s v="Weekly"/>
    <s v="Weekly"/>
    <n v="1"/>
  </r>
  <r>
    <x v="2626"/>
    <n v="50"/>
    <x v="0"/>
    <s v="Jacket"/>
    <x v="2"/>
    <n v="46"/>
    <x v="3"/>
    <s v="XL"/>
    <s v="Silver"/>
    <s v="Fall"/>
    <n v="4.2"/>
    <s v="No"/>
    <s v="Express"/>
    <s v="No"/>
    <s v="No"/>
    <n v="30"/>
    <s v="Credit Card"/>
    <s v="Every 3 Months"/>
    <s v="Quarterly"/>
    <n v="5"/>
  </r>
  <r>
    <x v="2627"/>
    <n v="66"/>
    <x v="0"/>
    <s v="Shirt"/>
    <x v="0"/>
    <n v="26"/>
    <x v="9"/>
    <s v="L"/>
    <s v="Silver"/>
    <s v="Fall"/>
    <n v="3.6"/>
    <s v="No"/>
    <s v="Next Day Air"/>
    <s v="No"/>
    <s v="No"/>
    <n v="40"/>
    <s v="Bank Transfer"/>
    <s v="Quarterly"/>
    <s v="Quarterly"/>
    <n v="5"/>
  </r>
  <r>
    <x v="2628"/>
    <n v="25"/>
    <x v="0"/>
    <s v="Hoodie"/>
    <x v="0"/>
    <n v="51"/>
    <x v="5"/>
    <s v="M"/>
    <s v="Silver"/>
    <s v="Summer"/>
    <n v="3.8"/>
    <s v="No"/>
    <s v="Next Day Air"/>
    <s v="No"/>
    <s v="No"/>
    <n v="42"/>
    <s v="Credit Card"/>
    <s v="Bi-Weekly"/>
    <s v="Bi-Weekly"/>
    <n v="2"/>
  </r>
  <r>
    <x v="2629"/>
    <n v="61"/>
    <x v="0"/>
    <s v="Scarf"/>
    <x v="3"/>
    <n v="44"/>
    <x v="13"/>
    <s v="M"/>
    <s v="Peach"/>
    <s v="Winter"/>
    <n v="3.8"/>
    <s v="No"/>
    <s v="Free Shipping"/>
    <s v="No"/>
    <s v="No"/>
    <n v="25"/>
    <s v="Venmo"/>
    <s v="Annually"/>
    <s v="Annually"/>
    <n v="6"/>
  </r>
  <r>
    <x v="2630"/>
    <n v="29"/>
    <x v="0"/>
    <s v="Skirt"/>
    <x v="0"/>
    <n v="82"/>
    <x v="1"/>
    <s v="S"/>
    <s v="Pink"/>
    <s v="Spring"/>
    <n v="4.2"/>
    <s v="No"/>
    <s v="Free Shipping"/>
    <s v="No"/>
    <s v="No"/>
    <n v="20"/>
    <s v="Cash"/>
    <s v="Quarterly"/>
    <s v="Quarterly"/>
    <n v="5"/>
  </r>
  <r>
    <x v="2631"/>
    <n v="53"/>
    <x v="0"/>
    <s v="Skirt"/>
    <x v="0"/>
    <n v="44"/>
    <x v="39"/>
    <s v="S"/>
    <s v="Violet"/>
    <s v="Summer"/>
    <n v="2.7"/>
    <s v="No"/>
    <s v="Express"/>
    <s v="No"/>
    <s v="No"/>
    <n v="3"/>
    <s v="Cash"/>
    <s v="Weekly"/>
    <s v="Weekly"/>
    <n v="1"/>
  </r>
  <r>
    <x v="2632"/>
    <n v="24"/>
    <x v="0"/>
    <s v="Scarf"/>
    <x v="3"/>
    <n v="27"/>
    <x v="29"/>
    <s v="M"/>
    <s v="Black"/>
    <s v="Fall"/>
    <n v="5"/>
    <s v="No"/>
    <s v="Next Day Air"/>
    <s v="No"/>
    <s v="No"/>
    <n v="14"/>
    <s v="Cash"/>
    <s v="Annually"/>
    <s v="Annually"/>
    <n v="6"/>
  </r>
  <r>
    <x v="2633"/>
    <n v="51"/>
    <x v="0"/>
    <s v="Sunglasses"/>
    <x v="3"/>
    <n v="90"/>
    <x v="29"/>
    <s v="M"/>
    <s v="Purple"/>
    <s v="Fall"/>
    <n v="4.7"/>
    <s v="No"/>
    <s v="Next Day Air"/>
    <s v="No"/>
    <s v="No"/>
    <n v="32"/>
    <s v="Credit Card"/>
    <s v="Fortnightly"/>
    <s v="Fortnightly"/>
    <n v="3"/>
  </r>
  <r>
    <x v="2634"/>
    <n v="26"/>
    <x v="0"/>
    <s v="Sandals"/>
    <x v="1"/>
    <n v="58"/>
    <x v="17"/>
    <s v="S"/>
    <s v="Black"/>
    <s v="Summer"/>
    <n v="3.2"/>
    <s v="No"/>
    <s v="Store Pickup"/>
    <s v="No"/>
    <s v="No"/>
    <n v="20"/>
    <s v="PayPal"/>
    <s v="Every 3 Months"/>
    <s v="Quarterly"/>
    <n v="5"/>
  </r>
  <r>
    <x v="2635"/>
    <n v="59"/>
    <x v="0"/>
    <s v="Hoodie"/>
    <x v="0"/>
    <n v="80"/>
    <x v="24"/>
    <s v="XL"/>
    <s v="Peach"/>
    <s v="Spring"/>
    <n v="2.9"/>
    <s v="No"/>
    <s v="2-Day Shipping"/>
    <s v="No"/>
    <s v="No"/>
    <n v="34"/>
    <s v="PayPal"/>
    <s v="Fortnightly"/>
    <s v="Fortnightly"/>
    <n v="3"/>
  </r>
  <r>
    <x v="2636"/>
    <n v="41"/>
    <x v="0"/>
    <s v="Jacket"/>
    <x v="2"/>
    <n v="40"/>
    <x v="40"/>
    <s v="S"/>
    <s v="Magenta"/>
    <s v="Winter"/>
    <n v="4.2"/>
    <s v="No"/>
    <s v="Store Pickup"/>
    <s v="No"/>
    <s v="No"/>
    <n v="6"/>
    <s v="Venmo"/>
    <s v="Annually"/>
    <s v="Annually"/>
    <n v="6"/>
  </r>
  <r>
    <x v="2637"/>
    <n v="20"/>
    <x v="0"/>
    <s v="Pants"/>
    <x v="0"/>
    <n v="23"/>
    <x v="15"/>
    <s v="M"/>
    <s v="Magenta"/>
    <s v="Spring"/>
    <n v="3.7"/>
    <s v="No"/>
    <s v="Store Pickup"/>
    <s v="No"/>
    <s v="No"/>
    <n v="2"/>
    <s v="PayPal"/>
    <s v="Annually"/>
    <s v="Annually"/>
    <n v="6"/>
  </r>
  <r>
    <x v="2638"/>
    <n v="22"/>
    <x v="0"/>
    <s v="Shirt"/>
    <x v="0"/>
    <n v="34"/>
    <x v="11"/>
    <s v="S"/>
    <s v="Black"/>
    <s v="Spring"/>
    <n v="4.2"/>
    <s v="No"/>
    <s v="Store Pickup"/>
    <s v="No"/>
    <s v="No"/>
    <n v="35"/>
    <s v="Credit Card"/>
    <s v="Annually"/>
    <s v="Annually"/>
    <n v="6"/>
  </r>
  <r>
    <x v="2639"/>
    <n v="18"/>
    <x v="0"/>
    <s v="Blouse"/>
    <x v="0"/>
    <n v="35"/>
    <x v="13"/>
    <s v="XL"/>
    <s v="Pink"/>
    <s v="Winter"/>
    <n v="2.6"/>
    <s v="No"/>
    <s v="Free Shipping"/>
    <s v="No"/>
    <s v="No"/>
    <n v="33"/>
    <s v="Debit Card"/>
    <s v="Quarterly"/>
    <s v="Quarterly"/>
    <n v="5"/>
  </r>
  <r>
    <x v="2640"/>
    <n v="30"/>
    <x v="0"/>
    <s v="Skirt"/>
    <x v="0"/>
    <n v="75"/>
    <x v="27"/>
    <s v="L"/>
    <s v="Olive"/>
    <s v="Summer"/>
    <n v="4"/>
    <s v="No"/>
    <s v="Store Pickup"/>
    <s v="No"/>
    <s v="No"/>
    <n v="45"/>
    <s v="Venmo"/>
    <s v="Bi-Weekly"/>
    <s v="Bi-Weekly"/>
    <n v="2"/>
  </r>
  <r>
    <x v="2641"/>
    <n v="25"/>
    <x v="0"/>
    <s v="Sunglasses"/>
    <x v="3"/>
    <n v="60"/>
    <x v="34"/>
    <s v="XL"/>
    <s v="Olive"/>
    <s v="Winter"/>
    <n v="2.7"/>
    <s v="No"/>
    <s v="Next Day Air"/>
    <s v="No"/>
    <s v="No"/>
    <n v="20"/>
    <s v="Bank Transfer"/>
    <s v="Every 3 Months"/>
    <s v="Quarterly"/>
    <n v="5"/>
  </r>
  <r>
    <x v="2642"/>
    <n v="39"/>
    <x v="0"/>
    <s v="Belt"/>
    <x v="3"/>
    <n v="87"/>
    <x v="44"/>
    <s v="L"/>
    <s v="Peach"/>
    <s v="Summer"/>
    <n v="4"/>
    <s v="No"/>
    <s v="Store Pickup"/>
    <s v="No"/>
    <s v="No"/>
    <n v="48"/>
    <s v="Bank Transfer"/>
    <s v="Annually"/>
    <s v="Annually"/>
    <n v="6"/>
  </r>
  <r>
    <x v="2643"/>
    <n v="49"/>
    <x v="0"/>
    <s v="Gloves"/>
    <x v="3"/>
    <n v="41"/>
    <x v="33"/>
    <s v="S"/>
    <s v="Silver"/>
    <s v="Spring"/>
    <n v="2.9"/>
    <s v="No"/>
    <s v="Next Day Air"/>
    <s v="No"/>
    <s v="No"/>
    <n v="37"/>
    <s v="Cash"/>
    <s v="Monthly"/>
    <s v="Monthly"/>
    <n v="4"/>
  </r>
  <r>
    <x v="2644"/>
    <n v="25"/>
    <x v="0"/>
    <s v="Pants"/>
    <x v="0"/>
    <n v="83"/>
    <x v="35"/>
    <s v="M"/>
    <s v="Turquoise"/>
    <s v="Spring"/>
    <n v="3.3"/>
    <s v="No"/>
    <s v="Standard"/>
    <s v="No"/>
    <s v="No"/>
    <n v="4"/>
    <s v="Bank Transfer"/>
    <s v="Every 3 Months"/>
    <s v="Quarterly"/>
    <n v="5"/>
  </r>
  <r>
    <x v="2645"/>
    <n v="23"/>
    <x v="0"/>
    <s v="Scarf"/>
    <x v="3"/>
    <n v="81"/>
    <x v="7"/>
    <s v="L"/>
    <s v="Olive"/>
    <s v="Spring"/>
    <n v="4"/>
    <s v="No"/>
    <s v="Store Pickup"/>
    <s v="No"/>
    <s v="No"/>
    <n v="24"/>
    <s v="Bank Transfer"/>
    <s v="Bi-Weekly"/>
    <s v="Bi-Weekly"/>
    <n v="2"/>
  </r>
  <r>
    <x v="2646"/>
    <n v="33"/>
    <x v="0"/>
    <s v="T-shirt"/>
    <x v="0"/>
    <n v="56"/>
    <x v="35"/>
    <s v="S"/>
    <s v="Lavender"/>
    <s v="Summer"/>
    <n v="3.9"/>
    <s v="No"/>
    <s v="Next Day Air"/>
    <s v="No"/>
    <s v="No"/>
    <n v="4"/>
    <s v="Debit Card"/>
    <s v="Every 3 Months"/>
    <s v="Quarterly"/>
    <n v="5"/>
  </r>
  <r>
    <x v="2647"/>
    <n v="60"/>
    <x v="0"/>
    <s v="Shoes"/>
    <x v="1"/>
    <n v="58"/>
    <x v="36"/>
    <s v="M"/>
    <s v="Red"/>
    <s v="Summer"/>
    <n v="3.3"/>
    <s v="No"/>
    <s v="2-Day Shipping"/>
    <s v="No"/>
    <s v="No"/>
    <n v="25"/>
    <s v="Debit Card"/>
    <s v="Annually"/>
    <s v="Annually"/>
    <n v="6"/>
  </r>
  <r>
    <x v="2648"/>
    <n v="51"/>
    <x v="0"/>
    <s v="Pants"/>
    <x v="0"/>
    <n v="84"/>
    <x v="26"/>
    <s v="M"/>
    <s v="Gray"/>
    <s v="Spring"/>
    <n v="3.9"/>
    <s v="No"/>
    <s v="Next Day Air"/>
    <s v="No"/>
    <s v="No"/>
    <n v="14"/>
    <s v="PayPal"/>
    <s v="Bi-Weekly"/>
    <s v="Bi-Weekly"/>
    <n v="2"/>
  </r>
  <r>
    <x v="2649"/>
    <n v="23"/>
    <x v="0"/>
    <s v="Gloves"/>
    <x v="3"/>
    <n v="21"/>
    <x v="46"/>
    <s v="M"/>
    <s v="Magenta"/>
    <s v="Fall"/>
    <n v="3.9"/>
    <s v="No"/>
    <s v="Store Pickup"/>
    <s v="No"/>
    <s v="No"/>
    <n v="14"/>
    <s v="Bank Transfer"/>
    <s v="Fortnightly"/>
    <s v="Fortnightly"/>
    <n v="3"/>
  </r>
  <r>
    <x v="2650"/>
    <n v="20"/>
    <x v="0"/>
    <s v="Socks"/>
    <x v="0"/>
    <n v="35"/>
    <x v="4"/>
    <s v="L"/>
    <s v="Maroon"/>
    <s v="Summer"/>
    <n v="4.2"/>
    <s v="No"/>
    <s v="Standard"/>
    <s v="No"/>
    <s v="No"/>
    <n v="46"/>
    <s v="Credit Card"/>
    <s v="Every 3 Months"/>
    <s v="Quarterly"/>
    <n v="5"/>
  </r>
  <r>
    <x v="2651"/>
    <n v="51"/>
    <x v="0"/>
    <s v="Sneakers"/>
    <x v="1"/>
    <n v="43"/>
    <x v="30"/>
    <s v="M"/>
    <s v="Cyan"/>
    <s v="Summer"/>
    <n v="4.5999999999999996"/>
    <s v="No"/>
    <s v="Store Pickup"/>
    <s v="No"/>
    <s v="No"/>
    <n v="27"/>
    <s v="PayPal"/>
    <s v="Quarterly"/>
    <s v="Quarterly"/>
    <n v="5"/>
  </r>
  <r>
    <x v="2652"/>
    <n v="23"/>
    <x v="1"/>
    <s v="Shorts"/>
    <x v="0"/>
    <n v="20"/>
    <x v="33"/>
    <s v="L"/>
    <s v="Cyan"/>
    <s v="Summer"/>
    <n v="3.3"/>
    <s v="No"/>
    <s v="2-Day Shipping"/>
    <s v="No"/>
    <s v="No"/>
    <n v="46"/>
    <s v="Credit Card"/>
    <s v="Monthly"/>
    <s v="Monthly"/>
    <n v="4"/>
  </r>
  <r>
    <x v="2653"/>
    <n v="67"/>
    <x v="1"/>
    <s v="Blouse"/>
    <x v="0"/>
    <n v="36"/>
    <x v="48"/>
    <s v="L"/>
    <s v="Lavender"/>
    <s v="Fall"/>
    <n v="4.8"/>
    <s v="No"/>
    <s v="Express"/>
    <s v="No"/>
    <s v="No"/>
    <n v="24"/>
    <s v="Venmo"/>
    <s v="Every 3 Months"/>
    <s v="Quarterly"/>
    <n v="5"/>
  </r>
  <r>
    <x v="2654"/>
    <n v="23"/>
    <x v="1"/>
    <s v="Coat"/>
    <x v="2"/>
    <n v="70"/>
    <x v="37"/>
    <s v="S"/>
    <s v="Pink"/>
    <s v="Fall"/>
    <n v="4.0999999999999996"/>
    <s v="No"/>
    <s v="Next Day Air"/>
    <s v="No"/>
    <s v="No"/>
    <n v="4"/>
    <s v="PayPal"/>
    <s v="Annually"/>
    <s v="Annually"/>
    <n v="6"/>
  </r>
  <r>
    <x v="2655"/>
    <n v="26"/>
    <x v="1"/>
    <s v="Sunglasses"/>
    <x v="3"/>
    <n v="83"/>
    <x v="5"/>
    <s v="M"/>
    <s v="Gray"/>
    <s v="Summer"/>
    <n v="3.4"/>
    <s v="No"/>
    <s v="Standard"/>
    <s v="No"/>
    <s v="No"/>
    <n v="2"/>
    <s v="Credit Card"/>
    <s v="Fortnightly"/>
    <s v="Fortnightly"/>
    <n v="3"/>
  </r>
  <r>
    <x v="2656"/>
    <n v="52"/>
    <x v="1"/>
    <s v="Shorts"/>
    <x v="0"/>
    <n v="76"/>
    <x v="27"/>
    <s v="L"/>
    <s v="Yellow"/>
    <s v="Winter"/>
    <n v="3.6"/>
    <s v="No"/>
    <s v="Express"/>
    <s v="No"/>
    <s v="No"/>
    <n v="29"/>
    <s v="Bank Transfer"/>
    <s v="Fortnightly"/>
    <s v="Fortnightly"/>
    <n v="3"/>
  </r>
  <r>
    <x v="2657"/>
    <n v="52"/>
    <x v="1"/>
    <s v="Dress"/>
    <x v="0"/>
    <n v="81"/>
    <x v="21"/>
    <s v="M"/>
    <s v="Pink"/>
    <s v="Summer"/>
    <n v="2.7"/>
    <s v="No"/>
    <s v="Express"/>
    <s v="No"/>
    <s v="No"/>
    <n v="7"/>
    <s v="Credit Card"/>
    <s v="Fortnightly"/>
    <s v="Fortnightly"/>
    <n v="3"/>
  </r>
  <r>
    <x v="2658"/>
    <n v="52"/>
    <x v="1"/>
    <s v="Handbag"/>
    <x v="3"/>
    <n v="47"/>
    <x v="31"/>
    <s v="XL"/>
    <s v="Indigo"/>
    <s v="Summer"/>
    <n v="3.2"/>
    <s v="No"/>
    <s v="Next Day Air"/>
    <s v="No"/>
    <s v="No"/>
    <n v="39"/>
    <s v="PayPal"/>
    <s v="Monthly"/>
    <s v="Monthly"/>
    <n v="4"/>
  </r>
  <r>
    <x v="2659"/>
    <n v="35"/>
    <x v="1"/>
    <s v="Boots"/>
    <x v="1"/>
    <n v="35"/>
    <x v="23"/>
    <s v="L"/>
    <s v="Gray"/>
    <s v="Summer"/>
    <n v="4.4000000000000004"/>
    <s v="No"/>
    <s v="2-Day Shipping"/>
    <s v="No"/>
    <s v="No"/>
    <n v="46"/>
    <s v="Credit Card"/>
    <s v="Fortnightly"/>
    <s v="Fortnightly"/>
    <n v="3"/>
  </r>
  <r>
    <x v="2660"/>
    <n v="24"/>
    <x v="1"/>
    <s v="Pants"/>
    <x v="0"/>
    <n v="85"/>
    <x v="36"/>
    <s v="L"/>
    <s v="Yellow"/>
    <s v="Spring"/>
    <n v="4.9000000000000004"/>
    <s v="No"/>
    <s v="Express"/>
    <s v="No"/>
    <s v="No"/>
    <n v="44"/>
    <s v="Venmo"/>
    <s v="Annually"/>
    <s v="Annually"/>
    <n v="6"/>
  </r>
  <r>
    <x v="2661"/>
    <n v="43"/>
    <x v="1"/>
    <s v="Boots"/>
    <x v="1"/>
    <n v="96"/>
    <x v="49"/>
    <s v="XL"/>
    <s v="Olive"/>
    <s v="Fall"/>
    <n v="4.8"/>
    <s v="No"/>
    <s v="Express"/>
    <s v="No"/>
    <s v="No"/>
    <n v="20"/>
    <s v="Bank Transfer"/>
    <s v="Annually"/>
    <s v="Annually"/>
    <n v="6"/>
  </r>
  <r>
    <x v="2662"/>
    <n v="25"/>
    <x v="1"/>
    <s v="Skirt"/>
    <x v="0"/>
    <n v="98"/>
    <x v="43"/>
    <s v="M"/>
    <s v="Cyan"/>
    <s v="Summer"/>
    <n v="2.8"/>
    <s v="No"/>
    <s v="2-Day Shipping"/>
    <s v="No"/>
    <s v="No"/>
    <n v="44"/>
    <s v="PayPal"/>
    <s v="Fortnightly"/>
    <s v="Fortnightly"/>
    <n v="3"/>
  </r>
  <r>
    <x v="2663"/>
    <n v="46"/>
    <x v="1"/>
    <s v="Sneakers"/>
    <x v="1"/>
    <n v="52"/>
    <x v="48"/>
    <s v="L"/>
    <s v="Silver"/>
    <s v="Fall"/>
    <n v="2.9"/>
    <s v="No"/>
    <s v="Free Shipping"/>
    <s v="No"/>
    <s v="No"/>
    <n v="23"/>
    <s v="Bank Transfer"/>
    <s v="Annually"/>
    <s v="Annually"/>
    <n v="6"/>
  </r>
  <r>
    <x v="2664"/>
    <n v="22"/>
    <x v="1"/>
    <s v="Jewelry"/>
    <x v="3"/>
    <n v="84"/>
    <x v="26"/>
    <s v="L"/>
    <s v="Silver"/>
    <s v="Winter"/>
    <n v="3.2"/>
    <s v="No"/>
    <s v="Store Pickup"/>
    <s v="No"/>
    <s v="No"/>
    <n v="37"/>
    <s v="PayPal"/>
    <s v="Weekly"/>
    <s v="Weekly"/>
    <n v="1"/>
  </r>
  <r>
    <x v="2665"/>
    <n v="70"/>
    <x v="1"/>
    <s v="T-shirt"/>
    <x v="0"/>
    <n v="71"/>
    <x v="7"/>
    <s v="L"/>
    <s v="Red"/>
    <s v="Winter"/>
    <n v="3.5"/>
    <s v="No"/>
    <s v="Store Pickup"/>
    <s v="No"/>
    <s v="No"/>
    <n v="4"/>
    <s v="Venmo"/>
    <s v="Weekly"/>
    <s v="Weekly"/>
    <n v="1"/>
  </r>
  <r>
    <x v="2666"/>
    <n v="49"/>
    <x v="1"/>
    <s v="Sandals"/>
    <x v="1"/>
    <n v="95"/>
    <x v="31"/>
    <s v="S"/>
    <s v="Brown"/>
    <s v="Winter"/>
    <n v="4.0999999999999996"/>
    <s v="No"/>
    <s v="Store Pickup"/>
    <s v="No"/>
    <s v="No"/>
    <n v="14"/>
    <s v="Venmo"/>
    <s v="Fortnightly"/>
    <s v="Fortnightly"/>
    <n v="3"/>
  </r>
  <r>
    <x v="2667"/>
    <n v="48"/>
    <x v="1"/>
    <s v="Boots"/>
    <x v="1"/>
    <n v="47"/>
    <x v="33"/>
    <s v="M"/>
    <s v="Orange"/>
    <s v="Summer"/>
    <n v="4.0999999999999996"/>
    <s v="No"/>
    <s v="Free Shipping"/>
    <s v="No"/>
    <s v="No"/>
    <n v="31"/>
    <s v="Cash"/>
    <s v="Fortnightly"/>
    <s v="Fortnightly"/>
    <n v="3"/>
  </r>
  <r>
    <x v="2668"/>
    <n v="59"/>
    <x v="1"/>
    <s v="Coat"/>
    <x v="2"/>
    <n v="75"/>
    <x v="21"/>
    <s v="M"/>
    <s v="Black"/>
    <s v="Summer"/>
    <n v="4.8"/>
    <s v="No"/>
    <s v="Next Day Air"/>
    <s v="No"/>
    <s v="No"/>
    <n v="9"/>
    <s v="PayPal"/>
    <s v="Quarterly"/>
    <s v="Quarterly"/>
    <n v="5"/>
  </r>
  <r>
    <x v="2669"/>
    <n v="39"/>
    <x v="1"/>
    <s v="Belt"/>
    <x v="3"/>
    <n v="28"/>
    <x v="26"/>
    <s v="L"/>
    <s v="Teal"/>
    <s v="Spring"/>
    <n v="2.8"/>
    <s v="No"/>
    <s v="Free Shipping"/>
    <s v="No"/>
    <s v="No"/>
    <n v="31"/>
    <s v="Credit Card"/>
    <s v="Weekly"/>
    <s v="Weekly"/>
    <n v="1"/>
  </r>
  <r>
    <x v="2670"/>
    <n v="30"/>
    <x v="1"/>
    <s v="Sunglasses"/>
    <x v="3"/>
    <n v="44"/>
    <x v="38"/>
    <s v="M"/>
    <s v="Yellow"/>
    <s v="Fall"/>
    <n v="4.7"/>
    <s v="No"/>
    <s v="Express"/>
    <s v="No"/>
    <s v="No"/>
    <n v="26"/>
    <s v="Bank Transfer"/>
    <s v="Bi-Weekly"/>
    <s v="Bi-Weekly"/>
    <n v="2"/>
  </r>
  <r>
    <x v="2671"/>
    <n v="37"/>
    <x v="1"/>
    <s v="Sandals"/>
    <x v="1"/>
    <n v="64"/>
    <x v="15"/>
    <s v="XL"/>
    <s v="Gray"/>
    <s v="Winter"/>
    <n v="4.8"/>
    <s v="No"/>
    <s v="2-Day Shipping"/>
    <s v="No"/>
    <s v="No"/>
    <n v="41"/>
    <s v="PayPal"/>
    <s v="Every 3 Months"/>
    <s v="Quarterly"/>
    <n v="5"/>
  </r>
  <r>
    <x v="2672"/>
    <n v="56"/>
    <x v="1"/>
    <s v="Boots"/>
    <x v="1"/>
    <n v="28"/>
    <x v="8"/>
    <s v="M"/>
    <s v="Maroon"/>
    <s v="Spring"/>
    <n v="2.9"/>
    <s v="No"/>
    <s v="Standard"/>
    <s v="No"/>
    <s v="No"/>
    <n v="13"/>
    <s v="Cash"/>
    <s v="Annually"/>
    <s v="Annually"/>
    <n v="6"/>
  </r>
  <r>
    <x v="2673"/>
    <n v="67"/>
    <x v="1"/>
    <s v="Hoodie"/>
    <x v="0"/>
    <n v="21"/>
    <x v="22"/>
    <s v="M"/>
    <s v="Olive"/>
    <s v="Summer"/>
    <n v="2.6"/>
    <s v="No"/>
    <s v="2-Day Shipping"/>
    <s v="No"/>
    <s v="No"/>
    <n v="4"/>
    <s v="Cash"/>
    <s v="Monthly"/>
    <s v="Monthly"/>
    <n v="4"/>
  </r>
  <r>
    <x v="2674"/>
    <n v="40"/>
    <x v="1"/>
    <s v="Hat"/>
    <x v="3"/>
    <n v="41"/>
    <x v="20"/>
    <s v="S"/>
    <s v="Charcoal"/>
    <s v="Fall"/>
    <n v="3.3"/>
    <s v="No"/>
    <s v="Express"/>
    <s v="No"/>
    <s v="No"/>
    <n v="15"/>
    <s v="Cash"/>
    <s v="Every 3 Months"/>
    <s v="Quarterly"/>
    <n v="5"/>
  </r>
  <r>
    <x v="2675"/>
    <n v="24"/>
    <x v="1"/>
    <s v="Shorts"/>
    <x v="0"/>
    <n v="38"/>
    <x v="41"/>
    <s v="M"/>
    <s v="Peach"/>
    <s v="Winter"/>
    <n v="3.4"/>
    <s v="No"/>
    <s v="Free Shipping"/>
    <s v="No"/>
    <s v="No"/>
    <n v="38"/>
    <s v="Cash"/>
    <s v="Bi-Weekly"/>
    <s v="Bi-Weekly"/>
    <n v="2"/>
  </r>
  <r>
    <x v="2676"/>
    <n v="43"/>
    <x v="1"/>
    <s v="Backpack"/>
    <x v="3"/>
    <n v="77"/>
    <x v="0"/>
    <s v="M"/>
    <s v="Maroon"/>
    <s v="Spring"/>
    <n v="3.6"/>
    <s v="No"/>
    <s v="Free Shipping"/>
    <s v="No"/>
    <s v="No"/>
    <n v="3"/>
    <s v="Cash"/>
    <s v="Fortnightly"/>
    <s v="Fortnightly"/>
    <n v="3"/>
  </r>
  <r>
    <x v="2677"/>
    <n v="45"/>
    <x v="1"/>
    <s v="Shorts"/>
    <x v="0"/>
    <n v="43"/>
    <x v="39"/>
    <s v="L"/>
    <s v="Olive"/>
    <s v="Spring"/>
    <n v="3.8"/>
    <s v="No"/>
    <s v="Next Day Air"/>
    <s v="No"/>
    <s v="No"/>
    <n v="6"/>
    <s v="PayPal"/>
    <s v="Every 3 Months"/>
    <s v="Quarterly"/>
    <n v="5"/>
  </r>
  <r>
    <x v="2678"/>
    <n v="33"/>
    <x v="1"/>
    <s v="Belt"/>
    <x v="3"/>
    <n v="91"/>
    <x v="6"/>
    <s v="M"/>
    <s v="Magenta"/>
    <s v="Spring"/>
    <n v="3.4"/>
    <s v="No"/>
    <s v="2-Day Shipping"/>
    <s v="No"/>
    <s v="No"/>
    <n v="34"/>
    <s v="Credit Card"/>
    <s v="Bi-Weekly"/>
    <s v="Bi-Weekly"/>
    <n v="2"/>
  </r>
  <r>
    <x v="2679"/>
    <n v="53"/>
    <x v="1"/>
    <s v="Shorts"/>
    <x v="0"/>
    <n v="68"/>
    <x v="6"/>
    <s v="S"/>
    <s v="Yellow"/>
    <s v="Spring"/>
    <n v="3.8"/>
    <s v="No"/>
    <s v="Express"/>
    <s v="No"/>
    <s v="No"/>
    <n v="7"/>
    <s v="Debit Card"/>
    <s v="Quarterly"/>
    <s v="Quarterly"/>
    <n v="5"/>
  </r>
  <r>
    <x v="2680"/>
    <n v="44"/>
    <x v="1"/>
    <s v="Socks"/>
    <x v="0"/>
    <n v="37"/>
    <x v="43"/>
    <s v="L"/>
    <s v="Indigo"/>
    <s v="Fall"/>
    <n v="3.3"/>
    <s v="No"/>
    <s v="Next Day Air"/>
    <s v="No"/>
    <s v="No"/>
    <n v="21"/>
    <s v="Venmo"/>
    <s v="Annually"/>
    <s v="Annually"/>
    <n v="6"/>
  </r>
  <r>
    <x v="2681"/>
    <n v="23"/>
    <x v="1"/>
    <s v="Shoes"/>
    <x v="1"/>
    <n v="23"/>
    <x v="2"/>
    <s v="L"/>
    <s v="Olive"/>
    <s v="Summer"/>
    <n v="4.8"/>
    <s v="No"/>
    <s v="Standard"/>
    <s v="No"/>
    <s v="No"/>
    <n v="17"/>
    <s v="Debit Card"/>
    <s v="Monthly"/>
    <s v="Monthly"/>
    <n v="4"/>
  </r>
  <r>
    <x v="2682"/>
    <n v="59"/>
    <x v="1"/>
    <s v="Sneakers"/>
    <x v="1"/>
    <n v="65"/>
    <x v="17"/>
    <s v="L"/>
    <s v="Maroon"/>
    <s v="Winter"/>
    <n v="3.9"/>
    <s v="No"/>
    <s v="2-Day Shipping"/>
    <s v="No"/>
    <s v="No"/>
    <n v="5"/>
    <s v="Venmo"/>
    <s v="Every 3 Months"/>
    <s v="Quarterly"/>
    <n v="5"/>
  </r>
  <r>
    <x v="2683"/>
    <n v="68"/>
    <x v="1"/>
    <s v="Backpack"/>
    <x v="3"/>
    <n v="30"/>
    <x v="6"/>
    <s v="M"/>
    <s v="Indigo"/>
    <s v="Summer"/>
    <n v="4.2"/>
    <s v="No"/>
    <s v="Next Day Air"/>
    <s v="No"/>
    <s v="No"/>
    <n v="21"/>
    <s v="Cash"/>
    <s v="Fortnightly"/>
    <s v="Fortnightly"/>
    <n v="3"/>
  </r>
  <r>
    <x v="2684"/>
    <n v="46"/>
    <x v="1"/>
    <s v="Dress"/>
    <x v="0"/>
    <n v="45"/>
    <x v="47"/>
    <s v="M"/>
    <s v="Gray"/>
    <s v="Summer"/>
    <n v="4.7"/>
    <s v="No"/>
    <s v="Free Shipping"/>
    <s v="No"/>
    <s v="No"/>
    <n v="42"/>
    <s v="Credit Card"/>
    <s v="Bi-Weekly"/>
    <s v="Bi-Weekly"/>
    <n v="2"/>
  </r>
  <r>
    <x v="2685"/>
    <n v="56"/>
    <x v="1"/>
    <s v="Boots"/>
    <x v="1"/>
    <n v="25"/>
    <x v="41"/>
    <s v="M"/>
    <s v="Gray"/>
    <s v="Winter"/>
    <n v="2.7"/>
    <s v="No"/>
    <s v="Express"/>
    <s v="No"/>
    <s v="No"/>
    <n v="49"/>
    <s v="Credit Card"/>
    <s v="Quarterly"/>
    <s v="Quarterly"/>
    <n v="5"/>
  </r>
  <r>
    <x v="2686"/>
    <n v="40"/>
    <x v="1"/>
    <s v="Socks"/>
    <x v="0"/>
    <n v="72"/>
    <x v="42"/>
    <s v="M"/>
    <s v="Black"/>
    <s v="Winter"/>
    <n v="3.8"/>
    <s v="No"/>
    <s v="2-Day Shipping"/>
    <s v="No"/>
    <s v="No"/>
    <n v="33"/>
    <s v="Cash"/>
    <s v="Fortnightly"/>
    <s v="Fortnightly"/>
    <n v="3"/>
  </r>
  <r>
    <x v="2687"/>
    <n v="61"/>
    <x v="1"/>
    <s v="Dress"/>
    <x v="0"/>
    <n v="75"/>
    <x v="12"/>
    <s v="M"/>
    <s v="White"/>
    <s v="Fall"/>
    <n v="3.6"/>
    <s v="No"/>
    <s v="2-Day Shipping"/>
    <s v="No"/>
    <s v="No"/>
    <n v="12"/>
    <s v="Debit Card"/>
    <s v="Bi-Weekly"/>
    <s v="Bi-Weekly"/>
    <n v="2"/>
  </r>
  <r>
    <x v="2688"/>
    <n v="53"/>
    <x v="1"/>
    <s v="Handbag"/>
    <x v="3"/>
    <n v="63"/>
    <x v="8"/>
    <s v="XL"/>
    <s v="Turquoise"/>
    <s v="Spring"/>
    <n v="2.9"/>
    <s v="No"/>
    <s v="2-Day Shipping"/>
    <s v="No"/>
    <s v="No"/>
    <n v="18"/>
    <s v="Credit Card"/>
    <s v="Every 3 Months"/>
    <s v="Quarterly"/>
    <n v="5"/>
  </r>
  <r>
    <x v="2689"/>
    <n v="29"/>
    <x v="1"/>
    <s v="Blouse"/>
    <x v="0"/>
    <n v="35"/>
    <x v="5"/>
    <s v="M"/>
    <s v="Orange"/>
    <s v="Fall"/>
    <n v="3.9"/>
    <s v="No"/>
    <s v="Standard"/>
    <s v="No"/>
    <s v="No"/>
    <n v="47"/>
    <s v="PayPal"/>
    <s v="Quarterly"/>
    <s v="Quarterly"/>
    <n v="5"/>
  </r>
  <r>
    <x v="2690"/>
    <n v="44"/>
    <x v="1"/>
    <s v="Belt"/>
    <x v="3"/>
    <n v="32"/>
    <x v="35"/>
    <s v="L"/>
    <s v="Yellow"/>
    <s v="Summer"/>
    <n v="4.7"/>
    <s v="No"/>
    <s v="Free Shipping"/>
    <s v="No"/>
    <s v="No"/>
    <n v="18"/>
    <s v="Bank Transfer"/>
    <s v="Weekly"/>
    <s v="Weekly"/>
    <n v="1"/>
  </r>
  <r>
    <x v="2691"/>
    <n v="43"/>
    <x v="1"/>
    <s v="Pants"/>
    <x v="0"/>
    <n v="25"/>
    <x v="43"/>
    <s v="L"/>
    <s v="Blue"/>
    <s v="Winter"/>
    <n v="3.3"/>
    <s v="No"/>
    <s v="2-Day Shipping"/>
    <s v="No"/>
    <s v="No"/>
    <n v="48"/>
    <s v="Cash"/>
    <s v="Monthly"/>
    <s v="Monthly"/>
    <n v="4"/>
  </r>
  <r>
    <x v="2692"/>
    <n v="40"/>
    <x v="1"/>
    <s v="Sneakers"/>
    <x v="1"/>
    <n v="90"/>
    <x v="47"/>
    <s v="XL"/>
    <s v="Violet"/>
    <s v="Spring"/>
    <n v="4.2"/>
    <s v="No"/>
    <s v="Free Shipping"/>
    <s v="No"/>
    <s v="No"/>
    <n v="18"/>
    <s v="Debit Card"/>
    <s v="Every 3 Months"/>
    <s v="Quarterly"/>
    <n v="5"/>
  </r>
  <r>
    <x v="2693"/>
    <n v="55"/>
    <x v="1"/>
    <s v="Boots"/>
    <x v="1"/>
    <n v="70"/>
    <x v="11"/>
    <s v="L"/>
    <s v="Lavender"/>
    <s v="Summer"/>
    <n v="2.6"/>
    <s v="No"/>
    <s v="Standard"/>
    <s v="No"/>
    <s v="No"/>
    <n v="46"/>
    <s v="Cash"/>
    <s v="Quarterly"/>
    <s v="Quarterly"/>
    <n v="5"/>
  </r>
  <r>
    <x v="2694"/>
    <n v="66"/>
    <x v="1"/>
    <s v="Sunglasses"/>
    <x v="3"/>
    <n v="27"/>
    <x v="7"/>
    <s v="M"/>
    <s v="Olive"/>
    <s v="Spring"/>
    <n v="4.9000000000000004"/>
    <s v="No"/>
    <s v="Express"/>
    <s v="No"/>
    <s v="No"/>
    <n v="34"/>
    <s v="Credit Card"/>
    <s v="Every 3 Months"/>
    <s v="Quarterly"/>
    <n v="5"/>
  </r>
  <r>
    <x v="2695"/>
    <n v="50"/>
    <x v="1"/>
    <s v="Hat"/>
    <x v="3"/>
    <n v="92"/>
    <x v="30"/>
    <s v="M"/>
    <s v="Orange"/>
    <s v="Fall"/>
    <n v="3.6"/>
    <s v="No"/>
    <s v="Standard"/>
    <s v="No"/>
    <s v="No"/>
    <n v="10"/>
    <s v="PayPal"/>
    <s v="Bi-Weekly"/>
    <s v="Bi-Weekly"/>
    <n v="2"/>
  </r>
  <r>
    <x v="2696"/>
    <n v="57"/>
    <x v="1"/>
    <s v="Coat"/>
    <x v="2"/>
    <n v="20"/>
    <x v="45"/>
    <s v="M"/>
    <s v="White"/>
    <s v="Spring"/>
    <n v="4.7"/>
    <s v="No"/>
    <s v="Free Shipping"/>
    <s v="No"/>
    <s v="No"/>
    <n v="12"/>
    <s v="Debit Card"/>
    <s v="Monthly"/>
    <s v="Monthly"/>
    <n v="4"/>
  </r>
  <r>
    <x v="2697"/>
    <n v="42"/>
    <x v="1"/>
    <s v="Jacket"/>
    <x v="2"/>
    <n v="52"/>
    <x v="12"/>
    <s v="L"/>
    <s v="Red"/>
    <s v="Winter"/>
    <n v="3.2"/>
    <s v="No"/>
    <s v="Standard"/>
    <s v="No"/>
    <s v="No"/>
    <n v="36"/>
    <s v="Bank Transfer"/>
    <s v="Quarterly"/>
    <s v="Quarterly"/>
    <n v="5"/>
  </r>
  <r>
    <x v="2698"/>
    <n v="55"/>
    <x v="1"/>
    <s v="Hoodie"/>
    <x v="0"/>
    <n v="57"/>
    <x v="41"/>
    <s v="M"/>
    <s v="Magenta"/>
    <s v="Summer"/>
    <n v="3.6"/>
    <s v="No"/>
    <s v="Store Pickup"/>
    <s v="No"/>
    <s v="No"/>
    <n v="34"/>
    <s v="Venmo"/>
    <s v="Quarterly"/>
    <s v="Quarterly"/>
    <n v="5"/>
  </r>
  <r>
    <x v="2699"/>
    <n v="25"/>
    <x v="1"/>
    <s v="Boots"/>
    <x v="1"/>
    <n v="96"/>
    <x v="40"/>
    <s v="M"/>
    <s v="Violet"/>
    <s v="Fall"/>
    <n v="3.6"/>
    <s v="No"/>
    <s v="2-Day Shipping"/>
    <s v="No"/>
    <s v="No"/>
    <n v="49"/>
    <s v="Debit Card"/>
    <s v="Annually"/>
    <s v="Annually"/>
    <n v="6"/>
  </r>
  <r>
    <x v="2700"/>
    <n v="22"/>
    <x v="1"/>
    <s v="T-shirt"/>
    <x v="0"/>
    <n v="68"/>
    <x v="18"/>
    <s v="XL"/>
    <s v="Olive"/>
    <s v="Winter"/>
    <n v="3.2"/>
    <s v="No"/>
    <s v="Standard"/>
    <s v="No"/>
    <s v="No"/>
    <n v="36"/>
    <s v="Cash"/>
    <s v="Weekly"/>
    <s v="Weekly"/>
    <n v="1"/>
  </r>
  <r>
    <x v="2701"/>
    <n v="49"/>
    <x v="1"/>
    <s v="Sweater"/>
    <x v="0"/>
    <n v="30"/>
    <x v="37"/>
    <s v="L"/>
    <s v="Silver"/>
    <s v="Summer"/>
    <n v="2.8"/>
    <s v="No"/>
    <s v="Store Pickup"/>
    <s v="No"/>
    <s v="No"/>
    <n v="18"/>
    <s v="Bank Transfer"/>
    <s v="Fortnightly"/>
    <s v="Fortnightly"/>
    <n v="3"/>
  </r>
  <r>
    <x v="2702"/>
    <n v="70"/>
    <x v="1"/>
    <s v="Shoes"/>
    <x v="1"/>
    <n v="37"/>
    <x v="21"/>
    <s v="L"/>
    <s v="Gray"/>
    <s v="Fall"/>
    <n v="4"/>
    <s v="No"/>
    <s v="Next Day Air"/>
    <s v="No"/>
    <s v="No"/>
    <n v="39"/>
    <s v="Debit Card"/>
    <s v="Fortnightly"/>
    <s v="Fortnightly"/>
    <n v="3"/>
  </r>
  <r>
    <x v="2703"/>
    <n v="56"/>
    <x v="1"/>
    <s v="Scarf"/>
    <x v="3"/>
    <n v="42"/>
    <x v="30"/>
    <s v="XL"/>
    <s v="Olive"/>
    <s v="Winter"/>
    <n v="4.4000000000000004"/>
    <s v="No"/>
    <s v="Free Shipping"/>
    <s v="No"/>
    <s v="No"/>
    <n v="34"/>
    <s v="PayPal"/>
    <s v="Weekly"/>
    <s v="Weekly"/>
    <n v="1"/>
  </r>
  <r>
    <x v="2704"/>
    <n v="52"/>
    <x v="1"/>
    <s v="Dress"/>
    <x v="0"/>
    <n v="54"/>
    <x v="30"/>
    <s v="L"/>
    <s v="Beige"/>
    <s v="Spring"/>
    <n v="3.4"/>
    <s v="No"/>
    <s v="Next Day Air"/>
    <s v="No"/>
    <s v="No"/>
    <n v="35"/>
    <s v="Debit Card"/>
    <s v="Weekly"/>
    <s v="Weekly"/>
    <n v="1"/>
  </r>
  <r>
    <x v="2705"/>
    <n v="65"/>
    <x v="1"/>
    <s v="Jacket"/>
    <x v="2"/>
    <n v="81"/>
    <x v="47"/>
    <s v="S"/>
    <s v="Turquoise"/>
    <s v="Spring"/>
    <n v="5"/>
    <s v="No"/>
    <s v="Store Pickup"/>
    <s v="No"/>
    <s v="No"/>
    <n v="1"/>
    <s v="Credit Card"/>
    <s v="Bi-Weekly"/>
    <s v="Bi-Weekly"/>
    <n v="2"/>
  </r>
  <r>
    <x v="2706"/>
    <n v="24"/>
    <x v="1"/>
    <s v="Shoes"/>
    <x v="1"/>
    <n v="40"/>
    <x v="15"/>
    <s v="S"/>
    <s v="Blue"/>
    <s v="Spring"/>
    <n v="3.1"/>
    <s v="No"/>
    <s v="Express"/>
    <s v="No"/>
    <s v="No"/>
    <n v="48"/>
    <s v="Debit Card"/>
    <s v="Quarterly"/>
    <s v="Quarterly"/>
    <n v="5"/>
  </r>
  <r>
    <x v="2707"/>
    <n v="32"/>
    <x v="1"/>
    <s v="Backpack"/>
    <x v="3"/>
    <n v="88"/>
    <x v="43"/>
    <s v="M"/>
    <s v="Pink"/>
    <s v="Fall"/>
    <n v="4.2"/>
    <s v="No"/>
    <s v="Standard"/>
    <s v="No"/>
    <s v="No"/>
    <n v="19"/>
    <s v="Cash"/>
    <s v="Weekly"/>
    <s v="Weekly"/>
    <n v="1"/>
  </r>
  <r>
    <x v="2708"/>
    <n v="57"/>
    <x v="1"/>
    <s v="Dress"/>
    <x v="0"/>
    <n v="94"/>
    <x v="15"/>
    <s v="M"/>
    <s v="Teal"/>
    <s v="Summer"/>
    <n v="3.3"/>
    <s v="No"/>
    <s v="Store Pickup"/>
    <s v="No"/>
    <s v="No"/>
    <n v="44"/>
    <s v="Debit Card"/>
    <s v="Weekly"/>
    <s v="Weekly"/>
    <n v="1"/>
  </r>
  <r>
    <x v="2709"/>
    <n v="35"/>
    <x v="1"/>
    <s v="Shirt"/>
    <x v="0"/>
    <n v="54"/>
    <x v="26"/>
    <s v="S"/>
    <s v="Cyan"/>
    <s v="Winter"/>
    <n v="2.9"/>
    <s v="No"/>
    <s v="Standard"/>
    <s v="No"/>
    <s v="No"/>
    <n v="9"/>
    <s v="Credit Card"/>
    <s v="Bi-Weekly"/>
    <s v="Bi-Weekly"/>
    <n v="2"/>
  </r>
  <r>
    <x v="2710"/>
    <n v="69"/>
    <x v="1"/>
    <s v="Jacket"/>
    <x v="2"/>
    <n v="51"/>
    <x v="48"/>
    <s v="L"/>
    <s v="Purple"/>
    <s v="Summer"/>
    <n v="4.7"/>
    <s v="No"/>
    <s v="Standard"/>
    <s v="No"/>
    <s v="No"/>
    <n v="3"/>
    <s v="Bank Transfer"/>
    <s v="Fortnightly"/>
    <s v="Fortnightly"/>
    <n v="3"/>
  </r>
  <r>
    <x v="2711"/>
    <n v="30"/>
    <x v="1"/>
    <s v="Sunglasses"/>
    <x v="3"/>
    <n v="22"/>
    <x v="43"/>
    <s v="L"/>
    <s v="Red"/>
    <s v="Spring"/>
    <n v="4"/>
    <s v="No"/>
    <s v="Standard"/>
    <s v="No"/>
    <s v="No"/>
    <n v="50"/>
    <s v="Venmo"/>
    <s v="Monthly"/>
    <s v="Monthly"/>
    <n v="4"/>
  </r>
  <r>
    <x v="2712"/>
    <n v="37"/>
    <x v="1"/>
    <s v="Jacket"/>
    <x v="2"/>
    <n v="95"/>
    <x v="25"/>
    <s v="L"/>
    <s v="Brown"/>
    <s v="Fall"/>
    <n v="4.5999999999999996"/>
    <s v="No"/>
    <s v="Standard"/>
    <s v="No"/>
    <s v="No"/>
    <n v="7"/>
    <s v="Debit Card"/>
    <s v="Quarterly"/>
    <s v="Quarterly"/>
    <n v="5"/>
  </r>
  <r>
    <x v="2713"/>
    <n v="19"/>
    <x v="1"/>
    <s v="Coat"/>
    <x v="2"/>
    <n v="57"/>
    <x v="16"/>
    <s v="M"/>
    <s v="Magenta"/>
    <s v="Fall"/>
    <n v="3.8"/>
    <s v="No"/>
    <s v="2-Day Shipping"/>
    <s v="No"/>
    <s v="No"/>
    <n v="20"/>
    <s v="Debit Card"/>
    <s v="Annually"/>
    <s v="Annually"/>
    <n v="6"/>
  </r>
  <r>
    <x v="2714"/>
    <n v="53"/>
    <x v="1"/>
    <s v="Sweater"/>
    <x v="0"/>
    <n v="45"/>
    <x v="44"/>
    <s v="S"/>
    <s v="Olive"/>
    <s v="Winter"/>
    <n v="3.6"/>
    <s v="No"/>
    <s v="Store Pickup"/>
    <s v="No"/>
    <s v="No"/>
    <n v="16"/>
    <s v="Credit Card"/>
    <s v="Bi-Weekly"/>
    <s v="Bi-Weekly"/>
    <n v="2"/>
  </r>
  <r>
    <x v="2715"/>
    <n v="25"/>
    <x v="1"/>
    <s v="Sneakers"/>
    <x v="1"/>
    <n v="92"/>
    <x v="16"/>
    <s v="XL"/>
    <s v="Pink"/>
    <s v="Winter"/>
    <n v="4.0999999999999996"/>
    <s v="No"/>
    <s v="Express"/>
    <s v="No"/>
    <s v="No"/>
    <n v="29"/>
    <s v="PayPal"/>
    <s v="Fortnightly"/>
    <s v="Fortnightly"/>
    <n v="3"/>
  </r>
  <r>
    <x v="2716"/>
    <n v="47"/>
    <x v="1"/>
    <s v="Shoes"/>
    <x v="1"/>
    <n v="40"/>
    <x v="24"/>
    <s v="L"/>
    <s v="Black"/>
    <s v="Spring"/>
    <n v="2.7"/>
    <s v="No"/>
    <s v="Store Pickup"/>
    <s v="No"/>
    <s v="No"/>
    <n v="21"/>
    <s v="Debit Card"/>
    <s v="Weekly"/>
    <s v="Weekly"/>
    <n v="1"/>
  </r>
  <r>
    <x v="2717"/>
    <n v="18"/>
    <x v="1"/>
    <s v="Sunglasses"/>
    <x v="3"/>
    <n v="62"/>
    <x v="43"/>
    <s v="XL"/>
    <s v="Beige"/>
    <s v="Winter"/>
    <n v="4.3"/>
    <s v="No"/>
    <s v="Free Shipping"/>
    <s v="No"/>
    <s v="No"/>
    <n v="19"/>
    <s v="Credit Card"/>
    <s v="Every 3 Months"/>
    <s v="Quarterly"/>
    <n v="5"/>
  </r>
  <r>
    <x v="2718"/>
    <n v="22"/>
    <x v="1"/>
    <s v="Shorts"/>
    <x v="0"/>
    <n v="90"/>
    <x v="41"/>
    <s v="M"/>
    <s v="Peach"/>
    <s v="Winter"/>
    <n v="4.9000000000000004"/>
    <s v="No"/>
    <s v="Next Day Air"/>
    <s v="No"/>
    <s v="No"/>
    <n v="10"/>
    <s v="Venmo"/>
    <s v="Bi-Weekly"/>
    <s v="Bi-Weekly"/>
    <n v="2"/>
  </r>
  <r>
    <x v="2719"/>
    <n v="69"/>
    <x v="1"/>
    <s v="Hoodie"/>
    <x v="0"/>
    <n v="82"/>
    <x v="7"/>
    <s v="S"/>
    <s v="Peach"/>
    <s v="Fall"/>
    <n v="4.2"/>
    <s v="No"/>
    <s v="Free Shipping"/>
    <s v="No"/>
    <s v="No"/>
    <n v="4"/>
    <s v="Bank Transfer"/>
    <s v="Monthly"/>
    <s v="Monthly"/>
    <n v="4"/>
  </r>
  <r>
    <x v="2720"/>
    <n v="55"/>
    <x v="1"/>
    <s v="Scarf"/>
    <x v="3"/>
    <n v="52"/>
    <x v="33"/>
    <s v="M"/>
    <s v="Peach"/>
    <s v="Spring"/>
    <n v="2.8"/>
    <s v="No"/>
    <s v="Store Pickup"/>
    <s v="No"/>
    <s v="No"/>
    <n v="45"/>
    <s v="Bank Transfer"/>
    <s v="Quarterly"/>
    <s v="Quarterly"/>
    <n v="5"/>
  </r>
  <r>
    <x v="2721"/>
    <n v="19"/>
    <x v="1"/>
    <s v="Sandals"/>
    <x v="1"/>
    <n v="70"/>
    <x v="46"/>
    <s v="S"/>
    <s v="Teal"/>
    <s v="Spring"/>
    <n v="4.9000000000000004"/>
    <s v="No"/>
    <s v="Free Shipping"/>
    <s v="No"/>
    <s v="No"/>
    <n v="17"/>
    <s v="PayPal"/>
    <s v="Fortnightly"/>
    <s v="Fortnightly"/>
    <n v="3"/>
  </r>
  <r>
    <x v="2722"/>
    <n v="23"/>
    <x v="1"/>
    <s v="Hat"/>
    <x v="3"/>
    <n v="83"/>
    <x v="1"/>
    <s v="M"/>
    <s v="Green"/>
    <s v="Spring"/>
    <n v="2.8"/>
    <s v="No"/>
    <s v="2-Day Shipping"/>
    <s v="No"/>
    <s v="No"/>
    <n v="22"/>
    <s v="PayPal"/>
    <s v="Fortnightly"/>
    <s v="Fortnightly"/>
    <n v="3"/>
  </r>
  <r>
    <x v="2723"/>
    <n v="54"/>
    <x v="1"/>
    <s v="Shoes"/>
    <x v="1"/>
    <n v="49"/>
    <x v="21"/>
    <s v="XL"/>
    <s v="Brown"/>
    <s v="Summer"/>
    <n v="2.9"/>
    <s v="No"/>
    <s v="Store Pickup"/>
    <s v="No"/>
    <s v="No"/>
    <n v="3"/>
    <s v="PayPal"/>
    <s v="Every 3 Months"/>
    <s v="Quarterly"/>
    <n v="5"/>
  </r>
  <r>
    <x v="2724"/>
    <n v="52"/>
    <x v="1"/>
    <s v="Sneakers"/>
    <x v="1"/>
    <n v="91"/>
    <x v="9"/>
    <s v="M"/>
    <s v="Brown"/>
    <s v="Spring"/>
    <n v="2.5"/>
    <s v="No"/>
    <s v="Next Day Air"/>
    <s v="No"/>
    <s v="No"/>
    <n v="11"/>
    <s v="Debit Card"/>
    <s v="Fortnightly"/>
    <s v="Fortnightly"/>
    <n v="3"/>
  </r>
  <r>
    <x v="2725"/>
    <n v="64"/>
    <x v="1"/>
    <s v="Backpack"/>
    <x v="3"/>
    <n v="99"/>
    <x v="16"/>
    <s v="S"/>
    <s v="Violet"/>
    <s v="Summer"/>
    <n v="2.7"/>
    <s v="No"/>
    <s v="Free Shipping"/>
    <s v="No"/>
    <s v="No"/>
    <n v="4"/>
    <s v="Debit Card"/>
    <s v="Annually"/>
    <s v="Annually"/>
    <n v="6"/>
  </r>
  <r>
    <x v="2726"/>
    <n v="33"/>
    <x v="1"/>
    <s v="Belt"/>
    <x v="3"/>
    <n v="92"/>
    <x v="49"/>
    <s v="L"/>
    <s v="Blue"/>
    <s v="Winter"/>
    <n v="3.3"/>
    <s v="No"/>
    <s v="Free Shipping"/>
    <s v="No"/>
    <s v="No"/>
    <n v="11"/>
    <s v="PayPal"/>
    <s v="Bi-Weekly"/>
    <s v="Bi-Weekly"/>
    <n v="2"/>
  </r>
  <r>
    <x v="2727"/>
    <n v="40"/>
    <x v="1"/>
    <s v="Shirt"/>
    <x v="0"/>
    <n v="87"/>
    <x v="24"/>
    <s v="L"/>
    <s v="Charcoal"/>
    <s v="Winter"/>
    <n v="3.7"/>
    <s v="No"/>
    <s v="2-Day Shipping"/>
    <s v="No"/>
    <s v="No"/>
    <n v="47"/>
    <s v="Credit Card"/>
    <s v="Fortnightly"/>
    <s v="Fortnightly"/>
    <n v="3"/>
  </r>
  <r>
    <x v="2728"/>
    <n v="26"/>
    <x v="1"/>
    <s v="Skirt"/>
    <x v="0"/>
    <n v="28"/>
    <x v="20"/>
    <s v="M"/>
    <s v="Pink"/>
    <s v="Winter"/>
    <n v="4"/>
    <s v="No"/>
    <s v="Express"/>
    <s v="No"/>
    <s v="No"/>
    <n v="17"/>
    <s v="Debit Card"/>
    <s v="Weekly"/>
    <s v="Weekly"/>
    <n v="1"/>
  </r>
  <r>
    <x v="2729"/>
    <n v="31"/>
    <x v="1"/>
    <s v="Gloves"/>
    <x v="3"/>
    <n v="71"/>
    <x v="6"/>
    <s v="S"/>
    <s v="Violet"/>
    <s v="Summer"/>
    <n v="4.0999999999999996"/>
    <s v="No"/>
    <s v="Free Shipping"/>
    <s v="No"/>
    <s v="No"/>
    <n v="32"/>
    <s v="Credit Card"/>
    <s v="Monthly"/>
    <s v="Monthly"/>
    <n v="4"/>
  </r>
  <r>
    <x v="2730"/>
    <n v="23"/>
    <x v="1"/>
    <s v="Gloves"/>
    <x v="3"/>
    <n v="32"/>
    <x v="48"/>
    <s v="M"/>
    <s v="Teal"/>
    <s v="Winter"/>
    <n v="4.0999999999999996"/>
    <s v="No"/>
    <s v="Store Pickup"/>
    <s v="No"/>
    <s v="No"/>
    <n v="37"/>
    <s v="Bank Transfer"/>
    <s v="Annually"/>
    <s v="Annually"/>
    <n v="6"/>
  </r>
  <r>
    <x v="2731"/>
    <n v="52"/>
    <x v="1"/>
    <s v="Handbag"/>
    <x v="3"/>
    <n v="33"/>
    <x v="48"/>
    <s v="M"/>
    <s v="Red"/>
    <s v="Summer"/>
    <n v="2.5"/>
    <s v="No"/>
    <s v="2-Day Shipping"/>
    <s v="No"/>
    <s v="No"/>
    <n v="44"/>
    <s v="Bank Transfer"/>
    <s v="Quarterly"/>
    <s v="Quarterly"/>
    <n v="5"/>
  </r>
  <r>
    <x v="2732"/>
    <n v="21"/>
    <x v="1"/>
    <s v="Socks"/>
    <x v="0"/>
    <n v="75"/>
    <x v="12"/>
    <s v="L"/>
    <s v="Orange"/>
    <s v="Winter"/>
    <n v="4.2"/>
    <s v="No"/>
    <s v="Store Pickup"/>
    <s v="No"/>
    <s v="No"/>
    <n v="27"/>
    <s v="Debit Card"/>
    <s v="Every 3 Months"/>
    <s v="Quarterly"/>
    <n v="5"/>
  </r>
  <r>
    <x v="2733"/>
    <n v="31"/>
    <x v="1"/>
    <s v="Backpack"/>
    <x v="3"/>
    <n v="83"/>
    <x v="17"/>
    <s v="M"/>
    <s v="Magenta"/>
    <s v="Summer"/>
    <n v="4.7"/>
    <s v="No"/>
    <s v="Express"/>
    <s v="No"/>
    <s v="No"/>
    <n v="46"/>
    <s v="PayPal"/>
    <s v="Annually"/>
    <s v="Annually"/>
    <n v="6"/>
  </r>
  <r>
    <x v="2734"/>
    <n v="63"/>
    <x v="1"/>
    <s v="Jeans"/>
    <x v="0"/>
    <n v="93"/>
    <x v="14"/>
    <s v="XL"/>
    <s v="Yellow"/>
    <s v="Summer"/>
    <n v="2.7"/>
    <s v="No"/>
    <s v="2-Day Shipping"/>
    <s v="No"/>
    <s v="No"/>
    <n v="13"/>
    <s v="Cash"/>
    <s v="Bi-Weekly"/>
    <s v="Bi-Weekly"/>
    <n v="2"/>
  </r>
  <r>
    <x v="2735"/>
    <n v="46"/>
    <x v="1"/>
    <s v="Skirt"/>
    <x v="0"/>
    <n v="29"/>
    <x v="18"/>
    <s v="M"/>
    <s v="Yellow"/>
    <s v="Spring"/>
    <n v="3"/>
    <s v="No"/>
    <s v="Express"/>
    <s v="No"/>
    <s v="No"/>
    <n v="2"/>
    <s v="PayPal"/>
    <s v="Bi-Weekly"/>
    <s v="Bi-Weekly"/>
    <n v="2"/>
  </r>
  <r>
    <x v="2736"/>
    <n v="44"/>
    <x v="1"/>
    <s v="Hoodie"/>
    <x v="0"/>
    <n v="25"/>
    <x v="6"/>
    <s v="M"/>
    <s v="Pink"/>
    <s v="Spring"/>
    <n v="4.8"/>
    <s v="No"/>
    <s v="Store Pickup"/>
    <s v="No"/>
    <s v="No"/>
    <n v="45"/>
    <s v="Credit Card"/>
    <s v="Annually"/>
    <s v="Annually"/>
    <n v="6"/>
  </r>
  <r>
    <x v="2737"/>
    <n v="57"/>
    <x v="1"/>
    <s v="Jewelry"/>
    <x v="3"/>
    <n v="76"/>
    <x v="17"/>
    <s v="S"/>
    <s v="Indigo"/>
    <s v="Spring"/>
    <n v="4.4000000000000004"/>
    <s v="No"/>
    <s v="Free Shipping"/>
    <s v="No"/>
    <s v="No"/>
    <n v="35"/>
    <s v="Cash"/>
    <s v="Every 3 Months"/>
    <s v="Quarterly"/>
    <n v="5"/>
  </r>
  <r>
    <x v="2738"/>
    <n v="50"/>
    <x v="1"/>
    <s v="Sneakers"/>
    <x v="1"/>
    <n v="81"/>
    <x v="31"/>
    <s v="M"/>
    <s v="Charcoal"/>
    <s v="Summer"/>
    <n v="4.3"/>
    <s v="No"/>
    <s v="2-Day Shipping"/>
    <s v="No"/>
    <s v="No"/>
    <n v="39"/>
    <s v="Venmo"/>
    <s v="Every 3 Months"/>
    <s v="Quarterly"/>
    <n v="5"/>
  </r>
  <r>
    <x v="2739"/>
    <n v="33"/>
    <x v="1"/>
    <s v="Shirt"/>
    <x v="0"/>
    <n v="80"/>
    <x v="29"/>
    <s v="XL"/>
    <s v="Blue"/>
    <s v="Winter"/>
    <n v="2.5"/>
    <s v="No"/>
    <s v="Store Pickup"/>
    <s v="No"/>
    <s v="No"/>
    <n v="39"/>
    <s v="Credit Card"/>
    <s v="Every 3 Months"/>
    <s v="Quarterly"/>
    <n v="5"/>
  </r>
  <r>
    <x v="2740"/>
    <n v="19"/>
    <x v="1"/>
    <s v="Sunglasses"/>
    <x v="3"/>
    <n v="70"/>
    <x v="38"/>
    <s v="M"/>
    <s v="Lavender"/>
    <s v="Summer"/>
    <n v="4.9000000000000004"/>
    <s v="No"/>
    <s v="Free Shipping"/>
    <s v="No"/>
    <s v="No"/>
    <n v="34"/>
    <s v="Bank Transfer"/>
    <s v="Fortnightly"/>
    <s v="Fortnightly"/>
    <n v="3"/>
  </r>
  <r>
    <x v="2741"/>
    <n v="68"/>
    <x v="1"/>
    <s v="Dress"/>
    <x v="0"/>
    <n v="81"/>
    <x v="1"/>
    <s v="L"/>
    <s v="Yellow"/>
    <s v="Fall"/>
    <n v="4.9000000000000004"/>
    <s v="No"/>
    <s v="2-Day Shipping"/>
    <s v="No"/>
    <s v="No"/>
    <n v="41"/>
    <s v="Venmo"/>
    <s v="Monthly"/>
    <s v="Monthly"/>
    <n v="4"/>
  </r>
  <r>
    <x v="2742"/>
    <n v="27"/>
    <x v="1"/>
    <s v="Shoes"/>
    <x v="1"/>
    <n v="86"/>
    <x v="21"/>
    <s v="M"/>
    <s v="Black"/>
    <s v="Spring"/>
    <n v="3.9"/>
    <s v="No"/>
    <s v="Free Shipping"/>
    <s v="No"/>
    <s v="No"/>
    <n v="47"/>
    <s v="Debit Card"/>
    <s v="Annually"/>
    <s v="Annually"/>
    <n v="6"/>
  </r>
  <r>
    <x v="2743"/>
    <n v="61"/>
    <x v="1"/>
    <s v="Belt"/>
    <x v="3"/>
    <n v="94"/>
    <x v="32"/>
    <s v="S"/>
    <s v="Beige"/>
    <s v="Fall"/>
    <n v="4.0999999999999996"/>
    <s v="No"/>
    <s v="2-Day Shipping"/>
    <s v="No"/>
    <s v="No"/>
    <n v="17"/>
    <s v="Venmo"/>
    <s v="Quarterly"/>
    <s v="Quarterly"/>
    <n v="5"/>
  </r>
  <r>
    <x v="2744"/>
    <n v="38"/>
    <x v="1"/>
    <s v="Shirt"/>
    <x v="0"/>
    <n v="66"/>
    <x v="5"/>
    <s v="M"/>
    <s v="Silver"/>
    <s v="Winter"/>
    <n v="3.3"/>
    <s v="No"/>
    <s v="Store Pickup"/>
    <s v="No"/>
    <s v="No"/>
    <n v="40"/>
    <s v="Credit Card"/>
    <s v="Monthly"/>
    <s v="Monthly"/>
    <n v="4"/>
  </r>
  <r>
    <x v="2745"/>
    <n v="28"/>
    <x v="1"/>
    <s v="Boots"/>
    <x v="1"/>
    <n v="98"/>
    <x v="49"/>
    <s v="M"/>
    <s v="Magenta"/>
    <s v="Summer"/>
    <n v="4.0999999999999996"/>
    <s v="No"/>
    <s v="Standard"/>
    <s v="No"/>
    <s v="No"/>
    <n v="44"/>
    <s v="PayPal"/>
    <s v="Bi-Weekly"/>
    <s v="Bi-Weekly"/>
    <n v="2"/>
  </r>
  <r>
    <x v="2746"/>
    <n v="39"/>
    <x v="1"/>
    <s v="Hoodie"/>
    <x v="0"/>
    <n v="25"/>
    <x v="31"/>
    <s v="M"/>
    <s v="Orange"/>
    <s v="Fall"/>
    <n v="3.7"/>
    <s v="No"/>
    <s v="Standard"/>
    <s v="No"/>
    <s v="No"/>
    <n v="21"/>
    <s v="PayPal"/>
    <s v="Every 3 Months"/>
    <s v="Quarterly"/>
    <n v="5"/>
  </r>
  <r>
    <x v="2747"/>
    <n v="18"/>
    <x v="1"/>
    <s v="Jeans"/>
    <x v="0"/>
    <n v="62"/>
    <x v="8"/>
    <s v="M"/>
    <s v="Teal"/>
    <s v="Winter"/>
    <n v="3.1"/>
    <s v="No"/>
    <s v="Free Shipping"/>
    <s v="No"/>
    <s v="No"/>
    <n v="21"/>
    <s v="Credit Card"/>
    <s v="Every 3 Months"/>
    <s v="Quarterly"/>
    <n v="5"/>
  </r>
  <r>
    <x v="2748"/>
    <n v="24"/>
    <x v="1"/>
    <s v="Jacket"/>
    <x v="2"/>
    <n v="98"/>
    <x v="41"/>
    <s v="L"/>
    <s v="Turquoise"/>
    <s v="Spring"/>
    <n v="3"/>
    <s v="No"/>
    <s v="Free Shipping"/>
    <s v="No"/>
    <s v="No"/>
    <n v="16"/>
    <s v="Venmo"/>
    <s v="Annually"/>
    <s v="Annually"/>
    <n v="6"/>
  </r>
  <r>
    <x v="2749"/>
    <n v="64"/>
    <x v="1"/>
    <s v="Jacket"/>
    <x v="2"/>
    <n v="53"/>
    <x v="34"/>
    <s v="M"/>
    <s v="Cyan"/>
    <s v="Spring"/>
    <n v="3.4"/>
    <s v="No"/>
    <s v="Standard"/>
    <s v="No"/>
    <s v="No"/>
    <n v="15"/>
    <s v="Bank Transfer"/>
    <s v="Annually"/>
    <s v="Annually"/>
    <n v="6"/>
  </r>
  <r>
    <x v="2750"/>
    <n v="51"/>
    <x v="1"/>
    <s v="Sandals"/>
    <x v="1"/>
    <n v="66"/>
    <x v="29"/>
    <s v="L"/>
    <s v="Pink"/>
    <s v="Spring"/>
    <n v="2.7"/>
    <s v="No"/>
    <s v="2-Day Shipping"/>
    <s v="No"/>
    <s v="No"/>
    <n v="26"/>
    <s v="PayPal"/>
    <s v="Every 3 Months"/>
    <s v="Quarterly"/>
    <n v="5"/>
  </r>
  <r>
    <x v="2751"/>
    <n v="27"/>
    <x v="1"/>
    <s v="Dress"/>
    <x v="0"/>
    <n v="52"/>
    <x v="46"/>
    <s v="S"/>
    <s v="Indigo"/>
    <s v="Fall"/>
    <n v="3.1"/>
    <s v="No"/>
    <s v="Free Shipping"/>
    <s v="No"/>
    <s v="No"/>
    <n v="50"/>
    <s v="Venmo"/>
    <s v="Monthly"/>
    <s v="Monthly"/>
    <n v="4"/>
  </r>
  <r>
    <x v="2752"/>
    <n v="48"/>
    <x v="1"/>
    <s v="Sweater"/>
    <x v="0"/>
    <n v="64"/>
    <x v="24"/>
    <s v="S"/>
    <s v="Peach"/>
    <s v="Winter"/>
    <n v="4"/>
    <s v="No"/>
    <s v="Free Shipping"/>
    <s v="No"/>
    <s v="No"/>
    <n v="30"/>
    <s v="Venmo"/>
    <s v="Bi-Weekly"/>
    <s v="Bi-Weekly"/>
    <n v="2"/>
  </r>
  <r>
    <x v="2753"/>
    <n v="69"/>
    <x v="1"/>
    <s v="Gloves"/>
    <x v="3"/>
    <n v="59"/>
    <x v="3"/>
    <s v="M"/>
    <s v="Beige"/>
    <s v="Spring"/>
    <n v="3.6"/>
    <s v="No"/>
    <s v="Next Day Air"/>
    <s v="No"/>
    <s v="No"/>
    <n v="48"/>
    <s v="PayPal"/>
    <s v="Quarterly"/>
    <s v="Quarterly"/>
    <n v="5"/>
  </r>
  <r>
    <x v="2754"/>
    <n v="59"/>
    <x v="1"/>
    <s v="Sunglasses"/>
    <x v="3"/>
    <n v="61"/>
    <x v="32"/>
    <s v="L"/>
    <s v="Gold"/>
    <s v="Summer"/>
    <n v="3.6"/>
    <s v="No"/>
    <s v="Free Shipping"/>
    <s v="No"/>
    <s v="No"/>
    <n v="21"/>
    <s v="Venmo"/>
    <s v="Bi-Weekly"/>
    <s v="Bi-Weekly"/>
    <n v="2"/>
  </r>
  <r>
    <x v="2755"/>
    <n v="59"/>
    <x v="1"/>
    <s v="Belt"/>
    <x v="3"/>
    <n v="97"/>
    <x v="22"/>
    <s v="M"/>
    <s v="Indigo"/>
    <s v="Winter"/>
    <n v="3.3"/>
    <s v="No"/>
    <s v="Store Pickup"/>
    <s v="No"/>
    <s v="No"/>
    <n v="18"/>
    <s v="Credit Card"/>
    <s v="Annually"/>
    <s v="Annually"/>
    <n v="6"/>
  </r>
  <r>
    <x v="2756"/>
    <n v="42"/>
    <x v="1"/>
    <s v="Hat"/>
    <x v="3"/>
    <n v="23"/>
    <x v="46"/>
    <s v="L"/>
    <s v="Violet"/>
    <s v="Winter"/>
    <n v="4.0999999999999996"/>
    <s v="No"/>
    <s v="Free Shipping"/>
    <s v="No"/>
    <s v="No"/>
    <n v="41"/>
    <s v="PayPal"/>
    <s v="Monthly"/>
    <s v="Monthly"/>
    <n v="4"/>
  </r>
  <r>
    <x v="2757"/>
    <n v="39"/>
    <x v="1"/>
    <s v="Hat"/>
    <x v="3"/>
    <n v="98"/>
    <x v="12"/>
    <s v="XL"/>
    <s v="Brown"/>
    <s v="Fall"/>
    <n v="4.3"/>
    <s v="No"/>
    <s v="Next Day Air"/>
    <s v="No"/>
    <s v="No"/>
    <n v="11"/>
    <s v="Venmo"/>
    <s v="Monthly"/>
    <s v="Monthly"/>
    <n v="4"/>
  </r>
  <r>
    <x v="2758"/>
    <n v="32"/>
    <x v="1"/>
    <s v="Blouse"/>
    <x v="0"/>
    <n v="98"/>
    <x v="26"/>
    <s v="M"/>
    <s v="Purple"/>
    <s v="Summer"/>
    <n v="3.2"/>
    <s v="No"/>
    <s v="Standard"/>
    <s v="No"/>
    <s v="No"/>
    <n v="8"/>
    <s v="Bank Transfer"/>
    <s v="Bi-Weekly"/>
    <s v="Bi-Weekly"/>
    <n v="2"/>
  </r>
  <r>
    <x v="2759"/>
    <n v="68"/>
    <x v="1"/>
    <s v="Shoes"/>
    <x v="1"/>
    <n v="59"/>
    <x v="47"/>
    <s v="M"/>
    <s v="Turquoise"/>
    <s v="Summer"/>
    <n v="3.9"/>
    <s v="No"/>
    <s v="Free Shipping"/>
    <s v="No"/>
    <s v="No"/>
    <n v="42"/>
    <s v="Cash"/>
    <s v="Every 3 Months"/>
    <s v="Quarterly"/>
    <n v="5"/>
  </r>
  <r>
    <x v="2760"/>
    <n v="41"/>
    <x v="1"/>
    <s v="Skirt"/>
    <x v="0"/>
    <n v="82"/>
    <x v="29"/>
    <s v="S"/>
    <s v="Violet"/>
    <s v="Fall"/>
    <n v="5"/>
    <s v="No"/>
    <s v="Next Day Air"/>
    <s v="No"/>
    <s v="No"/>
    <n v="41"/>
    <s v="Credit Card"/>
    <s v="Bi-Weekly"/>
    <s v="Bi-Weekly"/>
    <n v="2"/>
  </r>
  <r>
    <x v="2761"/>
    <n v="31"/>
    <x v="1"/>
    <s v="Sneakers"/>
    <x v="1"/>
    <n v="82"/>
    <x v="49"/>
    <s v="M"/>
    <s v="Purple"/>
    <s v="Fall"/>
    <n v="3.4"/>
    <s v="No"/>
    <s v="Next Day Air"/>
    <s v="No"/>
    <s v="No"/>
    <n v="3"/>
    <s v="Credit Card"/>
    <s v="Every 3 Months"/>
    <s v="Quarterly"/>
    <n v="5"/>
  </r>
  <r>
    <x v="2762"/>
    <n v="58"/>
    <x v="1"/>
    <s v="T-shirt"/>
    <x v="0"/>
    <n v="41"/>
    <x v="42"/>
    <s v="M"/>
    <s v="Charcoal"/>
    <s v="Fall"/>
    <n v="3.8"/>
    <s v="No"/>
    <s v="Store Pickup"/>
    <s v="No"/>
    <s v="No"/>
    <n v="10"/>
    <s v="Debit Card"/>
    <s v="Every 3 Months"/>
    <s v="Quarterly"/>
    <n v="5"/>
  </r>
  <r>
    <x v="2763"/>
    <n v="28"/>
    <x v="1"/>
    <s v="Handbag"/>
    <x v="3"/>
    <n v="52"/>
    <x v="8"/>
    <s v="M"/>
    <s v="Green"/>
    <s v="Fall"/>
    <n v="2.9"/>
    <s v="No"/>
    <s v="2-Day Shipping"/>
    <s v="No"/>
    <s v="No"/>
    <n v="35"/>
    <s v="Venmo"/>
    <s v="Quarterly"/>
    <s v="Quarterly"/>
    <n v="5"/>
  </r>
  <r>
    <x v="2764"/>
    <n v="63"/>
    <x v="1"/>
    <s v="Sweater"/>
    <x v="0"/>
    <n v="41"/>
    <x v="28"/>
    <s v="XL"/>
    <s v="White"/>
    <s v="Spring"/>
    <n v="2.6"/>
    <s v="No"/>
    <s v="Next Day Air"/>
    <s v="No"/>
    <s v="No"/>
    <n v="2"/>
    <s v="Debit Card"/>
    <s v="Weekly"/>
    <s v="Weekly"/>
    <n v="1"/>
  </r>
  <r>
    <x v="2765"/>
    <n v="64"/>
    <x v="1"/>
    <s v="Gloves"/>
    <x v="3"/>
    <n v="70"/>
    <x v="24"/>
    <s v="M"/>
    <s v="Purple"/>
    <s v="Summer"/>
    <n v="4.3"/>
    <s v="No"/>
    <s v="2-Day Shipping"/>
    <s v="No"/>
    <s v="No"/>
    <n v="24"/>
    <s v="Credit Card"/>
    <s v="Quarterly"/>
    <s v="Quarterly"/>
    <n v="5"/>
  </r>
  <r>
    <x v="2766"/>
    <n v="66"/>
    <x v="1"/>
    <s v="Dress"/>
    <x v="0"/>
    <n v="91"/>
    <x v="30"/>
    <s v="M"/>
    <s v="Cyan"/>
    <s v="Winter"/>
    <n v="2.8"/>
    <s v="No"/>
    <s v="Standard"/>
    <s v="No"/>
    <s v="No"/>
    <n v="47"/>
    <s v="Credit Card"/>
    <s v="Monthly"/>
    <s v="Monthly"/>
    <n v="4"/>
  </r>
  <r>
    <x v="2767"/>
    <n v="31"/>
    <x v="1"/>
    <s v="Dress"/>
    <x v="0"/>
    <n v="95"/>
    <x v="44"/>
    <s v="M"/>
    <s v="Green"/>
    <s v="Spring"/>
    <n v="4.5"/>
    <s v="No"/>
    <s v="Free Shipping"/>
    <s v="No"/>
    <s v="No"/>
    <n v="31"/>
    <s v="Cash"/>
    <s v="Monthly"/>
    <s v="Monthly"/>
    <n v="4"/>
  </r>
  <r>
    <x v="2768"/>
    <n v="55"/>
    <x v="1"/>
    <s v="Blouse"/>
    <x v="0"/>
    <n v="25"/>
    <x v="23"/>
    <s v="M"/>
    <s v="Beige"/>
    <s v="Spring"/>
    <n v="3.8"/>
    <s v="No"/>
    <s v="2-Day Shipping"/>
    <s v="No"/>
    <s v="No"/>
    <n v="28"/>
    <s v="PayPal"/>
    <s v="Bi-Weekly"/>
    <s v="Bi-Weekly"/>
    <n v="2"/>
  </r>
  <r>
    <x v="2769"/>
    <n v="32"/>
    <x v="1"/>
    <s v="Shirt"/>
    <x v="0"/>
    <n v="89"/>
    <x v="19"/>
    <s v="L"/>
    <s v="Lavender"/>
    <s v="Fall"/>
    <n v="3"/>
    <s v="No"/>
    <s v="Standard"/>
    <s v="No"/>
    <s v="No"/>
    <n v="13"/>
    <s v="Cash"/>
    <s v="Weekly"/>
    <s v="Weekly"/>
    <n v="1"/>
  </r>
  <r>
    <x v="2770"/>
    <n v="50"/>
    <x v="1"/>
    <s v="Boots"/>
    <x v="1"/>
    <n v="44"/>
    <x v="43"/>
    <s v="S"/>
    <s v="Blue"/>
    <s v="Fall"/>
    <n v="3.3"/>
    <s v="No"/>
    <s v="Express"/>
    <s v="No"/>
    <s v="No"/>
    <n v="22"/>
    <s v="Bank Transfer"/>
    <s v="Quarterly"/>
    <s v="Quarterly"/>
    <n v="5"/>
  </r>
  <r>
    <x v="2771"/>
    <n v="58"/>
    <x v="1"/>
    <s v="Jacket"/>
    <x v="2"/>
    <n v="52"/>
    <x v="33"/>
    <s v="S"/>
    <s v="Beige"/>
    <s v="Summer"/>
    <n v="3.1"/>
    <s v="No"/>
    <s v="2-Day Shipping"/>
    <s v="No"/>
    <s v="No"/>
    <n v="12"/>
    <s v="Bank Transfer"/>
    <s v="Fortnightly"/>
    <s v="Fortnightly"/>
    <n v="3"/>
  </r>
  <r>
    <x v="2772"/>
    <n v="18"/>
    <x v="1"/>
    <s v="Backpack"/>
    <x v="3"/>
    <n v="94"/>
    <x v="38"/>
    <s v="L"/>
    <s v="Blue"/>
    <s v="Spring"/>
    <n v="3.5"/>
    <s v="No"/>
    <s v="Store Pickup"/>
    <s v="No"/>
    <s v="No"/>
    <n v="10"/>
    <s v="Bank Transfer"/>
    <s v="Every 3 Months"/>
    <s v="Quarterly"/>
    <n v="5"/>
  </r>
  <r>
    <x v="2773"/>
    <n v="39"/>
    <x v="1"/>
    <s v="Pants"/>
    <x v="0"/>
    <n v="98"/>
    <x v="28"/>
    <s v="S"/>
    <s v="Maroon"/>
    <s v="Spring"/>
    <n v="4.5999999999999996"/>
    <s v="No"/>
    <s v="Express"/>
    <s v="No"/>
    <s v="No"/>
    <n v="45"/>
    <s v="Bank Transfer"/>
    <s v="Quarterly"/>
    <s v="Quarterly"/>
    <n v="5"/>
  </r>
  <r>
    <x v="2774"/>
    <n v="56"/>
    <x v="1"/>
    <s v="Boots"/>
    <x v="1"/>
    <n v="40"/>
    <x v="19"/>
    <s v="L"/>
    <s v="Yellow"/>
    <s v="Fall"/>
    <n v="4.0999999999999996"/>
    <s v="No"/>
    <s v="Standard"/>
    <s v="No"/>
    <s v="No"/>
    <n v="42"/>
    <s v="Credit Card"/>
    <s v="Quarterly"/>
    <s v="Quarterly"/>
    <n v="5"/>
  </r>
  <r>
    <x v="2775"/>
    <n v="37"/>
    <x v="1"/>
    <s v="Socks"/>
    <x v="0"/>
    <n v="25"/>
    <x v="6"/>
    <s v="L"/>
    <s v="Red"/>
    <s v="Fall"/>
    <n v="3.6"/>
    <s v="No"/>
    <s v="Free Shipping"/>
    <s v="No"/>
    <s v="No"/>
    <n v="16"/>
    <s v="Debit Card"/>
    <s v="Weekly"/>
    <s v="Weekly"/>
    <n v="1"/>
  </r>
  <r>
    <x v="2776"/>
    <n v="46"/>
    <x v="1"/>
    <s v="Scarf"/>
    <x v="3"/>
    <n v="62"/>
    <x v="5"/>
    <s v="L"/>
    <s v="Green"/>
    <s v="Fall"/>
    <n v="2.9"/>
    <s v="No"/>
    <s v="Free Shipping"/>
    <s v="No"/>
    <s v="No"/>
    <n v="6"/>
    <s v="Bank Transfer"/>
    <s v="Annually"/>
    <s v="Annually"/>
    <n v="6"/>
  </r>
  <r>
    <x v="2777"/>
    <n v="52"/>
    <x v="1"/>
    <s v="Blouse"/>
    <x v="0"/>
    <n v="24"/>
    <x v="37"/>
    <s v="M"/>
    <s v="Magenta"/>
    <s v="Fall"/>
    <n v="4.8"/>
    <s v="No"/>
    <s v="Standard"/>
    <s v="No"/>
    <s v="No"/>
    <n v="28"/>
    <s v="Credit Card"/>
    <s v="Every 3 Months"/>
    <s v="Quarterly"/>
    <n v="5"/>
  </r>
  <r>
    <x v="2778"/>
    <n v="70"/>
    <x v="1"/>
    <s v="Belt"/>
    <x v="3"/>
    <n v="57"/>
    <x v="38"/>
    <s v="L"/>
    <s v="Yellow"/>
    <s v="Spring"/>
    <n v="3.2"/>
    <s v="No"/>
    <s v="Standard"/>
    <s v="No"/>
    <s v="No"/>
    <n v="24"/>
    <s v="Credit Card"/>
    <s v="Bi-Weekly"/>
    <s v="Bi-Weekly"/>
    <n v="2"/>
  </r>
  <r>
    <x v="2779"/>
    <n v="61"/>
    <x v="1"/>
    <s v="Sunglasses"/>
    <x v="3"/>
    <n v="66"/>
    <x v="6"/>
    <s v="L"/>
    <s v="Blue"/>
    <s v="Winter"/>
    <n v="4.3"/>
    <s v="No"/>
    <s v="Express"/>
    <s v="No"/>
    <s v="No"/>
    <n v="14"/>
    <s v="Credit Card"/>
    <s v="Fortnightly"/>
    <s v="Fortnightly"/>
    <n v="3"/>
  </r>
  <r>
    <x v="2780"/>
    <n v="33"/>
    <x v="1"/>
    <s v="Boots"/>
    <x v="1"/>
    <n v="70"/>
    <x v="31"/>
    <s v="M"/>
    <s v="Charcoal"/>
    <s v="Winter"/>
    <n v="4.0999999999999996"/>
    <s v="No"/>
    <s v="Next Day Air"/>
    <s v="No"/>
    <s v="No"/>
    <n v="29"/>
    <s v="PayPal"/>
    <s v="Fortnightly"/>
    <s v="Fortnightly"/>
    <n v="3"/>
  </r>
  <r>
    <x v="2781"/>
    <n v="65"/>
    <x v="1"/>
    <s v="Sandals"/>
    <x v="1"/>
    <n v="39"/>
    <x v="16"/>
    <s v="M"/>
    <s v="Blue"/>
    <s v="Spring"/>
    <n v="4.5999999999999996"/>
    <s v="No"/>
    <s v="Standard"/>
    <s v="No"/>
    <s v="No"/>
    <n v="33"/>
    <s v="PayPal"/>
    <s v="Weekly"/>
    <s v="Weekly"/>
    <n v="1"/>
  </r>
  <r>
    <x v="2782"/>
    <n v="41"/>
    <x v="1"/>
    <s v="Gloves"/>
    <x v="3"/>
    <n v="34"/>
    <x v="37"/>
    <s v="S"/>
    <s v="Cyan"/>
    <s v="Spring"/>
    <n v="3.8"/>
    <s v="No"/>
    <s v="Free Shipping"/>
    <s v="No"/>
    <s v="No"/>
    <n v="30"/>
    <s v="PayPal"/>
    <s v="Annually"/>
    <s v="Annually"/>
    <n v="6"/>
  </r>
  <r>
    <x v="2783"/>
    <n v="19"/>
    <x v="1"/>
    <s v="Skirt"/>
    <x v="0"/>
    <n v="38"/>
    <x v="41"/>
    <s v="M"/>
    <s v="Silver"/>
    <s v="Spring"/>
    <n v="4.5"/>
    <s v="No"/>
    <s v="Next Day Air"/>
    <s v="No"/>
    <s v="No"/>
    <n v="26"/>
    <s v="Credit Card"/>
    <s v="Quarterly"/>
    <s v="Quarterly"/>
    <n v="5"/>
  </r>
  <r>
    <x v="2784"/>
    <n v="33"/>
    <x v="1"/>
    <s v="Skirt"/>
    <x v="0"/>
    <n v="70"/>
    <x v="37"/>
    <s v="M"/>
    <s v="Black"/>
    <s v="Winter"/>
    <n v="3.1"/>
    <s v="No"/>
    <s v="Express"/>
    <s v="No"/>
    <s v="No"/>
    <n v="12"/>
    <s v="PayPal"/>
    <s v="Every 3 Months"/>
    <s v="Quarterly"/>
    <n v="5"/>
  </r>
  <r>
    <x v="2785"/>
    <n v="53"/>
    <x v="1"/>
    <s v="Blouse"/>
    <x v="0"/>
    <n v="80"/>
    <x v="7"/>
    <s v="S"/>
    <s v="Green"/>
    <s v="Summer"/>
    <n v="2.9"/>
    <s v="No"/>
    <s v="Next Day Air"/>
    <s v="No"/>
    <s v="No"/>
    <n v="13"/>
    <s v="Bank Transfer"/>
    <s v="Monthly"/>
    <s v="Monthly"/>
    <n v="4"/>
  </r>
  <r>
    <x v="2786"/>
    <n v="54"/>
    <x v="1"/>
    <s v="Handbag"/>
    <x v="3"/>
    <n v="51"/>
    <x v="24"/>
    <s v="M"/>
    <s v="Violet"/>
    <s v="Spring"/>
    <n v="3.8"/>
    <s v="No"/>
    <s v="Next Day Air"/>
    <s v="No"/>
    <s v="No"/>
    <n v="41"/>
    <s v="Debit Card"/>
    <s v="Every 3 Months"/>
    <s v="Quarterly"/>
    <n v="5"/>
  </r>
  <r>
    <x v="2787"/>
    <n v="36"/>
    <x v="1"/>
    <s v="Boots"/>
    <x v="1"/>
    <n v="79"/>
    <x v="8"/>
    <s v="XL"/>
    <s v="Pink"/>
    <s v="Spring"/>
    <n v="4.0999999999999996"/>
    <s v="No"/>
    <s v="Next Day Air"/>
    <s v="No"/>
    <s v="No"/>
    <n v="4"/>
    <s v="Venmo"/>
    <s v="Fortnightly"/>
    <s v="Fortnightly"/>
    <n v="3"/>
  </r>
  <r>
    <x v="2788"/>
    <n v="56"/>
    <x v="1"/>
    <s v="Boots"/>
    <x v="1"/>
    <n v="92"/>
    <x v="3"/>
    <s v="M"/>
    <s v="Olive"/>
    <s v="Summer"/>
    <n v="3.1"/>
    <s v="No"/>
    <s v="Free Shipping"/>
    <s v="No"/>
    <s v="No"/>
    <n v="2"/>
    <s v="Credit Card"/>
    <s v="Annually"/>
    <s v="Annually"/>
    <n v="6"/>
  </r>
  <r>
    <x v="2789"/>
    <n v="28"/>
    <x v="1"/>
    <s v="Sweater"/>
    <x v="0"/>
    <n v="85"/>
    <x v="17"/>
    <s v="L"/>
    <s v="Orange"/>
    <s v="Fall"/>
    <n v="5"/>
    <s v="No"/>
    <s v="Express"/>
    <s v="No"/>
    <s v="No"/>
    <n v="28"/>
    <s v="Credit Card"/>
    <s v="Bi-Weekly"/>
    <s v="Bi-Weekly"/>
    <n v="2"/>
  </r>
  <r>
    <x v="2790"/>
    <n v="34"/>
    <x v="1"/>
    <s v="Socks"/>
    <x v="0"/>
    <n v="63"/>
    <x v="1"/>
    <s v="M"/>
    <s v="Black"/>
    <s v="Spring"/>
    <n v="4.5"/>
    <s v="No"/>
    <s v="Free Shipping"/>
    <s v="No"/>
    <s v="No"/>
    <n v="24"/>
    <s v="Debit Card"/>
    <s v="Annually"/>
    <s v="Annually"/>
    <n v="6"/>
  </r>
  <r>
    <x v="2791"/>
    <n v="43"/>
    <x v="1"/>
    <s v="Gloves"/>
    <x v="3"/>
    <n v="60"/>
    <x v="44"/>
    <s v="M"/>
    <s v="Yellow"/>
    <s v="Fall"/>
    <n v="2.8"/>
    <s v="No"/>
    <s v="Express"/>
    <s v="No"/>
    <s v="No"/>
    <n v="14"/>
    <s v="Venmo"/>
    <s v="Fortnightly"/>
    <s v="Fortnightly"/>
    <n v="3"/>
  </r>
  <r>
    <x v="2792"/>
    <n v="54"/>
    <x v="1"/>
    <s v="Shorts"/>
    <x v="0"/>
    <n v="44"/>
    <x v="0"/>
    <s v="L"/>
    <s v="Violet"/>
    <s v="Winter"/>
    <n v="3.2"/>
    <s v="No"/>
    <s v="Express"/>
    <s v="No"/>
    <s v="No"/>
    <n v="11"/>
    <s v="Credit Card"/>
    <s v="Weekly"/>
    <s v="Weekly"/>
    <n v="1"/>
  </r>
  <r>
    <x v="2793"/>
    <n v="37"/>
    <x v="1"/>
    <s v="Boots"/>
    <x v="1"/>
    <n v="57"/>
    <x v="2"/>
    <s v="M"/>
    <s v="Silver"/>
    <s v="Spring"/>
    <n v="3.1"/>
    <s v="No"/>
    <s v="Standard"/>
    <s v="No"/>
    <s v="No"/>
    <n v="27"/>
    <s v="Debit Card"/>
    <s v="Bi-Weekly"/>
    <s v="Bi-Weekly"/>
    <n v="2"/>
  </r>
  <r>
    <x v="2794"/>
    <n v="33"/>
    <x v="1"/>
    <s v="Jacket"/>
    <x v="2"/>
    <n v="24"/>
    <x v="14"/>
    <s v="M"/>
    <s v="Gold"/>
    <s v="Fall"/>
    <n v="3.3"/>
    <s v="No"/>
    <s v="Standard"/>
    <s v="No"/>
    <s v="No"/>
    <n v="7"/>
    <s v="Cash"/>
    <s v="Fortnightly"/>
    <s v="Fortnightly"/>
    <n v="3"/>
  </r>
  <r>
    <x v="2795"/>
    <n v="33"/>
    <x v="1"/>
    <s v="Scarf"/>
    <x v="3"/>
    <n v="35"/>
    <x v="43"/>
    <s v="M"/>
    <s v="Magenta"/>
    <s v="Winter"/>
    <n v="3.4"/>
    <s v="No"/>
    <s v="Store Pickup"/>
    <s v="No"/>
    <s v="No"/>
    <n v="49"/>
    <s v="PayPal"/>
    <s v="Annually"/>
    <s v="Annually"/>
    <n v="6"/>
  </r>
  <r>
    <x v="2796"/>
    <n v="55"/>
    <x v="1"/>
    <s v="Jacket"/>
    <x v="2"/>
    <n v="73"/>
    <x v="19"/>
    <s v="M"/>
    <s v="Red"/>
    <s v="Winter"/>
    <n v="3.8"/>
    <s v="No"/>
    <s v="Store Pickup"/>
    <s v="No"/>
    <s v="No"/>
    <n v="21"/>
    <s v="Cash"/>
    <s v="Annually"/>
    <s v="Annually"/>
    <n v="6"/>
  </r>
  <r>
    <x v="2797"/>
    <n v="63"/>
    <x v="1"/>
    <s v="Jewelry"/>
    <x v="3"/>
    <n v="42"/>
    <x v="19"/>
    <s v="M"/>
    <s v="Green"/>
    <s v="Winter"/>
    <n v="3.5"/>
    <s v="No"/>
    <s v="Express"/>
    <s v="No"/>
    <s v="No"/>
    <n v="10"/>
    <s v="Venmo"/>
    <s v="Every 3 Months"/>
    <s v="Quarterly"/>
    <n v="5"/>
  </r>
  <r>
    <x v="2798"/>
    <n v="52"/>
    <x v="1"/>
    <s v="Hoodie"/>
    <x v="0"/>
    <n v="20"/>
    <x v="3"/>
    <s v="XL"/>
    <s v="Red"/>
    <s v="Winter"/>
    <n v="4.8"/>
    <s v="No"/>
    <s v="Store Pickup"/>
    <s v="No"/>
    <s v="No"/>
    <n v="37"/>
    <s v="PayPal"/>
    <s v="Weekly"/>
    <s v="Weekly"/>
    <n v="1"/>
  </r>
  <r>
    <x v="2799"/>
    <n v="23"/>
    <x v="1"/>
    <s v="T-shirt"/>
    <x v="0"/>
    <n v="89"/>
    <x v="1"/>
    <s v="L"/>
    <s v="Pink"/>
    <s v="Spring"/>
    <n v="3.9"/>
    <s v="No"/>
    <s v="Free Shipping"/>
    <s v="No"/>
    <s v="No"/>
    <n v="9"/>
    <s v="Bank Transfer"/>
    <s v="Every 3 Months"/>
    <s v="Quarterly"/>
    <n v="5"/>
  </r>
  <r>
    <x v="2800"/>
    <n v="70"/>
    <x v="1"/>
    <s v="Shirt"/>
    <x v="0"/>
    <n v="76"/>
    <x v="10"/>
    <s v="L"/>
    <s v="Violet"/>
    <s v="Fall"/>
    <n v="3.4"/>
    <s v="No"/>
    <s v="Free Shipping"/>
    <s v="No"/>
    <s v="No"/>
    <n v="14"/>
    <s v="Cash"/>
    <s v="Bi-Weekly"/>
    <s v="Bi-Weekly"/>
    <n v="2"/>
  </r>
  <r>
    <x v="2801"/>
    <n v="64"/>
    <x v="1"/>
    <s v="Shirt"/>
    <x v="0"/>
    <n v="56"/>
    <x v="35"/>
    <s v="M"/>
    <s v="Indigo"/>
    <s v="Winter"/>
    <n v="2.6"/>
    <s v="No"/>
    <s v="Express"/>
    <s v="No"/>
    <s v="No"/>
    <n v="30"/>
    <s v="PayPal"/>
    <s v="Annually"/>
    <s v="Annually"/>
    <n v="6"/>
  </r>
  <r>
    <x v="2802"/>
    <n v="22"/>
    <x v="1"/>
    <s v="Coat"/>
    <x v="2"/>
    <n v="100"/>
    <x v="11"/>
    <s v="L"/>
    <s v="Red"/>
    <s v="Fall"/>
    <n v="3.1"/>
    <s v="No"/>
    <s v="Store Pickup"/>
    <s v="No"/>
    <s v="No"/>
    <n v="42"/>
    <s v="Credit Card"/>
    <s v="Fortnightly"/>
    <s v="Fortnightly"/>
    <n v="3"/>
  </r>
  <r>
    <x v="2803"/>
    <n v="46"/>
    <x v="1"/>
    <s v="T-shirt"/>
    <x v="0"/>
    <n v="44"/>
    <x v="37"/>
    <s v="M"/>
    <s v="Violet"/>
    <s v="Winter"/>
    <n v="3.3"/>
    <s v="No"/>
    <s v="Free Shipping"/>
    <s v="No"/>
    <s v="No"/>
    <n v="31"/>
    <s v="Bank Transfer"/>
    <s v="Monthly"/>
    <s v="Monthly"/>
    <n v="4"/>
  </r>
  <r>
    <x v="2804"/>
    <n v="65"/>
    <x v="1"/>
    <s v="Hoodie"/>
    <x v="0"/>
    <n v="76"/>
    <x v="36"/>
    <s v="M"/>
    <s v="Cyan"/>
    <s v="Spring"/>
    <n v="2.8"/>
    <s v="No"/>
    <s v="Standard"/>
    <s v="No"/>
    <s v="No"/>
    <n v="48"/>
    <s v="Bank Transfer"/>
    <s v="Every 3 Months"/>
    <s v="Quarterly"/>
    <n v="5"/>
  </r>
  <r>
    <x v="2805"/>
    <n v="18"/>
    <x v="1"/>
    <s v="Sunglasses"/>
    <x v="3"/>
    <n v="97"/>
    <x v="22"/>
    <s v="S"/>
    <s v="Black"/>
    <s v="Fall"/>
    <n v="4.3"/>
    <s v="No"/>
    <s v="Standard"/>
    <s v="No"/>
    <s v="No"/>
    <n v="48"/>
    <s v="Cash"/>
    <s v="Quarterly"/>
    <s v="Quarterly"/>
    <n v="5"/>
  </r>
  <r>
    <x v="2806"/>
    <n v="45"/>
    <x v="1"/>
    <s v="Blouse"/>
    <x v="0"/>
    <n v="39"/>
    <x v="36"/>
    <s v="L"/>
    <s v="Purple"/>
    <s v="Spring"/>
    <n v="2.7"/>
    <s v="No"/>
    <s v="Standard"/>
    <s v="No"/>
    <s v="No"/>
    <n v="50"/>
    <s v="Credit Card"/>
    <s v="Annually"/>
    <s v="Annually"/>
    <n v="6"/>
  </r>
  <r>
    <x v="2807"/>
    <n v="56"/>
    <x v="1"/>
    <s v="Hoodie"/>
    <x v="0"/>
    <n v="100"/>
    <x v="33"/>
    <s v="M"/>
    <s v="Charcoal"/>
    <s v="Spring"/>
    <n v="4.4000000000000004"/>
    <s v="No"/>
    <s v="2-Day Shipping"/>
    <s v="No"/>
    <s v="No"/>
    <n v="10"/>
    <s v="Debit Card"/>
    <s v="Fortnightly"/>
    <s v="Fortnightly"/>
    <n v="3"/>
  </r>
  <r>
    <x v="2808"/>
    <n v="49"/>
    <x v="1"/>
    <s v="Skirt"/>
    <x v="0"/>
    <n v="62"/>
    <x v="30"/>
    <s v="M"/>
    <s v="Beige"/>
    <s v="Spring"/>
    <n v="3.9"/>
    <s v="No"/>
    <s v="Free Shipping"/>
    <s v="No"/>
    <s v="No"/>
    <n v="45"/>
    <s v="PayPal"/>
    <s v="Every 3 Months"/>
    <s v="Quarterly"/>
    <n v="5"/>
  </r>
  <r>
    <x v="2809"/>
    <n v="66"/>
    <x v="1"/>
    <s v="Shorts"/>
    <x v="0"/>
    <n v="98"/>
    <x v="10"/>
    <s v="XL"/>
    <s v="Teal"/>
    <s v="Summer"/>
    <n v="3"/>
    <s v="No"/>
    <s v="Standard"/>
    <s v="No"/>
    <s v="No"/>
    <n v="27"/>
    <s v="Debit Card"/>
    <s v="Quarterly"/>
    <s v="Quarterly"/>
    <n v="5"/>
  </r>
  <r>
    <x v="2810"/>
    <n v="27"/>
    <x v="1"/>
    <s v="Jeans"/>
    <x v="0"/>
    <n v="31"/>
    <x v="28"/>
    <s v="M"/>
    <s v="Purple"/>
    <s v="Summer"/>
    <n v="4"/>
    <s v="No"/>
    <s v="Standard"/>
    <s v="No"/>
    <s v="No"/>
    <n v="10"/>
    <s v="Debit Card"/>
    <s v="Fortnightly"/>
    <s v="Fortnightly"/>
    <n v="3"/>
  </r>
  <r>
    <x v="2811"/>
    <n v="69"/>
    <x v="1"/>
    <s v="Jacket"/>
    <x v="2"/>
    <n v="89"/>
    <x v="31"/>
    <s v="M"/>
    <s v="Blue"/>
    <s v="Fall"/>
    <n v="3.7"/>
    <s v="No"/>
    <s v="Store Pickup"/>
    <s v="No"/>
    <s v="No"/>
    <n v="19"/>
    <s v="Credit Card"/>
    <s v="Quarterly"/>
    <s v="Quarterly"/>
    <n v="5"/>
  </r>
  <r>
    <x v="2812"/>
    <n v="66"/>
    <x v="1"/>
    <s v="Hoodie"/>
    <x v="0"/>
    <n v="91"/>
    <x v="25"/>
    <s v="XL"/>
    <s v="Magenta"/>
    <s v="Fall"/>
    <n v="3.8"/>
    <s v="No"/>
    <s v="Store Pickup"/>
    <s v="No"/>
    <s v="No"/>
    <n v="1"/>
    <s v="Credit Card"/>
    <s v="Every 3 Months"/>
    <s v="Quarterly"/>
    <n v="5"/>
  </r>
  <r>
    <x v="2813"/>
    <n v="45"/>
    <x v="1"/>
    <s v="Shirt"/>
    <x v="0"/>
    <n v="50"/>
    <x v="34"/>
    <s v="S"/>
    <s v="Maroon"/>
    <s v="Summer"/>
    <n v="3.3"/>
    <s v="No"/>
    <s v="2-Day Shipping"/>
    <s v="No"/>
    <s v="No"/>
    <n v="39"/>
    <s v="Debit Card"/>
    <s v="Quarterly"/>
    <s v="Quarterly"/>
    <n v="5"/>
  </r>
  <r>
    <x v="2814"/>
    <n v="31"/>
    <x v="1"/>
    <s v="T-shirt"/>
    <x v="0"/>
    <n v="32"/>
    <x v="46"/>
    <s v="L"/>
    <s v="Gold"/>
    <s v="Winter"/>
    <n v="3.6"/>
    <s v="No"/>
    <s v="Standard"/>
    <s v="No"/>
    <s v="No"/>
    <n v="14"/>
    <s v="Bank Transfer"/>
    <s v="Monthly"/>
    <s v="Monthly"/>
    <n v="4"/>
  </r>
  <r>
    <x v="2815"/>
    <n v="33"/>
    <x v="1"/>
    <s v="Blouse"/>
    <x v="0"/>
    <n v="67"/>
    <x v="37"/>
    <s v="L"/>
    <s v="Black"/>
    <s v="Fall"/>
    <n v="3.9"/>
    <s v="No"/>
    <s v="Free Shipping"/>
    <s v="No"/>
    <s v="No"/>
    <n v="40"/>
    <s v="Venmo"/>
    <s v="Every 3 Months"/>
    <s v="Quarterly"/>
    <n v="5"/>
  </r>
  <r>
    <x v="2816"/>
    <n v="43"/>
    <x v="1"/>
    <s v="Skirt"/>
    <x v="0"/>
    <n v="28"/>
    <x v="33"/>
    <s v="M"/>
    <s v="Black"/>
    <s v="Spring"/>
    <n v="3.5"/>
    <s v="No"/>
    <s v="Free Shipping"/>
    <s v="No"/>
    <s v="No"/>
    <n v="45"/>
    <s v="Venmo"/>
    <s v="Weekly"/>
    <s v="Weekly"/>
    <n v="1"/>
  </r>
  <r>
    <x v="2817"/>
    <n v="25"/>
    <x v="1"/>
    <s v="Backpack"/>
    <x v="3"/>
    <n v="65"/>
    <x v="36"/>
    <s v="XL"/>
    <s v="Yellow"/>
    <s v="Winter"/>
    <n v="3.4"/>
    <s v="No"/>
    <s v="Standard"/>
    <s v="No"/>
    <s v="No"/>
    <n v="6"/>
    <s v="Venmo"/>
    <s v="Weekly"/>
    <s v="Weekly"/>
    <n v="1"/>
  </r>
  <r>
    <x v="2818"/>
    <n v="46"/>
    <x v="1"/>
    <s v="Shorts"/>
    <x v="0"/>
    <n v="73"/>
    <x v="18"/>
    <s v="M"/>
    <s v="Turquoise"/>
    <s v="Fall"/>
    <n v="4.7"/>
    <s v="No"/>
    <s v="Next Day Air"/>
    <s v="No"/>
    <s v="No"/>
    <n v="12"/>
    <s v="Debit Card"/>
    <s v="Annually"/>
    <s v="Annually"/>
    <n v="6"/>
  </r>
  <r>
    <x v="2819"/>
    <n v="67"/>
    <x v="1"/>
    <s v="Shirt"/>
    <x v="0"/>
    <n v="27"/>
    <x v="42"/>
    <s v="L"/>
    <s v="Lavender"/>
    <s v="Spring"/>
    <n v="3"/>
    <s v="No"/>
    <s v="Free Shipping"/>
    <s v="No"/>
    <s v="No"/>
    <n v="19"/>
    <s v="Cash"/>
    <s v="Monthly"/>
    <s v="Monthly"/>
    <n v="4"/>
  </r>
  <r>
    <x v="2820"/>
    <n v="26"/>
    <x v="1"/>
    <s v="Backpack"/>
    <x v="3"/>
    <n v="89"/>
    <x v="34"/>
    <s v="L"/>
    <s v="Yellow"/>
    <s v="Summer"/>
    <n v="3.9"/>
    <s v="No"/>
    <s v="Free Shipping"/>
    <s v="No"/>
    <s v="No"/>
    <n v="5"/>
    <s v="Cash"/>
    <s v="Bi-Weekly"/>
    <s v="Bi-Weekly"/>
    <n v="2"/>
  </r>
  <r>
    <x v="2821"/>
    <n v="35"/>
    <x v="1"/>
    <s v="Shoes"/>
    <x v="1"/>
    <n v="72"/>
    <x v="42"/>
    <s v="L"/>
    <s v="Olive"/>
    <s v="Summer"/>
    <n v="4.5"/>
    <s v="No"/>
    <s v="Standard"/>
    <s v="No"/>
    <s v="No"/>
    <n v="37"/>
    <s v="Venmo"/>
    <s v="Monthly"/>
    <s v="Monthly"/>
    <n v="4"/>
  </r>
  <r>
    <x v="2822"/>
    <n v="61"/>
    <x v="1"/>
    <s v="Skirt"/>
    <x v="0"/>
    <n v="37"/>
    <x v="32"/>
    <s v="S"/>
    <s v="Brown"/>
    <s v="Fall"/>
    <n v="4.0999999999999996"/>
    <s v="No"/>
    <s v="Standard"/>
    <s v="No"/>
    <s v="No"/>
    <n v="33"/>
    <s v="PayPal"/>
    <s v="Quarterly"/>
    <s v="Quarterly"/>
    <n v="5"/>
  </r>
  <r>
    <x v="2823"/>
    <n v="26"/>
    <x v="1"/>
    <s v="Dress"/>
    <x v="0"/>
    <n v="63"/>
    <x v="40"/>
    <s v="M"/>
    <s v="Olive"/>
    <s v="Summer"/>
    <n v="4.5"/>
    <s v="No"/>
    <s v="Standard"/>
    <s v="No"/>
    <s v="No"/>
    <n v="47"/>
    <s v="Debit Card"/>
    <s v="Bi-Weekly"/>
    <s v="Bi-Weekly"/>
    <n v="2"/>
  </r>
  <r>
    <x v="2824"/>
    <n v="39"/>
    <x v="1"/>
    <s v="Hat"/>
    <x v="3"/>
    <n v="90"/>
    <x v="40"/>
    <s v="M"/>
    <s v="Purple"/>
    <s v="Fall"/>
    <n v="4"/>
    <s v="No"/>
    <s v="Free Shipping"/>
    <s v="No"/>
    <s v="No"/>
    <n v="49"/>
    <s v="Debit Card"/>
    <s v="Quarterly"/>
    <s v="Quarterly"/>
    <n v="5"/>
  </r>
  <r>
    <x v="2825"/>
    <n v="69"/>
    <x v="1"/>
    <s v="Handbag"/>
    <x v="3"/>
    <n v="62"/>
    <x v="17"/>
    <s v="M"/>
    <s v="Yellow"/>
    <s v="Winter"/>
    <n v="4.3"/>
    <s v="No"/>
    <s v="2-Day Shipping"/>
    <s v="No"/>
    <s v="No"/>
    <n v="28"/>
    <s v="Bank Transfer"/>
    <s v="Annually"/>
    <s v="Annually"/>
    <n v="6"/>
  </r>
  <r>
    <x v="2826"/>
    <n v="32"/>
    <x v="1"/>
    <s v="Handbag"/>
    <x v="3"/>
    <n v="43"/>
    <x v="20"/>
    <s v="L"/>
    <s v="Brown"/>
    <s v="Fall"/>
    <n v="3.6"/>
    <s v="No"/>
    <s v="Express"/>
    <s v="No"/>
    <s v="No"/>
    <n v="23"/>
    <s v="Venmo"/>
    <s v="Annually"/>
    <s v="Annually"/>
    <n v="6"/>
  </r>
  <r>
    <x v="2827"/>
    <n v="20"/>
    <x v="1"/>
    <s v="Blouse"/>
    <x v="0"/>
    <n v="96"/>
    <x v="48"/>
    <s v="M"/>
    <s v="Magenta"/>
    <s v="Fall"/>
    <n v="3.1"/>
    <s v="No"/>
    <s v="Next Day Air"/>
    <s v="No"/>
    <s v="No"/>
    <n v="11"/>
    <s v="Bank Transfer"/>
    <s v="Bi-Weekly"/>
    <s v="Bi-Weekly"/>
    <n v="2"/>
  </r>
  <r>
    <x v="2828"/>
    <n v="25"/>
    <x v="1"/>
    <s v="Scarf"/>
    <x v="3"/>
    <n v="83"/>
    <x v="30"/>
    <s v="L"/>
    <s v="Lavender"/>
    <s v="Fall"/>
    <n v="2.6"/>
    <s v="No"/>
    <s v="Standard"/>
    <s v="No"/>
    <s v="No"/>
    <n v="33"/>
    <s v="PayPal"/>
    <s v="Quarterly"/>
    <s v="Quarterly"/>
    <n v="5"/>
  </r>
  <r>
    <x v="2829"/>
    <n v="56"/>
    <x v="1"/>
    <s v="Jewelry"/>
    <x v="3"/>
    <n v="67"/>
    <x v="28"/>
    <s v="XL"/>
    <s v="Teal"/>
    <s v="Fall"/>
    <n v="3.4"/>
    <s v="No"/>
    <s v="Next Day Air"/>
    <s v="No"/>
    <s v="No"/>
    <n v="47"/>
    <s v="Cash"/>
    <s v="Weekly"/>
    <s v="Weekly"/>
    <n v="1"/>
  </r>
  <r>
    <x v="2830"/>
    <n v="63"/>
    <x v="1"/>
    <s v="Skirt"/>
    <x v="0"/>
    <n v="90"/>
    <x v="4"/>
    <s v="L"/>
    <s v="Cyan"/>
    <s v="Spring"/>
    <n v="2.9"/>
    <s v="No"/>
    <s v="Store Pickup"/>
    <s v="No"/>
    <s v="No"/>
    <n v="13"/>
    <s v="Venmo"/>
    <s v="Every 3 Months"/>
    <s v="Quarterly"/>
    <n v="5"/>
  </r>
  <r>
    <x v="2831"/>
    <n v="34"/>
    <x v="1"/>
    <s v="Hoodie"/>
    <x v="0"/>
    <n v="53"/>
    <x v="41"/>
    <s v="L"/>
    <s v="Pink"/>
    <s v="Winter"/>
    <n v="5"/>
    <s v="No"/>
    <s v="Express"/>
    <s v="No"/>
    <s v="No"/>
    <n v="4"/>
    <s v="Credit Card"/>
    <s v="Weekly"/>
    <s v="Weekly"/>
    <n v="1"/>
  </r>
  <r>
    <x v="2832"/>
    <n v="29"/>
    <x v="1"/>
    <s v="Scarf"/>
    <x v="3"/>
    <n v="37"/>
    <x v="33"/>
    <s v="M"/>
    <s v="Magenta"/>
    <s v="Summer"/>
    <n v="4.5999999999999996"/>
    <s v="No"/>
    <s v="Standard"/>
    <s v="No"/>
    <s v="No"/>
    <n v="40"/>
    <s v="PayPal"/>
    <s v="Quarterly"/>
    <s v="Quarterly"/>
    <n v="5"/>
  </r>
  <r>
    <x v="2833"/>
    <n v="43"/>
    <x v="1"/>
    <s v="Jeans"/>
    <x v="0"/>
    <n v="56"/>
    <x v="10"/>
    <s v="M"/>
    <s v="Teal"/>
    <s v="Fall"/>
    <n v="3.3"/>
    <s v="No"/>
    <s v="Free Shipping"/>
    <s v="No"/>
    <s v="No"/>
    <n v="19"/>
    <s v="Cash"/>
    <s v="Monthly"/>
    <s v="Monthly"/>
    <n v="4"/>
  </r>
  <r>
    <x v="2834"/>
    <n v="39"/>
    <x v="1"/>
    <s v="Jacket"/>
    <x v="2"/>
    <n v="43"/>
    <x v="21"/>
    <s v="M"/>
    <s v="Indigo"/>
    <s v="Fall"/>
    <n v="2.9"/>
    <s v="No"/>
    <s v="2-Day Shipping"/>
    <s v="No"/>
    <s v="No"/>
    <n v="17"/>
    <s v="Credit Card"/>
    <s v="Weekly"/>
    <s v="Weekly"/>
    <n v="1"/>
  </r>
  <r>
    <x v="2835"/>
    <n v="33"/>
    <x v="1"/>
    <s v="T-shirt"/>
    <x v="0"/>
    <n v="84"/>
    <x v="34"/>
    <s v="S"/>
    <s v="Pink"/>
    <s v="Winter"/>
    <n v="4.9000000000000004"/>
    <s v="No"/>
    <s v="Free Shipping"/>
    <s v="No"/>
    <s v="No"/>
    <n v="7"/>
    <s v="Venmo"/>
    <s v="Annually"/>
    <s v="Annually"/>
    <n v="6"/>
  </r>
  <r>
    <x v="2836"/>
    <n v="51"/>
    <x v="1"/>
    <s v="Pants"/>
    <x v="0"/>
    <n v="50"/>
    <x v="5"/>
    <s v="M"/>
    <s v="Charcoal"/>
    <s v="Winter"/>
    <n v="5"/>
    <s v="No"/>
    <s v="2-Day Shipping"/>
    <s v="No"/>
    <s v="No"/>
    <n v="21"/>
    <s v="Cash"/>
    <s v="Bi-Weekly"/>
    <s v="Bi-Weekly"/>
    <n v="2"/>
  </r>
  <r>
    <x v="2837"/>
    <n v="65"/>
    <x v="1"/>
    <s v="Shoes"/>
    <x v="1"/>
    <n v="88"/>
    <x v="15"/>
    <s v="M"/>
    <s v="Brown"/>
    <s v="Summer"/>
    <n v="4.5"/>
    <s v="No"/>
    <s v="Express"/>
    <s v="No"/>
    <s v="No"/>
    <n v="44"/>
    <s v="PayPal"/>
    <s v="Weekly"/>
    <s v="Weekly"/>
    <n v="1"/>
  </r>
  <r>
    <x v="2838"/>
    <n v="51"/>
    <x v="1"/>
    <s v="Jacket"/>
    <x v="2"/>
    <n v="50"/>
    <x v="1"/>
    <s v="M"/>
    <s v="Blue"/>
    <s v="Fall"/>
    <n v="3.7"/>
    <s v="No"/>
    <s v="Free Shipping"/>
    <s v="No"/>
    <s v="No"/>
    <n v="2"/>
    <s v="Bank Transfer"/>
    <s v="Weekly"/>
    <s v="Weekly"/>
    <n v="1"/>
  </r>
  <r>
    <x v="2839"/>
    <n v="70"/>
    <x v="1"/>
    <s v="Scarf"/>
    <x v="3"/>
    <n v="80"/>
    <x v="45"/>
    <s v="L"/>
    <s v="Teal"/>
    <s v="Summer"/>
    <n v="2.8"/>
    <s v="No"/>
    <s v="Store Pickup"/>
    <s v="No"/>
    <s v="No"/>
    <n v="30"/>
    <s v="Bank Transfer"/>
    <s v="Monthly"/>
    <s v="Monthly"/>
    <n v="4"/>
  </r>
  <r>
    <x v="2840"/>
    <n v="40"/>
    <x v="1"/>
    <s v="T-shirt"/>
    <x v="0"/>
    <n v="47"/>
    <x v="8"/>
    <s v="L"/>
    <s v="Pink"/>
    <s v="Spring"/>
    <n v="3.5"/>
    <s v="No"/>
    <s v="Store Pickup"/>
    <s v="No"/>
    <s v="No"/>
    <n v="41"/>
    <s v="Cash"/>
    <s v="Annually"/>
    <s v="Annually"/>
    <n v="6"/>
  </r>
  <r>
    <x v="2841"/>
    <n v="19"/>
    <x v="1"/>
    <s v="Dress"/>
    <x v="0"/>
    <n v="33"/>
    <x v="31"/>
    <s v="XL"/>
    <s v="Magenta"/>
    <s v="Winter"/>
    <n v="3"/>
    <s v="No"/>
    <s v="2-Day Shipping"/>
    <s v="No"/>
    <s v="No"/>
    <n v="31"/>
    <s v="Cash"/>
    <s v="Weekly"/>
    <s v="Weekly"/>
    <n v="1"/>
  </r>
  <r>
    <x v="2842"/>
    <n v="28"/>
    <x v="1"/>
    <s v="Coat"/>
    <x v="2"/>
    <n v="100"/>
    <x v="28"/>
    <s v="L"/>
    <s v="Green"/>
    <s v="Fall"/>
    <n v="4.3"/>
    <s v="No"/>
    <s v="Standard"/>
    <s v="No"/>
    <s v="No"/>
    <n v="48"/>
    <s v="Debit Card"/>
    <s v="Quarterly"/>
    <s v="Quarterly"/>
    <n v="5"/>
  </r>
  <r>
    <x v="2843"/>
    <n v="51"/>
    <x v="1"/>
    <s v="Sweater"/>
    <x v="0"/>
    <n v="26"/>
    <x v="31"/>
    <s v="M"/>
    <s v="White"/>
    <s v="Summer"/>
    <n v="3.6"/>
    <s v="No"/>
    <s v="Store Pickup"/>
    <s v="No"/>
    <s v="No"/>
    <n v="41"/>
    <s v="Venmo"/>
    <s v="Weekly"/>
    <s v="Weekly"/>
    <n v="1"/>
  </r>
  <r>
    <x v="2844"/>
    <n v="32"/>
    <x v="1"/>
    <s v="Hat"/>
    <x v="3"/>
    <n v="79"/>
    <x v="35"/>
    <s v="M"/>
    <s v="Indigo"/>
    <s v="Summer"/>
    <n v="4.4000000000000004"/>
    <s v="No"/>
    <s v="Standard"/>
    <s v="No"/>
    <s v="No"/>
    <n v="42"/>
    <s v="Venmo"/>
    <s v="Annually"/>
    <s v="Annually"/>
    <n v="6"/>
  </r>
  <r>
    <x v="2845"/>
    <n v="26"/>
    <x v="1"/>
    <s v="Backpack"/>
    <x v="3"/>
    <n v="77"/>
    <x v="45"/>
    <s v="L"/>
    <s v="Lavender"/>
    <s v="Summer"/>
    <n v="4.0999999999999996"/>
    <s v="No"/>
    <s v="Express"/>
    <s v="No"/>
    <s v="No"/>
    <n v="39"/>
    <s v="Debit Card"/>
    <s v="Every 3 Months"/>
    <s v="Quarterly"/>
    <n v="5"/>
  </r>
  <r>
    <x v="2846"/>
    <n v="50"/>
    <x v="1"/>
    <s v="Socks"/>
    <x v="0"/>
    <n v="36"/>
    <x v="19"/>
    <s v="XL"/>
    <s v="Black"/>
    <s v="Fall"/>
    <n v="2.8"/>
    <s v="No"/>
    <s v="Next Day Air"/>
    <s v="No"/>
    <s v="No"/>
    <n v="15"/>
    <s v="PayPal"/>
    <s v="Bi-Weekly"/>
    <s v="Bi-Weekly"/>
    <n v="2"/>
  </r>
  <r>
    <x v="2847"/>
    <n v="68"/>
    <x v="1"/>
    <s v="Jewelry"/>
    <x v="3"/>
    <n v="21"/>
    <x v="39"/>
    <s v="L"/>
    <s v="Charcoal"/>
    <s v="Winter"/>
    <n v="2.8"/>
    <s v="No"/>
    <s v="Free Shipping"/>
    <s v="No"/>
    <s v="No"/>
    <n v="3"/>
    <s v="PayPal"/>
    <s v="Every 3 Months"/>
    <s v="Quarterly"/>
    <n v="5"/>
  </r>
  <r>
    <x v="2848"/>
    <n v="33"/>
    <x v="1"/>
    <s v="Boots"/>
    <x v="1"/>
    <n v="72"/>
    <x v="48"/>
    <s v="L"/>
    <s v="Gray"/>
    <s v="Fall"/>
    <n v="4.9000000000000004"/>
    <s v="No"/>
    <s v="Store Pickup"/>
    <s v="No"/>
    <s v="No"/>
    <n v="28"/>
    <s v="Bank Transfer"/>
    <s v="Quarterly"/>
    <s v="Quarterly"/>
    <n v="5"/>
  </r>
  <r>
    <x v="2849"/>
    <n v="56"/>
    <x v="1"/>
    <s v="Coat"/>
    <x v="2"/>
    <n v="25"/>
    <x v="13"/>
    <s v="M"/>
    <s v="Gold"/>
    <s v="Spring"/>
    <n v="4.0999999999999996"/>
    <s v="No"/>
    <s v="Express"/>
    <s v="No"/>
    <s v="No"/>
    <n v="27"/>
    <s v="PayPal"/>
    <s v="Bi-Weekly"/>
    <s v="Bi-Weekly"/>
    <n v="2"/>
  </r>
  <r>
    <x v="2850"/>
    <n v="57"/>
    <x v="1"/>
    <s v="Sweater"/>
    <x v="0"/>
    <n v="79"/>
    <x v="43"/>
    <s v="M"/>
    <s v="Silver"/>
    <s v="Spring"/>
    <n v="3"/>
    <s v="No"/>
    <s v="Store Pickup"/>
    <s v="No"/>
    <s v="No"/>
    <n v="36"/>
    <s v="Debit Card"/>
    <s v="Annually"/>
    <s v="Annually"/>
    <n v="6"/>
  </r>
  <r>
    <x v="2851"/>
    <n v="58"/>
    <x v="1"/>
    <s v="Blouse"/>
    <x v="0"/>
    <n v="73"/>
    <x v="22"/>
    <s v="L"/>
    <s v="Teal"/>
    <s v="Summer"/>
    <n v="3"/>
    <s v="No"/>
    <s v="Store Pickup"/>
    <s v="No"/>
    <s v="No"/>
    <n v="42"/>
    <s v="Debit Card"/>
    <s v="Monthly"/>
    <s v="Monthly"/>
    <n v="4"/>
  </r>
  <r>
    <x v="2852"/>
    <n v="40"/>
    <x v="1"/>
    <s v="Belt"/>
    <x v="3"/>
    <n v="71"/>
    <x v="14"/>
    <s v="M"/>
    <s v="Magenta"/>
    <s v="Spring"/>
    <n v="3"/>
    <s v="No"/>
    <s v="Store Pickup"/>
    <s v="No"/>
    <s v="No"/>
    <n v="30"/>
    <s v="Venmo"/>
    <s v="Weekly"/>
    <s v="Weekly"/>
    <n v="1"/>
  </r>
  <r>
    <x v="2853"/>
    <n v="37"/>
    <x v="1"/>
    <s v="Hat"/>
    <x v="3"/>
    <n v="48"/>
    <x v="38"/>
    <s v="M"/>
    <s v="Magenta"/>
    <s v="Winter"/>
    <n v="3.2"/>
    <s v="No"/>
    <s v="Next Day Air"/>
    <s v="No"/>
    <s v="No"/>
    <n v="9"/>
    <s v="PayPal"/>
    <s v="Weekly"/>
    <s v="Weekly"/>
    <n v="1"/>
  </r>
  <r>
    <x v="2854"/>
    <n v="36"/>
    <x v="1"/>
    <s v="Sandals"/>
    <x v="1"/>
    <n v="28"/>
    <x v="12"/>
    <s v="M"/>
    <s v="Beige"/>
    <s v="Fall"/>
    <n v="2.7"/>
    <s v="No"/>
    <s v="Store Pickup"/>
    <s v="No"/>
    <s v="No"/>
    <n v="25"/>
    <s v="Venmo"/>
    <s v="Monthly"/>
    <s v="Monthly"/>
    <n v="4"/>
  </r>
  <r>
    <x v="2855"/>
    <n v="29"/>
    <x v="1"/>
    <s v="Boots"/>
    <x v="1"/>
    <n v="95"/>
    <x v="16"/>
    <s v="S"/>
    <s v="Maroon"/>
    <s v="Winter"/>
    <n v="3.8"/>
    <s v="No"/>
    <s v="2-Day Shipping"/>
    <s v="No"/>
    <s v="No"/>
    <n v="33"/>
    <s v="PayPal"/>
    <s v="Quarterly"/>
    <s v="Quarterly"/>
    <n v="5"/>
  </r>
  <r>
    <x v="2856"/>
    <n v="65"/>
    <x v="1"/>
    <s v="Jacket"/>
    <x v="2"/>
    <n v="48"/>
    <x v="44"/>
    <s v="M"/>
    <s v="Indigo"/>
    <s v="Winter"/>
    <n v="3.5"/>
    <s v="No"/>
    <s v="2-Day Shipping"/>
    <s v="No"/>
    <s v="No"/>
    <n v="31"/>
    <s v="Credit Card"/>
    <s v="Monthly"/>
    <s v="Monthly"/>
    <n v="4"/>
  </r>
  <r>
    <x v="2857"/>
    <n v="44"/>
    <x v="1"/>
    <s v="Dress"/>
    <x v="0"/>
    <n v="93"/>
    <x v="40"/>
    <s v="S"/>
    <s v="Maroon"/>
    <s v="Spring"/>
    <n v="3.8"/>
    <s v="No"/>
    <s v="Next Day Air"/>
    <s v="No"/>
    <s v="No"/>
    <n v="35"/>
    <s v="Debit Card"/>
    <s v="Monthly"/>
    <s v="Monthly"/>
    <n v="4"/>
  </r>
  <r>
    <x v="2858"/>
    <n v="34"/>
    <x v="1"/>
    <s v="Jeans"/>
    <x v="0"/>
    <n v="87"/>
    <x v="33"/>
    <s v="L"/>
    <s v="Teal"/>
    <s v="Summer"/>
    <n v="3.8"/>
    <s v="No"/>
    <s v="2-Day Shipping"/>
    <s v="No"/>
    <s v="No"/>
    <n v="46"/>
    <s v="Bank Transfer"/>
    <s v="Monthly"/>
    <s v="Monthly"/>
    <n v="4"/>
  </r>
  <r>
    <x v="2859"/>
    <n v="31"/>
    <x v="1"/>
    <s v="Shorts"/>
    <x v="0"/>
    <n v="32"/>
    <x v="40"/>
    <s v="L"/>
    <s v="Yellow"/>
    <s v="Fall"/>
    <n v="3.4"/>
    <s v="No"/>
    <s v="Express"/>
    <s v="No"/>
    <s v="No"/>
    <n v="29"/>
    <s v="Bank Transfer"/>
    <s v="Annually"/>
    <s v="Annually"/>
    <n v="6"/>
  </r>
  <r>
    <x v="2860"/>
    <n v="28"/>
    <x v="1"/>
    <s v="Shirt"/>
    <x v="0"/>
    <n v="38"/>
    <x v="3"/>
    <s v="M"/>
    <s v="Gold"/>
    <s v="Spring"/>
    <n v="2.9"/>
    <s v="No"/>
    <s v="Next Day Air"/>
    <s v="No"/>
    <s v="No"/>
    <n v="49"/>
    <s v="Bank Transfer"/>
    <s v="Weekly"/>
    <s v="Weekly"/>
    <n v="1"/>
  </r>
  <r>
    <x v="2861"/>
    <n v="66"/>
    <x v="1"/>
    <s v="Coat"/>
    <x v="2"/>
    <n v="54"/>
    <x v="33"/>
    <s v="M"/>
    <s v="Teal"/>
    <s v="Fall"/>
    <n v="3.4"/>
    <s v="No"/>
    <s v="Free Shipping"/>
    <s v="No"/>
    <s v="No"/>
    <n v="27"/>
    <s v="Credit Card"/>
    <s v="Monthly"/>
    <s v="Monthly"/>
    <n v="4"/>
  </r>
  <r>
    <x v="2862"/>
    <n v="68"/>
    <x v="1"/>
    <s v="Coat"/>
    <x v="2"/>
    <n v="75"/>
    <x v="11"/>
    <s v="S"/>
    <s v="Violet"/>
    <s v="Summer"/>
    <n v="4.7"/>
    <s v="No"/>
    <s v="Store Pickup"/>
    <s v="No"/>
    <s v="No"/>
    <n v="5"/>
    <s v="Bank Transfer"/>
    <s v="Every 3 Months"/>
    <s v="Quarterly"/>
    <n v="5"/>
  </r>
  <r>
    <x v="2863"/>
    <n v="37"/>
    <x v="1"/>
    <s v="T-shirt"/>
    <x v="0"/>
    <n v="56"/>
    <x v="39"/>
    <s v="M"/>
    <s v="Yellow"/>
    <s v="Fall"/>
    <n v="3.9"/>
    <s v="No"/>
    <s v="2-Day Shipping"/>
    <s v="No"/>
    <s v="No"/>
    <n v="18"/>
    <s v="Venmo"/>
    <s v="Monthly"/>
    <s v="Monthly"/>
    <n v="4"/>
  </r>
  <r>
    <x v="2864"/>
    <n v="58"/>
    <x v="1"/>
    <s v="Sweater"/>
    <x v="0"/>
    <n v="43"/>
    <x v="26"/>
    <s v="S"/>
    <s v="Maroon"/>
    <s v="Fall"/>
    <n v="3.6"/>
    <s v="No"/>
    <s v="Store Pickup"/>
    <s v="No"/>
    <s v="No"/>
    <n v="31"/>
    <s v="Venmo"/>
    <s v="Weekly"/>
    <s v="Weekly"/>
    <n v="1"/>
  </r>
  <r>
    <x v="2865"/>
    <n v="28"/>
    <x v="1"/>
    <s v="Skirt"/>
    <x v="0"/>
    <n v="97"/>
    <x v="18"/>
    <s v="M"/>
    <s v="Silver"/>
    <s v="Fall"/>
    <n v="3.7"/>
    <s v="No"/>
    <s v="Free Shipping"/>
    <s v="No"/>
    <s v="No"/>
    <n v="27"/>
    <s v="Cash"/>
    <s v="Fortnightly"/>
    <s v="Fortnightly"/>
    <n v="3"/>
  </r>
  <r>
    <x v="2866"/>
    <n v="54"/>
    <x v="1"/>
    <s v="Blouse"/>
    <x v="0"/>
    <n v="75"/>
    <x v="39"/>
    <s v="S"/>
    <s v="Violet"/>
    <s v="Summer"/>
    <n v="3.1"/>
    <s v="No"/>
    <s v="Free Shipping"/>
    <s v="No"/>
    <s v="No"/>
    <n v="19"/>
    <s v="Cash"/>
    <s v="Annually"/>
    <s v="Annually"/>
    <n v="6"/>
  </r>
  <r>
    <x v="2867"/>
    <n v="21"/>
    <x v="1"/>
    <s v="Sneakers"/>
    <x v="1"/>
    <n v="55"/>
    <x v="24"/>
    <s v="L"/>
    <s v="White"/>
    <s v="Summer"/>
    <n v="4.9000000000000004"/>
    <s v="No"/>
    <s v="Next Day Air"/>
    <s v="No"/>
    <s v="No"/>
    <n v="33"/>
    <s v="Cash"/>
    <s v="Fortnightly"/>
    <s v="Fortnightly"/>
    <n v="3"/>
  </r>
  <r>
    <x v="2868"/>
    <n v="45"/>
    <x v="1"/>
    <s v="Backpack"/>
    <x v="3"/>
    <n v="49"/>
    <x v="24"/>
    <s v="M"/>
    <s v="Black"/>
    <s v="Winter"/>
    <n v="2.6"/>
    <s v="No"/>
    <s v="Next Day Air"/>
    <s v="No"/>
    <s v="No"/>
    <n v="42"/>
    <s v="PayPal"/>
    <s v="Every 3 Months"/>
    <s v="Quarterly"/>
    <n v="5"/>
  </r>
  <r>
    <x v="2869"/>
    <n v="57"/>
    <x v="1"/>
    <s v="Socks"/>
    <x v="0"/>
    <n v="58"/>
    <x v="42"/>
    <s v="M"/>
    <s v="White"/>
    <s v="Summer"/>
    <n v="4.2"/>
    <s v="No"/>
    <s v="Standard"/>
    <s v="No"/>
    <s v="No"/>
    <n v="16"/>
    <s v="Bank Transfer"/>
    <s v="Weekly"/>
    <s v="Weekly"/>
    <n v="1"/>
  </r>
  <r>
    <x v="2870"/>
    <n v="47"/>
    <x v="1"/>
    <s v="Jewelry"/>
    <x v="3"/>
    <n v="34"/>
    <x v="25"/>
    <s v="M"/>
    <s v="Blue"/>
    <s v="Winter"/>
    <n v="4.8"/>
    <s v="No"/>
    <s v="Free Shipping"/>
    <s v="No"/>
    <s v="No"/>
    <n v="49"/>
    <s v="Debit Card"/>
    <s v="Every 3 Months"/>
    <s v="Quarterly"/>
    <n v="5"/>
  </r>
  <r>
    <x v="2871"/>
    <n v="46"/>
    <x v="1"/>
    <s v="Shorts"/>
    <x v="0"/>
    <n v="43"/>
    <x v="37"/>
    <s v="S"/>
    <s v="Black"/>
    <s v="Summer"/>
    <n v="2.7"/>
    <s v="No"/>
    <s v="2-Day Shipping"/>
    <s v="No"/>
    <s v="No"/>
    <n v="40"/>
    <s v="Venmo"/>
    <s v="Bi-Weekly"/>
    <s v="Bi-Weekly"/>
    <n v="2"/>
  </r>
  <r>
    <x v="2872"/>
    <n v="63"/>
    <x v="1"/>
    <s v="Jewelry"/>
    <x v="3"/>
    <n v="48"/>
    <x v="39"/>
    <s v="L"/>
    <s v="Olive"/>
    <s v="Fall"/>
    <n v="2.6"/>
    <s v="No"/>
    <s v="Next Day Air"/>
    <s v="No"/>
    <s v="No"/>
    <n v="5"/>
    <s v="Cash"/>
    <s v="Annually"/>
    <s v="Annually"/>
    <n v="6"/>
  </r>
  <r>
    <x v="2873"/>
    <n v="44"/>
    <x v="1"/>
    <s v="Sweater"/>
    <x v="0"/>
    <n v="40"/>
    <x v="6"/>
    <s v="M"/>
    <s v="Teal"/>
    <s v="Spring"/>
    <n v="2.6"/>
    <s v="No"/>
    <s v="Free Shipping"/>
    <s v="No"/>
    <s v="No"/>
    <n v="8"/>
    <s v="Bank Transfer"/>
    <s v="Monthly"/>
    <s v="Monthly"/>
    <n v="4"/>
  </r>
  <r>
    <x v="2874"/>
    <n v="36"/>
    <x v="1"/>
    <s v="Shirt"/>
    <x v="0"/>
    <n v="29"/>
    <x v="24"/>
    <s v="L"/>
    <s v="Silver"/>
    <s v="Summer"/>
    <n v="3.1"/>
    <s v="No"/>
    <s v="Standard"/>
    <s v="No"/>
    <s v="No"/>
    <n v="2"/>
    <s v="Debit Card"/>
    <s v="Annually"/>
    <s v="Annually"/>
    <n v="6"/>
  </r>
  <r>
    <x v="2875"/>
    <n v="24"/>
    <x v="1"/>
    <s v="Pants"/>
    <x v="0"/>
    <n v="81"/>
    <x v="0"/>
    <s v="M"/>
    <s v="Pink"/>
    <s v="Fall"/>
    <n v="2.6"/>
    <s v="No"/>
    <s v="Free Shipping"/>
    <s v="No"/>
    <s v="No"/>
    <n v="14"/>
    <s v="Debit Card"/>
    <s v="Weekly"/>
    <s v="Weekly"/>
    <n v="1"/>
  </r>
  <r>
    <x v="2876"/>
    <n v="65"/>
    <x v="1"/>
    <s v="Hoodie"/>
    <x v="0"/>
    <n v="84"/>
    <x v="35"/>
    <s v="M"/>
    <s v="Charcoal"/>
    <s v="Spring"/>
    <n v="3.4"/>
    <s v="No"/>
    <s v="2-Day Shipping"/>
    <s v="No"/>
    <s v="No"/>
    <n v="5"/>
    <s v="Bank Transfer"/>
    <s v="Fortnightly"/>
    <s v="Fortnightly"/>
    <n v="3"/>
  </r>
  <r>
    <x v="2877"/>
    <n v="32"/>
    <x v="1"/>
    <s v="Socks"/>
    <x v="0"/>
    <n v="46"/>
    <x v="32"/>
    <s v="M"/>
    <s v="Silver"/>
    <s v="Summer"/>
    <n v="3.6"/>
    <s v="No"/>
    <s v="Standard"/>
    <s v="No"/>
    <s v="No"/>
    <n v="34"/>
    <s v="Venmo"/>
    <s v="Monthly"/>
    <s v="Monthly"/>
    <n v="4"/>
  </r>
  <r>
    <x v="2878"/>
    <n v="63"/>
    <x v="1"/>
    <s v="Dress"/>
    <x v="0"/>
    <n v="86"/>
    <x v="18"/>
    <s v="L"/>
    <s v="Turquoise"/>
    <s v="Summer"/>
    <n v="4.3"/>
    <s v="No"/>
    <s v="Next Day Air"/>
    <s v="No"/>
    <s v="No"/>
    <n v="13"/>
    <s v="Bank Transfer"/>
    <s v="Annually"/>
    <s v="Annually"/>
    <n v="6"/>
  </r>
  <r>
    <x v="2879"/>
    <n v="62"/>
    <x v="1"/>
    <s v="Blouse"/>
    <x v="0"/>
    <n v="57"/>
    <x v="25"/>
    <s v="XL"/>
    <s v="Turquoise"/>
    <s v="Winter"/>
    <n v="4.9000000000000004"/>
    <s v="No"/>
    <s v="Free Shipping"/>
    <s v="No"/>
    <s v="No"/>
    <n v="31"/>
    <s v="Venmo"/>
    <s v="Annually"/>
    <s v="Annually"/>
    <n v="6"/>
  </r>
  <r>
    <x v="2880"/>
    <n v="19"/>
    <x v="1"/>
    <s v="Skirt"/>
    <x v="0"/>
    <n v="61"/>
    <x v="20"/>
    <s v="L"/>
    <s v="Beige"/>
    <s v="Winter"/>
    <n v="4.8"/>
    <s v="No"/>
    <s v="Store Pickup"/>
    <s v="No"/>
    <s v="No"/>
    <n v="43"/>
    <s v="PayPal"/>
    <s v="Quarterly"/>
    <s v="Quarterly"/>
    <n v="5"/>
  </r>
  <r>
    <x v="2881"/>
    <n v="38"/>
    <x v="1"/>
    <s v="Backpack"/>
    <x v="3"/>
    <n v="90"/>
    <x v="21"/>
    <s v="M"/>
    <s v="Cyan"/>
    <s v="Winter"/>
    <n v="4.2"/>
    <s v="No"/>
    <s v="Free Shipping"/>
    <s v="No"/>
    <s v="No"/>
    <n v="6"/>
    <s v="Bank Transfer"/>
    <s v="Annually"/>
    <s v="Annually"/>
    <n v="6"/>
  </r>
  <r>
    <x v="2882"/>
    <n v="59"/>
    <x v="1"/>
    <s v="Blouse"/>
    <x v="0"/>
    <n v="51"/>
    <x v="19"/>
    <s v="L"/>
    <s v="Gold"/>
    <s v="Winter"/>
    <n v="2.6"/>
    <s v="No"/>
    <s v="Store Pickup"/>
    <s v="No"/>
    <s v="No"/>
    <n v="23"/>
    <s v="Credit Card"/>
    <s v="Bi-Weekly"/>
    <s v="Bi-Weekly"/>
    <n v="2"/>
  </r>
  <r>
    <x v="2883"/>
    <n v="22"/>
    <x v="1"/>
    <s v="Socks"/>
    <x v="0"/>
    <n v="48"/>
    <x v="3"/>
    <s v="XL"/>
    <s v="Silver"/>
    <s v="Spring"/>
    <n v="3.2"/>
    <s v="No"/>
    <s v="Standard"/>
    <s v="No"/>
    <s v="No"/>
    <n v="10"/>
    <s v="PayPal"/>
    <s v="Weekly"/>
    <s v="Weekly"/>
    <n v="1"/>
  </r>
  <r>
    <x v="2884"/>
    <n v="55"/>
    <x v="1"/>
    <s v="Boots"/>
    <x v="1"/>
    <n v="50"/>
    <x v="10"/>
    <s v="M"/>
    <s v="Purple"/>
    <s v="Summer"/>
    <n v="3.4"/>
    <s v="No"/>
    <s v="2-Day Shipping"/>
    <s v="No"/>
    <s v="No"/>
    <n v="47"/>
    <s v="Credit Card"/>
    <s v="Every 3 Months"/>
    <s v="Quarterly"/>
    <n v="5"/>
  </r>
  <r>
    <x v="2885"/>
    <n v="29"/>
    <x v="1"/>
    <s v="Backpack"/>
    <x v="3"/>
    <n v="82"/>
    <x v="22"/>
    <s v="M"/>
    <s v="Yellow"/>
    <s v="Summer"/>
    <n v="3.5"/>
    <s v="No"/>
    <s v="Next Day Air"/>
    <s v="No"/>
    <s v="No"/>
    <n v="14"/>
    <s v="Credit Card"/>
    <s v="Bi-Weekly"/>
    <s v="Bi-Weekly"/>
    <n v="2"/>
  </r>
  <r>
    <x v="2886"/>
    <n v="42"/>
    <x v="1"/>
    <s v="Hat"/>
    <x v="3"/>
    <n v="33"/>
    <x v="40"/>
    <s v="L"/>
    <s v="Blue"/>
    <s v="Spring"/>
    <n v="4.2"/>
    <s v="No"/>
    <s v="Free Shipping"/>
    <s v="No"/>
    <s v="No"/>
    <n v="29"/>
    <s v="PayPal"/>
    <s v="Weekly"/>
    <s v="Weekly"/>
    <n v="1"/>
  </r>
  <r>
    <x v="2887"/>
    <n v="23"/>
    <x v="1"/>
    <s v="Sandals"/>
    <x v="1"/>
    <n v="28"/>
    <x v="0"/>
    <s v="L"/>
    <s v="Blue"/>
    <s v="Winter"/>
    <n v="2.8"/>
    <s v="No"/>
    <s v="Express"/>
    <s v="No"/>
    <s v="No"/>
    <n v="12"/>
    <s v="Cash"/>
    <s v="Bi-Weekly"/>
    <s v="Bi-Weekly"/>
    <n v="2"/>
  </r>
  <r>
    <x v="2888"/>
    <n v="70"/>
    <x v="1"/>
    <s v="Hoodie"/>
    <x v="0"/>
    <n v="42"/>
    <x v="48"/>
    <s v="L"/>
    <s v="Green"/>
    <s v="Spring"/>
    <n v="5"/>
    <s v="No"/>
    <s v="2-Day Shipping"/>
    <s v="No"/>
    <s v="No"/>
    <n v="25"/>
    <s v="Debit Card"/>
    <s v="Quarterly"/>
    <s v="Quarterly"/>
    <n v="5"/>
  </r>
  <r>
    <x v="2889"/>
    <n v="64"/>
    <x v="1"/>
    <s v="Sunglasses"/>
    <x v="3"/>
    <n v="43"/>
    <x v="46"/>
    <s v="M"/>
    <s v="Charcoal"/>
    <s v="Fall"/>
    <n v="3.3"/>
    <s v="No"/>
    <s v="Store Pickup"/>
    <s v="No"/>
    <s v="No"/>
    <n v="21"/>
    <s v="Venmo"/>
    <s v="Annually"/>
    <s v="Annually"/>
    <n v="6"/>
  </r>
  <r>
    <x v="2890"/>
    <n v="39"/>
    <x v="1"/>
    <s v="Jeans"/>
    <x v="0"/>
    <n v="55"/>
    <x v="25"/>
    <s v="M"/>
    <s v="Violet"/>
    <s v="Winter"/>
    <n v="3.7"/>
    <s v="No"/>
    <s v="Free Shipping"/>
    <s v="No"/>
    <s v="No"/>
    <n v="23"/>
    <s v="Credit Card"/>
    <s v="Monthly"/>
    <s v="Monthly"/>
    <n v="4"/>
  </r>
  <r>
    <x v="2891"/>
    <n v="47"/>
    <x v="1"/>
    <s v="T-shirt"/>
    <x v="0"/>
    <n v="73"/>
    <x v="31"/>
    <s v="XL"/>
    <s v="Black"/>
    <s v="Winter"/>
    <n v="2.5"/>
    <s v="No"/>
    <s v="Free Shipping"/>
    <s v="No"/>
    <s v="No"/>
    <n v="10"/>
    <s v="PayPal"/>
    <s v="Monthly"/>
    <s v="Monthly"/>
    <n v="4"/>
  </r>
  <r>
    <x v="2892"/>
    <n v="22"/>
    <x v="1"/>
    <s v="Dress"/>
    <x v="0"/>
    <n v="39"/>
    <x v="22"/>
    <s v="M"/>
    <s v="Teal"/>
    <s v="Spring"/>
    <n v="3.2"/>
    <s v="No"/>
    <s v="Standard"/>
    <s v="No"/>
    <s v="No"/>
    <n v="47"/>
    <s v="Credit Card"/>
    <s v="Monthly"/>
    <s v="Monthly"/>
    <n v="4"/>
  </r>
  <r>
    <x v="2893"/>
    <n v="69"/>
    <x v="1"/>
    <s v="Belt"/>
    <x v="3"/>
    <n v="20"/>
    <x v="0"/>
    <s v="S"/>
    <s v="Orange"/>
    <s v="Spring"/>
    <n v="3.1"/>
    <s v="No"/>
    <s v="Free Shipping"/>
    <s v="No"/>
    <s v="No"/>
    <n v="44"/>
    <s v="Debit Card"/>
    <s v="Every 3 Months"/>
    <s v="Quarterly"/>
    <n v="5"/>
  </r>
  <r>
    <x v="2894"/>
    <n v="35"/>
    <x v="1"/>
    <s v="Jewelry"/>
    <x v="3"/>
    <n v="32"/>
    <x v="0"/>
    <s v="S"/>
    <s v="Brown"/>
    <s v="Spring"/>
    <n v="3.5"/>
    <s v="No"/>
    <s v="Standard"/>
    <s v="No"/>
    <s v="No"/>
    <n v="41"/>
    <s v="Venmo"/>
    <s v="Annually"/>
    <s v="Annually"/>
    <n v="6"/>
  </r>
  <r>
    <x v="2895"/>
    <n v="56"/>
    <x v="1"/>
    <s v="Hoodie"/>
    <x v="0"/>
    <n v="86"/>
    <x v="6"/>
    <s v="L"/>
    <s v="Green"/>
    <s v="Summer"/>
    <n v="4.5999999999999996"/>
    <s v="No"/>
    <s v="Standard"/>
    <s v="No"/>
    <s v="No"/>
    <n v="29"/>
    <s v="Bank Transfer"/>
    <s v="Monthly"/>
    <s v="Monthly"/>
    <n v="4"/>
  </r>
  <r>
    <x v="2896"/>
    <n v="30"/>
    <x v="1"/>
    <s v="Blouse"/>
    <x v="0"/>
    <n v="91"/>
    <x v="12"/>
    <s v="M"/>
    <s v="Silver"/>
    <s v="Summer"/>
    <n v="3.3"/>
    <s v="No"/>
    <s v="Free Shipping"/>
    <s v="No"/>
    <s v="No"/>
    <n v="2"/>
    <s v="Venmo"/>
    <s v="Every 3 Months"/>
    <s v="Quarterly"/>
    <n v="5"/>
  </r>
  <r>
    <x v="2897"/>
    <n v="43"/>
    <x v="1"/>
    <s v="Jacket"/>
    <x v="2"/>
    <n v="59"/>
    <x v="6"/>
    <s v="L"/>
    <s v="Violet"/>
    <s v="Fall"/>
    <n v="2.5"/>
    <s v="No"/>
    <s v="Free Shipping"/>
    <s v="No"/>
    <s v="No"/>
    <n v="2"/>
    <s v="Cash"/>
    <s v="Fortnightly"/>
    <s v="Fortnightly"/>
    <n v="3"/>
  </r>
  <r>
    <x v="2898"/>
    <n v="23"/>
    <x v="1"/>
    <s v="Sneakers"/>
    <x v="1"/>
    <n v="33"/>
    <x v="32"/>
    <s v="XL"/>
    <s v="Peach"/>
    <s v="Summer"/>
    <n v="4.5999999999999996"/>
    <s v="No"/>
    <s v="Express"/>
    <s v="No"/>
    <s v="No"/>
    <n v="29"/>
    <s v="Credit Card"/>
    <s v="Annually"/>
    <s v="Annually"/>
    <n v="6"/>
  </r>
  <r>
    <x v="2899"/>
    <n v="50"/>
    <x v="1"/>
    <s v="Boots"/>
    <x v="1"/>
    <n v="64"/>
    <x v="43"/>
    <s v="M"/>
    <s v="Gold"/>
    <s v="Spring"/>
    <n v="4.2"/>
    <s v="No"/>
    <s v="2-Day Shipping"/>
    <s v="No"/>
    <s v="No"/>
    <n v="22"/>
    <s v="Bank Transfer"/>
    <s v="Fortnightly"/>
    <s v="Fortnightly"/>
    <n v="3"/>
  </r>
  <r>
    <x v="2900"/>
    <n v="41"/>
    <x v="1"/>
    <s v="Blouse"/>
    <x v="0"/>
    <n v="67"/>
    <x v="33"/>
    <s v="XL"/>
    <s v="Violet"/>
    <s v="Winter"/>
    <n v="4"/>
    <s v="No"/>
    <s v="Standard"/>
    <s v="No"/>
    <s v="No"/>
    <n v="23"/>
    <s v="Cash"/>
    <s v="Bi-Weekly"/>
    <s v="Bi-Weekly"/>
    <n v="2"/>
  </r>
  <r>
    <x v="2901"/>
    <n v="41"/>
    <x v="1"/>
    <s v="Blouse"/>
    <x v="0"/>
    <n v="43"/>
    <x v="15"/>
    <s v="L"/>
    <s v="Olive"/>
    <s v="Winter"/>
    <n v="2.6"/>
    <s v="No"/>
    <s v="Free Shipping"/>
    <s v="No"/>
    <s v="No"/>
    <n v="46"/>
    <s v="Credit Card"/>
    <s v="Quarterly"/>
    <s v="Quarterly"/>
    <n v="5"/>
  </r>
  <r>
    <x v="2902"/>
    <n v="27"/>
    <x v="1"/>
    <s v="Boots"/>
    <x v="1"/>
    <n v="32"/>
    <x v="17"/>
    <s v="S"/>
    <s v="Orange"/>
    <s v="Spring"/>
    <n v="4.5999999999999996"/>
    <s v="No"/>
    <s v="Standard"/>
    <s v="No"/>
    <s v="No"/>
    <n v="19"/>
    <s v="PayPal"/>
    <s v="Bi-Weekly"/>
    <s v="Bi-Weekly"/>
    <n v="2"/>
  </r>
  <r>
    <x v="2903"/>
    <n v="38"/>
    <x v="1"/>
    <s v="Scarf"/>
    <x v="3"/>
    <n v="39"/>
    <x v="12"/>
    <s v="S"/>
    <s v="Teal"/>
    <s v="Spring"/>
    <n v="3.5"/>
    <s v="No"/>
    <s v="2-Day Shipping"/>
    <s v="No"/>
    <s v="No"/>
    <n v="24"/>
    <s v="Credit Card"/>
    <s v="Every 3 Months"/>
    <s v="Quarterly"/>
    <n v="5"/>
  </r>
  <r>
    <x v="2904"/>
    <n v="41"/>
    <x v="1"/>
    <s v="Sandals"/>
    <x v="1"/>
    <n v="41"/>
    <x v="44"/>
    <s v="M"/>
    <s v="Gray"/>
    <s v="Spring"/>
    <n v="4"/>
    <s v="No"/>
    <s v="2-Day Shipping"/>
    <s v="No"/>
    <s v="No"/>
    <n v="43"/>
    <s v="Venmo"/>
    <s v="Monthly"/>
    <s v="Monthly"/>
    <n v="4"/>
  </r>
  <r>
    <x v="2905"/>
    <n v="58"/>
    <x v="1"/>
    <s v="Sunglasses"/>
    <x v="3"/>
    <n v="53"/>
    <x v="14"/>
    <s v="L"/>
    <s v="Black"/>
    <s v="Winter"/>
    <n v="4.8"/>
    <s v="No"/>
    <s v="Standard"/>
    <s v="No"/>
    <s v="No"/>
    <n v="14"/>
    <s v="Debit Card"/>
    <s v="Fortnightly"/>
    <s v="Fortnightly"/>
    <n v="3"/>
  </r>
  <r>
    <x v="2906"/>
    <n v="58"/>
    <x v="1"/>
    <s v="Coat"/>
    <x v="2"/>
    <n v="27"/>
    <x v="41"/>
    <s v="M"/>
    <s v="Indigo"/>
    <s v="Spring"/>
    <n v="3.9"/>
    <s v="No"/>
    <s v="Standard"/>
    <s v="No"/>
    <s v="No"/>
    <n v="7"/>
    <s v="Venmo"/>
    <s v="Annually"/>
    <s v="Annually"/>
    <n v="6"/>
  </r>
  <r>
    <x v="2907"/>
    <n v="19"/>
    <x v="1"/>
    <s v="Sunglasses"/>
    <x v="3"/>
    <n v="82"/>
    <x v="33"/>
    <s v="XL"/>
    <s v="Lavender"/>
    <s v="Summer"/>
    <n v="3.7"/>
    <s v="No"/>
    <s v="Next Day Air"/>
    <s v="No"/>
    <s v="No"/>
    <n v="50"/>
    <s v="PayPal"/>
    <s v="Bi-Weekly"/>
    <s v="Bi-Weekly"/>
    <n v="2"/>
  </r>
  <r>
    <x v="2908"/>
    <n v="43"/>
    <x v="1"/>
    <s v="Blouse"/>
    <x v="0"/>
    <n v="87"/>
    <x v="21"/>
    <s v="M"/>
    <s v="Beige"/>
    <s v="Winter"/>
    <n v="3.1"/>
    <s v="No"/>
    <s v="Store Pickup"/>
    <s v="No"/>
    <s v="No"/>
    <n v="15"/>
    <s v="Debit Card"/>
    <s v="Every 3 Months"/>
    <s v="Quarterly"/>
    <n v="5"/>
  </r>
  <r>
    <x v="2909"/>
    <n v="27"/>
    <x v="1"/>
    <s v="Backpack"/>
    <x v="3"/>
    <n v="78"/>
    <x v="7"/>
    <s v="M"/>
    <s v="Indigo"/>
    <s v="Winter"/>
    <n v="3"/>
    <s v="No"/>
    <s v="Next Day Air"/>
    <s v="No"/>
    <s v="No"/>
    <n v="40"/>
    <s v="Credit Card"/>
    <s v="Every 3 Months"/>
    <s v="Quarterly"/>
    <n v="5"/>
  </r>
  <r>
    <x v="2910"/>
    <n v="32"/>
    <x v="1"/>
    <s v="Belt"/>
    <x v="3"/>
    <n v="32"/>
    <x v="16"/>
    <s v="M"/>
    <s v="Blue"/>
    <s v="Summer"/>
    <n v="2.9"/>
    <s v="No"/>
    <s v="Store Pickup"/>
    <s v="No"/>
    <s v="No"/>
    <n v="41"/>
    <s v="Credit Card"/>
    <s v="Monthly"/>
    <s v="Monthly"/>
    <n v="4"/>
  </r>
  <r>
    <x v="2911"/>
    <n v="28"/>
    <x v="1"/>
    <s v="Socks"/>
    <x v="0"/>
    <n v="38"/>
    <x v="31"/>
    <s v="XL"/>
    <s v="Orange"/>
    <s v="Fall"/>
    <n v="2.9"/>
    <s v="No"/>
    <s v="Next Day Air"/>
    <s v="No"/>
    <s v="No"/>
    <n v="34"/>
    <s v="Venmo"/>
    <s v="Quarterly"/>
    <s v="Quarterly"/>
    <n v="5"/>
  </r>
  <r>
    <x v="2912"/>
    <n v="48"/>
    <x v="1"/>
    <s v="Shoes"/>
    <x v="1"/>
    <n v="37"/>
    <x v="4"/>
    <s v="M"/>
    <s v="Yellow"/>
    <s v="Winter"/>
    <n v="4"/>
    <s v="No"/>
    <s v="Standard"/>
    <s v="No"/>
    <s v="No"/>
    <n v="27"/>
    <s v="Cash"/>
    <s v="Bi-Weekly"/>
    <s v="Bi-Weekly"/>
    <n v="2"/>
  </r>
  <r>
    <x v="2913"/>
    <n v="43"/>
    <x v="1"/>
    <s v="Coat"/>
    <x v="2"/>
    <n v="83"/>
    <x v="5"/>
    <s v="L"/>
    <s v="Cyan"/>
    <s v="Winter"/>
    <n v="3.5"/>
    <s v="No"/>
    <s v="Express"/>
    <s v="No"/>
    <s v="No"/>
    <n v="12"/>
    <s v="Cash"/>
    <s v="Every 3 Months"/>
    <s v="Quarterly"/>
    <n v="5"/>
  </r>
  <r>
    <x v="2914"/>
    <n v="45"/>
    <x v="1"/>
    <s v="Sweater"/>
    <x v="0"/>
    <n v="72"/>
    <x v="38"/>
    <s v="M"/>
    <s v="Yellow"/>
    <s v="Fall"/>
    <n v="3.8"/>
    <s v="No"/>
    <s v="Express"/>
    <s v="No"/>
    <s v="No"/>
    <n v="1"/>
    <s v="Debit Card"/>
    <s v="Bi-Weekly"/>
    <s v="Bi-Weekly"/>
    <n v="2"/>
  </r>
  <r>
    <x v="2915"/>
    <n v="26"/>
    <x v="1"/>
    <s v="Shirt"/>
    <x v="0"/>
    <n v="30"/>
    <x v="4"/>
    <s v="M"/>
    <s v="Cyan"/>
    <s v="Fall"/>
    <n v="4.5"/>
    <s v="No"/>
    <s v="Express"/>
    <s v="No"/>
    <s v="No"/>
    <n v="39"/>
    <s v="Debit Card"/>
    <s v="Bi-Weekly"/>
    <s v="Bi-Weekly"/>
    <n v="2"/>
  </r>
  <r>
    <x v="2916"/>
    <n v="62"/>
    <x v="1"/>
    <s v="Shorts"/>
    <x v="0"/>
    <n v="66"/>
    <x v="19"/>
    <s v="M"/>
    <s v="Green"/>
    <s v="Winter"/>
    <n v="2.7"/>
    <s v="No"/>
    <s v="Express"/>
    <s v="No"/>
    <s v="No"/>
    <n v="13"/>
    <s v="Credit Card"/>
    <s v="Bi-Weekly"/>
    <s v="Bi-Weekly"/>
    <n v="2"/>
  </r>
  <r>
    <x v="2917"/>
    <n v="58"/>
    <x v="1"/>
    <s v="Shirt"/>
    <x v="0"/>
    <n v="45"/>
    <x v="24"/>
    <s v="XL"/>
    <s v="White"/>
    <s v="Winter"/>
    <n v="2.9"/>
    <s v="No"/>
    <s v="Store Pickup"/>
    <s v="No"/>
    <s v="No"/>
    <n v="50"/>
    <s v="Venmo"/>
    <s v="Annually"/>
    <s v="Annually"/>
    <n v="6"/>
  </r>
  <r>
    <x v="2918"/>
    <n v="19"/>
    <x v="1"/>
    <s v="Sunglasses"/>
    <x v="3"/>
    <n v="73"/>
    <x v="14"/>
    <s v="S"/>
    <s v="Black"/>
    <s v="Fall"/>
    <n v="4.9000000000000004"/>
    <s v="No"/>
    <s v="Free Shipping"/>
    <s v="No"/>
    <s v="No"/>
    <n v="36"/>
    <s v="Cash"/>
    <s v="Weekly"/>
    <s v="Weekly"/>
    <n v="1"/>
  </r>
  <r>
    <x v="2919"/>
    <n v="64"/>
    <x v="1"/>
    <s v="Shoes"/>
    <x v="1"/>
    <n v="67"/>
    <x v="46"/>
    <s v="L"/>
    <s v="Charcoal"/>
    <s v="Winter"/>
    <n v="3.8"/>
    <s v="No"/>
    <s v="Standard"/>
    <s v="No"/>
    <s v="No"/>
    <n v="31"/>
    <s v="Debit Card"/>
    <s v="Monthly"/>
    <s v="Monthly"/>
    <n v="4"/>
  </r>
  <r>
    <x v="2920"/>
    <n v="33"/>
    <x v="1"/>
    <s v="Sunglasses"/>
    <x v="3"/>
    <n v="72"/>
    <x v="21"/>
    <s v="XL"/>
    <s v="Brown"/>
    <s v="Spring"/>
    <n v="4.9000000000000004"/>
    <s v="No"/>
    <s v="Free Shipping"/>
    <s v="No"/>
    <s v="No"/>
    <n v="3"/>
    <s v="Debit Card"/>
    <s v="Bi-Weekly"/>
    <s v="Bi-Weekly"/>
    <n v="2"/>
  </r>
  <r>
    <x v="2921"/>
    <n v="20"/>
    <x v="1"/>
    <s v="Handbag"/>
    <x v="3"/>
    <n v="24"/>
    <x v="48"/>
    <s v="M"/>
    <s v="Cyan"/>
    <s v="Fall"/>
    <n v="4.5999999999999996"/>
    <s v="No"/>
    <s v="Standard"/>
    <s v="No"/>
    <s v="No"/>
    <n v="11"/>
    <s v="Cash"/>
    <s v="Fortnightly"/>
    <s v="Fortnightly"/>
    <n v="3"/>
  </r>
  <r>
    <x v="2922"/>
    <n v="45"/>
    <x v="1"/>
    <s v="Sunglasses"/>
    <x v="3"/>
    <n v="68"/>
    <x v="0"/>
    <s v="L"/>
    <s v="Beige"/>
    <s v="Winter"/>
    <n v="3.5"/>
    <s v="No"/>
    <s v="Express"/>
    <s v="No"/>
    <s v="No"/>
    <n v="16"/>
    <s v="PayPal"/>
    <s v="Quarterly"/>
    <s v="Quarterly"/>
    <n v="5"/>
  </r>
  <r>
    <x v="2923"/>
    <n v="28"/>
    <x v="1"/>
    <s v="Shirt"/>
    <x v="0"/>
    <n v="70"/>
    <x v="38"/>
    <s v="M"/>
    <s v="Magenta"/>
    <s v="Spring"/>
    <n v="4.2"/>
    <s v="No"/>
    <s v="2-Day Shipping"/>
    <s v="No"/>
    <s v="No"/>
    <n v="12"/>
    <s v="Cash"/>
    <s v="Quarterly"/>
    <s v="Quarterly"/>
    <n v="5"/>
  </r>
  <r>
    <x v="2924"/>
    <n v="47"/>
    <x v="1"/>
    <s v="Shirt"/>
    <x v="0"/>
    <n v="64"/>
    <x v="3"/>
    <s v="L"/>
    <s v="Indigo"/>
    <s v="Winter"/>
    <n v="3.7"/>
    <s v="No"/>
    <s v="Free Shipping"/>
    <s v="No"/>
    <s v="No"/>
    <n v="37"/>
    <s v="Debit Card"/>
    <s v="Every 3 Months"/>
    <s v="Quarterly"/>
    <n v="5"/>
  </r>
  <r>
    <x v="2925"/>
    <n v="54"/>
    <x v="1"/>
    <s v="Sweater"/>
    <x v="0"/>
    <n v="91"/>
    <x v="26"/>
    <s v="M"/>
    <s v="Maroon"/>
    <s v="Spring"/>
    <n v="2.8"/>
    <s v="No"/>
    <s v="Store Pickup"/>
    <s v="No"/>
    <s v="No"/>
    <n v="43"/>
    <s v="Credit Card"/>
    <s v="Every 3 Months"/>
    <s v="Quarterly"/>
    <n v="5"/>
  </r>
  <r>
    <x v="2926"/>
    <n v="64"/>
    <x v="1"/>
    <s v="Handbag"/>
    <x v="3"/>
    <n v="82"/>
    <x v="33"/>
    <s v="M"/>
    <s v="Gray"/>
    <s v="Winter"/>
    <n v="4.8"/>
    <s v="No"/>
    <s v="2-Day Shipping"/>
    <s v="No"/>
    <s v="No"/>
    <n v="9"/>
    <s v="Cash"/>
    <s v="Weekly"/>
    <s v="Weekly"/>
    <n v="1"/>
  </r>
  <r>
    <x v="2927"/>
    <n v="45"/>
    <x v="1"/>
    <s v="Shirt"/>
    <x v="0"/>
    <n v="24"/>
    <x v="9"/>
    <s v="M"/>
    <s v="Black"/>
    <s v="Summer"/>
    <n v="2.7"/>
    <s v="No"/>
    <s v="Express"/>
    <s v="No"/>
    <s v="No"/>
    <n v="15"/>
    <s v="Venmo"/>
    <s v="Bi-Weekly"/>
    <s v="Bi-Weekly"/>
    <n v="2"/>
  </r>
  <r>
    <x v="2928"/>
    <n v="40"/>
    <x v="1"/>
    <s v="Jewelry"/>
    <x v="3"/>
    <n v="80"/>
    <x v="15"/>
    <s v="L"/>
    <s v="Yellow"/>
    <s v="Spring"/>
    <n v="3.6"/>
    <s v="No"/>
    <s v="Store Pickup"/>
    <s v="No"/>
    <s v="No"/>
    <n v="17"/>
    <s v="Credit Card"/>
    <s v="Weekly"/>
    <s v="Weekly"/>
    <n v="1"/>
  </r>
  <r>
    <x v="2929"/>
    <n v="31"/>
    <x v="1"/>
    <s v="Socks"/>
    <x v="0"/>
    <n v="53"/>
    <x v="1"/>
    <s v="XL"/>
    <s v="White"/>
    <s v="Winter"/>
    <n v="4.5"/>
    <s v="No"/>
    <s v="Next Day Air"/>
    <s v="No"/>
    <s v="No"/>
    <n v="42"/>
    <s v="Venmo"/>
    <s v="Fortnightly"/>
    <s v="Fortnightly"/>
    <n v="3"/>
  </r>
  <r>
    <x v="2930"/>
    <n v="38"/>
    <x v="1"/>
    <s v="T-shirt"/>
    <x v="0"/>
    <n v="50"/>
    <x v="16"/>
    <s v="M"/>
    <s v="Orange"/>
    <s v="Spring"/>
    <n v="4"/>
    <s v="No"/>
    <s v="Free Shipping"/>
    <s v="No"/>
    <s v="No"/>
    <n v="14"/>
    <s v="Venmo"/>
    <s v="Monthly"/>
    <s v="Monthly"/>
    <n v="4"/>
  </r>
  <r>
    <x v="2931"/>
    <n v="36"/>
    <x v="1"/>
    <s v="Jewelry"/>
    <x v="3"/>
    <n v="31"/>
    <x v="15"/>
    <s v="M"/>
    <s v="Magenta"/>
    <s v="Fall"/>
    <n v="4.5"/>
    <s v="No"/>
    <s v="2-Day Shipping"/>
    <s v="No"/>
    <s v="No"/>
    <n v="49"/>
    <s v="Credit Card"/>
    <s v="Bi-Weekly"/>
    <s v="Bi-Weekly"/>
    <n v="2"/>
  </r>
  <r>
    <x v="2932"/>
    <n v="65"/>
    <x v="1"/>
    <s v="Backpack"/>
    <x v="3"/>
    <n v="88"/>
    <x v="29"/>
    <s v="L"/>
    <s v="Black"/>
    <s v="Spring"/>
    <n v="3.9"/>
    <s v="No"/>
    <s v="Express"/>
    <s v="No"/>
    <s v="No"/>
    <n v="3"/>
    <s v="PayPal"/>
    <s v="Quarterly"/>
    <s v="Quarterly"/>
    <n v="5"/>
  </r>
  <r>
    <x v="2933"/>
    <n v="27"/>
    <x v="1"/>
    <s v="Hat"/>
    <x v="3"/>
    <n v="52"/>
    <x v="26"/>
    <s v="M"/>
    <s v="Brown"/>
    <s v="Summer"/>
    <n v="3.8"/>
    <s v="No"/>
    <s v="Standard"/>
    <s v="No"/>
    <s v="No"/>
    <n v="28"/>
    <s v="Venmo"/>
    <s v="Monthly"/>
    <s v="Monthly"/>
    <n v="4"/>
  </r>
  <r>
    <x v="2934"/>
    <n v="38"/>
    <x v="1"/>
    <s v="Gloves"/>
    <x v="3"/>
    <n v="22"/>
    <x v="37"/>
    <s v="M"/>
    <s v="Orange"/>
    <s v="Fall"/>
    <n v="4.7"/>
    <s v="No"/>
    <s v="Next Day Air"/>
    <s v="No"/>
    <s v="No"/>
    <n v="41"/>
    <s v="Bank Transfer"/>
    <s v="Quarterly"/>
    <s v="Quarterly"/>
    <n v="5"/>
  </r>
  <r>
    <x v="2935"/>
    <n v="58"/>
    <x v="1"/>
    <s v="Sneakers"/>
    <x v="1"/>
    <n v="27"/>
    <x v="17"/>
    <s v="XL"/>
    <s v="Gray"/>
    <s v="Spring"/>
    <n v="4.5999999999999996"/>
    <s v="No"/>
    <s v="Standard"/>
    <s v="No"/>
    <s v="No"/>
    <n v="11"/>
    <s v="Venmo"/>
    <s v="Weekly"/>
    <s v="Weekly"/>
    <n v="1"/>
  </r>
  <r>
    <x v="2936"/>
    <n v="31"/>
    <x v="1"/>
    <s v="Skirt"/>
    <x v="0"/>
    <n v="34"/>
    <x v="47"/>
    <s v="M"/>
    <s v="White"/>
    <s v="Spring"/>
    <n v="3.6"/>
    <s v="No"/>
    <s v="Express"/>
    <s v="No"/>
    <s v="No"/>
    <n v="46"/>
    <s v="PayPal"/>
    <s v="Weekly"/>
    <s v="Weekly"/>
    <n v="1"/>
  </r>
  <r>
    <x v="2937"/>
    <n v="28"/>
    <x v="1"/>
    <s v="Handbag"/>
    <x v="3"/>
    <n v="39"/>
    <x v="8"/>
    <s v="M"/>
    <s v="White"/>
    <s v="Spring"/>
    <n v="4.3"/>
    <s v="No"/>
    <s v="2-Day Shipping"/>
    <s v="No"/>
    <s v="No"/>
    <n v="15"/>
    <s v="Credit Card"/>
    <s v="Weekly"/>
    <s v="Weekly"/>
    <n v="1"/>
  </r>
  <r>
    <x v="2938"/>
    <n v="28"/>
    <x v="1"/>
    <s v="Sunglasses"/>
    <x v="3"/>
    <n v="53"/>
    <x v="1"/>
    <s v="M"/>
    <s v="Violet"/>
    <s v="Fall"/>
    <n v="3"/>
    <s v="No"/>
    <s v="Standard"/>
    <s v="No"/>
    <s v="No"/>
    <n v="15"/>
    <s v="Cash"/>
    <s v="Monthly"/>
    <s v="Monthly"/>
    <n v="4"/>
  </r>
  <r>
    <x v="2939"/>
    <n v="32"/>
    <x v="1"/>
    <s v="Sweater"/>
    <x v="0"/>
    <n v="46"/>
    <x v="0"/>
    <s v="M"/>
    <s v="Beige"/>
    <s v="Winter"/>
    <n v="4.3"/>
    <s v="No"/>
    <s v="Express"/>
    <s v="No"/>
    <s v="No"/>
    <n v="34"/>
    <s v="Venmo"/>
    <s v="Weekly"/>
    <s v="Weekly"/>
    <n v="1"/>
  </r>
  <r>
    <x v="2940"/>
    <n v="61"/>
    <x v="1"/>
    <s v="Handbag"/>
    <x v="3"/>
    <n v="85"/>
    <x v="2"/>
    <s v="L"/>
    <s v="Beige"/>
    <s v="Summer"/>
    <n v="4.8"/>
    <s v="No"/>
    <s v="Next Day Air"/>
    <s v="No"/>
    <s v="No"/>
    <n v="13"/>
    <s v="Cash"/>
    <s v="Monthly"/>
    <s v="Monthly"/>
    <n v="4"/>
  </r>
  <r>
    <x v="2941"/>
    <n v="38"/>
    <x v="1"/>
    <s v="Skirt"/>
    <x v="0"/>
    <n v="86"/>
    <x v="38"/>
    <s v="L"/>
    <s v="Purple"/>
    <s v="Spring"/>
    <n v="3.7"/>
    <s v="No"/>
    <s v="Free Shipping"/>
    <s v="No"/>
    <s v="No"/>
    <n v="27"/>
    <s v="PayPal"/>
    <s v="Monthly"/>
    <s v="Monthly"/>
    <n v="4"/>
  </r>
  <r>
    <x v="2942"/>
    <n v="54"/>
    <x v="1"/>
    <s v="Socks"/>
    <x v="0"/>
    <n v="63"/>
    <x v="11"/>
    <s v="M"/>
    <s v="Brown"/>
    <s v="Summer"/>
    <n v="2.6"/>
    <s v="No"/>
    <s v="Free Shipping"/>
    <s v="No"/>
    <s v="No"/>
    <n v="37"/>
    <s v="Bank Transfer"/>
    <s v="Weekly"/>
    <s v="Weekly"/>
    <n v="1"/>
  </r>
  <r>
    <x v="2943"/>
    <n v="29"/>
    <x v="1"/>
    <s v="Shirt"/>
    <x v="0"/>
    <n v="44"/>
    <x v="41"/>
    <s v="M"/>
    <s v="Orange"/>
    <s v="Spring"/>
    <n v="3.4"/>
    <s v="No"/>
    <s v="Standard"/>
    <s v="No"/>
    <s v="No"/>
    <n v="37"/>
    <s v="Credit Card"/>
    <s v="Monthly"/>
    <s v="Monthly"/>
    <n v="4"/>
  </r>
  <r>
    <x v="2944"/>
    <n v="50"/>
    <x v="1"/>
    <s v="Sneakers"/>
    <x v="1"/>
    <n v="95"/>
    <x v="14"/>
    <s v="XL"/>
    <s v="Cyan"/>
    <s v="Summer"/>
    <n v="3.9"/>
    <s v="No"/>
    <s v="Free Shipping"/>
    <s v="No"/>
    <s v="No"/>
    <n v="4"/>
    <s v="Venmo"/>
    <s v="Every 3 Months"/>
    <s v="Quarterly"/>
    <n v="5"/>
  </r>
  <r>
    <x v="2945"/>
    <n v="32"/>
    <x v="1"/>
    <s v="Belt"/>
    <x v="3"/>
    <n v="49"/>
    <x v="12"/>
    <s v="M"/>
    <s v="Charcoal"/>
    <s v="Summer"/>
    <n v="4.8"/>
    <s v="No"/>
    <s v="Free Shipping"/>
    <s v="No"/>
    <s v="No"/>
    <n v="1"/>
    <s v="Credit Card"/>
    <s v="Every 3 Months"/>
    <s v="Quarterly"/>
    <n v="5"/>
  </r>
  <r>
    <x v="2946"/>
    <n v="38"/>
    <x v="1"/>
    <s v="Pants"/>
    <x v="0"/>
    <n v="77"/>
    <x v="11"/>
    <s v="L"/>
    <s v="Purple"/>
    <s v="Spring"/>
    <n v="2.8"/>
    <s v="No"/>
    <s v="Free Shipping"/>
    <s v="No"/>
    <s v="No"/>
    <n v="29"/>
    <s v="Bank Transfer"/>
    <s v="Quarterly"/>
    <s v="Quarterly"/>
    <n v="5"/>
  </r>
  <r>
    <x v="2947"/>
    <n v="52"/>
    <x v="1"/>
    <s v="Jewelry"/>
    <x v="3"/>
    <n v="63"/>
    <x v="43"/>
    <s v="L"/>
    <s v="Peach"/>
    <s v="Spring"/>
    <n v="4.4000000000000004"/>
    <s v="No"/>
    <s v="Standard"/>
    <s v="No"/>
    <s v="No"/>
    <n v="50"/>
    <s v="Venmo"/>
    <s v="Annually"/>
    <s v="Annually"/>
    <n v="6"/>
  </r>
  <r>
    <x v="2948"/>
    <n v="61"/>
    <x v="1"/>
    <s v="Pants"/>
    <x v="0"/>
    <n v="83"/>
    <x v="34"/>
    <s v="M"/>
    <s v="Violet"/>
    <s v="Winter"/>
    <n v="3.1"/>
    <s v="No"/>
    <s v="Standard"/>
    <s v="No"/>
    <s v="No"/>
    <n v="38"/>
    <s v="Debit Card"/>
    <s v="Bi-Weekly"/>
    <s v="Bi-Weekly"/>
    <n v="2"/>
  </r>
  <r>
    <x v="2949"/>
    <n v="25"/>
    <x v="1"/>
    <s v="Jewelry"/>
    <x v="3"/>
    <n v="93"/>
    <x v="44"/>
    <s v="M"/>
    <s v="Peach"/>
    <s v="Spring"/>
    <n v="3.8"/>
    <s v="No"/>
    <s v="Store Pickup"/>
    <s v="No"/>
    <s v="No"/>
    <n v="15"/>
    <s v="PayPal"/>
    <s v="Annually"/>
    <s v="Annually"/>
    <n v="6"/>
  </r>
  <r>
    <x v="2950"/>
    <n v="22"/>
    <x v="1"/>
    <s v="Jeans"/>
    <x v="0"/>
    <n v="91"/>
    <x v="44"/>
    <s v="S"/>
    <s v="Maroon"/>
    <s v="Winter"/>
    <n v="4.0999999999999996"/>
    <s v="No"/>
    <s v="2-Day Shipping"/>
    <s v="No"/>
    <s v="No"/>
    <n v="44"/>
    <s v="Debit Card"/>
    <s v="Every 3 Months"/>
    <s v="Quarterly"/>
    <n v="5"/>
  </r>
  <r>
    <x v="2951"/>
    <n v="47"/>
    <x v="1"/>
    <s v="Scarf"/>
    <x v="3"/>
    <n v="99"/>
    <x v="10"/>
    <s v="L"/>
    <s v="Maroon"/>
    <s v="Fall"/>
    <n v="4.5999999999999996"/>
    <s v="No"/>
    <s v="Free Shipping"/>
    <s v="No"/>
    <s v="No"/>
    <n v="14"/>
    <s v="Cash"/>
    <s v="Weekly"/>
    <s v="Weekly"/>
    <n v="1"/>
  </r>
  <r>
    <x v="2952"/>
    <n v="50"/>
    <x v="1"/>
    <s v="Belt"/>
    <x v="3"/>
    <n v="24"/>
    <x v="15"/>
    <s v="M"/>
    <s v="Peach"/>
    <s v="Spring"/>
    <n v="4.9000000000000004"/>
    <s v="No"/>
    <s v="Next Day Air"/>
    <s v="No"/>
    <s v="No"/>
    <n v="5"/>
    <s v="Debit Card"/>
    <s v="Monthly"/>
    <s v="Monthly"/>
    <n v="4"/>
  </r>
  <r>
    <x v="2953"/>
    <n v="45"/>
    <x v="1"/>
    <s v="Dress"/>
    <x v="0"/>
    <n v="82"/>
    <x v="33"/>
    <s v="M"/>
    <s v="Silver"/>
    <s v="Summer"/>
    <n v="4.8"/>
    <s v="No"/>
    <s v="Next Day Air"/>
    <s v="No"/>
    <s v="No"/>
    <n v="11"/>
    <s v="Credit Card"/>
    <s v="Annually"/>
    <s v="Annually"/>
    <n v="6"/>
  </r>
  <r>
    <x v="2954"/>
    <n v="33"/>
    <x v="1"/>
    <s v="T-shirt"/>
    <x v="0"/>
    <n v="28"/>
    <x v="45"/>
    <s v="M"/>
    <s v="Indigo"/>
    <s v="Winter"/>
    <n v="3.9"/>
    <s v="No"/>
    <s v="Express"/>
    <s v="No"/>
    <s v="No"/>
    <n v="15"/>
    <s v="Credit Card"/>
    <s v="Annually"/>
    <s v="Annually"/>
    <n v="6"/>
  </r>
  <r>
    <x v="2955"/>
    <n v="42"/>
    <x v="1"/>
    <s v="Boots"/>
    <x v="1"/>
    <n v="67"/>
    <x v="34"/>
    <s v="M"/>
    <s v="Silver"/>
    <s v="Winter"/>
    <n v="2.6"/>
    <s v="No"/>
    <s v="Free Shipping"/>
    <s v="No"/>
    <s v="No"/>
    <n v="46"/>
    <s v="Credit Card"/>
    <s v="Annually"/>
    <s v="Annually"/>
    <n v="6"/>
  </r>
  <r>
    <x v="2956"/>
    <n v="52"/>
    <x v="1"/>
    <s v="Dress"/>
    <x v="0"/>
    <n v="88"/>
    <x v="6"/>
    <s v="M"/>
    <s v="Olive"/>
    <s v="Fall"/>
    <n v="3.7"/>
    <s v="No"/>
    <s v="Standard"/>
    <s v="No"/>
    <s v="No"/>
    <n v="30"/>
    <s v="Venmo"/>
    <s v="Monthly"/>
    <s v="Monthly"/>
    <n v="4"/>
  </r>
  <r>
    <x v="2957"/>
    <n v="69"/>
    <x v="1"/>
    <s v="Jewelry"/>
    <x v="3"/>
    <n v="70"/>
    <x v="45"/>
    <s v="S"/>
    <s v="Gray"/>
    <s v="Fall"/>
    <n v="4.7"/>
    <s v="No"/>
    <s v="Standard"/>
    <s v="No"/>
    <s v="No"/>
    <n v="2"/>
    <s v="Cash"/>
    <s v="Annually"/>
    <s v="Annually"/>
    <n v="6"/>
  </r>
  <r>
    <x v="2958"/>
    <n v="55"/>
    <x v="1"/>
    <s v="Skirt"/>
    <x v="0"/>
    <n v="100"/>
    <x v="31"/>
    <s v="M"/>
    <s v="Black"/>
    <s v="Summer"/>
    <n v="4.5"/>
    <s v="No"/>
    <s v="Standard"/>
    <s v="No"/>
    <s v="No"/>
    <n v="28"/>
    <s v="PayPal"/>
    <s v="Monthly"/>
    <s v="Monthly"/>
    <n v="4"/>
  </r>
  <r>
    <x v="2959"/>
    <n v="38"/>
    <x v="1"/>
    <s v="Handbag"/>
    <x v="3"/>
    <n v="28"/>
    <x v="21"/>
    <s v="L"/>
    <s v="Maroon"/>
    <s v="Summer"/>
    <n v="4.7"/>
    <s v="No"/>
    <s v="Free Shipping"/>
    <s v="No"/>
    <s v="No"/>
    <n v="9"/>
    <s v="PayPal"/>
    <s v="Quarterly"/>
    <s v="Quarterly"/>
    <n v="5"/>
  </r>
  <r>
    <x v="2960"/>
    <n v="57"/>
    <x v="1"/>
    <s v="Coat"/>
    <x v="2"/>
    <n v="48"/>
    <x v="27"/>
    <s v="S"/>
    <s v="Olive"/>
    <s v="Spring"/>
    <n v="3.6"/>
    <s v="No"/>
    <s v="Standard"/>
    <s v="No"/>
    <s v="No"/>
    <n v="47"/>
    <s v="Credit Card"/>
    <s v="Weekly"/>
    <s v="Weekly"/>
    <n v="1"/>
  </r>
  <r>
    <x v="2961"/>
    <n v="33"/>
    <x v="1"/>
    <s v="Hoodie"/>
    <x v="0"/>
    <n v="43"/>
    <x v="13"/>
    <s v="S"/>
    <s v="Gold"/>
    <s v="Fall"/>
    <n v="2.8"/>
    <s v="No"/>
    <s v="Free Shipping"/>
    <s v="No"/>
    <s v="No"/>
    <n v="21"/>
    <s v="Debit Card"/>
    <s v="Bi-Weekly"/>
    <s v="Bi-Weekly"/>
    <n v="2"/>
  </r>
  <r>
    <x v="2962"/>
    <n v="57"/>
    <x v="1"/>
    <s v="Pants"/>
    <x v="0"/>
    <n v="40"/>
    <x v="18"/>
    <s v="L"/>
    <s v="Pink"/>
    <s v="Fall"/>
    <n v="4"/>
    <s v="No"/>
    <s v="Express"/>
    <s v="No"/>
    <s v="No"/>
    <n v="42"/>
    <s v="Credit Card"/>
    <s v="Every 3 Months"/>
    <s v="Quarterly"/>
    <n v="5"/>
  </r>
  <r>
    <x v="2963"/>
    <n v="52"/>
    <x v="1"/>
    <s v="Boots"/>
    <x v="1"/>
    <n v="97"/>
    <x v="1"/>
    <s v="M"/>
    <s v="Brown"/>
    <s v="Spring"/>
    <n v="3.6"/>
    <s v="No"/>
    <s v="Free Shipping"/>
    <s v="No"/>
    <s v="No"/>
    <n v="28"/>
    <s v="Credit Card"/>
    <s v="Weekly"/>
    <s v="Weekly"/>
    <n v="1"/>
  </r>
  <r>
    <x v="2964"/>
    <n v="44"/>
    <x v="1"/>
    <s v="Coat"/>
    <x v="2"/>
    <n v="25"/>
    <x v="31"/>
    <s v="S"/>
    <s v="White"/>
    <s v="Fall"/>
    <n v="3.8"/>
    <s v="No"/>
    <s v="2-Day Shipping"/>
    <s v="No"/>
    <s v="No"/>
    <n v="13"/>
    <s v="Venmo"/>
    <s v="Fortnightly"/>
    <s v="Fortnightly"/>
    <n v="3"/>
  </r>
  <r>
    <x v="2965"/>
    <n v="48"/>
    <x v="1"/>
    <s v="Scarf"/>
    <x v="3"/>
    <n v="45"/>
    <x v="12"/>
    <s v="M"/>
    <s v="Blue"/>
    <s v="Summer"/>
    <n v="4.4000000000000004"/>
    <s v="No"/>
    <s v="Standard"/>
    <s v="No"/>
    <s v="No"/>
    <n v="25"/>
    <s v="PayPal"/>
    <s v="Fortnightly"/>
    <s v="Fortnightly"/>
    <n v="3"/>
  </r>
  <r>
    <x v="2966"/>
    <n v="52"/>
    <x v="1"/>
    <s v="Boots"/>
    <x v="1"/>
    <n v="49"/>
    <x v="19"/>
    <s v="L"/>
    <s v="Orange"/>
    <s v="Fall"/>
    <n v="2.8"/>
    <s v="No"/>
    <s v="Store Pickup"/>
    <s v="No"/>
    <s v="No"/>
    <n v="38"/>
    <s v="Debit Card"/>
    <s v="Every 3 Months"/>
    <s v="Quarterly"/>
    <n v="5"/>
  </r>
  <r>
    <x v="2967"/>
    <n v="34"/>
    <x v="1"/>
    <s v="Sneakers"/>
    <x v="1"/>
    <n v="36"/>
    <x v="27"/>
    <s v="L"/>
    <s v="Silver"/>
    <s v="Summer"/>
    <n v="3.4"/>
    <s v="No"/>
    <s v="Free Shipping"/>
    <s v="No"/>
    <s v="No"/>
    <n v="40"/>
    <s v="Venmo"/>
    <s v="Annually"/>
    <s v="Annually"/>
    <n v="6"/>
  </r>
  <r>
    <x v="2968"/>
    <n v="26"/>
    <x v="1"/>
    <s v="Sweater"/>
    <x v="0"/>
    <n v="48"/>
    <x v="36"/>
    <s v="S"/>
    <s v="Gray"/>
    <s v="Fall"/>
    <n v="4.9000000000000004"/>
    <s v="No"/>
    <s v="Express"/>
    <s v="No"/>
    <s v="No"/>
    <n v="25"/>
    <s v="Cash"/>
    <s v="Every 3 Months"/>
    <s v="Quarterly"/>
    <n v="5"/>
  </r>
  <r>
    <x v="2969"/>
    <n v="36"/>
    <x v="1"/>
    <s v="Belt"/>
    <x v="3"/>
    <n v="62"/>
    <x v="34"/>
    <s v="S"/>
    <s v="Blue"/>
    <s v="Fall"/>
    <n v="4.3"/>
    <s v="No"/>
    <s v="Next Day Air"/>
    <s v="No"/>
    <s v="No"/>
    <n v="20"/>
    <s v="Cash"/>
    <s v="Every 3 Months"/>
    <s v="Quarterly"/>
    <n v="5"/>
  </r>
  <r>
    <x v="2970"/>
    <n v="24"/>
    <x v="1"/>
    <s v="Jewelry"/>
    <x v="3"/>
    <n v="74"/>
    <x v="23"/>
    <s v="M"/>
    <s v="White"/>
    <s v="Winter"/>
    <n v="3.4"/>
    <s v="No"/>
    <s v="Free Shipping"/>
    <s v="No"/>
    <s v="No"/>
    <n v="44"/>
    <s v="Credit Card"/>
    <s v="Bi-Weekly"/>
    <s v="Bi-Weekly"/>
    <n v="2"/>
  </r>
  <r>
    <x v="2971"/>
    <n v="30"/>
    <x v="1"/>
    <s v="Handbag"/>
    <x v="3"/>
    <n v="100"/>
    <x v="40"/>
    <s v="L"/>
    <s v="Yellow"/>
    <s v="Fall"/>
    <n v="3.9"/>
    <s v="No"/>
    <s v="Next Day Air"/>
    <s v="No"/>
    <s v="No"/>
    <n v="9"/>
    <s v="PayPal"/>
    <s v="Every 3 Months"/>
    <s v="Quarterly"/>
    <n v="5"/>
  </r>
  <r>
    <x v="2972"/>
    <n v="31"/>
    <x v="1"/>
    <s v="Jacket"/>
    <x v="2"/>
    <n v="39"/>
    <x v="14"/>
    <s v="S"/>
    <s v="Indigo"/>
    <s v="Fall"/>
    <n v="4.2"/>
    <s v="No"/>
    <s v="Free Shipping"/>
    <s v="No"/>
    <s v="No"/>
    <n v="11"/>
    <s v="Venmo"/>
    <s v="Every 3 Months"/>
    <s v="Quarterly"/>
    <n v="5"/>
  </r>
  <r>
    <x v="2973"/>
    <n v="25"/>
    <x v="1"/>
    <s v="Boots"/>
    <x v="1"/>
    <n v="65"/>
    <x v="27"/>
    <s v="M"/>
    <s v="Blue"/>
    <s v="Summer"/>
    <n v="2.7"/>
    <s v="No"/>
    <s v="Store Pickup"/>
    <s v="No"/>
    <s v="No"/>
    <n v="3"/>
    <s v="Bank Transfer"/>
    <s v="Fortnightly"/>
    <s v="Fortnightly"/>
    <n v="3"/>
  </r>
  <r>
    <x v="2974"/>
    <n v="57"/>
    <x v="1"/>
    <s v="Sneakers"/>
    <x v="1"/>
    <n v="99"/>
    <x v="30"/>
    <s v="XL"/>
    <s v="Peach"/>
    <s v="Summer"/>
    <n v="4.0999999999999996"/>
    <s v="No"/>
    <s v="Store Pickup"/>
    <s v="No"/>
    <s v="No"/>
    <n v="34"/>
    <s v="Credit Card"/>
    <s v="Weekly"/>
    <s v="Weekly"/>
    <n v="1"/>
  </r>
  <r>
    <x v="2975"/>
    <n v="61"/>
    <x v="1"/>
    <s v="Scarf"/>
    <x v="3"/>
    <n v="68"/>
    <x v="42"/>
    <s v="XL"/>
    <s v="Lavender"/>
    <s v="Winter"/>
    <n v="4.5"/>
    <s v="No"/>
    <s v="2-Day Shipping"/>
    <s v="No"/>
    <s v="No"/>
    <n v="48"/>
    <s v="Cash"/>
    <s v="Every 3 Months"/>
    <s v="Quarterly"/>
    <n v="5"/>
  </r>
  <r>
    <x v="2976"/>
    <n v="30"/>
    <x v="1"/>
    <s v="Coat"/>
    <x v="2"/>
    <n v="97"/>
    <x v="43"/>
    <s v="M"/>
    <s v="Silver"/>
    <s v="Summer"/>
    <n v="2.8"/>
    <s v="No"/>
    <s v="Express"/>
    <s v="No"/>
    <s v="No"/>
    <n v="28"/>
    <s v="Cash"/>
    <s v="Fortnightly"/>
    <s v="Fortnightly"/>
    <n v="3"/>
  </r>
  <r>
    <x v="2977"/>
    <n v="38"/>
    <x v="1"/>
    <s v="Shorts"/>
    <x v="0"/>
    <n v="47"/>
    <x v="47"/>
    <s v="L"/>
    <s v="Gold"/>
    <s v="Winter"/>
    <n v="3.4"/>
    <s v="No"/>
    <s v="Standard"/>
    <s v="No"/>
    <s v="No"/>
    <n v="20"/>
    <s v="Venmo"/>
    <s v="Annually"/>
    <s v="Annually"/>
    <n v="6"/>
  </r>
  <r>
    <x v="2978"/>
    <n v="53"/>
    <x v="1"/>
    <s v="Shorts"/>
    <x v="0"/>
    <n v="56"/>
    <x v="37"/>
    <s v="S"/>
    <s v="Cyan"/>
    <s v="Spring"/>
    <n v="3.9"/>
    <s v="No"/>
    <s v="Free Shipping"/>
    <s v="No"/>
    <s v="No"/>
    <n v="49"/>
    <s v="Bank Transfer"/>
    <s v="Fortnightly"/>
    <s v="Fortnightly"/>
    <n v="3"/>
  </r>
  <r>
    <x v="2979"/>
    <n v="31"/>
    <x v="1"/>
    <s v="Jeans"/>
    <x v="0"/>
    <n v="91"/>
    <x v="7"/>
    <s v="L"/>
    <s v="Olive"/>
    <s v="Fall"/>
    <n v="2.6"/>
    <s v="No"/>
    <s v="Next Day Air"/>
    <s v="No"/>
    <s v="No"/>
    <n v="14"/>
    <s v="PayPal"/>
    <s v="Weekly"/>
    <s v="Weekly"/>
    <n v="1"/>
  </r>
  <r>
    <x v="2980"/>
    <n v="70"/>
    <x v="1"/>
    <s v="Gloves"/>
    <x v="3"/>
    <n v="93"/>
    <x v="32"/>
    <s v="L"/>
    <s v="Teal"/>
    <s v="Fall"/>
    <n v="4.4000000000000004"/>
    <s v="No"/>
    <s v="2-Day Shipping"/>
    <s v="No"/>
    <s v="No"/>
    <n v="9"/>
    <s v="Bank Transfer"/>
    <s v="Monthly"/>
    <s v="Monthly"/>
    <n v="4"/>
  </r>
  <r>
    <x v="2981"/>
    <n v="21"/>
    <x v="1"/>
    <s v="Pants"/>
    <x v="0"/>
    <n v="36"/>
    <x v="12"/>
    <s v="L"/>
    <s v="Pink"/>
    <s v="Winter"/>
    <n v="4.9000000000000004"/>
    <s v="No"/>
    <s v="Standard"/>
    <s v="No"/>
    <s v="No"/>
    <n v="37"/>
    <s v="Venmo"/>
    <s v="Annually"/>
    <s v="Annually"/>
    <n v="6"/>
  </r>
  <r>
    <x v="2982"/>
    <n v="33"/>
    <x v="1"/>
    <s v="Dress"/>
    <x v="0"/>
    <n v="45"/>
    <x v="48"/>
    <s v="M"/>
    <s v="Orange"/>
    <s v="Summer"/>
    <n v="3.6"/>
    <s v="No"/>
    <s v="Store Pickup"/>
    <s v="No"/>
    <s v="No"/>
    <n v="4"/>
    <s v="Credit Card"/>
    <s v="Weekly"/>
    <s v="Weekly"/>
    <n v="1"/>
  </r>
  <r>
    <x v="2983"/>
    <n v="60"/>
    <x v="1"/>
    <s v="Pants"/>
    <x v="0"/>
    <n v="44"/>
    <x v="8"/>
    <s v="M"/>
    <s v="Charcoal"/>
    <s v="Winter"/>
    <n v="2.8"/>
    <s v="No"/>
    <s v="2-Day Shipping"/>
    <s v="No"/>
    <s v="No"/>
    <n v="1"/>
    <s v="Credit Card"/>
    <s v="Quarterly"/>
    <s v="Quarterly"/>
    <n v="5"/>
  </r>
  <r>
    <x v="2984"/>
    <n v="45"/>
    <x v="1"/>
    <s v="Gloves"/>
    <x v="3"/>
    <n v="32"/>
    <x v="21"/>
    <s v="L"/>
    <s v="Red"/>
    <s v="Spring"/>
    <n v="4.3"/>
    <s v="No"/>
    <s v="2-Day Shipping"/>
    <s v="No"/>
    <s v="No"/>
    <n v="36"/>
    <s v="Debit Card"/>
    <s v="Bi-Weekly"/>
    <s v="Bi-Weekly"/>
    <n v="2"/>
  </r>
  <r>
    <x v="2985"/>
    <n v="46"/>
    <x v="1"/>
    <s v="Belt"/>
    <x v="3"/>
    <n v="36"/>
    <x v="11"/>
    <s v="S"/>
    <s v="Teal"/>
    <s v="Summer"/>
    <n v="3"/>
    <s v="No"/>
    <s v="Express"/>
    <s v="No"/>
    <s v="No"/>
    <n v="21"/>
    <s v="Cash"/>
    <s v="Bi-Weekly"/>
    <s v="Bi-Weekly"/>
    <n v="2"/>
  </r>
  <r>
    <x v="2986"/>
    <n v="62"/>
    <x v="1"/>
    <s v="Belt"/>
    <x v="3"/>
    <n v="85"/>
    <x v="28"/>
    <s v="S"/>
    <s v="Silver"/>
    <s v="Summer"/>
    <n v="3.3"/>
    <s v="No"/>
    <s v="2-Day Shipping"/>
    <s v="No"/>
    <s v="No"/>
    <n v="16"/>
    <s v="Credit Card"/>
    <s v="Monthly"/>
    <s v="Monthly"/>
    <n v="4"/>
  </r>
  <r>
    <x v="2987"/>
    <n v="63"/>
    <x v="1"/>
    <s v="Skirt"/>
    <x v="0"/>
    <n v="36"/>
    <x v="7"/>
    <s v="L"/>
    <s v="Black"/>
    <s v="Winter"/>
    <n v="2.5"/>
    <s v="No"/>
    <s v="Store Pickup"/>
    <s v="No"/>
    <s v="No"/>
    <n v="42"/>
    <s v="Cash"/>
    <s v="Monthly"/>
    <s v="Monthly"/>
    <n v="4"/>
  </r>
  <r>
    <x v="2988"/>
    <n v="69"/>
    <x v="1"/>
    <s v="Socks"/>
    <x v="0"/>
    <n v="55"/>
    <x v="22"/>
    <s v="S"/>
    <s v="Pink"/>
    <s v="Spring"/>
    <n v="5"/>
    <s v="No"/>
    <s v="2-Day Shipping"/>
    <s v="No"/>
    <s v="No"/>
    <n v="31"/>
    <s v="Debit Card"/>
    <s v="Monthly"/>
    <s v="Monthly"/>
    <n v="4"/>
  </r>
  <r>
    <x v="2989"/>
    <n v="46"/>
    <x v="1"/>
    <s v="Belt"/>
    <x v="3"/>
    <n v="20"/>
    <x v="3"/>
    <s v="XL"/>
    <s v="Teal"/>
    <s v="Summer"/>
    <n v="4.3"/>
    <s v="No"/>
    <s v="2-Day Shipping"/>
    <s v="No"/>
    <s v="No"/>
    <n v="6"/>
    <s v="Credit Card"/>
    <s v="Weekly"/>
    <s v="Weekly"/>
    <n v="1"/>
  </r>
  <r>
    <x v="2990"/>
    <n v="69"/>
    <x v="1"/>
    <s v="Shirt"/>
    <x v="0"/>
    <n v="91"/>
    <x v="26"/>
    <s v="M"/>
    <s v="Teal"/>
    <s v="Fall"/>
    <n v="4.2"/>
    <s v="No"/>
    <s v="Free Shipping"/>
    <s v="No"/>
    <s v="No"/>
    <n v="24"/>
    <s v="Venmo"/>
    <s v="Monthly"/>
    <s v="Monthly"/>
    <n v="4"/>
  </r>
  <r>
    <x v="2991"/>
    <n v="66"/>
    <x v="1"/>
    <s v="Dress"/>
    <x v="0"/>
    <n v="71"/>
    <x v="40"/>
    <s v="L"/>
    <s v="Green"/>
    <s v="Summer"/>
    <n v="3.9"/>
    <s v="No"/>
    <s v="Standard"/>
    <s v="No"/>
    <s v="No"/>
    <n v="7"/>
    <s v="PayPal"/>
    <s v="Bi-Weekly"/>
    <s v="Bi-Weekly"/>
    <n v="2"/>
  </r>
  <r>
    <x v="2992"/>
    <n v="41"/>
    <x v="1"/>
    <s v="Socks"/>
    <x v="0"/>
    <n v="64"/>
    <x v="25"/>
    <s v="M"/>
    <s v="Charcoal"/>
    <s v="Spring"/>
    <n v="3.9"/>
    <s v="No"/>
    <s v="Store Pickup"/>
    <s v="No"/>
    <s v="No"/>
    <n v="25"/>
    <s v="Venmo"/>
    <s v="Weekly"/>
    <s v="Weekly"/>
    <n v="1"/>
  </r>
  <r>
    <x v="2993"/>
    <n v="32"/>
    <x v="1"/>
    <s v="Jacket"/>
    <x v="2"/>
    <n v="21"/>
    <x v="23"/>
    <s v="L"/>
    <s v="Indigo"/>
    <s v="Spring"/>
    <n v="4.2"/>
    <s v="No"/>
    <s v="Free Shipping"/>
    <s v="No"/>
    <s v="No"/>
    <n v="18"/>
    <s v="Cash"/>
    <s v="Bi-Weekly"/>
    <s v="Bi-Weekly"/>
    <n v="2"/>
  </r>
  <r>
    <x v="2994"/>
    <n v="69"/>
    <x v="1"/>
    <s v="Sweater"/>
    <x v="0"/>
    <n v="100"/>
    <x v="22"/>
    <s v="S"/>
    <s v="White"/>
    <s v="Winter"/>
    <n v="3.5"/>
    <s v="No"/>
    <s v="Store Pickup"/>
    <s v="No"/>
    <s v="No"/>
    <n v="14"/>
    <s v="Bank Transfer"/>
    <s v="Quarterly"/>
    <s v="Quarterly"/>
    <n v="5"/>
  </r>
  <r>
    <x v="2995"/>
    <n v="29"/>
    <x v="1"/>
    <s v="Jeans"/>
    <x v="0"/>
    <n v="96"/>
    <x v="41"/>
    <s v="M"/>
    <s v="Orange"/>
    <s v="Summer"/>
    <n v="2.5"/>
    <s v="No"/>
    <s v="Standard"/>
    <s v="No"/>
    <s v="No"/>
    <n v="42"/>
    <s v="Debit Card"/>
    <s v="Bi-Weekly"/>
    <s v="Bi-Weekly"/>
    <n v="2"/>
  </r>
  <r>
    <x v="2996"/>
    <n v="70"/>
    <x v="1"/>
    <s v="Jewelry"/>
    <x v="3"/>
    <n v="91"/>
    <x v="40"/>
    <s v="M"/>
    <s v="White"/>
    <s v="Spring"/>
    <n v="2.9"/>
    <s v="No"/>
    <s v="Express"/>
    <s v="No"/>
    <s v="No"/>
    <n v="6"/>
    <s v="Venmo"/>
    <s v="Every 3 Months"/>
    <s v="Quarterly"/>
    <n v="5"/>
  </r>
  <r>
    <x v="2997"/>
    <n v="41"/>
    <x v="1"/>
    <s v="Sweater"/>
    <x v="0"/>
    <n v="40"/>
    <x v="37"/>
    <s v="S"/>
    <s v="Yellow"/>
    <s v="Spring"/>
    <n v="2.7"/>
    <s v="No"/>
    <s v="Next Day Air"/>
    <s v="No"/>
    <s v="No"/>
    <n v="14"/>
    <s v="Venmo"/>
    <s v="Every 3 Months"/>
    <s v="Quarterly"/>
    <n v="5"/>
  </r>
  <r>
    <x v="2998"/>
    <n v="31"/>
    <x v="1"/>
    <s v="Hoodie"/>
    <x v="0"/>
    <n v="53"/>
    <x v="29"/>
    <s v="M"/>
    <s v="Red"/>
    <s v="Summer"/>
    <n v="4.7"/>
    <s v="No"/>
    <s v="Express"/>
    <s v="No"/>
    <s v="No"/>
    <n v="30"/>
    <s v="Debit Card"/>
    <s v="Quarterly"/>
    <s v="Quarterly"/>
    <n v="5"/>
  </r>
  <r>
    <x v="2999"/>
    <n v="31"/>
    <x v="1"/>
    <s v="Sunglasses"/>
    <x v="3"/>
    <n v="48"/>
    <x v="13"/>
    <s v="S"/>
    <s v="Charcoal"/>
    <s v="Winter"/>
    <n v="3.8"/>
    <s v="No"/>
    <s v="Standard"/>
    <s v="No"/>
    <s v="No"/>
    <n v="10"/>
    <s v="Cash"/>
    <s v="Monthly"/>
    <s v="Monthly"/>
    <n v="4"/>
  </r>
  <r>
    <x v="3000"/>
    <n v="57"/>
    <x v="1"/>
    <s v="Sandals"/>
    <x v="1"/>
    <n v="70"/>
    <x v="31"/>
    <s v="M"/>
    <s v="Lavender"/>
    <s v="Winter"/>
    <n v="3.7"/>
    <s v="No"/>
    <s v="Express"/>
    <s v="No"/>
    <s v="No"/>
    <n v="7"/>
    <s v="PayPal"/>
    <s v="Weekly"/>
    <s v="Weekly"/>
    <n v="1"/>
  </r>
  <r>
    <x v="3001"/>
    <n v="29"/>
    <x v="1"/>
    <s v="Coat"/>
    <x v="2"/>
    <n v="29"/>
    <x v="6"/>
    <s v="L"/>
    <s v="Charcoal"/>
    <s v="Summer"/>
    <n v="4.7"/>
    <s v="No"/>
    <s v="Express"/>
    <s v="No"/>
    <s v="No"/>
    <n v="28"/>
    <s v="Credit Card"/>
    <s v="Quarterly"/>
    <s v="Quarterly"/>
    <n v="5"/>
  </r>
  <r>
    <x v="3002"/>
    <n v="70"/>
    <x v="1"/>
    <s v="Belt"/>
    <x v="3"/>
    <n v="29"/>
    <x v="7"/>
    <s v="M"/>
    <s v="Maroon"/>
    <s v="Fall"/>
    <n v="3.6"/>
    <s v="No"/>
    <s v="Next Day Air"/>
    <s v="No"/>
    <s v="No"/>
    <n v="19"/>
    <s v="Bank Transfer"/>
    <s v="Quarterly"/>
    <s v="Quarterly"/>
    <n v="5"/>
  </r>
  <r>
    <x v="3003"/>
    <n v="51"/>
    <x v="1"/>
    <s v="Blouse"/>
    <x v="0"/>
    <n v="53"/>
    <x v="4"/>
    <s v="M"/>
    <s v="Brown"/>
    <s v="Fall"/>
    <n v="2.8"/>
    <s v="No"/>
    <s v="Express"/>
    <s v="No"/>
    <s v="No"/>
    <n v="13"/>
    <s v="Credit Card"/>
    <s v="Every 3 Months"/>
    <s v="Quarterly"/>
    <n v="5"/>
  </r>
  <r>
    <x v="3004"/>
    <n v="45"/>
    <x v="1"/>
    <s v="Skirt"/>
    <x v="0"/>
    <n v="79"/>
    <x v="28"/>
    <s v="M"/>
    <s v="Lavender"/>
    <s v="Winter"/>
    <n v="3.7"/>
    <s v="No"/>
    <s v="Store Pickup"/>
    <s v="No"/>
    <s v="No"/>
    <n v="23"/>
    <s v="Venmo"/>
    <s v="Fortnightly"/>
    <s v="Fortnightly"/>
    <n v="3"/>
  </r>
  <r>
    <x v="3005"/>
    <n v="18"/>
    <x v="1"/>
    <s v="Shorts"/>
    <x v="0"/>
    <n v="65"/>
    <x v="29"/>
    <s v="XL"/>
    <s v="Brown"/>
    <s v="Spring"/>
    <n v="3.5"/>
    <s v="No"/>
    <s v="Express"/>
    <s v="No"/>
    <s v="No"/>
    <n v="5"/>
    <s v="Venmo"/>
    <s v="Weekly"/>
    <s v="Weekly"/>
    <n v="1"/>
  </r>
  <r>
    <x v="3006"/>
    <n v="37"/>
    <x v="1"/>
    <s v="Dress"/>
    <x v="0"/>
    <n v="99"/>
    <x v="40"/>
    <s v="M"/>
    <s v="Olive"/>
    <s v="Summer"/>
    <n v="3.7"/>
    <s v="No"/>
    <s v="Store Pickup"/>
    <s v="No"/>
    <s v="No"/>
    <n v="17"/>
    <s v="Venmo"/>
    <s v="Bi-Weekly"/>
    <s v="Bi-Weekly"/>
    <n v="2"/>
  </r>
  <r>
    <x v="3007"/>
    <n v="23"/>
    <x v="1"/>
    <s v="Sunglasses"/>
    <x v="3"/>
    <n v="60"/>
    <x v="14"/>
    <s v="L"/>
    <s v="Lavender"/>
    <s v="Winter"/>
    <n v="3"/>
    <s v="No"/>
    <s v="Next Day Air"/>
    <s v="No"/>
    <s v="No"/>
    <n v="31"/>
    <s v="Venmo"/>
    <s v="Weekly"/>
    <s v="Weekly"/>
    <n v="1"/>
  </r>
  <r>
    <x v="3008"/>
    <n v="39"/>
    <x v="1"/>
    <s v="Shoes"/>
    <x v="1"/>
    <n v="86"/>
    <x v="35"/>
    <s v="M"/>
    <s v="Gold"/>
    <s v="Winter"/>
    <n v="4.9000000000000004"/>
    <s v="No"/>
    <s v="Free Shipping"/>
    <s v="No"/>
    <s v="No"/>
    <n v="19"/>
    <s v="PayPal"/>
    <s v="Weekly"/>
    <s v="Weekly"/>
    <n v="1"/>
  </r>
  <r>
    <x v="3009"/>
    <n v="62"/>
    <x v="1"/>
    <s v="Belt"/>
    <x v="3"/>
    <n v="73"/>
    <x v="7"/>
    <s v="M"/>
    <s v="Silver"/>
    <s v="Winter"/>
    <n v="4.5999999999999996"/>
    <s v="No"/>
    <s v="Free Shipping"/>
    <s v="No"/>
    <s v="No"/>
    <n v="8"/>
    <s v="Venmo"/>
    <s v="Fortnightly"/>
    <s v="Fortnightly"/>
    <n v="3"/>
  </r>
  <r>
    <x v="3010"/>
    <n v="70"/>
    <x v="1"/>
    <s v="Belt"/>
    <x v="3"/>
    <n v="45"/>
    <x v="31"/>
    <s v="M"/>
    <s v="Violet"/>
    <s v="Winter"/>
    <n v="3.3"/>
    <s v="No"/>
    <s v="Free Shipping"/>
    <s v="No"/>
    <s v="No"/>
    <n v="15"/>
    <s v="Credit Card"/>
    <s v="Annually"/>
    <s v="Annually"/>
    <n v="6"/>
  </r>
  <r>
    <x v="3011"/>
    <n v="20"/>
    <x v="1"/>
    <s v="Belt"/>
    <x v="3"/>
    <n v="70"/>
    <x v="22"/>
    <s v="S"/>
    <s v="Brown"/>
    <s v="Summer"/>
    <n v="3"/>
    <s v="No"/>
    <s v="Next Day Air"/>
    <s v="No"/>
    <s v="No"/>
    <n v="18"/>
    <s v="Credit Card"/>
    <s v="Every 3 Months"/>
    <s v="Quarterly"/>
    <n v="5"/>
  </r>
  <r>
    <x v="3012"/>
    <n v="42"/>
    <x v="1"/>
    <s v="Belt"/>
    <x v="3"/>
    <n v="65"/>
    <x v="37"/>
    <s v="M"/>
    <s v="Teal"/>
    <s v="Fall"/>
    <n v="3.5"/>
    <s v="No"/>
    <s v="Standard"/>
    <s v="No"/>
    <s v="No"/>
    <n v="16"/>
    <s v="PayPal"/>
    <s v="Annually"/>
    <s v="Annually"/>
    <n v="6"/>
  </r>
  <r>
    <x v="3013"/>
    <n v="41"/>
    <x v="1"/>
    <s v="Skirt"/>
    <x v="0"/>
    <n v="55"/>
    <x v="28"/>
    <s v="L"/>
    <s v="Peach"/>
    <s v="Summer"/>
    <n v="4.2"/>
    <s v="No"/>
    <s v="Store Pickup"/>
    <s v="No"/>
    <s v="No"/>
    <n v="13"/>
    <s v="Cash"/>
    <s v="Monthly"/>
    <s v="Monthly"/>
    <n v="4"/>
  </r>
  <r>
    <x v="3014"/>
    <n v="24"/>
    <x v="1"/>
    <s v="T-shirt"/>
    <x v="0"/>
    <n v="65"/>
    <x v="40"/>
    <s v="M"/>
    <s v="Maroon"/>
    <s v="Spring"/>
    <n v="4.5"/>
    <s v="No"/>
    <s v="Express"/>
    <s v="No"/>
    <s v="No"/>
    <n v="38"/>
    <s v="PayPal"/>
    <s v="Every 3 Months"/>
    <s v="Quarterly"/>
    <n v="5"/>
  </r>
  <r>
    <x v="3015"/>
    <n v="37"/>
    <x v="1"/>
    <s v="Scarf"/>
    <x v="3"/>
    <n v="21"/>
    <x v="5"/>
    <s v="XL"/>
    <s v="Lavender"/>
    <s v="Spring"/>
    <n v="2.8"/>
    <s v="No"/>
    <s v="Express"/>
    <s v="No"/>
    <s v="No"/>
    <n v="27"/>
    <s v="Bank Transfer"/>
    <s v="Bi-Weekly"/>
    <s v="Bi-Weekly"/>
    <n v="2"/>
  </r>
  <r>
    <x v="3016"/>
    <n v="30"/>
    <x v="1"/>
    <s v="Blouse"/>
    <x v="0"/>
    <n v="26"/>
    <x v="27"/>
    <s v="L"/>
    <s v="Lavender"/>
    <s v="Summer"/>
    <n v="4.9000000000000004"/>
    <s v="No"/>
    <s v="Store Pickup"/>
    <s v="No"/>
    <s v="No"/>
    <n v="31"/>
    <s v="Bank Transfer"/>
    <s v="Quarterly"/>
    <s v="Quarterly"/>
    <n v="5"/>
  </r>
  <r>
    <x v="3017"/>
    <n v="58"/>
    <x v="1"/>
    <s v="Sunglasses"/>
    <x v="3"/>
    <n v="71"/>
    <x v="48"/>
    <s v="S"/>
    <s v="Purple"/>
    <s v="Summer"/>
    <n v="3.3"/>
    <s v="No"/>
    <s v="Next Day Air"/>
    <s v="No"/>
    <s v="No"/>
    <n v="24"/>
    <s v="Cash"/>
    <s v="Bi-Weekly"/>
    <s v="Bi-Weekly"/>
    <n v="2"/>
  </r>
  <r>
    <x v="3018"/>
    <n v="43"/>
    <x v="1"/>
    <s v="Boots"/>
    <x v="1"/>
    <n v="41"/>
    <x v="21"/>
    <s v="M"/>
    <s v="Green"/>
    <s v="Summer"/>
    <n v="3"/>
    <s v="No"/>
    <s v="Free Shipping"/>
    <s v="No"/>
    <s v="No"/>
    <n v="21"/>
    <s v="Debit Card"/>
    <s v="Bi-Weekly"/>
    <s v="Bi-Weekly"/>
    <n v="2"/>
  </r>
  <r>
    <x v="3019"/>
    <n v="19"/>
    <x v="1"/>
    <s v="Jacket"/>
    <x v="2"/>
    <n v="44"/>
    <x v="40"/>
    <s v="M"/>
    <s v="Yellow"/>
    <s v="Winter"/>
    <n v="3.9"/>
    <s v="No"/>
    <s v="2-Day Shipping"/>
    <s v="No"/>
    <s v="No"/>
    <n v="15"/>
    <s v="PayPal"/>
    <s v="Annually"/>
    <s v="Annually"/>
    <n v="6"/>
  </r>
  <r>
    <x v="3020"/>
    <n v="23"/>
    <x v="1"/>
    <s v="Jeans"/>
    <x v="0"/>
    <n v="81"/>
    <x v="10"/>
    <s v="S"/>
    <s v="Charcoal"/>
    <s v="Fall"/>
    <n v="2.8"/>
    <s v="No"/>
    <s v="Store Pickup"/>
    <s v="No"/>
    <s v="No"/>
    <n v="48"/>
    <s v="Venmo"/>
    <s v="Every 3 Months"/>
    <s v="Quarterly"/>
    <n v="5"/>
  </r>
  <r>
    <x v="3021"/>
    <n v="65"/>
    <x v="1"/>
    <s v="Sunglasses"/>
    <x v="3"/>
    <n v="77"/>
    <x v="38"/>
    <s v="S"/>
    <s v="Blue"/>
    <s v="Summer"/>
    <n v="4.5"/>
    <s v="No"/>
    <s v="2-Day Shipping"/>
    <s v="No"/>
    <s v="No"/>
    <n v="47"/>
    <s v="Cash"/>
    <s v="Quarterly"/>
    <s v="Quarterly"/>
    <n v="5"/>
  </r>
  <r>
    <x v="3022"/>
    <n v="58"/>
    <x v="1"/>
    <s v="Sandals"/>
    <x v="1"/>
    <n v="26"/>
    <x v="42"/>
    <s v="M"/>
    <s v="Lavender"/>
    <s v="Fall"/>
    <n v="4"/>
    <s v="No"/>
    <s v="Free Shipping"/>
    <s v="No"/>
    <s v="No"/>
    <n v="23"/>
    <s v="PayPal"/>
    <s v="Weekly"/>
    <s v="Weekly"/>
    <n v="1"/>
  </r>
  <r>
    <x v="3023"/>
    <n v="50"/>
    <x v="1"/>
    <s v="Backpack"/>
    <x v="3"/>
    <n v="31"/>
    <x v="27"/>
    <s v="M"/>
    <s v="Brown"/>
    <s v="Summer"/>
    <n v="2.9"/>
    <s v="No"/>
    <s v="Express"/>
    <s v="No"/>
    <s v="No"/>
    <n v="4"/>
    <s v="PayPal"/>
    <s v="Quarterly"/>
    <s v="Quarterly"/>
    <n v="5"/>
  </r>
  <r>
    <x v="3024"/>
    <n v="67"/>
    <x v="1"/>
    <s v="Blouse"/>
    <x v="0"/>
    <n v="82"/>
    <x v="37"/>
    <s v="S"/>
    <s v="White"/>
    <s v="Spring"/>
    <n v="4"/>
    <s v="No"/>
    <s v="Free Shipping"/>
    <s v="No"/>
    <s v="No"/>
    <n v="47"/>
    <s v="Credit Card"/>
    <s v="Every 3 Months"/>
    <s v="Quarterly"/>
    <n v="5"/>
  </r>
  <r>
    <x v="3025"/>
    <n v="40"/>
    <x v="1"/>
    <s v="Shoes"/>
    <x v="1"/>
    <n v="60"/>
    <x v="6"/>
    <s v="XL"/>
    <s v="Green"/>
    <s v="Summer"/>
    <n v="3.4"/>
    <s v="No"/>
    <s v="Store Pickup"/>
    <s v="No"/>
    <s v="No"/>
    <n v="7"/>
    <s v="PayPal"/>
    <s v="Monthly"/>
    <s v="Monthly"/>
    <n v="4"/>
  </r>
  <r>
    <x v="3026"/>
    <n v="55"/>
    <x v="1"/>
    <s v="Shirt"/>
    <x v="0"/>
    <n v="70"/>
    <x v="30"/>
    <s v="L"/>
    <s v="Magenta"/>
    <s v="Fall"/>
    <n v="2.5"/>
    <s v="No"/>
    <s v="Free Shipping"/>
    <s v="No"/>
    <s v="No"/>
    <n v="6"/>
    <s v="Credit Card"/>
    <s v="Annually"/>
    <s v="Annually"/>
    <n v="6"/>
  </r>
  <r>
    <x v="3027"/>
    <n v="52"/>
    <x v="1"/>
    <s v="Hoodie"/>
    <x v="0"/>
    <n v="26"/>
    <x v="8"/>
    <s v="XL"/>
    <s v="Peach"/>
    <s v="Winter"/>
    <n v="2.8"/>
    <s v="No"/>
    <s v="2-Day Shipping"/>
    <s v="No"/>
    <s v="No"/>
    <n v="47"/>
    <s v="Credit Card"/>
    <s v="Quarterly"/>
    <s v="Quarterly"/>
    <n v="5"/>
  </r>
  <r>
    <x v="3028"/>
    <n v="62"/>
    <x v="1"/>
    <s v="Dress"/>
    <x v="0"/>
    <n v="100"/>
    <x v="18"/>
    <s v="L"/>
    <s v="Charcoal"/>
    <s v="Summer"/>
    <n v="3"/>
    <s v="No"/>
    <s v="Free Shipping"/>
    <s v="No"/>
    <s v="No"/>
    <n v="7"/>
    <s v="PayPal"/>
    <s v="Every 3 Months"/>
    <s v="Quarterly"/>
    <n v="5"/>
  </r>
  <r>
    <x v="3029"/>
    <n v="64"/>
    <x v="1"/>
    <s v="Dress"/>
    <x v="0"/>
    <n v="82"/>
    <x v="42"/>
    <s v="M"/>
    <s v="Gold"/>
    <s v="Summer"/>
    <n v="3.1"/>
    <s v="No"/>
    <s v="Free Shipping"/>
    <s v="No"/>
    <s v="No"/>
    <n v="1"/>
    <s v="Debit Card"/>
    <s v="Quarterly"/>
    <s v="Quarterly"/>
    <n v="5"/>
  </r>
  <r>
    <x v="3030"/>
    <n v="43"/>
    <x v="1"/>
    <s v="Sneakers"/>
    <x v="1"/>
    <n v="24"/>
    <x v="33"/>
    <s v="XL"/>
    <s v="Purple"/>
    <s v="Spring"/>
    <n v="2.6"/>
    <s v="No"/>
    <s v="2-Day Shipping"/>
    <s v="No"/>
    <s v="No"/>
    <n v="23"/>
    <s v="Credit Card"/>
    <s v="Weekly"/>
    <s v="Weekly"/>
    <n v="1"/>
  </r>
  <r>
    <x v="3031"/>
    <n v="61"/>
    <x v="1"/>
    <s v="Blouse"/>
    <x v="0"/>
    <n v="74"/>
    <x v="37"/>
    <s v="L"/>
    <s v="Teal"/>
    <s v="Summer"/>
    <n v="4.9000000000000004"/>
    <s v="No"/>
    <s v="2-Day Shipping"/>
    <s v="No"/>
    <s v="No"/>
    <n v="30"/>
    <s v="Credit Card"/>
    <s v="Monthly"/>
    <s v="Monthly"/>
    <n v="4"/>
  </r>
  <r>
    <x v="3032"/>
    <n v="26"/>
    <x v="1"/>
    <s v="Backpack"/>
    <x v="3"/>
    <n v="58"/>
    <x v="18"/>
    <s v="XL"/>
    <s v="Green"/>
    <s v="Summer"/>
    <n v="3.5"/>
    <s v="No"/>
    <s v="Next Day Air"/>
    <s v="No"/>
    <s v="No"/>
    <n v="24"/>
    <s v="Credit Card"/>
    <s v="Quarterly"/>
    <s v="Quarterly"/>
    <n v="5"/>
  </r>
  <r>
    <x v="3033"/>
    <n v="22"/>
    <x v="1"/>
    <s v="Sweater"/>
    <x v="0"/>
    <n v="56"/>
    <x v="15"/>
    <s v="L"/>
    <s v="Orange"/>
    <s v="Spring"/>
    <n v="2.6"/>
    <s v="No"/>
    <s v="Store Pickup"/>
    <s v="No"/>
    <s v="No"/>
    <n v="9"/>
    <s v="PayPal"/>
    <s v="Weekly"/>
    <s v="Weekly"/>
    <n v="1"/>
  </r>
  <r>
    <x v="3034"/>
    <n v="51"/>
    <x v="1"/>
    <s v="Boots"/>
    <x v="1"/>
    <n v="37"/>
    <x v="40"/>
    <s v="L"/>
    <s v="Peach"/>
    <s v="Spring"/>
    <n v="3.5"/>
    <s v="No"/>
    <s v="2-Day Shipping"/>
    <s v="No"/>
    <s v="No"/>
    <n v="25"/>
    <s v="Credit Card"/>
    <s v="Quarterly"/>
    <s v="Quarterly"/>
    <n v="5"/>
  </r>
  <r>
    <x v="3035"/>
    <n v="69"/>
    <x v="1"/>
    <s v="Handbag"/>
    <x v="3"/>
    <n v="64"/>
    <x v="0"/>
    <s v="M"/>
    <s v="Gold"/>
    <s v="Spring"/>
    <n v="4.5"/>
    <s v="No"/>
    <s v="Free Shipping"/>
    <s v="No"/>
    <s v="No"/>
    <n v="18"/>
    <s v="Cash"/>
    <s v="Bi-Weekly"/>
    <s v="Bi-Weekly"/>
    <n v="2"/>
  </r>
  <r>
    <x v="3036"/>
    <n v="50"/>
    <x v="1"/>
    <s v="Hoodie"/>
    <x v="0"/>
    <n v="58"/>
    <x v="34"/>
    <s v="S"/>
    <s v="Violet"/>
    <s v="Spring"/>
    <n v="4.3"/>
    <s v="No"/>
    <s v="Next Day Air"/>
    <s v="No"/>
    <s v="No"/>
    <n v="7"/>
    <s v="Venmo"/>
    <s v="Fortnightly"/>
    <s v="Fortnightly"/>
    <n v="3"/>
  </r>
  <r>
    <x v="3037"/>
    <n v="51"/>
    <x v="1"/>
    <s v="Belt"/>
    <x v="3"/>
    <n v="44"/>
    <x v="44"/>
    <s v="L"/>
    <s v="Charcoal"/>
    <s v="Summer"/>
    <n v="4.8"/>
    <s v="No"/>
    <s v="Next Day Air"/>
    <s v="No"/>
    <s v="No"/>
    <n v="2"/>
    <s v="Cash"/>
    <s v="Annually"/>
    <s v="Annually"/>
    <n v="6"/>
  </r>
  <r>
    <x v="3038"/>
    <n v="56"/>
    <x v="1"/>
    <s v="Jewelry"/>
    <x v="3"/>
    <n v="39"/>
    <x v="42"/>
    <s v="M"/>
    <s v="Brown"/>
    <s v="Summer"/>
    <n v="4.2"/>
    <s v="No"/>
    <s v="Free Shipping"/>
    <s v="No"/>
    <s v="No"/>
    <n v="36"/>
    <s v="Debit Card"/>
    <s v="Annually"/>
    <s v="Annually"/>
    <n v="6"/>
  </r>
  <r>
    <x v="3039"/>
    <n v="59"/>
    <x v="1"/>
    <s v="Blouse"/>
    <x v="0"/>
    <n v="48"/>
    <x v="15"/>
    <s v="L"/>
    <s v="Blue"/>
    <s v="Spring"/>
    <n v="3.2"/>
    <s v="No"/>
    <s v="Next Day Air"/>
    <s v="No"/>
    <s v="No"/>
    <n v="31"/>
    <s v="PayPal"/>
    <s v="Bi-Weekly"/>
    <s v="Bi-Weekly"/>
    <n v="2"/>
  </r>
  <r>
    <x v="3040"/>
    <n v="18"/>
    <x v="1"/>
    <s v="Handbag"/>
    <x v="3"/>
    <n v="32"/>
    <x v="43"/>
    <s v="M"/>
    <s v="Gold"/>
    <s v="Fall"/>
    <n v="4.0999999999999996"/>
    <s v="No"/>
    <s v="Express"/>
    <s v="No"/>
    <s v="No"/>
    <n v="10"/>
    <s v="Cash"/>
    <s v="Fortnightly"/>
    <s v="Fortnightly"/>
    <n v="3"/>
  </r>
  <r>
    <x v="3041"/>
    <n v="48"/>
    <x v="1"/>
    <s v="Handbag"/>
    <x v="3"/>
    <n v="79"/>
    <x v="3"/>
    <s v="M"/>
    <s v="Orange"/>
    <s v="Winter"/>
    <n v="4"/>
    <s v="No"/>
    <s v="Express"/>
    <s v="No"/>
    <s v="No"/>
    <n v="27"/>
    <s v="PayPal"/>
    <s v="Monthly"/>
    <s v="Monthly"/>
    <n v="4"/>
  </r>
  <r>
    <x v="3042"/>
    <n v="53"/>
    <x v="1"/>
    <s v="Coat"/>
    <x v="2"/>
    <n v="27"/>
    <x v="45"/>
    <s v="L"/>
    <s v="Turquoise"/>
    <s v="Winter"/>
    <n v="2.9"/>
    <s v="No"/>
    <s v="Next Day Air"/>
    <s v="No"/>
    <s v="No"/>
    <n v="14"/>
    <s v="PayPal"/>
    <s v="Every 3 Months"/>
    <s v="Quarterly"/>
    <n v="5"/>
  </r>
  <r>
    <x v="3043"/>
    <n v="45"/>
    <x v="1"/>
    <s v="Belt"/>
    <x v="3"/>
    <n v="98"/>
    <x v="26"/>
    <s v="S"/>
    <s v="Peach"/>
    <s v="Fall"/>
    <n v="2.6"/>
    <s v="No"/>
    <s v="Store Pickup"/>
    <s v="No"/>
    <s v="No"/>
    <n v="17"/>
    <s v="Credit Card"/>
    <s v="Monthly"/>
    <s v="Monthly"/>
    <n v="4"/>
  </r>
  <r>
    <x v="3044"/>
    <n v="21"/>
    <x v="1"/>
    <s v="Boots"/>
    <x v="1"/>
    <n v="67"/>
    <x v="17"/>
    <s v="M"/>
    <s v="Magenta"/>
    <s v="Winter"/>
    <n v="2.7"/>
    <s v="No"/>
    <s v="Free Shipping"/>
    <s v="No"/>
    <s v="No"/>
    <n v="10"/>
    <s v="Bank Transfer"/>
    <s v="Quarterly"/>
    <s v="Quarterly"/>
    <n v="5"/>
  </r>
  <r>
    <x v="3045"/>
    <n v="42"/>
    <x v="1"/>
    <s v="Socks"/>
    <x v="0"/>
    <n v="37"/>
    <x v="20"/>
    <s v="L"/>
    <s v="Black"/>
    <s v="Winter"/>
    <n v="4.5999999999999996"/>
    <s v="No"/>
    <s v="2-Day Shipping"/>
    <s v="No"/>
    <s v="No"/>
    <n v="4"/>
    <s v="PayPal"/>
    <s v="Bi-Weekly"/>
    <s v="Bi-Weekly"/>
    <n v="2"/>
  </r>
  <r>
    <x v="3046"/>
    <n v="60"/>
    <x v="1"/>
    <s v="Shoes"/>
    <x v="1"/>
    <n v="49"/>
    <x v="38"/>
    <s v="M"/>
    <s v="White"/>
    <s v="Spring"/>
    <n v="3.2"/>
    <s v="No"/>
    <s v="Store Pickup"/>
    <s v="No"/>
    <s v="No"/>
    <n v="25"/>
    <s v="Cash"/>
    <s v="Every 3 Months"/>
    <s v="Quarterly"/>
    <n v="5"/>
  </r>
  <r>
    <x v="3047"/>
    <n v="21"/>
    <x v="1"/>
    <s v="Sneakers"/>
    <x v="1"/>
    <n v="74"/>
    <x v="34"/>
    <s v="M"/>
    <s v="Violet"/>
    <s v="Fall"/>
    <n v="4.0999999999999996"/>
    <s v="No"/>
    <s v="2-Day Shipping"/>
    <s v="No"/>
    <s v="No"/>
    <n v="3"/>
    <s v="PayPal"/>
    <s v="Bi-Weekly"/>
    <s v="Bi-Weekly"/>
    <n v="2"/>
  </r>
  <r>
    <x v="3048"/>
    <n v="69"/>
    <x v="1"/>
    <s v="Jewelry"/>
    <x v="3"/>
    <n v="93"/>
    <x v="24"/>
    <s v="M"/>
    <s v="Olive"/>
    <s v="Summer"/>
    <n v="3.9"/>
    <s v="No"/>
    <s v="Standard"/>
    <s v="No"/>
    <s v="No"/>
    <n v="47"/>
    <s v="Venmo"/>
    <s v="Fortnightly"/>
    <s v="Fortnightly"/>
    <n v="3"/>
  </r>
  <r>
    <x v="3049"/>
    <n v="40"/>
    <x v="1"/>
    <s v="Handbag"/>
    <x v="3"/>
    <n v="60"/>
    <x v="40"/>
    <s v="L"/>
    <s v="Red"/>
    <s v="Summer"/>
    <n v="3"/>
    <s v="No"/>
    <s v="Next Day Air"/>
    <s v="No"/>
    <s v="No"/>
    <n v="41"/>
    <s v="Bank Transfer"/>
    <s v="Bi-Weekly"/>
    <s v="Bi-Weekly"/>
    <n v="2"/>
  </r>
  <r>
    <x v="3050"/>
    <n v="31"/>
    <x v="1"/>
    <s v="Coat"/>
    <x v="2"/>
    <n v="76"/>
    <x v="0"/>
    <s v="S"/>
    <s v="Green"/>
    <s v="Spring"/>
    <n v="3.6"/>
    <s v="No"/>
    <s v="Standard"/>
    <s v="No"/>
    <s v="No"/>
    <n v="28"/>
    <s v="Venmo"/>
    <s v="Every 3 Months"/>
    <s v="Quarterly"/>
    <n v="5"/>
  </r>
  <r>
    <x v="3051"/>
    <n v="44"/>
    <x v="1"/>
    <s v="Sunglasses"/>
    <x v="3"/>
    <n v="64"/>
    <x v="5"/>
    <s v="L"/>
    <s v="Gold"/>
    <s v="Summer"/>
    <n v="4.5999999999999996"/>
    <s v="No"/>
    <s v="Express"/>
    <s v="No"/>
    <s v="No"/>
    <n v="49"/>
    <s v="Debit Card"/>
    <s v="Every 3 Months"/>
    <s v="Quarterly"/>
    <n v="5"/>
  </r>
  <r>
    <x v="3052"/>
    <n v="48"/>
    <x v="1"/>
    <s v="Shoes"/>
    <x v="1"/>
    <n v="38"/>
    <x v="1"/>
    <s v="XL"/>
    <s v="Olive"/>
    <s v="Spring"/>
    <n v="4.5"/>
    <s v="No"/>
    <s v="Store Pickup"/>
    <s v="No"/>
    <s v="No"/>
    <n v="7"/>
    <s v="Bank Transfer"/>
    <s v="Fortnightly"/>
    <s v="Fortnightly"/>
    <n v="3"/>
  </r>
  <r>
    <x v="3053"/>
    <n v="32"/>
    <x v="1"/>
    <s v="Shoes"/>
    <x v="1"/>
    <n v="91"/>
    <x v="1"/>
    <s v="L"/>
    <s v="Brown"/>
    <s v="Winter"/>
    <n v="3.2"/>
    <s v="No"/>
    <s v="Next Day Air"/>
    <s v="No"/>
    <s v="No"/>
    <n v="22"/>
    <s v="Bank Transfer"/>
    <s v="Monthly"/>
    <s v="Monthly"/>
    <n v="4"/>
  </r>
  <r>
    <x v="3054"/>
    <n v="42"/>
    <x v="1"/>
    <s v="Boots"/>
    <x v="1"/>
    <n v="70"/>
    <x v="13"/>
    <s v="S"/>
    <s v="Magenta"/>
    <s v="Summer"/>
    <n v="4.9000000000000004"/>
    <s v="No"/>
    <s v="2-Day Shipping"/>
    <s v="No"/>
    <s v="No"/>
    <n v="34"/>
    <s v="Venmo"/>
    <s v="Monthly"/>
    <s v="Monthly"/>
    <n v="4"/>
  </r>
  <r>
    <x v="3055"/>
    <n v="27"/>
    <x v="1"/>
    <s v="Sandals"/>
    <x v="1"/>
    <n v="22"/>
    <x v="23"/>
    <s v="M"/>
    <s v="Violet"/>
    <s v="Fall"/>
    <n v="5"/>
    <s v="No"/>
    <s v="Standard"/>
    <s v="No"/>
    <s v="No"/>
    <n v="5"/>
    <s v="Debit Card"/>
    <s v="Bi-Weekly"/>
    <s v="Bi-Weekly"/>
    <n v="2"/>
  </r>
  <r>
    <x v="3056"/>
    <n v="69"/>
    <x v="1"/>
    <s v="Gloves"/>
    <x v="3"/>
    <n v="59"/>
    <x v="32"/>
    <s v="M"/>
    <s v="Beige"/>
    <s v="Spring"/>
    <n v="3.8"/>
    <s v="No"/>
    <s v="Standard"/>
    <s v="No"/>
    <s v="No"/>
    <n v="15"/>
    <s v="Cash"/>
    <s v="Bi-Weekly"/>
    <s v="Bi-Weekly"/>
    <n v="2"/>
  </r>
  <r>
    <x v="3057"/>
    <n v="67"/>
    <x v="1"/>
    <s v="Backpack"/>
    <x v="3"/>
    <n v="22"/>
    <x v="17"/>
    <s v="M"/>
    <s v="Blue"/>
    <s v="Spring"/>
    <n v="3.4"/>
    <s v="No"/>
    <s v="Next Day Air"/>
    <s v="No"/>
    <s v="No"/>
    <n v="26"/>
    <s v="Bank Transfer"/>
    <s v="Weekly"/>
    <s v="Weekly"/>
    <n v="1"/>
  </r>
  <r>
    <x v="3058"/>
    <n v="41"/>
    <x v="1"/>
    <s v="Handbag"/>
    <x v="3"/>
    <n v="74"/>
    <x v="8"/>
    <s v="S"/>
    <s v="Orange"/>
    <s v="Winter"/>
    <n v="3.8"/>
    <s v="No"/>
    <s v="Store Pickup"/>
    <s v="No"/>
    <s v="No"/>
    <n v="3"/>
    <s v="Bank Transfer"/>
    <s v="Fortnightly"/>
    <s v="Fortnightly"/>
    <n v="3"/>
  </r>
  <r>
    <x v="3059"/>
    <n v="46"/>
    <x v="1"/>
    <s v="Sweater"/>
    <x v="0"/>
    <n v="71"/>
    <x v="0"/>
    <s v="L"/>
    <s v="Maroon"/>
    <s v="Spring"/>
    <n v="3.2"/>
    <s v="No"/>
    <s v="Express"/>
    <s v="No"/>
    <s v="No"/>
    <n v="42"/>
    <s v="Credit Card"/>
    <s v="Quarterly"/>
    <s v="Quarterly"/>
    <n v="5"/>
  </r>
  <r>
    <x v="3060"/>
    <n v="47"/>
    <x v="1"/>
    <s v="Coat"/>
    <x v="2"/>
    <n v="80"/>
    <x v="18"/>
    <s v="S"/>
    <s v="Charcoal"/>
    <s v="Summer"/>
    <n v="4.7"/>
    <s v="No"/>
    <s v="Store Pickup"/>
    <s v="No"/>
    <s v="No"/>
    <n v="1"/>
    <s v="Venmo"/>
    <s v="Monthly"/>
    <s v="Monthly"/>
    <n v="4"/>
  </r>
  <r>
    <x v="3061"/>
    <n v="33"/>
    <x v="1"/>
    <s v="T-shirt"/>
    <x v="0"/>
    <n v="59"/>
    <x v="45"/>
    <s v="L"/>
    <s v="Olive"/>
    <s v="Fall"/>
    <n v="4.5"/>
    <s v="No"/>
    <s v="Express"/>
    <s v="No"/>
    <s v="No"/>
    <n v="20"/>
    <s v="PayPal"/>
    <s v="Every 3 Months"/>
    <s v="Quarterly"/>
    <n v="5"/>
  </r>
  <r>
    <x v="3062"/>
    <n v="51"/>
    <x v="1"/>
    <s v="Backpack"/>
    <x v="3"/>
    <n v="96"/>
    <x v="18"/>
    <s v="L"/>
    <s v="Green"/>
    <s v="Fall"/>
    <n v="3.3"/>
    <s v="No"/>
    <s v="Standard"/>
    <s v="No"/>
    <s v="No"/>
    <n v="39"/>
    <s v="PayPal"/>
    <s v="Monthly"/>
    <s v="Monthly"/>
    <n v="4"/>
  </r>
  <r>
    <x v="3063"/>
    <n v="26"/>
    <x v="1"/>
    <s v="Sunglasses"/>
    <x v="3"/>
    <n v="43"/>
    <x v="39"/>
    <s v="L"/>
    <s v="Brown"/>
    <s v="Winter"/>
    <n v="3.9"/>
    <s v="No"/>
    <s v="Store Pickup"/>
    <s v="No"/>
    <s v="No"/>
    <n v="24"/>
    <s v="Credit Card"/>
    <s v="Fortnightly"/>
    <s v="Fortnightly"/>
    <n v="3"/>
  </r>
  <r>
    <x v="3064"/>
    <n v="22"/>
    <x v="1"/>
    <s v="Belt"/>
    <x v="3"/>
    <n v="76"/>
    <x v="37"/>
    <s v="S"/>
    <s v="Cyan"/>
    <s v="Winter"/>
    <n v="3.6"/>
    <s v="No"/>
    <s v="Express"/>
    <s v="No"/>
    <s v="No"/>
    <n v="49"/>
    <s v="Bank Transfer"/>
    <s v="Quarterly"/>
    <s v="Quarterly"/>
    <n v="5"/>
  </r>
  <r>
    <x v="3065"/>
    <n v="49"/>
    <x v="1"/>
    <s v="Jacket"/>
    <x v="2"/>
    <n v="59"/>
    <x v="25"/>
    <s v="M"/>
    <s v="Beige"/>
    <s v="Fall"/>
    <n v="2.8"/>
    <s v="No"/>
    <s v="Store Pickup"/>
    <s v="No"/>
    <s v="No"/>
    <n v="7"/>
    <s v="Venmo"/>
    <s v="Bi-Weekly"/>
    <s v="Bi-Weekly"/>
    <n v="2"/>
  </r>
  <r>
    <x v="3066"/>
    <n v="58"/>
    <x v="1"/>
    <s v="Skirt"/>
    <x v="0"/>
    <n v="48"/>
    <x v="49"/>
    <s v="L"/>
    <s v="Teal"/>
    <s v="Summer"/>
    <n v="4.3"/>
    <s v="No"/>
    <s v="Free Shipping"/>
    <s v="No"/>
    <s v="No"/>
    <n v="13"/>
    <s v="Venmo"/>
    <s v="Every 3 Months"/>
    <s v="Quarterly"/>
    <n v="5"/>
  </r>
  <r>
    <x v="3067"/>
    <n v="70"/>
    <x v="1"/>
    <s v="Belt"/>
    <x v="3"/>
    <n v="22"/>
    <x v="9"/>
    <s v="S"/>
    <s v="Gray"/>
    <s v="Spring"/>
    <n v="3.5"/>
    <s v="No"/>
    <s v="Free Shipping"/>
    <s v="No"/>
    <s v="No"/>
    <n v="2"/>
    <s v="Cash"/>
    <s v="Weekly"/>
    <s v="Weekly"/>
    <n v="1"/>
  </r>
  <r>
    <x v="3068"/>
    <n v="32"/>
    <x v="1"/>
    <s v="Boots"/>
    <x v="1"/>
    <n v="40"/>
    <x v="18"/>
    <s v="M"/>
    <s v="Indigo"/>
    <s v="Winter"/>
    <n v="4.2"/>
    <s v="No"/>
    <s v="Express"/>
    <s v="No"/>
    <s v="No"/>
    <n v="4"/>
    <s v="Debit Card"/>
    <s v="Weekly"/>
    <s v="Weekly"/>
    <n v="1"/>
  </r>
  <r>
    <x v="3069"/>
    <n v="62"/>
    <x v="1"/>
    <s v="Jeans"/>
    <x v="0"/>
    <n v="73"/>
    <x v="12"/>
    <s v="L"/>
    <s v="Magenta"/>
    <s v="Spring"/>
    <n v="4.5999999999999996"/>
    <s v="No"/>
    <s v="Express"/>
    <s v="No"/>
    <s v="No"/>
    <n v="17"/>
    <s v="Debit Card"/>
    <s v="Quarterly"/>
    <s v="Quarterly"/>
    <n v="5"/>
  </r>
  <r>
    <x v="3070"/>
    <n v="52"/>
    <x v="1"/>
    <s v="Shoes"/>
    <x v="1"/>
    <n v="26"/>
    <x v="15"/>
    <s v="XL"/>
    <s v="Red"/>
    <s v="Fall"/>
    <n v="2.6"/>
    <s v="No"/>
    <s v="Free Shipping"/>
    <s v="No"/>
    <s v="No"/>
    <n v="43"/>
    <s v="PayPal"/>
    <s v="Bi-Weekly"/>
    <s v="Bi-Weekly"/>
    <n v="2"/>
  </r>
  <r>
    <x v="3071"/>
    <n v="23"/>
    <x v="1"/>
    <s v="Sweater"/>
    <x v="0"/>
    <n v="41"/>
    <x v="13"/>
    <s v="L"/>
    <s v="Turquoise"/>
    <s v="Spring"/>
    <n v="3.4"/>
    <s v="No"/>
    <s v="Next Day Air"/>
    <s v="No"/>
    <s v="No"/>
    <n v="6"/>
    <s v="PayPal"/>
    <s v="Monthly"/>
    <s v="Monthly"/>
    <n v="4"/>
  </r>
  <r>
    <x v="3072"/>
    <n v="26"/>
    <x v="1"/>
    <s v="Jewelry"/>
    <x v="3"/>
    <n v="98"/>
    <x v="14"/>
    <s v="L"/>
    <s v="Peach"/>
    <s v="Spring"/>
    <n v="3.1"/>
    <s v="No"/>
    <s v="Standard"/>
    <s v="No"/>
    <s v="No"/>
    <n v="46"/>
    <s v="PayPal"/>
    <s v="Quarterly"/>
    <s v="Quarterly"/>
    <n v="5"/>
  </r>
  <r>
    <x v="3073"/>
    <n v="58"/>
    <x v="1"/>
    <s v="Shirt"/>
    <x v="0"/>
    <n v="63"/>
    <x v="4"/>
    <s v="L"/>
    <s v="White"/>
    <s v="Winter"/>
    <n v="3.6"/>
    <s v="No"/>
    <s v="Free Shipping"/>
    <s v="No"/>
    <s v="No"/>
    <n v="7"/>
    <s v="Debit Card"/>
    <s v="Bi-Weekly"/>
    <s v="Bi-Weekly"/>
    <n v="2"/>
  </r>
  <r>
    <x v="3074"/>
    <n v="26"/>
    <x v="1"/>
    <s v="Boots"/>
    <x v="1"/>
    <n v="55"/>
    <x v="2"/>
    <s v="L"/>
    <s v="Maroon"/>
    <s v="Winter"/>
    <n v="4.2"/>
    <s v="No"/>
    <s v="Next Day Air"/>
    <s v="No"/>
    <s v="No"/>
    <n v="34"/>
    <s v="Debit Card"/>
    <s v="Fortnightly"/>
    <s v="Fortnightly"/>
    <n v="3"/>
  </r>
  <r>
    <x v="3075"/>
    <n v="54"/>
    <x v="1"/>
    <s v="Shorts"/>
    <x v="0"/>
    <n v="90"/>
    <x v="40"/>
    <s v="XL"/>
    <s v="Beige"/>
    <s v="Winter"/>
    <n v="3.6"/>
    <s v="No"/>
    <s v="Standard"/>
    <s v="No"/>
    <s v="No"/>
    <n v="21"/>
    <s v="PayPal"/>
    <s v="Every 3 Months"/>
    <s v="Quarterly"/>
    <n v="5"/>
  </r>
  <r>
    <x v="3076"/>
    <n v="66"/>
    <x v="1"/>
    <s v="Handbag"/>
    <x v="3"/>
    <n v="46"/>
    <x v="13"/>
    <s v="M"/>
    <s v="Blue"/>
    <s v="Summer"/>
    <n v="3.6"/>
    <s v="No"/>
    <s v="Express"/>
    <s v="No"/>
    <s v="No"/>
    <n v="13"/>
    <s v="Venmo"/>
    <s v="Bi-Weekly"/>
    <s v="Bi-Weekly"/>
    <n v="2"/>
  </r>
  <r>
    <x v="3077"/>
    <n v="60"/>
    <x v="1"/>
    <s v="Sweater"/>
    <x v="0"/>
    <n v="88"/>
    <x v="26"/>
    <s v="S"/>
    <s v="Red"/>
    <s v="Spring"/>
    <n v="3"/>
    <s v="No"/>
    <s v="Store Pickup"/>
    <s v="No"/>
    <s v="No"/>
    <n v="33"/>
    <s v="Debit Card"/>
    <s v="Bi-Weekly"/>
    <s v="Bi-Weekly"/>
    <n v="2"/>
  </r>
  <r>
    <x v="3078"/>
    <n v="32"/>
    <x v="1"/>
    <s v="Belt"/>
    <x v="3"/>
    <n v="95"/>
    <x v="29"/>
    <s v="M"/>
    <s v="Blue"/>
    <s v="Spring"/>
    <n v="2.5"/>
    <s v="No"/>
    <s v="2-Day Shipping"/>
    <s v="No"/>
    <s v="No"/>
    <n v="24"/>
    <s v="Bank Transfer"/>
    <s v="Bi-Weekly"/>
    <s v="Bi-Weekly"/>
    <n v="2"/>
  </r>
  <r>
    <x v="3079"/>
    <n v="48"/>
    <x v="1"/>
    <s v="Belt"/>
    <x v="3"/>
    <n v="31"/>
    <x v="5"/>
    <s v="M"/>
    <s v="Maroon"/>
    <s v="Fall"/>
    <n v="4"/>
    <s v="No"/>
    <s v="Store Pickup"/>
    <s v="No"/>
    <s v="No"/>
    <n v="4"/>
    <s v="Bank Transfer"/>
    <s v="Annually"/>
    <s v="Annually"/>
    <n v="6"/>
  </r>
  <r>
    <x v="3080"/>
    <n v="69"/>
    <x v="1"/>
    <s v="Hoodie"/>
    <x v="0"/>
    <n v="42"/>
    <x v="24"/>
    <s v="L"/>
    <s v="Yellow"/>
    <s v="Spring"/>
    <n v="4.0999999999999996"/>
    <s v="No"/>
    <s v="Next Day Air"/>
    <s v="No"/>
    <s v="No"/>
    <n v="5"/>
    <s v="Cash"/>
    <s v="Bi-Weekly"/>
    <s v="Bi-Weekly"/>
    <n v="2"/>
  </r>
  <r>
    <x v="3081"/>
    <n v="64"/>
    <x v="1"/>
    <s v="Sneakers"/>
    <x v="1"/>
    <n v="44"/>
    <x v="34"/>
    <s v="L"/>
    <s v="Pink"/>
    <s v="Winter"/>
    <n v="4.9000000000000004"/>
    <s v="No"/>
    <s v="Next Day Air"/>
    <s v="No"/>
    <s v="No"/>
    <n v="11"/>
    <s v="Credit Card"/>
    <s v="Weekly"/>
    <s v="Weekly"/>
    <n v="1"/>
  </r>
  <r>
    <x v="3082"/>
    <n v="56"/>
    <x v="1"/>
    <s v="T-shirt"/>
    <x v="0"/>
    <n v="99"/>
    <x v="40"/>
    <s v="M"/>
    <s v="Maroon"/>
    <s v="Spring"/>
    <n v="4"/>
    <s v="No"/>
    <s v="Next Day Air"/>
    <s v="No"/>
    <s v="No"/>
    <n v="20"/>
    <s v="Bank Transfer"/>
    <s v="Annually"/>
    <s v="Annually"/>
    <n v="6"/>
  </r>
  <r>
    <x v="3083"/>
    <n v="22"/>
    <x v="1"/>
    <s v="Pants"/>
    <x v="0"/>
    <n v="20"/>
    <x v="26"/>
    <s v="S"/>
    <s v="Purple"/>
    <s v="Summer"/>
    <n v="3.5"/>
    <s v="No"/>
    <s v="Store Pickup"/>
    <s v="No"/>
    <s v="No"/>
    <n v="28"/>
    <s v="PayPal"/>
    <s v="Quarterly"/>
    <s v="Quarterly"/>
    <n v="5"/>
  </r>
  <r>
    <x v="3084"/>
    <n v="46"/>
    <x v="1"/>
    <s v="Scarf"/>
    <x v="3"/>
    <n v="37"/>
    <x v="37"/>
    <s v="S"/>
    <s v="Indigo"/>
    <s v="Spring"/>
    <n v="3.2"/>
    <s v="No"/>
    <s v="Store Pickup"/>
    <s v="No"/>
    <s v="No"/>
    <n v="43"/>
    <s v="PayPal"/>
    <s v="Monthly"/>
    <s v="Monthly"/>
    <n v="4"/>
  </r>
  <r>
    <x v="3085"/>
    <n v="24"/>
    <x v="1"/>
    <s v="Sweater"/>
    <x v="0"/>
    <n v="50"/>
    <x v="22"/>
    <s v="L"/>
    <s v="Gray"/>
    <s v="Winter"/>
    <n v="2.8"/>
    <s v="No"/>
    <s v="Store Pickup"/>
    <s v="No"/>
    <s v="No"/>
    <n v="10"/>
    <s v="Venmo"/>
    <s v="Every 3 Months"/>
    <s v="Quarterly"/>
    <n v="5"/>
  </r>
  <r>
    <x v="3086"/>
    <n v="47"/>
    <x v="1"/>
    <s v="Handbag"/>
    <x v="3"/>
    <n v="73"/>
    <x v="40"/>
    <s v="M"/>
    <s v="Lavender"/>
    <s v="Summer"/>
    <n v="3.5"/>
    <s v="No"/>
    <s v="Next Day Air"/>
    <s v="No"/>
    <s v="No"/>
    <n v="26"/>
    <s v="Venmo"/>
    <s v="Every 3 Months"/>
    <s v="Quarterly"/>
    <n v="5"/>
  </r>
  <r>
    <x v="3087"/>
    <n v="62"/>
    <x v="1"/>
    <s v="Shirt"/>
    <x v="0"/>
    <n v="84"/>
    <x v="17"/>
    <s v="M"/>
    <s v="Charcoal"/>
    <s v="Spring"/>
    <n v="3.1"/>
    <s v="No"/>
    <s v="Free Shipping"/>
    <s v="No"/>
    <s v="No"/>
    <n v="29"/>
    <s v="Bank Transfer"/>
    <s v="Monthly"/>
    <s v="Monthly"/>
    <n v="4"/>
  </r>
  <r>
    <x v="3088"/>
    <n v="34"/>
    <x v="1"/>
    <s v="Dress"/>
    <x v="0"/>
    <n v="64"/>
    <x v="10"/>
    <s v="M"/>
    <s v="Teal"/>
    <s v="Spring"/>
    <n v="3.3"/>
    <s v="No"/>
    <s v="Store Pickup"/>
    <s v="No"/>
    <s v="No"/>
    <n v="35"/>
    <s v="Bank Transfer"/>
    <s v="Quarterly"/>
    <s v="Quarterly"/>
    <n v="5"/>
  </r>
  <r>
    <x v="3089"/>
    <n v="50"/>
    <x v="1"/>
    <s v="Sandals"/>
    <x v="1"/>
    <n v="21"/>
    <x v="17"/>
    <s v="L"/>
    <s v="Blue"/>
    <s v="Fall"/>
    <n v="4.5999999999999996"/>
    <s v="No"/>
    <s v="Free Shipping"/>
    <s v="No"/>
    <s v="No"/>
    <n v="23"/>
    <s v="Cash"/>
    <s v="Bi-Weekly"/>
    <s v="Bi-Weekly"/>
    <n v="2"/>
  </r>
  <r>
    <x v="3090"/>
    <n v="29"/>
    <x v="1"/>
    <s v="Shirt"/>
    <x v="0"/>
    <n v="36"/>
    <x v="21"/>
    <s v="M"/>
    <s v="Peach"/>
    <s v="Summer"/>
    <n v="4.9000000000000004"/>
    <s v="No"/>
    <s v="Store Pickup"/>
    <s v="No"/>
    <s v="No"/>
    <n v="15"/>
    <s v="Bank Transfer"/>
    <s v="Quarterly"/>
    <s v="Quarterly"/>
    <n v="5"/>
  </r>
  <r>
    <x v="3091"/>
    <n v="68"/>
    <x v="1"/>
    <s v="Dress"/>
    <x v="0"/>
    <n v="81"/>
    <x v="22"/>
    <s v="L"/>
    <s v="Orange"/>
    <s v="Winter"/>
    <n v="3.4"/>
    <s v="No"/>
    <s v="2-Day Shipping"/>
    <s v="No"/>
    <s v="No"/>
    <n v="46"/>
    <s v="Credit Card"/>
    <s v="Annually"/>
    <s v="Annually"/>
    <n v="6"/>
  </r>
  <r>
    <x v="3092"/>
    <n v="52"/>
    <x v="1"/>
    <s v="Sunglasses"/>
    <x v="3"/>
    <n v="54"/>
    <x v="40"/>
    <s v="L"/>
    <s v="Silver"/>
    <s v="Fall"/>
    <n v="3.5"/>
    <s v="No"/>
    <s v="Next Day Air"/>
    <s v="No"/>
    <s v="No"/>
    <n v="14"/>
    <s v="Bank Transfer"/>
    <s v="Bi-Weekly"/>
    <s v="Bi-Weekly"/>
    <n v="2"/>
  </r>
  <r>
    <x v="3093"/>
    <n v="29"/>
    <x v="1"/>
    <s v="Socks"/>
    <x v="0"/>
    <n v="63"/>
    <x v="38"/>
    <s v="L"/>
    <s v="Red"/>
    <s v="Summer"/>
    <n v="4.8"/>
    <s v="No"/>
    <s v="Store Pickup"/>
    <s v="No"/>
    <s v="No"/>
    <n v="17"/>
    <s v="Cash"/>
    <s v="Every 3 Months"/>
    <s v="Quarterly"/>
    <n v="5"/>
  </r>
  <r>
    <x v="3094"/>
    <n v="22"/>
    <x v="1"/>
    <s v="Sandals"/>
    <x v="1"/>
    <n v="59"/>
    <x v="42"/>
    <s v="M"/>
    <s v="Gray"/>
    <s v="Summer"/>
    <n v="2.7"/>
    <s v="No"/>
    <s v="Store Pickup"/>
    <s v="No"/>
    <s v="No"/>
    <n v="9"/>
    <s v="Cash"/>
    <s v="Weekly"/>
    <s v="Weekly"/>
    <n v="1"/>
  </r>
  <r>
    <x v="3095"/>
    <n v="62"/>
    <x v="1"/>
    <s v="Hat"/>
    <x v="3"/>
    <n v="53"/>
    <x v="46"/>
    <s v="S"/>
    <s v="Beige"/>
    <s v="Fall"/>
    <n v="3.4"/>
    <s v="No"/>
    <s v="Standard"/>
    <s v="No"/>
    <s v="No"/>
    <n v="13"/>
    <s v="Venmo"/>
    <s v="Fortnightly"/>
    <s v="Fortnightly"/>
    <n v="3"/>
  </r>
  <r>
    <x v="3096"/>
    <n v="69"/>
    <x v="1"/>
    <s v="Shirt"/>
    <x v="0"/>
    <n v="63"/>
    <x v="23"/>
    <s v="L"/>
    <s v="White"/>
    <s v="Winter"/>
    <n v="3.5"/>
    <s v="No"/>
    <s v="Next Day Air"/>
    <s v="No"/>
    <s v="No"/>
    <n v="20"/>
    <s v="Bank Transfer"/>
    <s v="Monthly"/>
    <s v="Monthly"/>
    <n v="4"/>
  </r>
  <r>
    <x v="3097"/>
    <n v="48"/>
    <x v="1"/>
    <s v="Shoes"/>
    <x v="1"/>
    <n v="33"/>
    <x v="12"/>
    <s v="M"/>
    <s v="Silver"/>
    <s v="Fall"/>
    <n v="3.7"/>
    <s v="No"/>
    <s v="Free Shipping"/>
    <s v="No"/>
    <s v="No"/>
    <n v="39"/>
    <s v="Bank Transfer"/>
    <s v="Quarterly"/>
    <s v="Quarterly"/>
    <n v="5"/>
  </r>
  <r>
    <x v="3098"/>
    <n v="66"/>
    <x v="1"/>
    <s v="Pants"/>
    <x v="0"/>
    <n v="64"/>
    <x v="35"/>
    <s v="L"/>
    <s v="Cyan"/>
    <s v="Summer"/>
    <n v="3.3"/>
    <s v="No"/>
    <s v="Next Day Air"/>
    <s v="No"/>
    <s v="No"/>
    <n v="50"/>
    <s v="Bank Transfer"/>
    <s v="Quarterly"/>
    <s v="Quarterly"/>
    <n v="5"/>
  </r>
  <r>
    <x v="3099"/>
    <n v="42"/>
    <x v="1"/>
    <s v="Shirt"/>
    <x v="0"/>
    <n v="98"/>
    <x v="49"/>
    <s v="S"/>
    <s v="Maroon"/>
    <s v="Fall"/>
    <n v="2.9"/>
    <s v="No"/>
    <s v="Free Shipping"/>
    <s v="No"/>
    <s v="No"/>
    <n v="21"/>
    <s v="Bank Transfer"/>
    <s v="Bi-Weekly"/>
    <s v="Bi-Weekly"/>
    <n v="2"/>
  </r>
  <r>
    <x v="3100"/>
    <n v="50"/>
    <x v="1"/>
    <s v="Hat"/>
    <x v="3"/>
    <n v="85"/>
    <x v="34"/>
    <s v="L"/>
    <s v="Purple"/>
    <s v="Winter"/>
    <n v="3.9"/>
    <s v="No"/>
    <s v="Express"/>
    <s v="No"/>
    <s v="No"/>
    <n v="3"/>
    <s v="Bank Transfer"/>
    <s v="Weekly"/>
    <s v="Weekly"/>
    <n v="1"/>
  </r>
  <r>
    <x v="3101"/>
    <n v="32"/>
    <x v="1"/>
    <s v="Jewelry"/>
    <x v="3"/>
    <n v="82"/>
    <x v="37"/>
    <s v="S"/>
    <s v="Brown"/>
    <s v="Summer"/>
    <n v="2.7"/>
    <s v="No"/>
    <s v="Express"/>
    <s v="No"/>
    <s v="No"/>
    <n v="9"/>
    <s v="PayPal"/>
    <s v="Fortnightly"/>
    <s v="Fortnightly"/>
    <n v="3"/>
  </r>
  <r>
    <x v="3102"/>
    <n v="51"/>
    <x v="1"/>
    <s v="Jacket"/>
    <x v="2"/>
    <n v="85"/>
    <x v="45"/>
    <s v="M"/>
    <s v="Green"/>
    <s v="Summer"/>
    <n v="4.3"/>
    <s v="No"/>
    <s v="Standard"/>
    <s v="No"/>
    <s v="No"/>
    <n v="29"/>
    <s v="Cash"/>
    <s v="Bi-Weekly"/>
    <s v="Bi-Weekly"/>
    <n v="2"/>
  </r>
  <r>
    <x v="3103"/>
    <n v="27"/>
    <x v="1"/>
    <s v="Shirt"/>
    <x v="0"/>
    <n v="37"/>
    <x v="26"/>
    <s v="S"/>
    <s v="Peach"/>
    <s v="Winter"/>
    <n v="3"/>
    <s v="No"/>
    <s v="2-Day Shipping"/>
    <s v="No"/>
    <s v="No"/>
    <n v="42"/>
    <s v="Bank Transfer"/>
    <s v="Weekly"/>
    <s v="Weekly"/>
    <n v="1"/>
  </r>
  <r>
    <x v="3104"/>
    <n v="43"/>
    <x v="1"/>
    <s v="Pants"/>
    <x v="0"/>
    <n v="56"/>
    <x v="42"/>
    <s v="S"/>
    <s v="Turquoise"/>
    <s v="Summer"/>
    <n v="5"/>
    <s v="No"/>
    <s v="2-Day Shipping"/>
    <s v="No"/>
    <s v="No"/>
    <n v="41"/>
    <s v="Debit Card"/>
    <s v="Fortnightly"/>
    <s v="Fortnightly"/>
    <n v="3"/>
  </r>
  <r>
    <x v="3105"/>
    <n v="48"/>
    <x v="1"/>
    <s v="Skirt"/>
    <x v="0"/>
    <n v="33"/>
    <x v="4"/>
    <s v="M"/>
    <s v="Olive"/>
    <s v="Fall"/>
    <n v="2.7"/>
    <s v="No"/>
    <s v="Express"/>
    <s v="No"/>
    <s v="No"/>
    <n v="17"/>
    <s v="Debit Card"/>
    <s v="Monthly"/>
    <s v="Monthly"/>
    <n v="4"/>
  </r>
  <r>
    <x v="3106"/>
    <n v="62"/>
    <x v="1"/>
    <s v="Sandals"/>
    <x v="1"/>
    <n v="57"/>
    <x v="15"/>
    <s v="M"/>
    <s v="Yellow"/>
    <s v="Winter"/>
    <n v="4.7"/>
    <s v="No"/>
    <s v="Next Day Air"/>
    <s v="No"/>
    <s v="No"/>
    <n v="20"/>
    <s v="PayPal"/>
    <s v="Annually"/>
    <s v="Annually"/>
    <n v="6"/>
  </r>
  <r>
    <x v="3107"/>
    <n v="65"/>
    <x v="1"/>
    <s v="Blouse"/>
    <x v="0"/>
    <n v="31"/>
    <x v="11"/>
    <s v="L"/>
    <s v="Gray"/>
    <s v="Winter"/>
    <n v="4.5999999999999996"/>
    <s v="No"/>
    <s v="Standard"/>
    <s v="No"/>
    <s v="No"/>
    <n v="18"/>
    <s v="Credit Card"/>
    <s v="Bi-Weekly"/>
    <s v="Bi-Weekly"/>
    <n v="2"/>
  </r>
  <r>
    <x v="3108"/>
    <n v="50"/>
    <x v="1"/>
    <s v="Socks"/>
    <x v="0"/>
    <n v="69"/>
    <x v="4"/>
    <s v="M"/>
    <s v="Purple"/>
    <s v="Fall"/>
    <n v="3.2"/>
    <s v="No"/>
    <s v="2-Day Shipping"/>
    <s v="No"/>
    <s v="No"/>
    <n v="7"/>
    <s v="PayPal"/>
    <s v="Monthly"/>
    <s v="Monthly"/>
    <n v="4"/>
  </r>
  <r>
    <x v="3109"/>
    <n v="60"/>
    <x v="1"/>
    <s v="Jacket"/>
    <x v="2"/>
    <n v="92"/>
    <x v="26"/>
    <s v="M"/>
    <s v="Gray"/>
    <s v="Winter"/>
    <n v="4.3"/>
    <s v="No"/>
    <s v="Free Shipping"/>
    <s v="No"/>
    <s v="No"/>
    <n v="47"/>
    <s v="Bank Transfer"/>
    <s v="Fortnightly"/>
    <s v="Fortnightly"/>
    <n v="3"/>
  </r>
  <r>
    <x v="3110"/>
    <n v="19"/>
    <x v="1"/>
    <s v="Handbag"/>
    <x v="3"/>
    <n v="46"/>
    <x v="21"/>
    <s v="L"/>
    <s v="Lavender"/>
    <s v="Fall"/>
    <n v="4.5999999999999996"/>
    <s v="No"/>
    <s v="Next Day Air"/>
    <s v="No"/>
    <s v="No"/>
    <n v="2"/>
    <s v="Bank Transfer"/>
    <s v="Bi-Weekly"/>
    <s v="Bi-Weekly"/>
    <n v="2"/>
  </r>
  <r>
    <x v="3111"/>
    <n v="21"/>
    <x v="1"/>
    <s v="Belt"/>
    <x v="3"/>
    <n v="81"/>
    <x v="23"/>
    <s v="XL"/>
    <s v="Indigo"/>
    <s v="Spring"/>
    <n v="4.9000000000000004"/>
    <s v="No"/>
    <s v="Free Shipping"/>
    <s v="No"/>
    <s v="No"/>
    <n v="25"/>
    <s v="Debit Card"/>
    <s v="Quarterly"/>
    <s v="Quarterly"/>
    <n v="5"/>
  </r>
  <r>
    <x v="3112"/>
    <n v="19"/>
    <x v="1"/>
    <s v="Blouse"/>
    <x v="0"/>
    <n v="97"/>
    <x v="21"/>
    <s v="S"/>
    <s v="Green"/>
    <s v="Fall"/>
    <n v="3.8"/>
    <s v="No"/>
    <s v="Express"/>
    <s v="No"/>
    <s v="No"/>
    <n v="26"/>
    <s v="Venmo"/>
    <s v="Annually"/>
    <s v="Annually"/>
    <n v="6"/>
  </r>
  <r>
    <x v="3113"/>
    <n v="46"/>
    <x v="1"/>
    <s v="Shirt"/>
    <x v="0"/>
    <n v="93"/>
    <x v="43"/>
    <s v="L"/>
    <s v="Green"/>
    <s v="Summer"/>
    <n v="2.6"/>
    <s v="No"/>
    <s v="Express"/>
    <s v="No"/>
    <s v="No"/>
    <n v="2"/>
    <s v="Debit Card"/>
    <s v="Weekly"/>
    <s v="Weekly"/>
    <n v="1"/>
  </r>
  <r>
    <x v="3114"/>
    <n v="21"/>
    <x v="1"/>
    <s v="Handbag"/>
    <x v="3"/>
    <n v="56"/>
    <x v="10"/>
    <s v="M"/>
    <s v="Olive"/>
    <s v="Spring"/>
    <n v="4.7"/>
    <s v="No"/>
    <s v="Store Pickup"/>
    <s v="No"/>
    <s v="No"/>
    <n v="45"/>
    <s v="Venmo"/>
    <s v="Bi-Weekly"/>
    <s v="Bi-Weekly"/>
    <n v="2"/>
  </r>
  <r>
    <x v="3115"/>
    <n v="26"/>
    <x v="1"/>
    <s v="Scarf"/>
    <x v="3"/>
    <n v="53"/>
    <x v="45"/>
    <s v="M"/>
    <s v="Charcoal"/>
    <s v="Fall"/>
    <n v="4.0999999999999996"/>
    <s v="No"/>
    <s v="Free Shipping"/>
    <s v="No"/>
    <s v="No"/>
    <n v="9"/>
    <s v="Bank Transfer"/>
    <s v="Bi-Weekly"/>
    <s v="Bi-Weekly"/>
    <n v="2"/>
  </r>
  <r>
    <x v="3116"/>
    <n v="50"/>
    <x v="1"/>
    <s v="Coat"/>
    <x v="2"/>
    <n v="66"/>
    <x v="6"/>
    <s v="L"/>
    <s v="Gray"/>
    <s v="Spring"/>
    <n v="3.7"/>
    <s v="No"/>
    <s v="Store Pickup"/>
    <s v="No"/>
    <s v="No"/>
    <n v="1"/>
    <s v="Venmo"/>
    <s v="Weekly"/>
    <s v="Weekly"/>
    <n v="1"/>
  </r>
  <r>
    <x v="3117"/>
    <n v="43"/>
    <x v="1"/>
    <s v="Hoodie"/>
    <x v="0"/>
    <n v="50"/>
    <x v="20"/>
    <s v="M"/>
    <s v="Olive"/>
    <s v="Fall"/>
    <n v="3"/>
    <s v="No"/>
    <s v="Free Shipping"/>
    <s v="No"/>
    <s v="No"/>
    <n v="4"/>
    <s v="PayPal"/>
    <s v="Bi-Weekly"/>
    <s v="Bi-Weekly"/>
    <n v="2"/>
  </r>
  <r>
    <x v="3118"/>
    <n v="61"/>
    <x v="1"/>
    <s v="Shorts"/>
    <x v="0"/>
    <n v="97"/>
    <x v="41"/>
    <s v="L"/>
    <s v="Blue"/>
    <s v="Summer"/>
    <n v="4.7"/>
    <s v="No"/>
    <s v="Standard"/>
    <s v="No"/>
    <s v="No"/>
    <n v="31"/>
    <s v="Debit Card"/>
    <s v="Quarterly"/>
    <s v="Quarterly"/>
    <n v="5"/>
  </r>
  <r>
    <x v="3119"/>
    <n v="63"/>
    <x v="1"/>
    <s v="Sandals"/>
    <x v="1"/>
    <n v="79"/>
    <x v="7"/>
    <s v="XL"/>
    <s v="Silver"/>
    <s v="Winter"/>
    <n v="4.7"/>
    <s v="No"/>
    <s v="2-Day Shipping"/>
    <s v="No"/>
    <s v="No"/>
    <n v="21"/>
    <s v="Credit Card"/>
    <s v="Every 3 Months"/>
    <s v="Quarterly"/>
    <n v="5"/>
  </r>
  <r>
    <x v="3120"/>
    <n v="46"/>
    <x v="1"/>
    <s v="Shirt"/>
    <x v="0"/>
    <n v="76"/>
    <x v="7"/>
    <s v="M"/>
    <s v="Magenta"/>
    <s v="Fall"/>
    <n v="4"/>
    <s v="No"/>
    <s v="Store Pickup"/>
    <s v="No"/>
    <s v="No"/>
    <n v="32"/>
    <s v="Debit Card"/>
    <s v="Fortnightly"/>
    <s v="Fortnightly"/>
    <n v="3"/>
  </r>
  <r>
    <x v="3121"/>
    <n v="63"/>
    <x v="1"/>
    <s v="Hoodie"/>
    <x v="0"/>
    <n v="38"/>
    <x v="7"/>
    <s v="L"/>
    <s v="Black"/>
    <s v="Fall"/>
    <n v="2.6"/>
    <s v="No"/>
    <s v="Standard"/>
    <s v="No"/>
    <s v="No"/>
    <n v="16"/>
    <s v="Venmo"/>
    <s v="Weekly"/>
    <s v="Weekly"/>
    <n v="1"/>
  </r>
  <r>
    <x v="3122"/>
    <n v="23"/>
    <x v="1"/>
    <s v="Socks"/>
    <x v="0"/>
    <n v="45"/>
    <x v="42"/>
    <s v="M"/>
    <s v="Pink"/>
    <s v="Fall"/>
    <n v="3"/>
    <s v="No"/>
    <s v="Express"/>
    <s v="No"/>
    <s v="No"/>
    <n v="34"/>
    <s v="Credit Card"/>
    <s v="Fortnightly"/>
    <s v="Fortnightly"/>
    <n v="3"/>
  </r>
  <r>
    <x v="3123"/>
    <n v="57"/>
    <x v="1"/>
    <s v="Handbag"/>
    <x v="3"/>
    <n v="77"/>
    <x v="44"/>
    <s v="XL"/>
    <s v="Red"/>
    <s v="Fall"/>
    <n v="3.3"/>
    <s v="No"/>
    <s v="Next Day Air"/>
    <s v="No"/>
    <s v="No"/>
    <n v="40"/>
    <s v="Venmo"/>
    <s v="Bi-Weekly"/>
    <s v="Bi-Weekly"/>
    <n v="2"/>
  </r>
  <r>
    <x v="3124"/>
    <n v="57"/>
    <x v="1"/>
    <s v="Jewelry"/>
    <x v="3"/>
    <n v="51"/>
    <x v="18"/>
    <s v="M"/>
    <s v="Peach"/>
    <s v="Summer"/>
    <n v="3.4"/>
    <s v="No"/>
    <s v="Standard"/>
    <s v="No"/>
    <s v="No"/>
    <n v="4"/>
    <s v="Cash"/>
    <s v="Every 3 Months"/>
    <s v="Quarterly"/>
    <n v="5"/>
  </r>
  <r>
    <x v="3125"/>
    <n v="33"/>
    <x v="1"/>
    <s v="Coat"/>
    <x v="2"/>
    <n v="26"/>
    <x v="4"/>
    <s v="L"/>
    <s v="Lavender"/>
    <s v="Spring"/>
    <n v="4"/>
    <s v="No"/>
    <s v="Standard"/>
    <s v="No"/>
    <s v="No"/>
    <n v="3"/>
    <s v="Cash"/>
    <s v="Quarterly"/>
    <s v="Quarterly"/>
    <n v="5"/>
  </r>
  <r>
    <x v="3126"/>
    <n v="57"/>
    <x v="1"/>
    <s v="Sunglasses"/>
    <x v="3"/>
    <n v="76"/>
    <x v="1"/>
    <s v="L"/>
    <s v="Lavender"/>
    <s v="Winter"/>
    <n v="2.6"/>
    <s v="No"/>
    <s v="Store Pickup"/>
    <s v="No"/>
    <s v="No"/>
    <n v="28"/>
    <s v="Bank Transfer"/>
    <s v="Bi-Weekly"/>
    <s v="Bi-Weekly"/>
    <n v="2"/>
  </r>
  <r>
    <x v="3127"/>
    <n v="55"/>
    <x v="1"/>
    <s v="Gloves"/>
    <x v="3"/>
    <n v="94"/>
    <x v="7"/>
    <s v="M"/>
    <s v="Beige"/>
    <s v="Winter"/>
    <n v="3.4"/>
    <s v="No"/>
    <s v="Free Shipping"/>
    <s v="No"/>
    <s v="No"/>
    <n v="43"/>
    <s v="Credit Card"/>
    <s v="Every 3 Months"/>
    <s v="Quarterly"/>
    <n v="5"/>
  </r>
  <r>
    <x v="3128"/>
    <n v="65"/>
    <x v="1"/>
    <s v="Jacket"/>
    <x v="2"/>
    <n v="32"/>
    <x v="10"/>
    <s v="S"/>
    <s v="Indigo"/>
    <s v="Fall"/>
    <n v="4.4000000000000004"/>
    <s v="No"/>
    <s v="Standard"/>
    <s v="No"/>
    <s v="No"/>
    <n v="20"/>
    <s v="Cash"/>
    <s v="Annually"/>
    <s v="Annually"/>
    <n v="6"/>
  </r>
  <r>
    <x v="3129"/>
    <n v="60"/>
    <x v="1"/>
    <s v="Sandals"/>
    <x v="1"/>
    <n v="20"/>
    <x v="33"/>
    <s v="S"/>
    <s v="Cyan"/>
    <s v="Summer"/>
    <n v="4.7"/>
    <s v="No"/>
    <s v="Express"/>
    <s v="No"/>
    <s v="No"/>
    <n v="40"/>
    <s v="Venmo"/>
    <s v="Every 3 Months"/>
    <s v="Quarterly"/>
    <n v="5"/>
  </r>
  <r>
    <x v="3130"/>
    <n v="52"/>
    <x v="1"/>
    <s v="Pants"/>
    <x v="0"/>
    <n v="20"/>
    <x v="34"/>
    <s v="M"/>
    <s v="Yellow"/>
    <s v="Summer"/>
    <n v="4.5"/>
    <s v="No"/>
    <s v="Store Pickup"/>
    <s v="No"/>
    <s v="No"/>
    <n v="34"/>
    <s v="Venmo"/>
    <s v="Every 3 Months"/>
    <s v="Quarterly"/>
    <n v="5"/>
  </r>
  <r>
    <x v="3131"/>
    <n v="34"/>
    <x v="1"/>
    <s v="Jacket"/>
    <x v="2"/>
    <n v="59"/>
    <x v="25"/>
    <s v="M"/>
    <s v="Peach"/>
    <s v="Fall"/>
    <n v="2.9"/>
    <s v="No"/>
    <s v="Store Pickup"/>
    <s v="No"/>
    <s v="No"/>
    <n v="11"/>
    <s v="Bank Transfer"/>
    <s v="Every 3 Months"/>
    <s v="Quarterly"/>
    <n v="5"/>
  </r>
  <r>
    <x v="3132"/>
    <n v="33"/>
    <x v="1"/>
    <s v="Sweater"/>
    <x v="0"/>
    <n v="97"/>
    <x v="49"/>
    <s v="M"/>
    <s v="Yellow"/>
    <s v="Summer"/>
    <n v="4.2"/>
    <s v="No"/>
    <s v="Express"/>
    <s v="No"/>
    <s v="No"/>
    <n v="26"/>
    <s v="Cash"/>
    <s v="Quarterly"/>
    <s v="Quarterly"/>
    <n v="5"/>
  </r>
  <r>
    <x v="3133"/>
    <n v="58"/>
    <x v="1"/>
    <s v="T-shirt"/>
    <x v="0"/>
    <n v="68"/>
    <x v="10"/>
    <s v="M"/>
    <s v="Orange"/>
    <s v="Spring"/>
    <n v="4.0999999999999996"/>
    <s v="No"/>
    <s v="Next Day Air"/>
    <s v="No"/>
    <s v="No"/>
    <n v="29"/>
    <s v="Cash"/>
    <s v="Bi-Weekly"/>
    <s v="Bi-Weekly"/>
    <n v="2"/>
  </r>
  <r>
    <x v="3134"/>
    <n v="35"/>
    <x v="1"/>
    <s v="Boots"/>
    <x v="1"/>
    <n v="66"/>
    <x v="0"/>
    <s v="L"/>
    <s v="Gray"/>
    <s v="Spring"/>
    <n v="4.4000000000000004"/>
    <s v="No"/>
    <s v="Store Pickup"/>
    <s v="No"/>
    <s v="No"/>
    <n v="47"/>
    <s v="Bank Transfer"/>
    <s v="Weekly"/>
    <s v="Weekly"/>
    <n v="1"/>
  </r>
  <r>
    <x v="3135"/>
    <n v="68"/>
    <x v="1"/>
    <s v="Shoes"/>
    <x v="1"/>
    <n v="85"/>
    <x v="27"/>
    <s v="L"/>
    <s v="Yellow"/>
    <s v="Spring"/>
    <n v="4.7"/>
    <s v="No"/>
    <s v="Free Shipping"/>
    <s v="No"/>
    <s v="No"/>
    <n v="48"/>
    <s v="Venmo"/>
    <s v="Fortnightly"/>
    <s v="Fortnightly"/>
    <n v="3"/>
  </r>
  <r>
    <x v="3136"/>
    <n v="58"/>
    <x v="1"/>
    <s v="Skirt"/>
    <x v="0"/>
    <n v="32"/>
    <x v="46"/>
    <s v="M"/>
    <s v="Gray"/>
    <s v="Fall"/>
    <n v="3.1"/>
    <s v="No"/>
    <s v="Next Day Air"/>
    <s v="No"/>
    <s v="No"/>
    <n v="29"/>
    <s v="Cash"/>
    <s v="Bi-Weekly"/>
    <s v="Bi-Weekly"/>
    <n v="2"/>
  </r>
  <r>
    <x v="3137"/>
    <n v="34"/>
    <x v="1"/>
    <s v="Coat"/>
    <x v="2"/>
    <n v="44"/>
    <x v="7"/>
    <s v="M"/>
    <s v="Turquoise"/>
    <s v="Spring"/>
    <n v="2.7"/>
    <s v="No"/>
    <s v="2-Day Shipping"/>
    <s v="No"/>
    <s v="No"/>
    <n v="14"/>
    <s v="Bank Transfer"/>
    <s v="Monthly"/>
    <s v="Monthly"/>
    <n v="4"/>
  </r>
  <r>
    <x v="3138"/>
    <n v="47"/>
    <x v="1"/>
    <s v="Blouse"/>
    <x v="0"/>
    <n v="95"/>
    <x v="0"/>
    <s v="L"/>
    <s v="Gray"/>
    <s v="Fall"/>
    <n v="4.5999999999999996"/>
    <s v="No"/>
    <s v="Next Day Air"/>
    <s v="No"/>
    <s v="No"/>
    <n v="40"/>
    <s v="Cash"/>
    <s v="Every 3 Months"/>
    <s v="Quarterly"/>
    <n v="5"/>
  </r>
  <r>
    <x v="3139"/>
    <n v="35"/>
    <x v="1"/>
    <s v="Sunglasses"/>
    <x v="3"/>
    <n v="85"/>
    <x v="42"/>
    <s v="M"/>
    <s v="Olive"/>
    <s v="Winter"/>
    <n v="4.4000000000000004"/>
    <s v="No"/>
    <s v="Next Day Air"/>
    <s v="No"/>
    <s v="No"/>
    <n v="4"/>
    <s v="Venmo"/>
    <s v="Weekly"/>
    <s v="Weekly"/>
    <n v="1"/>
  </r>
  <r>
    <x v="3140"/>
    <n v="34"/>
    <x v="1"/>
    <s v="Gloves"/>
    <x v="3"/>
    <n v="44"/>
    <x v="29"/>
    <s v="XL"/>
    <s v="Peach"/>
    <s v="Summer"/>
    <n v="4.5999999999999996"/>
    <s v="No"/>
    <s v="Free Shipping"/>
    <s v="No"/>
    <s v="No"/>
    <n v="37"/>
    <s v="Bank Transfer"/>
    <s v="Weekly"/>
    <s v="Weekly"/>
    <n v="1"/>
  </r>
  <r>
    <x v="3141"/>
    <n v="36"/>
    <x v="1"/>
    <s v="Sunglasses"/>
    <x v="3"/>
    <n v="30"/>
    <x v="16"/>
    <s v="S"/>
    <s v="Peach"/>
    <s v="Winter"/>
    <n v="4.9000000000000004"/>
    <s v="No"/>
    <s v="Express"/>
    <s v="No"/>
    <s v="No"/>
    <n v="47"/>
    <s v="Credit Card"/>
    <s v="Bi-Weekly"/>
    <s v="Bi-Weekly"/>
    <n v="2"/>
  </r>
  <r>
    <x v="3142"/>
    <n v="23"/>
    <x v="1"/>
    <s v="Sneakers"/>
    <x v="1"/>
    <n v="21"/>
    <x v="23"/>
    <s v="L"/>
    <s v="Magenta"/>
    <s v="Winter"/>
    <n v="4"/>
    <s v="No"/>
    <s v="2-Day Shipping"/>
    <s v="No"/>
    <s v="No"/>
    <n v="1"/>
    <s v="Venmo"/>
    <s v="Quarterly"/>
    <s v="Quarterly"/>
    <n v="5"/>
  </r>
  <r>
    <x v="3143"/>
    <n v="68"/>
    <x v="1"/>
    <s v="Hoodie"/>
    <x v="0"/>
    <n v="22"/>
    <x v="28"/>
    <s v="M"/>
    <s v="Purple"/>
    <s v="Summer"/>
    <n v="2.9"/>
    <s v="No"/>
    <s v="Store Pickup"/>
    <s v="No"/>
    <s v="No"/>
    <n v="26"/>
    <s v="Cash"/>
    <s v="Quarterly"/>
    <s v="Quarterly"/>
    <n v="5"/>
  </r>
  <r>
    <x v="3144"/>
    <n v="23"/>
    <x v="1"/>
    <s v="Boots"/>
    <x v="1"/>
    <n v="70"/>
    <x v="1"/>
    <s v="L"/>
    <s v="Beige"/>
    <s v="Spring"/>
    <n v="2.6"/>
    <s v="No"/>
    <s v="Free Shipping"/>
    <s v="No"/>
    <s v="No"/>
    <n v="12"/>
    <s v="Debit Card"/>
    <s v="Quarterly"/>
    <s v="Quarterly"/>
    <n v="5"/>
  </r>
  <r>
    <x v="3145"/>
    <n v="57"/>
    <x v="1"/>
    <s v="Handbag"/>
    <x v="3"/>
    <n v="29"/>
    <x v="21"/>
    <s v="XL"/>
    <s v="Purple"/>
    <s v="Spring"/>
    <n v="4.5999999999999996"/>
    <s v="No"/>
    <s v="Standard"/>
    <s v="No"/>
    <s v="No"/>
    <n v="16"/>
    <s v="PayPal"/>
    <s v="Fortnightly"/>
    <s v="Fortnightly"/>
    <n v="3"/>
  </r>
  <r>
    <x v="3146"/>
    <n v="21"/>
    <x v="1"/>
    <s v="Shirt"/>
    <x v="0"/>
    <n v="83"/>
    <x v="41"/>
    <s v="S"/>
    <s v="Yellow"/>
    <s v="Winter"/>
    <n v="4.9000000000000004"/>
    <s v="No"/>
    <s v="Free Shipping"/>
    <s v="No"/>
    <s v="No"/>
    <n v="19"/>
    <s v="PayPal"/>
    <s v="Annually"/>
    <s v="Annually"/>
    <n v="6"/>
  </r>
  <r>
    <x v="3147"/>
    <n v="45"/>
    <x v="1"/>
    <s v="Sweater"/>
    <x v="0"/>
    <n v="99"/>
    <x v="25"/>
    <s v="M"/>
    <s v="Pink"/>
    <s v="Winter"/>
    <n v="4.3"/>
    <s v="No"/>
    <s v="Express"/>
    <s v="No"/>
    <s v="No"/>
    <n v="21"/>
    <s v="Credit Card"/>
    <s v="Weekly"/>
    <s v="Weekly"/>
    <n v="1"/>
  </r>
  <r>
    <x v="3148"/>
    <n v="37"/>
    <x v="1"/>
    <s v="Shorts"/>
    <x v="0"/>
    <n v="35"/>
    <x v="8"/>
    <s v="L"/>
    <s v="Purple"/>
    <s v="Fall"/>
    <n v="4.3"/>
    <s v="No"/>
    <s v="Free Shipping"/>
    <s v="No"/>
    <s v="No"/>
    <n v="15"/>
    <s v="Venmo"/>
    <s v="Weekly"/>
    <s v="Weekly"/>
    <n v="1"/>
  </r>
  <r>
    <x v="3149"/>
    <n v="18"/>
    <x v="1"/>
    <s v="Belt"/>
    <x v="3"/>
    <n v="40"/>
    <x v="17"/>
    <s v="M"/>
    <s v="Lavender"/>
    <s v="Winter"/>
    <n v="4.5999999999999996"/>
    <s v="No"/>
    <s v="Free Shipping"/>
    <s v="No"/>
    <s v="No"/>
    <n v="9"/>
    <s v="Venmo"/>
    <s v="Annually"/>
    <s v="Annually"/>
    <n v="6"/>
  </r>
  <r>
    <x v="3150"/>
    <n v="55"/>
    <x v="1"/>
    <s v="Blouse"/>
    <x v="0"/>
    <n v="25"/>
    <x v="42"/>
    <s v="M"/>
    <s v="Peach"/>
    <s v="Spring"/>
    <n v="2.6"/>
    <s v="No"/>
    <s v="Express"/>
    <s v="No"/>
    <s v="No"/>
    <n v="7"/>
    <s v="Bank Transfer"/>
    <s v="Bi-Weekly"/>
    <s v="Bi-Weekly"/>
    <n v="2"/>
  </r>
  <r>
    <x v="3151"/>
    <n v="52"/>
    <x v="1"/>
    <s v="T-shirt"/>
    <x v="0"/>
    <n v="64"/>
    <x v="35"/>
    <s v="L"/>
    <s v="Orange"/>
    <s v="Fall"/>
    <n v="3.1"/>
    <s v="No"/>
    <s v="2-Day Shipping"/>
    <s v="No"/>
    <s v="No"/>
    <n v="47"/>
    <s v="Bank Transfer"/>
    <s v="Quarterly"/>
    <s v="Quarterly"/>
    <n v="5"/>
  </r>
  <r>
    <x v="3152"/>
    <n v="49"/>
    <x v="1"/>
    <s v="Belt"/>
    <x v="3"/>
    <n v="90"/>
    <x v="17"/>
    <s v="M"/>
    <s v="Red"/>
    <s v="Fall"/>
    <n v="3.1"/>
    <s v="No"/>
    <s v="Store Pickup"/>
    <s v="No"/>
    <s v="No"/>
    <n v="17"/>
    <s v="PayPal"/>
    <s v="Monthly"/>
    <s v="Monthly"/>
    <n v="4"/>
  </r>
  <r>
    <x v="3153"/>
    <n v="56"/>
    <x v="1"/>
    <s v="Socks"/>
    <x v="0"/>
    <n v="88"/>
    <x v="15"/>
    <s v="L"/>
    <s v="Red"/>
    <s v="Fall"/>
    <n v="3.1"/>
    <s v="No"/>
    <s v="Next Day Air"/>
    <s v="No"/>
    <s v="No"/>
    <n v="46"/>
    <s v="Venmo"/>
    <s v="Fortnightly"/>
    <s v="Fortnightly"/>
    <n v="3"/>
  </r>
  <r>
    <x v="3154"/>
    <n v="27"/>
    <x v="1"/>
    <s v="Belt"/>
    <x v="3"/>
    <n v="55"/>
    <x v="39"/>
    <s v="M"/>
    <s v="Gold"/>
    <s v="Winter"/>
    <n v="4.4000000000000004"/>
    <s v="No"/>
    <s v="Standard"/>
    <s v="No"/>
    <s v="No"/>
    <n v="32"/>
    <s v="Cash"/>
    <s v="Quarterly"/>
    <s v="Quarterly"/>
    <n v="5"/>
  </r>
  <r>
    <x v="3155"/>
    <n v="22"/>
    <x v="1"/>
    <s v="Handbag"/>
    <x v="3"/>
    <n v="90"/>
    <x v="6"/>
    <s v="M"/>
    <s v="Brown"/>
    <s v="Fall"/>
    <n v="4.3"/>
    <s v="No"/>
    <s v="Free Shipping"/>
    <s v="No"/>
    <s v="No"/>
    <n v="34"/>
    <s v="Cash"/>
    <s v="Annually"/>
    <s v="Annually"/>
    <n v="6"/>
  </r>
  <r>
    <x v="3156"/>
    <n v="18"/>
    <x v="1"/>
    <s v="Shirt"/>
    <x v="0"/>
    <n v="50"/>
    <x v="6"/>
    <s v="M"/>
    <s v="Black"/>
    <s v="Winter"/>
    <n v="3.1"/>
    <s v="No"/>
    <s v="2-Day Shipping"/>
    <s v="No"/>
    <s v="No"/>
    <n v="18"/>
    <s v="Cash"/>
    <s v="Monthly"/>
    <s v="Monthly"/>
    <n v="4"/>
  </r>
  <r>
    <x v="3157"/>
    <n v="21"/>
    <x v="1"/>
    <s v="Belt"/>
    <x v="3"/>
    <n v="34"/>
    <x v="1"/>
    <s v="L"/>
    <s v="Red"/>
    <s v="Fall"/>
    <n v="3.1"/>
    <s v="No"/>
    <s v="Store Pickup"/>
    <s v="No"/>
    <s v="No"/>
    <n v="5"/>
    <s v="Debit Card"/>
    <s v="Fortnightly"/>
    <s v="Fortnightly"/>
    <n v="3"/>
  </r>
  <r>
    <x v="3158"/>
    <n v="30"/>
    <x v="1"/>
    <s v="Jewelry"/>
    <x v="3"/>
    <n v="77"/>
    <x v="16"/>
    <s v="M"/>
    <s v="Gray"/>
    <s v="Winter"/>
    <n v="4.9000000000000004"/>
    <s v="No"/>
    <s v="2-Day Shipping"/>
    <s v="No"/>
    <s v="No"/>
    <n v="44"/>
    <s v="Credit Card"/>
    <s v="Monthly"/>
    <s v="Monthly"/>
    <n v="4"/>
  </r>
  <r>
    <x v="3159"/>
    <n v="62"/>
    <x v="1"/>
    <s v="Hat"/>
    <x v="3"/>
    <n v="89"/>
    <x v="7"/>
    <s v="L"/>
    <s v="Pink"/>
    <s v="Winter"/>
    <n v="2.9"/>
    <s v="No"/>
    <s v="Store Pickup"/>
    <s v="No"/>
    <s v="No"/>
    <n v="4"/>
    <s v="Bank Transfer"/>
    <s v="Quarterly"/>
    <s v="Quarterly"/>
    <n v="5"/>
  </r>
  <r>
    <x v="3160"/>
    <n v="28"/>
    <x v="1"/>
    <s v="Backpack"/>
    <x v="3"/>
    <n v="87"/>
    <x v="43"/>
    <s v="XL"/>
    <s v="Turquoise"/>
    <s v="Fall"/>
    <n v="3.8"/>
    <s v="No"/>
    <s v="Next Day Air"/>
    <s v="No"/>
    <s v="No"/>
    <n v="37"/>
    <s v="Cash"/>
    <s v="Fortnightly"/>
    <s v="Fortnightly"/>
    <n v="3"/>
  </r>
  <r>
    <x v="3161"/>
    <n v="66"/>
    <x v="1"/>
    <s v="Dress"/>
    <x v="0"/>
    <n v="77"/>
    <x v="2"/>
    <s v="S"/>
    <s v="Charcoal"/>
    <s v="Winter"/>
    <n v="4.2"/>
    <s v="No"/>
    <s v="2-Day Shipping"/>
    <s v="No"/>
    <s v="No"/>
    <n v="43"/>
    <s v="Cash"/>
    <s v="Monthly"/>
    <s v="Monthly"/>
    <n v="4"/>
  </r>
  <r>
    <x v="3162"/>
    <n v="66"/>
    <x v="1"/>
    <s v="Shoes"/>
    <x v="1"/>
    <n v="85"/>
    <x v="48"/>
    <s v="L"/>
    <s v="Blue"/>
    <s v="Winter"/>
    <n v="3.9"/>
    <s v="No"/>
    <s v="Standard"/>
    <s v="No"/>
    <s v="No"/>
    <n v="28"/>
    <s v="Bank Transfer"/>
    <s v="Quarterly"/>
    <s v="Quarterly"/>
    <n v="5"/>
  </r>
  <r>
    <x v="3163"/>
    <n v="49"/>
    <x v="1"/>
    <s v="Pants"/>
    <x v="0"/>
    <n v="66"/>
    <x v="43"/>
    <s v="XL"/>
    <s v="Turquoise"/>
    <s v="Summer"/>
    <n v="2.8"/>
    <s v="No"/>
    <s v="Express"/>
    <s v="No"/>
    <s v="No"/>
    <n v="36"/>
    <s v="Cash"/>
    <s v="Monthly"/>
    <s v="Monthly"/>
    <n v="4"/>
  </r>
  <r>
    <x v="3164"/>
    <n v="40"/>
    <x v="1"/>
    <s v="Dress"/>
    <x v="0"/>
    <n v="32"/>
    <x v="28"/>
    <s v="L"/>
    <s v="Silver"/>
    <s v="Winter"/>
    <n v="2.6"/>
    <s v="No"/>
    <s v="Standard"/>
    <s v="No"/>
    <s v="No"/>
    <n v="16"/>
    <s v="Credit Card"/>
    <s v="Annually"/>
    <s v="Annually"/>
    <n v="6"/>
  </r>
  <r>
    <x v="3165"/>
    <n v="49"/>
    <x v="1"/>
    <s v="Jacket"/>
    <x v="2"/>
    <n v="92"/>
    <x v="11"/>
    <s v="M"/>
    <s v="Lavender"/>
    <s v="Spring"/>
    <n v="3"/>
    <s v="No"/>
    <s v="Store Pickup"/>
    <s v="No"/>
    <s v="No"/>
    <n v="38"/>
    <s v="Bank Transfer"/>
    <s v="Every 3 Months"/>
    <s v="Quarterly"/>
    <n v="5"/>
  </r>
  <r>
    <x v="3166"/>
    <n v="19"/>
    <x v="1"/>
    <s v="Shirt"/>
    <x v="0"/>
    <n v="80"/>
    <x v="42"/>
    <s v="M"/>
    <s v="Gold"/>
    <s v="Winter"/>
    <n v="2.7"/>
    <s v="No"/>
    <s v="Next Day Air"/>
    <s v="No"/>
    <s v="No"/>
    <n v="37"/>
    <s v="Bank Transfer"/>
    <s v="Fortnightly"/>
    <s v="Fortnightly"/>
    <n v="3"/>
  </r>
  <r>
    <x v="3167"/>
    <n v="24"/>
    <x v="1"/>
    <s v="Dress"/>
    <x v="0"/>
    <n v="78"/>
    <x v="4"/>
    <s v="M"/>
    <s v="Blue"/>
    <s v="Fall"/>
    <n v="2.8"/>
    <s v="No"/>
    <s v="2-Day Shipping"/>
    <s v="No"/>
    <s v="No"/>
    <n v="9"/>
    <s v="Cash"/>
    <s v="Bi-Weekly"/>
    <s v="Bi-Weekly"/>
    <n v="2"/>
  </r>
  <r>
    <x v="3168"/>
    <n v="31"/>
    <x v="1"/>
    <s v="Jeans"/>
    <x v="0"/>
    <n v="24"/>
    <x v="6"/>
    <s v="M"/>
    <s v="Orange"/>
    <s v="Spring"/>
    <n v="2.9"/>
    <s v="No"/>
    <s v="2-Day Shipping"/>
    <s v="No"/>
    <s v="No"/>
    <n v="14"/>
    <s v="PayPal"/>
    <s v="Fortnightly"/>
    <s v="Fortnightly"/>
    <n v="3"/>
  </r>
  <r>
    <x v="3169"/>
    <n v="35"/>
    <x v="1"/>
    <s v="T-shirt"/>
    <x v="0"/>
    <n v="59"/>
    <x v="42"/>
    <s v="M"/>
    <s v="White"/>
    <s v="Fall"/>
    <n v="3.8"/>
    <s v="No"/>
    <s v="Free Shipping"/>
    <s v="No"/>
    <s v="No"/>
    <n v="3"/>
    <s v="Venmo"/>
    <s v="Weekly"/>
    <s v="Weekly"/>
    <n v="1"/>
  </r>
  <r>
    <x v="3170"/>
    <n v="65"/>
    <x v="1"/>
    <s v="Sunglasses"/>
    <x v="3"/>
    <n v="41"/>
    <x v="3"/>
    <s v="XL"/>
    <s v="Charcoal"/>
    <s v="Spring"/>
    <n v="4.4000000000000004"/>
    <s v="No"/>
    <s v="Express"/>
    <s v="No"/>
    <s v="No"/>
    <n v="10"/>
    <s v="Credit Card"/>
    <s v="Fortnightly"/>
    <s v="Fortnightly"/>
    <n v="3"/>
  </r>
  <r>
    <x v="3171"/>
    <n v="68"/>
    <x v="1"/>
    <s v="Jewelry"/>
    <x v="3"/>
    <n v="26"/>
    <x v="30"/>
    <s v="M"/>
    <s v="Maroon"/>
    <s v="Spring"/>
    <n v="3.1"/>
    <s v="No"/>
    <s v="Express"/>
    <s v="No"/>
    <s v="No"/>
    <n v="26"/>
    <s v="Bank Transfer"/>
    <s v="Bi-Weekly"/>
    <s v="Bi-Weekly"/>
    <n v="2"/>
  </r>
  <r>
    <x v="3172"/>
    <n v="57"/>
    <x v="1"/>
    <s v="Socks"/>
    <x v="0"/>
    <n v="52"/>
    <x v="9"/>
    <s v="M"/>
    <s v="Olive"/>
    <s v="Fall"/>
    <n v="3.7"/>
    <s v="No"/>
    <s v="Standard"/>
    <s v="No"/>
    <s v="No"/>
    <n v="30"/>
    <s v="Debit Card"/>
    <s v="Bi-Weekly"/>
    <s v="Bi-Weekly"/>
    <n v="2"/>
  </r>
  <r>
    <x v="3173"/>
    <n v="69"/>
    <x v="1"/>
    <s v="Skirt"/>
    <x v="0"/>
    <n v="46"/>
    <x v="47"/>
    <s v="L"/>
    <s v="Teal"/>
    <s v="Summer"/>
    <n v="4.9000000000000004"/>
    <s v="No"/>
    <s v="Next Day Air"/>
    <s v="No"/>
    <s v="No"/>
    <n v="32"/>
    <s v="PayPal"/>
    <s v="Fortnightly"/>
    <s v="Fortnightly"/>
    <n v="3"/>
  </r>
  <r>
    <x v="3174"/>
    <n v="45"/>
    <x v="1"/>
    <s v="Pants"/>
    <x v="0"/>
    <n v="52"/>
    <x v="19"/>
    <s v="L"/>
    <s v="Orange"/>
    <s v="Winter"/>
    <n v="3.8"/>
    <s v="No"/>
    <s v="Store Pickup"/>
    <s v="No"/>
    <s v="No"/>
    <n v="35"/>
    <s v="PayPal"/>
    <s v="Monthly"/>
    <s v="Monthly"/>
    <n v="4"/>
  </r>
  <r>
    <x v="3175"/>
    <n v="35"/>
    <x v="1"/>
    <s v="Socks"/>
    <x v="0"/>
    <n v="42"/>
    <x v="39"/>
    <s v="M"/>
    <s v="Maroon"/>
    <s v="Fall"/>
    <n v="3.4"/>
    <s v="No"/>
    <s v="Store Pickup"/>
    <s v="No"/>
    <s v="No"/>
    <n v="26"/>
    <s v="Debit Card"/>
    <s v="Every 3 Months"/>
    <s v="Quarterly"/>
    <n v="5"/>
  </r>
  <r>
    <x v="3176"/>
    <n v="36"/>
    <x v="1"/>
    <s v="Sandals"/>
    <x v="1"/>
    <n v="37"/>
    <x v="10"/>
    <s v="XL"/>
    <s v="Turquoise"/>
    <s v="Spring"/>
    <n v="4.5999999999999996"/>
    <s v="No"/>
    <s v="2-Day Shipping"/>
    <s v="No"/>
    <s v="No"/>
    <n v="39"/>
    <s v="Credit Card"/>
    <s v="Monthly"/>
    <s v="Monthly"/>
    <n v="4"/>
  </r>
  <r>
    <x v="3177"/>
    <n v="55"/>
    <x v="1"/>
    <s v="Belt"/>
    <x v="3"/>
    <n v="52"/>
    <x v="9"/>
    <s v="L"/>
    <s v="Beige"/>
    <s v="Fall"/>
    <n v="3.2"/>
    <s v="No"/>
    <s v="Standard"/>
    <s v="No"/>
    <s v="No"/>
    <n v="31"/>
    <s v="Credit Card"/>
    <s v="Monthly"/>
    <s v="Monthly"/>
    <n v="4"/>
  </r>
  <r>
    <x v="3178"/>
    <n v="66"/>
    <x v="1"/>
    <s v="Sandals"/>
    <x v="1"/>
    <n v="34"/>
    <x v="47"/>
    <s v="L"/>
    <s v="Beige"/>
    <s v="Spring"/>
    <n v="2.7"/>
    <s v="No"/>
    <s v="Free Shipping"/>
    <s v="No"/>
    <s v="No"/>
    <n v="28"/>
    <s v="Credit Card"/>
    <s v="Annually"/>
    <s v="Annually"/>
    <n v="6"/>
  </r>
  <r>
    <x v="3179"/>
    <n v="57"/>
    <x v="1"/>
    <s v="Shorts"/>
    <x v="0"/>
    <n v="88"/>
    <x v="37"/>
    <s v="M"/>
    <s v="Olive"/>
    <s v="Spring"/>
    <n v="4.3"/>
    <s v="No"/>
    <s v="Free Shipping"/>
    <s v="No"/>
    <s v="No"/>
    <n v="12"/>
    <s v="Debit Card"/>
    <s v="Bi-Weekly"/>
    <s v="Bi-Weekly"/>
    <n v="2"/>
  </r>
  <r>
    <x v="3180"/>
    <n v="18"/>
    <x v="1"/>
    <s v="Handbag"/>
    <x v="3"/>
    <n v="88"/>
    <x v="6"/>
    <s v="L"/>
    <s v="Turquoise"/>
    <s v="Fall"/>
    <n v="3.8"/>
    <s v="No"/>
    <s v="Standard"/>
    <s v="No"/>
    <s v="No"/>
    <n v="46"/>
    <s v="PayPal"/>
    <s v="Weekly"/>
    <s v="Weekly"/>
    <n v="1"/>
  </r>
  <r>
    <x v="3181"/>
    <n v="31"/>
    <x v="1"/>
    <s v="Jacket"/>
    <x v="2"/>
    <n v="51"/>
    <x v="6"/>
    <s v="M"/>
    <s v="Charcoal"/>
    <s v="Summer"/>
    <n v="4.4000000000000004"/>
    <s v="No"/>
    <s v="Free Shipping"/>
    <s v="No"/>
    <s v="No"/>
    <n v="27"/>
    <s v="PayPal"/>
    <s v="Every 3 Months"/>
    <s v="Quarterly"/>
    <n v="5"/>
  </r>
  <r>
    <x v="3182"/>
    <n v="50"/>
    <x v="1"/>
    <s v="Sunglasses"/>
    <x v="3"/>
    <n v="97"/>
    <x v="42"/>
    <s v="L"/>
    <s v="Green"/>
    <s v="Fall"/>
    <n v="3.6"/>
    <s v="No"/>
    <s v="Free Shipping"/>
    <s v="No"/>
    <s v="No"/>
    <n v="4"/>
    <s v="Credit Card"/>
    <s v="Annually"/>
    <s v="Annually"/>
    <n v="6"/>
  </r>
  <r>
    <x v="3183"/>
    <n v="50"/>
    <x v="1"/>
    <s v="Sneakers"/>
    <x v="1"/>
    <n v="56"/>
    <x v="16"/>
    <s v="M"/>
    <s v="Green"/>
    <s v="Winter"/>
    <n v="3.5"/>
    <s v="No"/>
    <s v="Standard"/>
    <s v="No"/>
    <s v="No"/>
    <n v="14"/>
    <s v="Cash"/>
    <s v="Every 3 Months"/>
    <s v="Quarterly"/>
    <n v="5"/>
  </r>
  <r>
    <x v="3184"/>
    <n v="61"/>
    <x v="1"/>
    <s v="Sweater"/>
    <x v="0"/>
    <n v="53"/>
    <x v="11"/>
    <s v="L"/>
    <s v="Green"/>
    <s v="Spring"/>
    <n v="4.2"/>
    <s v="No"/>
    <s v="2-Day Shipping"/>
    <s v="No"/>
    <s v="No"/>
    <n v="30"/>
    <s v="Venmo"/>
    <s v="Quarterly"/>
    <s v="Quarterly"/>
    <n v="5"/>
  </r>
  <r>
    <x v="3185"/>
    <n v="52"/>
    <x v="1"/>
    <s v="Skirt"/>
    <x v="0"/>
    <n v="71"/>
    <x v="31"/>
    <s v="L"/>
    <s v="Gold"/>
    <s v="Fall"/>
    <n v="4.7"/>
    <s v="No"/>
    <s v="Express"/>
    <s v="No"/>
    <s v="No"/>
    <n v="6"/>
    <s v="PayPal"/>
    <s v="Annually"/>
    <s v="Annually"/>
    <n v="6"/>
  </r>
  <r>
    <x v="3186"/>
    <n v="38"/>
    <x v="1"/>
    <s v="Jewelry"/>
    <x v="3"/>
    <n v="93"/>
    <x v="41"/>
    <s v="S"/>
    <s v="Cyan"/>
    <s v="Winter"/>
    <n v="4.8"/>
    <s v="No"/>
    <s v="Store Pickup"/>
    <s v="No"/>
    <s v="No"/>
    <n v="43"/>
    <s v="Venmo"/>
    <s v="Annually"/>
    <s v="Annually"/>
    <n v="6"/>
  </r>
  <r>
    <x v="3187"/>
    <n v="67"/>
    <x v="1"/>
    <s v="Blouse"/>
    <x v="0"/>
    <n v="72"/>
    <x v="21"/>
    <s v="L"/>
    <s v="Indigo"/>
    <s v="Winter"/>
    <n v="3.2"/>
    <s v="No"/>
    <s v="Free Shipping"/>
    <s v="No"/>
    <s v="No"/>
    <n v="28"/>
    <s v="Debit Card"/>
    <s v="Weekly"/>
    <s v="Weekly"/>
    <n v="1"/>
  </r>
  <r>
    <x v="3188"/>
    <n v="42"/>
    <x v="1"/>
    <s v="Blouse"/>
    <x v="0"/>
    <n v="59"/>
    <x v="34"/>
    <s v="M"/>
    <s v="Lavender"/>
    <s v="Winter"/>
    <n v="3.5"/>
    <s v="No"/>
    <s v="Standard"/>
    <s v="No"/>
    <s v="No"/>
    <n v="39"/>
    <s v="Bank Transfer"/>
    <s v="Monthly"/>
    <s v="Monthly"/>
    <n v="4"/>
  </r>
  <r>
    <x v="3189"/>
    <n v="25"/>
    <x v="1"/>
    <s v="Boots"/>
    <x v="1"/>
    <n v="87"/>
    <x v="23"/>
    <s v="M"/>
    <s v="Beige"/>
    <s v="Summer"/>
    <n v="4.2"/>
    <s v="No"/>
    <s v="Store Pickup"/>
    <s v="No"/>
    <s v="No"/>
    <n v="30"/>
    <s v="PayPal"/>
    <s v="Bi-Weekly"/>
    <s v="Bi-Weekly"/>
    <n v="2"/>
  </r>
  <r>
    <x v="3190"/>
    <n v="41"/>
    <x v="1"/>
    <s v="Jeans"/>
    <x v="0"/>
    <n v="78"/>
    <x v="18"/>
    <s v="S"/>
    <s v="Purple"/>
    <s v="Fall"/>
    <n v="3.4"/>
    <s v="No"/>
    <s v="Free Shipping"/>
    <s v="No"/>
    <s v="No"/>
    <n v="5"/>
    <s v="Credit Card"/>
    <s v="Fortnightly"/>
    <s v="Fortnightly"/>
    <n v="3"/>
  </r>
  <r>
    <x v="3191"/>
    <n v="62"/>
    <x v="1"/>
    <s v="Hoodie"/>
    <x v="0"/>
    <n v="68"/>
    <x v="16"/>
    <s v="XL"/>
    <s v="Maroon"/>
    <s v="Winter"/>
    <n v="4.7"/>
    <s v="No"/>
    <s v="Store Pickup"/>
    <s v="No"/>
    <s v="No"/>
    <n v="42"/>
    <s v="Credit Card"/>
    <s v="Every 3 Months"/>
    <s v="Quarterly"/>
    <n v="5"/>
  </r>
  <r>
    <x v="3192"/>
    <n v="19"/>
    <x v="1"/>
    <s v="Sweater"/>
    <x v="0"/>
    <n v="76"/>
    <x v="44"/>
    <s v="S"/>
    <s v="Maroon"/>
    <s v="Fall"/>
    <n v="3"/>
    <s v="No"/>
    <s v="Free Shipping"/>
    <s v="No"/>
    <s v="No"/>
    <n v="20"/>
    <s v="Cash"/>
    <s v="Fortnightly"/>
    <s v="Fortnightly"/>
    <n v="3"/>
  </r>
  <r>
    <x v="3193"/>
    <n v="63"/>
    <x v="1"/>
    <s v="Gloves"/>
    <x v="3"/>
    <n v="99"/>
    <x v="41"/>
    <s v="L"/>
    <s v="Teal"/>
    <s v="Winter"/>
    <n v="4"/>
    <s v="No"/>
    <s v="Express"/>
    <s v="No"/>
    <s v="No"/>
    <n v="35"/>
    <s v="Credit Card"/>
    <s v="Fortnightly"/>
    <s v="Fortnightly"/>
    <n v="3"/>
  </r>
  <r>
    <x v="3194"/>
    <n v="43"/>
    <x v="1"/>
    <s v="Sneakers"/>
    <x v="1"/>
    <n v="52"/>
    <x v="33"/>
    <s v="L"/>
    <s v="Gold"/>
    <s v="Summer"/>
    <n v="4.5999999999999996"/>
    <s v="No"/>
    <s v="Standard"/>
    <s v="No"/>
    <s v="No"/>
    <n v="10"/>
    <s v="Credit Card"/>
    <s v="Bi-Weekly"/>
    <s v="Bi-Weekly"/>
    <n v="2"/>
  </r>
  <r>
    <x v="3195"/>
    <n v="68"/>
    <x v="1"/>
    <s v="Sunglasses"/>
    <x v="3"/>
    <n v="58"/>
    <x v="9"/>
    <s v="S"/>
    <s v="Red"/>
    <s v="Spring"/>
    <n v="4.9000000000000004"/>
    <s v="No"/>
    <s v="Next Day Air"/>
    <s v="No"/>
    <s v="No"/>
    <n v="36"/>
    <s v="Credit Card"/>
    <s v="Quarterly"/>
    <s v="Quarterly"/>
    <n v="5"/>
  </r>
  <r>
    <x v="3196"/>
    <n v="24"/>
    <x v="1"/>
    <s v="Belt"/>
    <x v="3"/>
    <n v="59"/>
    <x v="48"/>
    <s v="L"/>
    <s v="Maroon"/>
    <s v="Winter"/>
    <n v="2.8"/>
    <s v="No"/>
    <s v="Express"/>
    <s v="No"/>
    <s v="No"/>
    <n v="21"/>
    <s v="Debit Card"/>
    <s v="Fortnightly"/>
    <s v="Fortnightly"/>
    <n v="3"/>
  </r>
  <r>
    <x v="3197"/>
    <n v="27"/>
    <x v="1"/>
    <s v="Sweater"/>
    <x v="0"/>
    <n v="71"/>
    <x v="1"/>
    <s v="M"/>
    <s v="Teal"/>
    <s v="Spring"/>
    <n v="3.2"/>
    <s v="No"/>
    <s v="Free Shipping"/>
    <s v="No"/>
    <s v="No"/>
    <n v="29"/>
    <s v="Credit Card"/>
    <s v="Every 3 Months"/>
    <s v="Quarterly"/>
    <n v="5"/>
  </r>
  <r>
    <x v="3198"/>
    <n v="61"/>
    <x v="1"/>
    <s v="Gloves"/>
    <x v="3"/>
    <n v="94"/>
    <x v="38"/>
    <s v="L"/>
    <s v="Peach"/>
    <s v="Winter"/>
    <n v="2.8"/>
    <s v="No"/>
    <s v="Free Shipping"/>
    <s v="No"/>
    <s v="No"/>
    <n v="39"/>
    <s v="Debit Card"/>
    <s v="Weekly"/>
    <s v="Weekly"/>
    <n v="1"/>
  </r>
  <r>
    <x v="3199"/>
    <n v="59"/>
    <x v="1"/>
    <s v="Handbag"/>
    <x v="3"/>
    <n v="40"/>
    <x v="1"/>
    <s v="XL"/>
    <s v="Pink"/>
    <s v="Winter"/>
    <n v="4.2"/>
    <s v="No"/>
    <s v="Express"/>
    <s v="No"/>
    <s v="No"/>
    <n v="16"/>
    <s v="PayPal"/>
    <s v="Monthly"/>
    <s v="Monthly"/>
    <n v="4"/>
  </r>
  <r>
    <x v="3200"/>
    <n v="67"/>
    <x v="1"/>
    <s v="Socks"/>
    <x v="0"/>
    <n v="24"/>
    <x v="9"/>
    <s v="L"/>
    <s v="Black"/>
    <s v="Spring"/>
    <n v="4.8"/>
    <s v="No"/>
    <s v="Free Shipping"/>
    <s v="No"/>
    <s v="No"/>
    <n v="32"/>
    <s v="Credit Card"/>
    <s v="Monthly"/>
    <s v="Monthly"/>
    <n v="4"/>
  </r>
  <r>
    <x v="3201"/>
    <n v="46"/>
    <x v="1"/>
    <s v="Pants"/>
    <x v="0"/>
    <n v="38"/>
    <x v="34"/>
    <s v="S"/>
    <s v="Indigo"/>
    <s v="Fall"/>
    <n v="2.8"/>
    <s v="No"/>
    <s v="2-Day Shipping"/>
    <s v="No"/>
    <s v="No"/>
    <n v="34"/>
    <s v="Cash"/>
    <s v="Monthly"/>
    <s v="Monthly"/>
    <n v="4"/>
  </r>
  <r>
    <x v="3202"/>
    <n v="65"/>
    <x v="1"/>
    <s v="Scarf"/>
    <x v="3"/>
    <n v="37"/>
    <x v="48"/>
    <s v="L"/>
    <s v="Green"/>
    <s v="Fall"/>
    <n v="4.5"/>
    <s v="No"/>
    <s v="Standard"/>
    <s v="No"/>
    <s v="No"/>
    <n v="38"/>
    <s v="Venmo"/>
    <s v="Annually"/>
    <s v="Annually"/>
    <n v="6"/>
  </r>
  <r>
    <x v="3203"/>
    <n v="63"/>
    <x v="1"/>
    <s v="Coat"/>
    <x v="2"/>
    <n v="29"/>
    <x v="32"/>
    <s v="L"/>
    <s v="Teal"/>
    <s v="Spring"/>
    <n v="4.0999999999999996"/>
    <s v="No"/>
    <s v="Express"/>
    <s v="No"/>
    <s v="No"/>
    <n v="14"/>
    <s v="Venmo"/>
    <s v="Annually"/>
    <s v="Annually"/>
    <n v="6"/>
  </r>
  <r>
    <x v="3204"/>
    <n v="57"/>
    <x v="1"/>
    <s v="Jacket"/>
    <x v="2"/>
    <n v="92"/>
    <x v="35"/>
    <s v="XL"/>
    <s v="Lavender"/>
    <s v="Fall"/>
    <n v="4.3"/>
    <s v="No"/>
    <s v="Free Shipping"/>
    <s v="No"/>
    <s v="No"/>
    <n v="23"/>
    <s v="Debit Card"/>
    <s v="Bi-Weekly"/>
    <s v="Bi-Weekly"/>
    <n v="2"/>
  </r>
  <r>
    <x v="3205"/>
    <n v="40"/>
    <x v="1"/>
    <s v="Hoodie"/>
    <x v="0"/>
    <n v="24"/>
    <x v="24"/>
    <s v="XL"/>
    <s v="Magenta"/>
    <s v="Fall"/>
    <n v="4.4000000000000004"/>
    <s v="No"/>
    <s v="2-Day Shipping"/>
    <s v="No"/>
    <s v="No"/>
    <n v="50"/>
    <s v="Bank Transfer"/>
    <s v="Every 3 Months"/>
    <s v="Quarterly"/>
    <n v="5"/>
  </r>
  <r>
    <x v="3206"/>
    <n v="36"/>
    <x v="1"/>
    <s v="Boots"/>
    <x v="1"/>
    <n v="52"/>
    <x v="18"/>
    <s v="M"/>
    <s v="Brown"/>
    <s v="Winter"/>
    <n v="3"/>
    <s v="No"/>
    <s v="Free Shipping"/>
    <s v="No"/>
    <s v="No"/>
    <n v="49"/>
    <s v="PayPal"/>
    <s v="Monthly"/>
    <s v="Monthly"/>
    <n v="4"/>
  </r>
  <r>
    <x v="3207"/>
    <n v="67"/>
    <x v="1"/>
    <s v="Socks"/>
    <x v="0"/>
    <n v="29"/>
    <x v="28"/>
    <s v="XL"/>
    <s v="Beige"/>
    <s v="Summer"/>
    <n v="2.7"/>
    <s v="No"/>
    <s v="Next Day Air"/>
    <s v="No"/>
    <s v="No"/>
    <n v="14"/>
    <s v="PayPal"/>
    <s v="Annually"/>
    <s v="Annually"/>
    <n v="6"/>
  </r>
  <r>
    <x v="3208"/>
    <n v="61"/>
    <x v="1"/>
    <s v="Jewelry"/>
    <x v="3"/>
    <n v="30"/>
    <x v="27"/>
    <s v="L"/>
    <s v="Indigo"/>
    <s v="Winter"/>
    <n v="3.3"/>
    <s v="No"/>
    <s v="2-Day Shipping"/>
    <s v="No"/>
    <s v="No"/>
    <n v="42"/>
    <s v="PayPal"/>
    <s v="Weekly"/>
    <s v="Weekly"/>
    <n v="1"/>
  </r>
  <r>
    <x v="3209"/>
    <n v="64"/>
    <x v="1"/>
    <s v="Shoes"/>
    <x v="1"/>
    <n v="31"/>
    <x v="10"/>
    <s v="L"/>
    <s v="Peach"/>
    <s v="Fall"/>
    <n v="4.3"/>
    <s v="No"/>
    <s v="Standard"/>
    <s v="No"/>
    <s v="No"/>
    <n v="39"/>
    <s v="Debit Card"/>
    <s v="Annually"/>
    <s v="Annually"/>
    <n v="6"/>
  </r>
  <r>
    <x v="3210"/>
    <n v="30"/>
    <x v="1"/>
    <s v="Socks"/>
    <x v="0"/>
    <n v="67"/>
    <x v="22"/>
    <s v="M"/>
    <s v="Magenta"/>
    <s v="Summer"/>
    <n v="2.9"/>
    <s v="No"/>
    <s v="Express"/>
    <s v="No"/>
    <s v="No"/>
    <n v="43"/>
    <s v="Venmo"/>
    <s v="Bi-Weekly"/>
    <s v="Bi-Weekly"/>
    <n v="2"/>
  </r>
  <r>
    <x v="3211"/>
    <n v="53"/>
    <x v="1"/>
    <s v="Pants"/>
    <x v="0"/>
    <n v="65"/>
    <x v="3"/>
    <s v="L"/>
    <s v="Turquoise"/>
    <s v="Winter"/>
    <n v="4.9000000000000004"/>
    <s v="No"/>
    <s v="Standard"/>
    <s v="No"/>
    <s v="No"/>
    <n v="12"/>
    <s v="Cash"/>
    <s v="Monthly"/>
    <s v="Monthly"/>
    <n v="4"/>
  </r>
  <r>
    <x v="3212"/>
    <n v="27"/>
    <x v="1"/>
    <s v="Sneakers"/>
    <x v="1"/>
    <n v="22"/>
    <x v="5"/>
    <s v="M"/>
    <s v="Indigo"/>
    <s v="Winter"/>
    <n v="3.6"/>
    <s v="No"/>
    <s v="2-Day Shipping"/>
    <s v="No"/>
    <s v="No"/>
    <n v="21"/>
    <s v="Debit Card"/>
    <s v="Weekly"/>
    <s v="Weekly"/>
    <n v="1"/>
  </r>
  <r>
    <x v="3213"/>
    <n v="27"/>
    <x v="1"/>
    <s v="Sunglasses"/>
    <x v="3"/>
    <n v="56"/>
    <x v="21"/>
    <s v="M"/>
    <s v="Brown"/>
    <s v="Winter"/>
    <n v="3.3"/>
    <s v="No"/>
    <s v="Standard"/>
    <s v="No"/>
    <s v="No"/>
    <n v="33"/>
    <s v="Credit Card"/>
    <s v="Monthly"/>
    <s v="Monthly"/>
    <n v="4"/>
  </r>
  <r>
    <x v="3214"/>
    <n v="53"/>
    <x v="1"/>
    <s v="Skirt"/>
    <x v="0"/>
    <n v="78"/>
    <x v="47"/>
    <s v="M"/>
    <s v="Yellow"/>
    <s v="Spring"/>
    <n v="3.1"/>
    <s v="No"/>
    <s v="Free Shipping"/>
    <s v="No"/>
    <s v="No"/>
    <n v="6"/>
    <s v="Debit Card"/>
    <s v="Annually"/>
    <s v="Annually"/>
    <n v="6"/>
  </r>
  <r>
    <x v="3215"/>
    <n v="34"/>
    <x v="1"/>
    <s v="Coat"/>
    <x v="2"/>
    <n v="90"/>
    <x v="3"/>
    <s v="M"/>
    <s v="Magenta"/>
    <s v="Summer"/>
    <n v="2.7"/>
    <s v="No"/>
    <s v="Free Shipping"/>
    <s v="No"/>
    <s v="No"/>
    <n v="10"/>
    <s v="PayPal"/>
    <s v="Every 3 Months"/>
    <s v="Quarterly"/>
    <n v="5"/>
  </r>
  <r>
    <x v="3216"/>
    <n v="39"/>
    <x v="1"/>
    <s v="Hoodie"/>
    <x v="0"/>
    <n v="85"/>
    <x v="26"/>
    <s v="S"/>
    <s v="Olive"/>
    <s v="Winter"/>
    <n v="3.4"/>
    <s v="No"/>
    <s v="Next Day Air"/>
    <s v="No"/>
    <s v="No"/>
    <n v="18"/>
    <s v="Cash"/>
    <s v="Weekly"/>
    <s v="Weekly"/>
    <n v="1"/>
  </r>
  <r>
    <x v="3217"/>
    <n v="44"/>
    <x v="1"/>
    <s v="Sunglasses"/>
    <x v="3"/>
    <n v="58"/>
    <x v="4"/>
    <s v="M"/>
    <s v="Silver"/>
    <s v="Fall"/>
    <n v="3.4"/>
    <s v="No"/>
    <s v="Express"/>
    <s v="No"/>
    <s v="No"/>
    <n v="46"/>
    <s v="Venmo"/>
    <s v="Weekly"/>
    <s v="Weekly"/>
    <n v="1"/>
  </r>
  <r>
    <x v="3218"/>
    <n v="37"/>
    <x v="1"/>
    <s v="Skirt"/>
    <x v="0"/>
    <n v="34"/>
    <x v="20"/>
    <s v="M"/>
    <s v="Teal"/>
    <s v="Fall"/>
    <n v="3.9"/>
    <s v="No"/>
    <s v="Express"/>
    <s v="No"/>
    <s v="No"/>
    <n v="49"/>
    <s v="PayPal"/>
    <s v="Monthly"/>
    <s v="Monthly"/>
    <n v="4"/>
  </r>
  <r>
    <x v="3219"/>
    <n v="57"/>
    <x v="1"/>
    <s v="Coat"/>
    <x v="2"/>
    <n v="40"/>
    <x v="23"/>
    <s v="L"/>
    <s v="White"/>
    <s v="Summer"/>
    <n v="3.5"/>
    <s v="No"/>
    <s v="2-Day Shipping"/>
    <s v="No"/>
    <s v="No"/>
    <n v="39"/>
    <s v="Credit Card"/>
    <s v="Weekly"/>
    <s v="Weekly"/>
    <n v="1"/>
  </r>
  <r>
    <x v="3220"/>
    <n v="38"/>
    <x v="1"/>
    <s v="Handbag"/>
    <x v="3"/>
    <n v="29"/>
    <x v="25"/>
    <s v="M"/>
    <s v="Blue"/>
    <s v="Fall"/>
    <n v="4.0999999999999996"/>
    <s v="No"/>
    <s v="Free Shipping"/>
    <s v="No"/>
    <s v="No"/>
    <n v="16"/>
    <s v="Cash"/>
    <s v="Monthly"/>
    <s v="Monthly"/>
    <n v="4"/>
  </r>
  <r>
    <x v="3221"/>
    <n v="21"/>
    <x v="1"/>
    <s v="T-shirt"/>
    <x v="0"/>
    <n v="76"/>
    <x v="13"/>
    <s v="M"/>
    <s v="Yellow"/>
    <s v="Winter"/>
    <n v="3.2"/>
    <s v="No"/>
    <s v="Standard"/>
    <s v="No"/>
    <s v="No"/>
    <n v="28"/>
    <s v="Cash"/>
    <s v="Annually"/>
    <s v="Annually"/>
    <n v="6"/>
  </r>
  <r>
    <x v="3222"/>
    <n v="45"/>
    <x v="1"/>
    <s v="Sunglasses"/>
    <x v="3"/>
    <n v="84"/>
    <x v="21"/>
    <s v="S"/>
    <s v="Maroon"/>
    <s v="Fall"/>
    <n v="4.5999999999999996"/>
    <s v="No"/>
    <s v="Store Pickup"/>
    <s v="No"/>
    <s v="No"/>
    <n v="22"/>
    <s v="PayPal"/>
    <s v="Quarterly"/>
    <s v="Quarterly"/>
    <n v="5"/>
  </r>
  <r>
    <x v="3223"/>
    <n v="68"/>
    <x v="1"/>
    <s v="Shirt"/>
    <x v="0"/>
    <n v="65"/>
    <x v="6"/>
    <s v="S"/>
    <s v="Gray"/>
    <s v="Spring"/>
    <n v="3.9"/>
    <s v="No"/>
    <s v="Standard"/>
    <s v="No"/>
    <s v="No"/>
    <n v="36"/>
    <s v="Venmo"/>
    <s v="Bi-Weekly"/>
    <s v="Bi-Weekly"/>
    <n v="2"/>
  </r>
  <r>
    <x v="3224"/>
    <n v="37"/>
    <x v="1"/>
    <s v="Hoodie"/>
    <x v="0"/>
    <n v="80"/>
    <x v="12"/>
    <s v="L"/>
    <s v="Indigo"/>
    <s v="Winter"/>
    <n v="2.7"/>
    <s v="No"/>
    <s v="Free Shipping"/>
    <s v="No"/>
    <s v="No"/>
    <n v="18"/>
    <s v="PayPal"/>
    <s v="Monthly"/>
    <s v="Monthly"/>
    <n v="4"/>
  </r>
  <r>
    <x v="3225"/>
    <n v="53"/>
    <x v="1"/>
    <s v="Blouse"/>
    <x v="0"/>
    <n v="98"/>
    <x v="13"/>
    <s v="M"/>
    <s v="Pink"/>
    <s v="Fall"/>
    <n v="3"/>
    <s v="No"/>
    <s v="Store Pickup"/>
    <s v="No"/>
    <s v="No"/>
    <n v="31"/>
    <s v="Credit Card"/>
    <s v="Weekly"/>
    <s v="Weekly"/>
    <n v="1"/>
  </r>
  <r>
    <x v="3226"/>
    <n v="57"/>
    <x v="1"/>
    <s v="Sneakers"/>
    <x v="1"/>
    <n v="71"/>
    <x v="46"/>
    <s v="XL"/>
    <s v="Beige"/>
    <s v="Spring"/>
    <n v="3.3"/>
    <s v="No"/>
    <s v="Next Day Air"/>
    <s v="No"/>
    <s v="No"/>
    <n v="38"/>
    <s v="Bank Transfer"/>
    <s v="Fortnightly"/>
    <s v="Fortnightly"/>
    <n v="3"/>
  </r>
  <r>
    <x v="3227"/>
    <n v="28"/>
    <x v="1"/>
    <s v="Scarf"/>
    <x v="3"/>
    <n v="69"/>
    <x v="29"/>
    <s v="XL"/>
    <s v="White"/>
    <s v="Fall"/>
    <n v="2.7"/>
    <s v="No"/>
    <s v="Free Shipping"/>
    <s v="No"/>
    <s v="No"/>
    <n v="42"/>
    <s v="Debit Card"/>
    <s v="Quarterly"/>
    <s v="Quarterly"/>
    <n v="5"/>
  </r>
  <r>
    <x v="3228"/>
    <n v="37"/>
    <x v="1"/>
    <s v="Jewelry"/>
    <x v="3"/>
    <n v="95"/>
    <x v="39"/>
    <s v="M"/>
    <s v="Yellow"/>
    <s v="Spring"/>
    <n v="4.5999999999999996"/>
    <s v="No"/>
    <s v="2-Day Shipping"/>
    <s v="No"/>
    <s v="No"/>
    <n v="27"/>
    <s v="PayPal"/>
    <s v="Annually"/>
    <s v="Annually"/>
    <n v="6"/>
  </r>
  <r>
    <x v="3229"/>
    <n v="54"/>
    <x v="1"/>
    <s v="Pants"/>
    <x v="0"/>
    <n v="67"/>
    <x v="39"/>
    <s v="M"/>
    <s v="Teal"/>
    <s v="Fall"/>
    <n v="2.7"/>
    <s v="No"/>
    <s v="Express"/>
    <s v="No"/>
    <s v="No"/>
    <n v="24"/>
    <s v="Cash"/>
    <s v="Monthly"/>
    <s v="Monthly"/>
    <n v="4"/>
  </r>
  <r>
    <x v="3230"/>
    <n v="49"/>
    <x v="1"/>
    <s v="Sneakers"/>
    <x v="1"/>
    <n v="49"/>
    <x v="23"/>
    <s v="M"/>
    <s v="Olive"/>
    <s v="Summer"/>
    <n v="2.5"/>
    <s v="No"/>
    <s v="Next Day Air"/>
    <s v="No"/>
    <s v="No"/>
    <n v="38"/>
    <s v="Debit Card"/>
    <s v="Annually"/>
    <s v="Annually"/>
    <n v="6"/>
  </r>
  <r>
    <x v="3231"/>
    <n v="62"/>
    <x v="1"/>
    <s v="Shoes"/>
    <x v="1"/>
    <n v="97"/>
    <x v="22"/>
    <s v="M"/>
    <s v="Maroon"/>
    <s v="Winter"/>
    <n v="4.4000000000000004"/>
    <s v="No"/>
    <s v="Free Shipping"/>
    <s v="No"/>
    <s v="No"/>
    <n v="9"/>
    <s v="Credit Card"/>
    <s v="Annually"/>
    <s v="Annually"/>
    <n v="6"/>
  </r>
  <r>
    <x v="3232"/>
    <n v="45"/>
    <x v="1"/>
    <s v="T-shirt"/>
    <x v="0"/>
    <n v="34"/>
    <x v="2"/>
    <s v="M"/>
    <s v="White"/>
    <s v="Spring"/>
    <n v="4"/>
    <s v="No"/>
    <s v="Next Day Air"/>
    <s v="No"/>
    <s v="No"/>
    <n v="19"/>
    <s v="Bank Transfer"/>
    <s v="Monthly"/>
    <s v="Monthly"/>
    <n v="4"/>
  </r>
  <r>
    <x v="3233"/>
    <n v="45"/>
    <x v="1"/>
    <s v="Belt"/>
    <x v="3"/>
    <n v="74"/>
    <x v="27"/>
    <s v="M"/>
    <s v="Lavender"/>
    <s v="Fall"/>
    <n v="3.8"/>
    <s v="No"/>
    <s v="Express"/>
    <s v="No"/>
    <s v="No"/>
    <n v="11"/>
    <s v="Debit Card"/>
    <s v="Bi-Weekly"/>
    <s v="Bi-Weekly"/>
    <n v="2"/>
  </r>
  <r>
    <x v="3234"/>
    <n v="49"/>
    <x v="1"/>
    <s v="Jewelry"/>
    <x v="3"/>
    <n v="96"/>
    <x v="47"/>
    <s v="M"/>
    <s v="Black"/>
    <s v="Winter"/>
    <n v="2.5"/>
    <s v="No"/>
    <s v="2-Day Shipping"/>
    <s v="No"/>
    <s v="No"/>
    <n v="16"/>
    <s v="Debit Card"/>
    <s v="Quarterly"/>
    <s v="Quarterly"/>
    <n v="5"/>
  </r>
  <r>
    <x v="3235"/>
    <n v="27"/>
    <x v="1"/>
    <s v="Belt"/>
    <x v="3"/>
    <n v="68"/>
    <x v="23"/>
    <s v="M"/>
    <s v="Green"/>
    <s v="Summer"/>
    <n v="4"/>
    <s v="No"/>
    <s v="Free Shipping"/>
    <s v="No"/>
    <s v="No"/>
    <n v="18"/>
    <s v="Venmo"/>
    <s v="Monthly"/>
    <s v="Monthly"/>
    <n v="4"/>
  </r>
  <r>
    <x v="3236"/>
    <n v="63"/>
    <x v="1"/>
    <s v="Belt"/>
    <x v="3"/>
    <n v="84"/>
    <x v="36"/>
    <s v="L"/>
    <s v="Olive"/>
    <s v="Fall"/>
    <n v="4.0999999999999996"/>
    <s v="No"/>
    <s v="Next Day Air"/>
    <s v="No"/>
    <s v="No"/>
    <n v="8"/>
    <s v="Cash"/>
    <s v="Monthly"/>
    <s v="Monthly"/>
    <n v="4"/>
  </r>
  <r>
    <x v="3237"/>
    <n v="61"/>
    <x v="1"/>
    <s v="T-shirt"/>
    <x v="0"/>
    <n v="57"/>
    <x v="34"/>
    <s v="M"/>
    <s v="Gray"/>
    <s v="Summer"/>
    <n v="2.8"/>
    <s v="No"/>
    <s v="Express"/>
    <s v="No"/>
    <s v="No"/>
    <n v="4"/>
    <s v="Cash"/>
    <s v="Weekly"/>
    <s v="Weekly"/>
    <n v="1"/>
  </r>
  <r>
    <x v="3238"/>
    <n v="25"/>
    <x v="1"/>
    <s v="Sneakers"/>
    <x v="1"/>
    <n v="84"/>
    <x v="5"/>
    <s v="XL"/>
    <s v="Teal"/>
    <s v="Fall"/>
    <n v="3.4"/>
    <s v="No"/>
    <s v="2-Day Shipping"/>
    <s v="No"/>
    <s v="No"/>
    <n v="37"/>
    <s v="Cash"/>
    <s v="Quarterly"/>
    <s v="Quarterly"/>
    <n v="5"/>
  </r>
  <r>
    <x v="3239"/>
    <n v="33"/>
    <x v="1"/>
    <s v="Sunglasses"/>
    <x v="3"/>
    <n v="32"/>
    <x v="24"/>
    <s v="M"/>
    <s v="Charcoal"/>
    <s v="Fall"/>
    <n v="2.7"/>
    <s v="No"/>
    <s v="2-Day Shipping"/>
    <s v="No"/>
    <s v="No"/>
    <n v="30"/>
    <s v="Cash"/>
    <s v="Monthly"/>
    <s v="Monthly"/>
    <n v="4"/>
  </r>
  <r>
    <x v="3240"/>
    <n v="56"/>
    <x v="1"/>
    <s v="Sandals"/>
    <x v="1"/>
    <n v="37"/>
    <x v="8"/>
    <s v="M"/>
    <s v="Violet"/>
    <s v="Fall"/>
    <n v="3.8"/>
    <s v="No"/>
    <s v="2-Day Shipping"/>
    <s v="No"/>
    <s v="No"/>
    <n v="37"/>
    <s v="Bank Transfer"/>
    <s v="Monthly"/>
    <s v="Monthly"/>
    <n v="4"/>
  </r>
  <r>
    <x v="3241"/>
    <n v="50"/>
    <x v="1"/>
    <s v="Handbag"/>
    <x v="3"/>
    <n v="58"/>
    <x v="39"/>
    <s v="M"/>
    <s v="Lavender"/>
    <s v="Summer"/>
    <n v="4.4000000000000004"/>
    <s v="No"/>
    <s v="Store Pickup"/>
    <s v="No"/>
    <s v="No"/>
    <n v="30"/>
    <s v="PayPal"/>
    <s v="Quarterly"/>
    <s v="Quarterly"/>
    <n v="5"/>
  </r>
  <r>
    <x v="3242"/>
    <n v="45"/>
    <x v="1"/>
    <s v="Socks"/>
    <x v="0"/>
    <n v="74"/>
    <x v="4"/>
    <s v="S"/>
    <s v="Beige"/>
    <s v="Fall"/>
    <n v="2.8"/>
    <s v="No"/>
    <s v="Express"/>
    <s v="No"/>
    <s v="No"/>
    <n v="17"/>
    <s v="Venmo"/>
    <s v="Weekly"/>
    <s v="Weekly"/>
    <n v="1"/>
  </r>
  <r>
    <x v="3243"/>
    <n v="45"/>
    <x v="1"/>
    <s v="Hoodie"/>
    <x v="0"/>
    <n v="99"/>
    <x v="37"/>
    <s v="L"/>
    <s v="Black"/>
    <s v="Summer"/>
    <n v="5"/>
    <s v="No"/>
    <s v="Store Pickup"/>
    <s v="No"/>
    <s v="No"/>
    <n v="11"/>
    <s v="Bank Transfer"/>
    <s v="Every 3 Months"/>
    <s v="Quarterly"/>
    <n v="5"/>
  </r>
  <r>
    <x v="3244"/>
    <n v="65"/>
    <x v="1"/>
    <s v="Sweater"/>
    <x v="0"/>
    <n v="81"/>
    <x v="10"/>
    <s v="M"/>
    <s v="Black"/>
    <s v="Fall"/>
    <n v="4.7"/>
    <s v="No"/>
    <s v="Express"/>
    <s v="No"/>
    <s v="No"/>
    <n v="42"/>
    <s v="Credit Card"/>
    <s v="Annually"/>
    <s v="Annually"/>
    <n v="6"/>
  </r>
  <r>
    <x v="3245"/>
    <n v="63"/>
    <x v="1"/>
    <s v="Pants"/>
    <x v="0"/>
    <n v="76"/>
    <x v="23"/>
    <s v="M"/>
    <s v="Purple"/>
    <s v="Fall"/>
    <n v="3.2"/>
    <s v="No"/>
    <s v="Next Day Air"/>
    <s v="No"/>
    <s v="No"/>
    <n v="20"/>
    <s v="Cash"/>
    <s v="Weekly"/>
    <s v="Weekly"/>
    <n v="1"/>
  </r>
  <r>
    <x v="3246"/>
    <n v="70"/>
    <x v="1"/>
    <s v="Sneakers"/>
    <x v="1"/>
    <n v="98"/>
    <x v="49"/>
    <s v="M"/>
    <s v="Magenta"/>
    <s v="Summer"/>
    <n v="2.9"/>
    <s v="No"/>
    <s v="Store Pickup"/>
    <s v="No"/>
    <s v="No"/>
    <n v="37"/>
    <s v="Cash"/>
    <s v="Monthly"/>
    <s v="Monthly"/>
    <n v="4"/>
  </r>
  <r>
    <x v="3247"/>
    <n v="53"/>
    <x v="1"/>
    <s v="Gloves"/>
    <x v="3"/>
    <n v="91"/>
    <x v="10"/>
    <s v="M"/>
    <s v="Teal"/>
    <s v="Summer"/>
    <n v="3.7"/>
    <s v="No"/>
    <s v="Express"/>
    <s v="No"/>
    <s v="No"/>
    <n v="12"/>
    <s v="PayPal"/>
    <s v="Fortnightly"/>
    <s v="Fortnightly"/>
    <n v="3"/>
  </r>
  <r>
    <x v="3248"/>
    <n v="22"/>
    <x v="1"/>
    <s v="T-shirt"/>
    <x v="0"/>
    <n v="79"/>
    <x v="38"/>
    <s v="S"/>
    <s v="Teal"/>
    <s v="Summer"/>
    <n v="4.2"/>
    <s v="No"/>
    <s v="Free Shipping"/>
    <s v="No"/>
    <s v="No"/>
    <n v="41"/>
    <s v="Bank Transfer"/>
    <s v="Quarterly"/>
    <s v="Quarterly"/>
    <n v="5"/>
  </r>
  <r>
    <x v="3249"/>
    <n v="26"/>
    <x v="1"/>
    <s v="Backpack"/>
    <x v="3"/>
    <n v="83"/>
    <x v="41"/>
    <s v="M"/>
    <s v="Pink"/>
    <s v="Summer"/>
    <n v="3.4"/>
    <s v="No"/>
    <s v="Express"/>
    <s v="No"/>
    <s v="No"/>
    <n v="32"/>
    <s v="Credit Card"/>
    <s v="Quarterly"/>
    <s v="Quarterly"/>
    <n v="5"/>
  </r>
  <r>
    <x v="3250"/>
    <n v="23"/>
    <x v="1"/>
    <s v="Coat"/>
    <x v="2"/>
    <n v="90"/>
    <x v="46"/>
    <s v="M"/>
    <s v="Teal"/>
    <s v="Spring"/>
    <n v="2.9"/>
    <s v="No"/>
    <s v="2-Day Shipping"/>
    <s v="No"/>
    <s v="No"/>
    <n v="15"/>
    <s v="Venmo"/>
    <s v="Weekly"/>
    <s v="Weekly"/>
    <n v="1"/>
  </r>
  <r>
    <x v="3251"/>
    <n v="25"/>
    <x v="1"/>
    <s v="Coat"/>
    <x v="2"/>
    <n v="20"/>
    <x v="22"/>
    <s v="M"/>
    <s v="Gold"/>
    <s v="Winter"/>
    <n v="3.7"/>
    <s v="No"/>
    <s v="Standard"/>
    <s v="No"/>
    <s v="No"/>
    <n v="39"/>
    <s v="Venmo"/>
    <s v="Quarterly"/>
    <s v="Quarterly"/>
    <n v="5"/>
  </r>
  <r>
    <x v="3252"/>
    <n v="69"/>
    <x v="1"/>
    <s v="Sandals"/>
    <x v="1"/>
    <n v="21"/>
    <x v="6"/>
    <s v="L"/>
    <s v="Brown"/>
    <s v="Spring"/>
    <n v="2.7"/>
    <s v="No"/>
    <s v="Store Pickup"/>
    <s v="No"/>
    <s v="No"/>
    <n v="48"/>
    <s v="Credit Card"/>
    <s v="Fortnightly"/>
    <s v="Fortnightly"/>
    <n v="3"/>
  </r>
  <r>
    <x v="3253"/>
    <n v="36"/>
    <x v="1"/>
    <s v="Backpack"/>
    <x v="3"/>
    <n v="60"/>
    <x v="43"/>
    <s v="M"/>
    <s v="Brown"/>
    <s v="Fall"/>
    <n v="3.2"/>
    <s v="No"/>
    <s v="2-Day Shipping"/>
    <s v="No"/>
    <s v="No"/>
    <n v="8"/>
    <s v="Venmo"/>
    <s v="Fortnightly"/>
    <s v="Fortnightly"/>
    <n v="3"/>
  </r>
  <r>
    <x v="3254"/>
    <n v="21"/>
    <x v="1"/>
    <s v="Sweater"/>
    <x v="0"/>
    <n v="31"/>
    <x v="27"/>
    <s v="S"/>
    <s v="Magenta"/>
    <s v="Winter"/>
    <n v="4.9000000000000004"/>
    <s v="No"/>
    <s v="Store Pickup"/>
    <s v="No"/>
    <s v="No"/>
    <n v="11"/>
    <s v="Bank Transfer"/>
    <s v="Every 3 Months"/>
    <s v="Quarterly"/>
    <n v="5"/>
  </r>
  <r>
    <x v="3255"/>
    <n v="57"/>
    <x v="1"/>
    <s v="Shorts"/>
    <x v="0"/>
    <n v="40"/>
    <x v="32"/>
    <s v="M"/>
    <s v="Black"/>
    <s v="Fall"/>
    <n v="2.8"/>
    <s v="No"/>
    <s v="Next Day Air"/>
    <s v="No"/>
    <s v="No"/>
    <n v="36"/>
    <s v="Bank Transfer"/>
    <s v="Monthly"/>
    <s v="Monthly"/>
    <n v="4"/>
  </r>
  <r>
    <x v="3256"/>
    <n v="60"/>
    <x v="1"/>
    <s v="Sunglasses"/>
    <x v="3"/>
    <n v="26"/>
    <x v="48"/>
    <s v="L"/>
    <s v="Teal"/>
    <s v="Winter"/>
    <n v="4.7"/>
    <s v="No"/>
    <s v="Free Shipping"/>
    <s v="No"/>
    <s v="No"/>
    <n v="50"/>
    <s v="Venmo"/>
    <s v="Every 3 Months"/>
    <s v="Quarterly"/>
    <n v="5"/>
  </r>
  <r>
    <x v="3257"/>
    <n v="44"/>
    <x v="1"/>
    <s v="Shirt"/>
    <x v="0"/>
    <n v="98"/>
    <x v="46"/>
    <s v="M"/>
    <s v="Brown"/>
    <s v="Fall"/>
    <n v="3.3"/>
    <s v="No"/>
    <s v="Express"/>
    <s v="No"/>
    <s v="No"/>
    <n v="39"/>
    <s v="Venmo"/>
    <s v="Every 3 Months"/>
    <s v="Quarterly"/>
    <n v="5"/>
  </r>
  <r>
    <x v="3258"/>
    <n v="31"/>
    <x v="1"/>
    <s v="Shoes"/>
    <x v="1"/>
    <n v="51"/>
    <x v="32"/>
    <s v="M"/>
    <s v="Magenta"/>
    <s v="Spring"/>
    <n v="4.3"/>
    <s v="No"/>
    <s v="Express"/>
    <s v="No"/>
    <s v="No"/>
    <n v="11"/>
    <s v="Credit Card"/>
    <s v="Bi-Weekly"/>
    <s v="Bi-Weekly"/>
    <n v="2"/>
  </r>
  <r>
    <x v="3259"/>
    <n v="57"/>
    <x v="1"/>
    <s v="Hat"/>
    <x v="3"/>
    <n v="95"/>
    <x v="19"/>
    <s v="XL"/>
    <s v="Indigo"/>
    <s v="Fall"/>
    <n v="3.7"/>
    <s v="No"/>
    <s v="2-Day Shipping"/>
    <s v="No"/>
    <s v="No"/>
    <n v="5"/>
    <s v="Debit Card"/>
    <s v="Every 3 Months"/>
    <s v="Quarterly"/>
    <n v="5"/>
  </r>
  <r>
    <x v="3260"/>
    <n v="39"/>
    <x v="1"/>
    <s v="Scarf"/>
    <x v="3"/>
    <n v="36"/>
    <x v="48"/>
    <s v="M"/>
    <s v="Violet"/>
    <s v="Summer"/>
    <n v="4.5"/>
    <s v="No"/>
    <s v="2-Day Shipping"/>
    <s v="No"/>
    <s v="No"/>
    <n v="7"/>
    <s v="Credit Card"/>
    <s v="Annually"/>
    <s v="Annually"/>
    <n v="6"/>
  </r>
  <r>
    <x v="3261"/>
    <n v="48"/>
    <x v="1"/>
    <s v="Belt"/>
    <x v="3"/>
    <n v="52"/>
    <x v="3"/>
    <s v="L"/>
    <s v="Cyan"/>
    <s v="Winter"/>
    <n v="3.4"/>
    <s v="No"/>
    <s v="Store Pickup"/>
    <s v="No"/>
    <s v="No"/>
    <n v="50"/>
    <s v="Debit Card"/>
    <s v="Weekly"/>
    <s v="Weekly"/>
    <n v="1"/>
  </r>
  <r>
    <x v="3262"/>
    <n v="42"/>
    <x v="1"/>
    <s v="T-shirt"/>
    <x v="0"/>
    <n v="35"/>
    <x v="27"/>
    <s v="M"/>
    <s v="Violet"/>
    <s v="Spring"/>
    <n v="2.7"/>
    <s v="No"/>
    <s v="Standard"/>
    <s v="No"/>
    <s v="No"/>
    <n v="21"/>
    <s v="Cash"/>
    <s v="Every 3 Months"/>
    <s v="Quarterly"/>
    <n v="5"/>
  </r>
  <r>
    <x v="3263"/>
    <n v="56"/>
    <x v="1"/>
    <s v="Shorts"/>
    <x v="0"/>
    <n v="68"/>
    <x v="34"/>
    <s v="S"/>
    <s v="Black"/>
    <s v="Fall"/>
    <n v="4.4000000000000004"/>
    <s v="No"/>
    <s v="Express"/>
    <s v="No"/>
    <s v="No"/>
    <n v="31"/>
    <s v="Debit Card"/>
    <s v="Fortnightly"/>
    <s v="Fortnightly"/>
    <n v="3"/>
  </r>
  <r>
    <x v="3264"/>
    <n v="28"/>
    <x v="1"/>
    <s v="Pants"/>
    <x v="0"/>
    <n v="50"/>
    <x v="1"/>
    <s v="S"/>
    <s v="Charcoal"/>
    <s v="Winter"/>
    <n v="4"/>
    <s v="No"/>
    <s v="Express"/>
    <s v="No"/>
    <s v="No"/>
    <n v="39"/>
    <s v="Cash"/>
    <s v="Bi-Weekly"/>
    <s v="Bi-Weekly"/>
    <n v="2"/>
  </r>
  <r>
    <x v="3265"/>
    <n v="40"/>
    <x v="1"/>
    <s v="Sunglasses"/>
    <x v="3"/>
    <n v="100"/>
    <x v="15"/>
    <s v="M"/>
    <s v="White"/>
    <s v="Winter"/>
    <n v="3.2"/>
    <s v="No"/>
    <s v="Express"/>
    <s v="No"/>
    <s v="No"/>
    <n v="28"/>
    <s v="Credit Card"/>
    <s v="Fortnightly"/>
    <s v="Fortnightly"/>
    <n v="3"/>
  </r>
  <r>
    <x v="3266"/>
    <n v="49"/>
    <x v="1"/>
    <s v="Coat"/>
    <x v="2"/>
    <n v="74"/>
    <x v="15"/>
    <s v="S"/>
    <s v="Gray"/>
    <s v="Winter"/>
    <n v="4.2"/>
    <s v="No"/>
    <s v="Next Day Air"/>
    <s v="No"/>
    <s v="No"/>
    <n v="33"/>
    <s v="Bank Transfer"/>
    <s v="Weekly"/>
    <s v="Weekly"/>
    <n v="1"/>
  </r>
  <r>
    <x v="3267"/>
    <n v="37"/>
    <x v="1"/>
    <s v="Hoodie"/>
    <x v="0"/>
    <n v="45"/>
    <x v="37"/>
    <s v="L"/>
    <s v="Pink"/>
    <s v="Winter"/>
    <n v="3"/>
    <s v="No"/>
    <s v="Store Pickup"/>
    <s v="No"/>
    <s v="No"/>
    <n v="42"/>
    <s v="Credit Card"/>
    <s v="Quarterly"/>
    <s v="Quarterly"/>
    <n v="5"/>
  </r>
  <r>
    <x v="3268"/>
    <n v="22"/>
    <x v="1"/>
    <s v="Dress"/>
    <x v="0"/>
    <n v="97"/>
    <x v="10"/>
    <s v="M"/>
    <s v="Cyan"/>
    <s v="Fall"/>
    <n v="2.8"/>
    <s v="No"/>
    <s v="Free Shipping"/>
    <s v="No"/>
    <s v="No"/>
    <n v="5"/>
    <s v="Bank Transfer"/>
    <s v="Every 3 Months"/>
    <s v="Quarterly"/>
    <n v="5"/>
  </r>
  <r>
    <x v="3269"/>
    <n v="27"/>
    <x v="1"/>
    <s v="Blouse"/>
    <x v="0"/>
    <n v="60"/>
    <x v="31"/>
    <s v="M"/>
    <s v="Blue"/>
    <s v="Winter"/>
    <n v="4.9000000000000004"/>
    <s v="No"/>
    <s v="Express"/>
    <s v="No"/>
    <s v="No"/>
    <n v="25"/>
    <s v="Cash"/>
    <s v="Monthly"/>
    <s v="Monthly"/>
    <n v="4"/>
  </r>
  <r>
    <x v="3270"/>
    <n v="59"/>
    <x v="1"/>
    <s v="Socks"/>
    <x v="0"/>
    <n v="25"/>
    <x v="26"/>
    <s v="M"/>
    <s v="Indigo"/>
    <s v="Winter"/>
    <n v="4.7"/>
    <s v="No"/>
    <s v="Express"/>
    <s v="No"/>
    <s v="No"/>
    <n v="48"/>
    <s v="PayPal"/>
    <s v="Annually"/>
    <s v="Annually"/>
    <n v="6"/>
  </r>
  <r>
    <x v="3271"/>
    <n v="35"/>
    <x v="1"/>
    <s v="Socks"/>
    <x v="0"/>
    <n v="55"/>
    <x v="22"/>
    <s v="XL"/>
    <s v="Magenta"/>
    <s v="Spring"/>
    <n v="4.4000000000000004"/>
    <s v="No"/>
    <s v="Standard"/>
    <s v="No"/>
    <s v="No"/>
    <n v="30"/>
    <s v="Credit Card"/>
    <s v="Weekly"/>
    <s v="Weekly"/>
    <n v="1"/>
  </r>
  <r>
    <x v="3272"/>
    <n v="58"/>
    <x v="1"/>
    <s v="Shoes"/>
    <x v="1"/>
    <n v="99"/>
    <x v="21"/>
    <s v="M"/>
    <s v="Lavender"/>
    <s v="Winter"/>
    <n v="3.1"/>
    <s v="No"/>
    <s v="Next Day Air"/>
    <s v="No"/>
    <s v="No"/>
    <n v="34"/>
    <s v="PayPal"/>
    <s v="Quarterly"/>
    <s v="Quarterly"/>
    <n v="5"/>
  </r>
  <r>
    <x v="3273"/>
    <n v="58"/>
    <x v="1"/>
    <s v="Belt"/>
    <x v="3"/>
    <n v="45"/>
    <x v="22"/>
    <s v="S"/>
    <s v="Orange"/>
    <s v="Summer"/>
    <n v="2.6"/>
    <s v="No"/>
    <s v="Free Shipping"/>
    <s v="No"/>
    <s v="No"/>
    <n v="34"/>
    <s v="PayPal"/>
    <s v="Every 3 Months"/>
    <s v="Quarterly"/>
    <n v="5"/>
  </r>
  <r>
    <x v="3274"/>
    <n v="46"/>
    <x v="1"/>
    <s v="Sweater"/>
    <x v="0"/>
    <n v="20"/>
    <x v="19"/>
    <s v="M"/>
    <s v="Cyan"/>
    <s v="Spring"/>
    <n v="3.9"/>
    <s v="No"/>
    <s v="Store Pickup"/>
    <s v="No"/>
    <s v="No"/>
    <n v="14"/>
    <s v="Cash"/>
    <s v="Fortnightly"/>
    <s v="Fortnightly"/>
    <n v="3"/>
  </r>
  <r>
    <x v="3275"/>
    <n v="43"/>
    <x v="1"/>
    <s v="Pants"/>
    <x v="0"/>
    <n v="88"/>
    <x v="15"/>
    <s v="XL"/>
    <s v="Green"/>
    <s v="Summer"/>
    <n v="2.6"/>
    <s v="No"/>
    <s v="2-Day Shipping"/>
    <s v="No"/>
    <s v="No"/>
    <n v="2"/>
    <s v="Debit Card"/>
    <s v="Weekly"/>
    <s v="Weekly"/>
    <n v="1"/>
  </r>
  <r>
    <x v="3276"/>
    <n v="39"/>
    <x v="1"/>
    <s v="Scarf"/>
    <x v="3"/>
    <n v="99"/>
    <x v="45"/>
    <s v="M"/>
    <s v="White"/>
    <s v="Summer"/>
    <n v="4"/>
    <s v="No"/>
    <s v="Store Pickup"/>
    <s v="No"/>
    <s v="No"/>
    <n v="41"/>
    <s v="PayPal"/>
    <s v="Every 3 Months"/>
    <s v="Quarterly"/>
    <n v="5"/>
  </r>
  <r>
    <x v="3277"/>
    <n v="59"/>
    <x v="1"/>
    <s v="Skirt"/>
    <x v="0"/>
    <n v="86"/>
    <x v="21"/>
    <s v="M"/>
    <s v="Blue"/>
    <s v="Spring"/>
    <n v="4.9000000000000004"/>
    <s v="No"/>
    <s v="Store Pickup"/>
    <s v="No"/>
    <s v="No"/>
    <n v="3"/>
    <s v="Credit Card"/>
    <s v="Monthly"/>
    <s v="Monthly"/>
    <n v="4"/>
  </r>
  <r>
    <x v="3278"/>
    <n v="59"/>
    <x v="1"/>
    <s v="Dress"/>
    <x v="0"/>
    <n v="70"/>
    <x v="6"/>
    <s v="M"/>
    <s v="Black"/>
    <s v="Summer"/>
    <n v="3.3"/>
    <s v="No"/>
    <s v="2-Day Shipping"/>
    <s v="No"/>
    <s v="No"/>
    <n v="18"/>
    <s v="Bank Transfer"/>
    <s v="Weekly"/>
    <s v="Weekly"/>
    <n v="1"/>
  </r>
  <r>
    <x v="3279"/>
    <n v="59"/>
    <x v="1"/>
    <s v="Hat"/>
    <x v="3"/>
    <n v="50"/>
    <x v="5"/>
    <s v="S"/>
    <s v="Red"/>
    <s v="Fall"/>
    <n v="3"/>
    <s v="No"/>
    <s v="Express"/>
    <s v="No"/>
    <s v="No"/>
    <n v="1"/>
    <s v="Debit Card"/>
    <s v="Fortnightly"/>
    <s v="Fortnightly"/>
    <n v="3"/>
  </r>
  <r>
    <x v="3280"/>
    <n v="45"/>
    <x v="1"/>
    <s v="Handbag"/>
    <x v="3"/>
    <n v="57"/>
    <x v="14"/>
    <s v="L"/>
    <s v="Red"/>
    <s v="Winter"/>
    <n v="2.7"/>
    <s v="No"/>
    <s v="Next Day Air"/>
    <s v="No"/>
    <s v="No"/>
    <n v="5"/>
    <s v="PayPal"/>
    <s v="Monthly"/>
    <s v="Monthly"/>
    <n v="4"/>
  </r>
  <r>
    <x v="3281"/>
    <n v="27"/>
    <x v="1"/>
    <s v="Pants"/>
    <x v="0"/>
    <n v="69"/>
    <x v="4"/>
    <s v="L"/>
    <s v="Gold"/>
    <s v="Winter"/>
    <n v="3.1"/>
    <s v="No"/>
    <s v="Free Shipping"/>
    <s v="No"/>
    <s v="No"/>
    <n v="41"/>
    <s v="Bank Transfer"/>
    <s v="Annually"/>
    <s v="Annually"/>
    <n v="6"/>
  </r>
  <r>
    <x v="3282"/>
    <n v="24"/>
    <x v="1"/>
    <s v="T-shirt"/>
    <x v="0"/>
    <n v="94"/>
    <x v="18"/>
    <s v="M"/>
    <s v="Red"/>
    <s v="Fall"/>
    <n v="4.8"/>
    <s v="No"/>
    <s v="Next Day Air"/>
    <s v="No"/>
    <s v="No"/>
    <n v="5"/>
    <s v="Credit Card"/>
    <s v="Monthly"/>
    <s v="Monthly"/>
    <n v="4"/>
  </r>
  <r>
    <x v="3283"/>
    <n v="47"/>
    <x v="1"/>
    <s v="Jacket"/>
    <x v="2"/>
    <n v="24"/>
    <x v="17"/>
    <s v="L"/>
    <s v="Purple"/>
    <s v="Spring"/>
    <n v="2.9"/>
    <s v="No"/>
    <s v="Express"/>
    <s v="No"/>
    <s v="No"/>
    <n v="10"/>
    <s v="Debit Card"/>
    <s v="Every 3 Months"/>
    <s v="Quarterly"/>
    <n v="5"/>
  </r>
  <r>
    <x v="3284"/>
    <n v="70"/>
    <x v="1"/>
    <s v="Scarf"/>
    <x v="3"/>
    <n v="79"/>
    <x v="0"/>
    <s v="L"/>
    <s v="White"/>
    <s v="Spring"/>
    <n v="4.5"/>
    <s v="No"/>
    <s v="2-Day Shipping"/>
    <s v="No"/>
    <s v="No"/>
    <n v="20"/>
    <s v="Venmo"/>
    <s v="Annually"/>
    <s v="Annually"/>
    <n v="6"/>
  </r>
  <r>
    <x v="3285"/>
    <n v="58"/>
    <x v="1"/>
    <s v="Hat"/>
    <x v="3"/>
    <n v="31"/>
    <x v="11"/>
    <s v="XL"/>
    <s v="Magenta"/>
    <s v="Fall"/>
    <n v="4.5999999999999996"/>
    <s v="No"/>
    <s v="Free Shipping"/>
    <s v="No"/>
    <s v="No"/>
    <n v="11"/>
    <s v="Cash"/>
    <s v="Weekly"/>
    <s v="Weekly"/>
    <n v="1"/>
  </r>
  <r>
    <x v="3286"/>
    <n v="45"/>
    <x v="1"/>
    <s v="Jacket"/>
    <x v="2"/>
    <n v="67"/>
    <x v="26"/>
    <s v="L"/>
    <s v="Pink"/>
    <s v="Winter"/>
    <n v="5"/>
    <s v="No"/>
    <s v="Express"/>
    <s v="No"/>
    <s v="No"/>
    <n v="4"/>
    <s v="Venmo"/>
    <s v="Fortnightly"/>
    <s v="Fortnightly"/>
    <n v="3"/>
  </r>
  <r>
    <x v="3287"/>
    <n v="24"/>
    <x v="1"/>
    <s v="Skirt"/>
    <x v="0"/>
    <n v="63"/>
    <x v="8"/>
    <s v="L"/>
    <s v="Black"/>
    <s v="Spring"/>
    <n v="4.3"/>
    <s v="No"/>
    <s v="2-Day Shipping"/>
    <s v="No"/>
    <s v="No"/>
    <n v="38"/>
    <s v="Credit Card"/>
    <s v="Weekly"/>
    <s v="Weekly"/>
    <n v="1"/>
  </r>
  <r>
    <x v="3288"/>
    <n v="67"/>
    <x v="1"/>
    <s v="Handbag"/>
    <x v="3"/>
    <n v="61"/>
    <x v="36"/>
    <s v="XL"/>
    <s v="White"/>
    <s v="Spring"/>
    <n v="4.9000000000000004"/>
    <s v="No"/>
    <s v="Next Day Air"/>
    <s v="No"/>
    <s v="No"/>
    <n v="19"/>
    <s v="Credit Card"/>
    <s v="Bi-Weekly"/>
    <s v="Bi-Weekly"/>
    <n v="2"/>
  </r>
  <r>
    <x v="3289"/>
    <n v="31"/>
    <x v="1"/>
    <s v="Backpack"/>
    <x v="3"/>
    <n v="50"/>
    <x v="6"/>
    <s v="M"/>
    <s v="Maroon"/>
    <s v="Summer"/>
    <n v="4"/>
    <s v="No"/>
    <s v="2-Day Shipping"/>
    <s v="No"/>
    <s v="No"/>
    <n v="16"/>
    <s v="Venmo"/>
    <s v="Every 3 Months"/>
    <s v="Quarterly"/>
    <n v="5"/>
  </r>
  <r>
    <x v="3290"/>
    <n v="52"/>
    <x v="1"/>
    <s v="Coat"/>
    <x v="2"/>
    <n v="82"/>
    <x v="25"/>
    <s v="L"/>
    <s v="Black"/>
    <s v="Spring"/>
    <n v="3.1"/>
    <s v="No"/>
    <s v="Free Shipping"/>
    <s v="No"/>
    <s v="No"/>
    <n v="2"/>
    <s v="PayPal"/>
    <s v="Monthly"/>
    <s v="Monthly"/>
    <n v="4"/>
  </r>
  <r>
    <x v="3291"/>
    <n v="29"/>
    <x v="1"/>
    <s v="Belt"/>
    <x v="3"/>
    <n v="51"/>
    <x v="35"/>
    <s v="L"/>
    <s v="Olive"/>
    <s v="Fall"/>
    <n v="2.6"/>
    <s v="No"/>
    <s v="2-Day Shipping"/>
    <s v="No"/>
    <s v="No"/>
    <n v="11"/>
    <s v="Cash"/>
    <s v="Monthly"/>
    <s v="Monthly"/>
    <n v="4"/>
  </r>
  <r>
    <x v="3292"/>
    <n v="62"/>
    <x v="1"/>
    <s v="Handbag"/>
    <x v="3"/>
    <n v="23"/>
    <x v="9"/>
    <s v="L"/>
    <s v="Gray"/>
    <s v="Spring"/>
    <n v="4.9000000000000004"/>
    <s v="No"/>
    <s v="Standard"/>
    <s v="No"/>
    <s v="No"/>
    <n v="18"/>
    <s v="Bank Transfer"/>
    <s v="Fortnightly"/>
    <s v="Fortnightly"/>
    <n v="3"/>
  </r>
  <r>
    <x v="3293"/>
    <n v="19"/>
    <x v="1"/>
    <s v="Coat"/>
    <x v="2"/>
    <n v="91"/>
    <x v="8"/>
    <s v="M"/>
    <s v="Gold"/>
    <s v="Spring"/>
    <n v="3.5"/>
    <s v="No"/>
    <s v="2-Day Shipping"/>
    <s v="No"/>
    <s v="No"/>
    <n v="47"/>
    <s v="Credit Card"/>
    <s v="Fortnightly"/>
    <s v="Fortnightly"/>
    <n v="3"/>
  </r>
  <r>
    <x v="3294"/>
    <n v="62"/>
    <x v="1"/>
    <s v="Sweater"/>
    <x v="0"/>
    <n v="60"/>
    <x v="36"/>
    <s v="S"/>
    <s v="Magenta"/>
    <s v="Spring"/>
    <n v="4.5"/>
    <s v="No"/>
    <s v="Store Pickup"/>
    <s v="No"/>
    <s v="No"/>
    <n v="15"/>
    <s v="Bank Transfer"/>
    <s v="Bi-Weekly"/>
    <s v="Bi-Weekly"/>
    <n v="2"/>
  </r>
  <r>
    <x v="3295"/>
    <n v="70"/>
    <x v="1"/>
    <s v="Blouse"/>
    <x v="0"/>
    <n v="34"/>
    <x v="8"/>
    <s v="S"/>
    <s v="Lavender"/>
    <s v="Summer"/>
    <n v="2.8"/>
    <s v="No"/>
    <s v="Next Day Air"/>
    <s v="No"/>
    <s v="No"/>
    <n v="15"/>
    <s v="Cash"/>
    <s v="Weekly"/>
    <s v="Weekly"/>
    <n v="1"/>
  </r>
  <r>
    <x v="3296"/>
    <n v="20"/>
    <x v="1"/>
    <s v="Blouse"/>
    <x v="0"/>
    <n v="23"/>
    <x v="29"/>
    <s v="M"/>
    <s v="Green"/>
    <s v="Spring"/>
    <n v="4.2"/>
    <s v="No"/>
    <s v="Next Day Air"/>
    <s v="No"/>
    <s v="No"/>
    <n v="47"/>
    <s v="Venmo"/>
    <s v="Quarterly"/>
    <s v="Quarterly"/>
    <n v="5"/>
  </r>
  <r>
    <x v="3297"/>
    <n v="67"/>
    <x v="1"/>
    <s v="Belt"/>
    <x v="3"/>
    <n v="82"/>
    <x v="8"/>
    <s v="M"/>
    <s v="Violet"/>
    <s v="Fall"/>
    <n v="4.0999999999999996"/>
    <s v="No"/>
    <s v="Free Shipping"/>
    <s v="No"/>
    <s v="No"/>
    <n v="47"/>
    <s v="PayPal"/>
    <s v="Monthly"/>
    <s v="Monthly"/>
    <n v="4"/>
  </r>
  <r>
    <x v="3298"/>
    <n v="65"/>
    <x v="1"/>
    <s v="Jacket"/>
    <x v="2"/>
    <n v="73"/>
    <x v="35"/>
    <s v="M"/>
    <s v="Brown"/>
    <s v="Fall"/>
    <n v="3.5"/>
    <s v="No"/>
    <s v="Express"/>
    <s v="No"/>
    <s v="No"/>
    <n v="6"/>
    <s v="Bank Transfer"/>
    <s v="Every 3 Months"/>
    <s v="Quarterly"/>
    <n v="5"/>
  </r>
  <r>
    <x v="3299"/>
    <n v="45"/>
    <x v="1"/>
    <s v="Shorts"/>
    <x v="0"/>
    <n v="32"/>
    <x v="45"/>
    <s v="L"/>
    <s v="Teal"/>
    <s v="Spring"/>
    <n v="4"/>
    <s v="No"/>
    <s v="2-Day Shipping"/>
    <s v="No"/>
    <s v="No"/>
    <n v="18"/>
    <s v="Venmo"/>
    <s v="Monthly"/>
    <s v="Monthly"/>
    <n v="4"/>
  </r>
  <r>
    <x v="3300"/>
    <n v="26"/>
    <x v="1"/>
    <s v="Hat"/>
    <x v="3"/>
    <n v="80"/>
    <x v="19"/>
    <s v="M"/>
    <s v="Charcoal"/>
    <s v="Spring"/>
    <n v="4"/>
    <s v="No"/>
    <s v="Express"/>
    <s v="No"/>
    <s v="No"/>
    <n v="40"/>
    <s v="Bank Transfer"/>
    <s v="Bi-Weekly"/>
    <s v="Bi-Weekly"/>
    <n v="2"/>
  </r>
  <r>
    <x v="3301"/>
    <n v="36"/>
    <x v="1"/>
    <s v="Pants"/>
    <x v="0"/>
    <n v="58"/>
    <x v="19"/>
    <s v="XL"/>
    <s v="Charcoal"/>
    <s v="Summer"/>
    <n v="2.5"/>
    <s v="No"/>
    <s v="Free Shipping"/>
    <s v="No"/>
    <s v="No"/>
    <n v="31"/>
    <s v="Credit Card"/>
    <s v="Fortnightly"/>
    <s v="Fortnightly"/>
    <n v="3"/>
  </r>
  <r>
    <x v="3302"/>
    <n v="36"/>
    <x v="1"/>
    <s v="Blouse"/>
    <x v="0"/>
    <n v="82"/>
    <x v="15"/>
    <s v="XL"/>
    <s v="Beige"/>
    <s v="Winter"/>
    <n v="4.2"/>
    <s v="No"/>
    <s v="Standard"/>
    <s v="No"/>
    <s v="No"/>
    <n v="31"/>
    <s v="Venmo"/>
    <s v="Bi-Weekly"/>
    <s v="Bi-Weekly"/>
    <n v="2"/>
  </r>
  <r>
    <x v="3303"/>
    <n v="20"/>
    <x v="1"/>
    <s v="Belt"/>
    <x v="3"/>
    <n v="60"/>
    <x v="16"/>
    <s v="S"/>
    <s v="Turquoise"/>
    <s v="Summer"/>
    <n v="3.4"/>
    <s v="No"/>
    <s v="Next Day Air"/>
    <s v="No"/>
    <s v="No"/>
    <n v="4"/>
    <s v="Credit Card"/>
    <s v="Fortnightly"/>
    <s v="Fortnightly"/>
    <n v="3"/>
  </r>
  <r>
    <x v="3304"/>
    <n v="30"/>
    <x v="1"/>
    <s v="Handbag"/>
    <x v="3"/>
    <n v="79"/>
    <x v="16"/>
    <s v="XL"/>
    <s v="Orange"/>
    <s v="Fall"/>
    <n v="4.8"/>
    <s v="No"/>
    <s v="Next Day Air"/>
    <s v="No"/>
    <s v="No"/>
    <n v="36"/>
    <s v="Bank Transfer"/>
    <s v="Every 3 Months"/>
    <s v="Quarterly"/>
    <n v="5"/>
  </r>
  <r>
    <x v="3305"/>
    <n v="34"/>
    <x v="1"/>
    <s v="Hoodie"/>
    <x v="0"/>
    <n v="41"/>
    <x v="43"/>
    <s v="L"/>
    <s v="Cyan"/>
    <s v="Summer"/>
    <n v="4.9000000000000004"/>
    <s v="No"/>
    <s v="Standard"/>
    <s v="No"/>
    <s v="No"/>
    <n v="31"/>
    <s v="PayPal"/>
    <s v="Bi-Weekly"/>
    <s v="Bi-Weekly"/>
    <n v="2"/>
  </r>
  <r>
    <x v="3306"/>
    <n v="63"/>
    <x v="1"/>
    <s v="Jacket"/>
    <x v="2"/>
    <n v="39"/>
    <x v="24"/>
    <s v="L"/>
    <s v="Orange"/>
    <s v="Summer"/>
    <n v="3.6"/>
    <s v="No"/>
    <s v="Store Pickup"/>
    <s v="No"/>
    <s v="No"/>
    <n v="6"/>
    <s v="Venmo"/>
    <s v="Fortnightly"/>
    <s v="Fortnightly"/>
    <n v="3"/>
  </r>
  <r>
    <x v="3307"/>
    <n v="18"/>
    <x v="1"/>
    <s v="Scarf"/>
    <x v="3"/>
    <n v="36"/>
    <x v="38"/>
    <s v="S"/>
    <s v="Green"/>
    <s v="Winter"/>
    <n v="4"/>
    <s v="No"/>
    <s v="Store Pickup"/>
    <s v="No"/>
    <s v="No"/>
    <n v="1"/>
    <s v="Cash"/>
    <s v="Monthly"/>
    <s v="Monthly"/>
    <n v="4"/>
  </r>
  <r>
    <x v="3308"/>
    <n v="55"/>
    <x v="1"/>
    <s v="Jeans"/>
    <x v="0"/>
    <n v="70"/>
    <x v="40"/>
    <s v="M"/>
    <s v="Pink"/>
    <s v="Fall"/>
    <n v="2.6"/>
    <s v="No"/>
    <s v="Express"/>
    <s v="No"/>
    <s v="No"/>
    <n v="29"/>
    <s v="Cash"/>
    <s v="Monthly"/>
    <s v="Monthly"/>
    <n v="4"/>
  </r>
  <r>
    <x v="3309"/>
    <n v="48"/>
    <x v="1"/>
    <s v="Handbag"/>
    <x v="3"/>
    <n v="47"/>
    <x v="2"/>
    <s v="M"/>
    <s v="Blue"/>
    <s v="Summer"/>
    <n v="3.1"/>
    <s v="No"/>
    <s v="Store Pickup"/>
    <s v="No"/>
    <s v="No"/>
    <n v="19"/>
    <s v="PayPal"/>
    <s v="Monthly"/>
    <s v="Monthly"/>
    <n v="4"/>
  </r>
  <r>
    <x v="3310"/>
    <n v="45"/>
    <x v="1"/>
    <s v="Jacket"/>
    <x v="2"/>
    <n v="27"/>
    <x v="44"/>
    <s v="M"/>
    <s v="Pink"/>
    <s v="Winter"/>
    <n v="3.6"/>
    <s v="No"/>
    <s v="Free Shipping"/>
    <s v="No"/>
    <s v="No"/>
    <n v="12"/>
    <s v="PayPal"/>
    <s v="Fortnightly"/>
    <s v="Fortnightly"/>
    <n v="3"/>
  </r>
  <r>
    <x v="3311"/>
    <n v="29"/>
    <x v="1"/>
    <s v="Hat"/>
    <x v="3"/>
    <n v="52"/>
    <x v="20"/>
    <s v="L"/>
    <s v="Blue"/>
    <s v="Summer"/>
    <n v="4"/>
    <s v="No"/>
    <s v="Express"/>
    <s v="No"/>
    <s v="No"/>
    <n v="18"/>
    <s v="Bank Transfer"/>
    <s v="Annually"/>
    <s v="Annually"/>
    <n v="6"/>
  </r>
  <r>
    <x v="3312"/>
    <n v="55"/>
    <x v="1"/>
    <s v="Sneakers"/>
    <x v="1"/>
    <n v="75"/>
    <x v="7"/>
    <s v="L"/>
    <s v="Black"/>
    <s v="Summer"/>
    <n v="3.9"/>
    <s v="No"/>
    <s v="Next Day Air"/>
    <s v="No"/>
    <s v="No"/>
    <n v="45"/>
    <s v="Cash"/>
    <s v="Quarterly"/>
    <s v="Quarterly"/>
    <n v="5"/>
  </r>
  <r>
    <x v="3313"/>
    <n v="55"/>
    <x v="1"/>
    <s v="Hat"/>
    <x v="3"/>
    <n v="30"/>
    <x v="23"/>
    <s v="XL"/>
    <s v="Black"/>
    <s v="Fall"/>
    <n v="3.9"/>
    <s v="No"/>
    <s v="Express"/>
    <s v="No"/>
    <s v="No"/>
    <n v="45"/>
    <s v="Credit Card"/>
    <s v="Monthly"/>
    <s v="Monthly"/>
    <n v="4"/>
  </r>
  <r>
    <x v="3314"/>
    <n v="55"/>
    <x v="1"/>
    <s v="Socks"/>
    <x v="0"/>
    <n v="94"/>
    <x v="23"/>
    <s v="M"/>
    <s v="Violet"/>
    <s v="Spring"/>
    <n v="3.3"/>
    <s v="No"/>
    <s v="Standard"/>
    <s v="No"/>
    <s v="No"/>
    <n v="8"/>
    <s v="Credit Card"/>
    <s v="Quarterly"/>
    <s v="Quarterly"/>
    <n v="5"/>
  </r>
  <r>
    <x v="3315"/>
    <n v="48"/>
    <x v="1"/>
    <s v="Scarf"/>
    <x v="3"/>
    <n v="68"/>
    <x v="0"/>
    <s v="S"/>
    <s v="Gold"/>
    <s v="Summer"/>
    <n v="2.9"/>
    <s v="No"/>
    <s v="Standard"/>
    <s v="No"/>
    <s v="No"/>
    <n v="4"/>
    <s v="PayPal"/>
    <s v="Every 3 Months"/>
    <s v="Quarterly"/>
    <n v="5"/>
  </r>
  <r>
    <x v="3316"/>
    <n v="42"/>
    <x v="1"/>
    <s v="Socks"/>
    <x v="0"/>
    <n v="45"/>
    <x v="35"/>
    <s v="M"/>
    <s v="Olive"/>
    <s v="Summer"/>
    <n v="3.1"/>
    <s v="No"/>
    <s v="Free Shipping"/>
    <s v="No"/>
    <s v="No"/>
    <n v="5"/>
    <s v="Debit Card"/>
    <s v="Fortnightly"/>
    <s v="Fortnightly"/>
    <n v="3"/>
  </r>
  <r>
    <x v="3317"/>
    <n v="21"/>
    <x v="1"/>
    <s v="Hat"/>
    <x v="3"/>
    <n v="67"/>
    <x v="17"/>
    <s v="XL"/>
    <s v="Pink"/>
    <s v="Summer"/>
    <n v="4.7"/>
    <s v="No"/>
    <s v="Standard"/>
    <s v="No"/>
    <s v="No"/>
    <n v="30"/>
    <s v="Cash"/>
    <s v="Quarterly"/>
    <s v="Quarterly"/>
    <n v="5"/>
  </r>
  <r>
    <x v="3318"/>
    <n v="45"/>
    <x v="1"/>
    <s v="Jacket"/>
    <x v="2"/>
    <n v="46"/>
    <x v="25"/>
    <s v="M"/>
    <s v="Olive"/>
    <s v="Summer"/>
    <n v="3.9"/>
    <s v="No"/>
    <s v="Free Shipping"/>
    <s v="No"/>
    <s v="No"/>
    <n v="15"/>
    <s v="PayPal"/>
    <s v="Monthly"/>
    <s v="Monthly"/>
    <n v="4"/>
  </r>
  <r>
    <x v="3319"/>
    <n v="23"/>
    <x v="1"/>
    <s v="Shorts"/>
    <x v="0"/>
    <n v="31"/>
    <x v="25"/>
    <s v="M"/>
    <s v="Indigo"/>
    <s v="Summer"/>
    <n v="4.3"/>
    <s v="No"/>
    <s v="Next Day Air"/>
    <s v="No"/>
    <s v="No"/>
    <n v="17"/>
    <s v="Credit Card"/>
    <s v="Every 3 Months"/>
    <s v="Quarterly"/>
    <n v="5"/>
  </r>
  <r>
    <x v="3320"/>
    <n v="66"/>
    <x v="1"/>
    <s v="Blouse"/>
    <x v="0"/>
    <n v="44"/>
    <x v="26"/>
    <s v="XL"/>
    <s v="Silver"/>
    <s v="Fall"/>
    <n v="4.2"/>
    <s v="No"/>
    <s v="2-Day Shipping"/>
    <s v="No"/>
    <s v="No"/>
    <n v="45"/>
    <s v="Cash"/>
    <s v="Every 3 Months"/>
    <s v="Quarterly"/>
    <n v="5"/>
  </r>
  <r>
    <x v="3321"/>
    <n v="32"/>
    <x v="1"/>
    <s v="Coat"/>
    <x v="2"/>
    <n v="100"/>
    <x v="1"/>
    <s v="S"/>
    <s v="Charcoal"/>
    <s v="Winter"/>
    <n v="4.3"/>
    <s v="No"/>
    <s v="Next Day Air"/>
    <s v="No"/>
    <s v="No"/>
    <n v="3"/>
    <s v="Venmo"/>
    <s v="Annually"/>
    <s v="Annually"/>
    <n v="6"/>
  </r>
  <r>
    <x v="3322"/>
    <n v="52"/>
    <x v="1"/>
    <s v="Sweater"/>
    <x v="0"/>
    <n v="92"/>
    <x v="27"/>
    <s v="XL"/>
    <s v="Orange"/>
    <s v="Winter"/>
    <n v="4.5999999999999996"/>
    <s v="No"/>
    <s v="Next Day Air"/>
    <s v="No"/>
    <s v="No"/>
    <n v="43"/>
    <s v="PayPal"/>
    <s v="Weekly"/>
    <s v="Weekly"/>
    <n v="1"/>
  </r>
  <r>
    <x v="3323"/>
    <n v="54"/>
    <x v="1"/>
    <s v="Handbag"/>
    <x v="3"/>
    <n v="78"/>
    <x v="25"/>
    <s v="M"/>
    <s v="Yellow"/>
    <s v="Winter"/>
    <n v="3.8"/>
    <s v="No"/>
    <s v="Free Shipping"/>
    <s v="No"/>
    <s v="No"/>
    <n v="4"/>
    <s v="Credit Card"/>
    <s v="Monthly"/>
    <s v="Monthly"/>
    <n v="4"/>
  </r>
  <r>
    <x v="3324"/>
    <n v="37"/>
    <x v="1"/>
    <s v="T-shirt"/>
    <x v="0"/>
    <n v="32"/>
    <x v="9"/>
    <s v="S"/>
    <s v="Red"/>
    <s v="Fall"/>
    <n v="3.3"/>
    <s v="No"/>
    <s v="Standard"/>
    <s v="No"/>
    <s v="No"/>
    <n v="41"/>
    <s v="Venmo"/>
    <s v="Weekly"/>
    <s v="Weekly"/>
    <n v="1"/>
  </r>
  <r>
    <x v="3325"/>
    <n v="29"/>
    <x v="1"/>
    <s v="Sandals"/>
    <x v="1"/>
    <n v="97"/>
    <x v="29"/>
    <s v="M"/>
    <s v="Maroon"/>
    <s v="Fall"/>
    <n v="3.7"/>
    <s v="No"/>
    <s v="2-Day Shipping"/>
    <s v="No"/>
    <s v="No"/>
    <n v="16"/>
    <s v="Venmo"/>
    <s v="Monthly"/>
    <s v="Monthly"/>
    <n v="4"/>
  </r>
  <r>
    <x v="3326"/>
    <n v="47"/>
    <x v="1"/>
    <s v="Gloves"/>
    <x v="3"/>
    <n v="95"/>
    <x v="25"/>
    <s v="M"/>
    <s v="Magenta"/>
    <s v="Summer"/>
    <n v="4.3"/>
    <s v="No"/>
    <s v="Standard"/>
    <s v="No"/>
    <s v="No"/>
    <n v="10"/>
    <s v="Debit Card"/>
    <s v="Annually"/>
    <s v="Annually"/>
    <n v="6"/>
  </r>
  <r>
    <x v="3327"/>
    <n v="47"/>
    <x v="1"/>
    <s v="Shorts"/>
    <x v="0"/>
    <n v="64"/>
    <x v="39"/>
    <s v="M"/>
    <s v="Black"/>
    <s v="Spring"/>
    <n v="4.0999999999999996"/>
    <s v="No"/>
    <s v="Express"/>
    <s v="No"/>
    <s v="No"/>
    <n v="2"/>
    <s v="Debit Card"/>
    <s v="Quarterly"/>
    <s v="Quarterly"/>
    <n v="5"/>
  </r>
  <r>
    <x v="3328"/>
    <n v="42"/>
    <x v="1"/>
    <s v="Sandals"/>
    <x v="1"/>
    <n v="35"/>
    <x v="48"/>
    <s v="M"/>
    <s v="Violet"/>
    <s v="Spring"/>
    <n v="3.2"/>
    <s v="No"/>
    <s v="Free Shipping"/>
    <s v="No"/>
    <s v="No"/>
    <n v="11"/>
    <s v="Cash"/>
    <s v="Bi-Weekly"/>
    <s v="Bi-Weekly"/>
    <n v="2"/>
  </r>
  <r>
    <x v="3329"/>
    <n v="34"/>
    <x v="1"/>
    <s v="Backpack"/>
    <x v="3"/>
    <n v="54"/>
    <x v="32"/>
    <s v="M"/>
    <s v="Gray"/>
    <s v="Winter"/>
    <n v="3.8"/>
    <s v="No"/>
    <s v="Express"/>
    <s v="No"/>
    <s v="No"/>
    <n v="1"/>
    <s v="Debit Card"/>
    <s v="Bi-Weekly"/>
    <s v="Bi-Weekly"/>
    <n v="2"/>
  </r>
  <r>
    <x v="3330"/>
    <n v="38"/>
    <x v="1"/>
    <s v="Sneakers"/>
    <x v="1"/>
    <n v="96"/>
    <x v="9"/>
    <s v="M"/>
    <s v="Black"/>
    <s v="Spring"/>
    <n v="3.2"/>
    <s v="No"/>
    <s v="2-Day Shipping"/>
    <s v="No"/>
    <s v="No"/>
    <n v="41"/>
    <s v="Bank Transfer"/>
    <s v="Quarterly"/>
    <s v="Quarterly"/>
    <n v="5"/>
  </r>
  <r>
    <x v="3331"/>
    <n v="55"/>
    <x v="1"/>
    <s v="Sunglasses"/>
    <x v="3"/>
    <n v="58"/>
    <x v="18"/>
    <s v="M"/>
    <s v="Pink"/>
    <s v="Summer"/>
    <n v="3.5"/>
    <s v="No"/>
    <s v="Free Shipping"/>
    <s v="No"/>
    <s v="No"/>
    <n v="39"/>
    <s v="PayPal"/>
    <s v="Quarterly"/>
    <s v="Quarterly"/>
    <n v="5"/>
  </r>
  <r>
    <x v="3332"/>
    <n v="27"/>
    <x v="1"/>
    <s v="T-shirt"/>
    <x v="0"/>
    <n v="23"/>
    <x v="47"/>
    <s v="M"/>
    <s v="Silver"/>
    <s v="Summer"/>
    <n v="3.1"/>
    <s v="No"/>
    <s v="2-Day Shipping"/>
    <s v="No"/>
    <s v="No"/>
    <n v="1"/>
    <s v="PayPal"/>
    <s v="Bi-Weekly"/>
    <s v="Bi-Weekly"/>
    <n v="2"/>
  </r>
  <r>
    <x v="3333"/>
    <n v="55"/>
    <x v="1"/>
    <s v="Jeans"/>
    <x v="0"/>
    <n v="35"/>
    <x v="46"/>
    <s v="M"/>
    <s v="Violet"/>
    <s v="Spring"/>
    <n v="4.2"/>
    <s v="No"/>
    <s v="Express"/>
    <s v="No"/>
    <s v="No"/>
    <n v="3"/>
    <s v="PayPal"/>
    <s v="Monthly"/>
    <s v="Monthly"/>
    <n v="4"/>
  </r>
  <r>
    <x v="3334"/>
    <n v="66"/>
    <x v="1"/>
    <s v="Shirt"/>
    <x v="0"/>
    <n v="23"/>
    <x v="18"/>
    <s v="M"/>
    <s v="Beige"/>
    <s v="Summer"/>
    <n v="3.4"/>
    <s v="No"/>
    <s v="Free Shipping"/>
    <s v="No"/>
    <s v="No"/>
    <n v="21"/>
    <s v="Credit Card"/>
    <s v="Annually"/>
    <s v="Annually"/>
    <n v="6"/>
  </r>
  <r>
    <x v="3335"/>
    <n v="44"/>
    <x v="1"/>
    <s v="Hat"/>
    <x v="3"/>
    <n v="94"/>
    <x v="21"/>
    <s v="XL"/>
    <s v="Cyan"/>
    <s v="Winter"/>
    <n v="3.5"/>
    <s v="No"/>
    <s v="Express"/>
    <s v="No"/>
    <s v="No"/>
    <n v="48"/>
    <s v="Bank Transfer"/>
    <s v="Quarterly"/>
    <s v="Quarterly"/>
    <n v="5"/>
  </r>
  <r>
    <x v="3336"/>
    <n v="39"/>
    <x v="1"/>
    <s v="Blouse"/>
    <x v="0"/>
    <n v="45"/>
    <x v="6"/>
    <s v="M"/>
    <s v="Brown"/>
    <s v="Fall"/>
    <n v="4"/>
    <s v="No"/>
    <s v="Free Shipping"/>
    <s v="No"/>
    <s v="No"/>
    <n v="24"/>
    <s v="Debit Card"/>
    <s v="Annually"/>
    <s v="Annually"/>
    <n v="6"/>
  </r>
  <r>
    <x v="3337"/>
    <n v="23"/>
    <x v="1"/>
    <s v="Jacket"/>
    <x v="2"/>
    <n v="23"/>
    <x v="28"/>
    <s v="L"/>
    <s v="Blue"/>
    <s v="Winter"/>
    <n v="4.4000000000000004"/>
    <s v="No"/>
    <s v="2-Day Shipping"/>
    <s v="No"/>
    <s v="No"/>
    <n v="45"/>
    <s v="Bank Transfer"/>
    <s v="Bi-Weekly"/>
    <s v="Bi-Weekly"/>
    <n v="2"/>
  </r>
  <r>
    <x v="3338"/>
    <n v="29"/>
    <x v="1"/>
    <s v="Skirt"/>
    <x v="0"/>
    <n v="94"/>
    <x v="46"/>
    <s v="L"/>
    <s v="White"/>
    <s v="Winter"/>
    <n v="2.9"/>
    <s v="No"/>
    <s v="2-Day Shipping"/>
    <s v="No"/>
    <s v="No"/>
    <n v="46"/>
    <s v="Credit Card"/>
    <s v="Monthly"/>
    <s v="Monthly"/>
    <n v="4"/>
  </r>
  <r>
    <x v="3339"/>
    <n v="20"/>
    <x v="1"/>
    <s v="Gloves"/>
    <x v="3"/>
    <n v="99"/>
    <x v="43"/>
    <s v="M"/>
    <s v="Cyan"/>
    <s v="Fall"/>
    <n v="3.6"/>
    <s v="No"/>
    <s v="Store Pickup"/>
    <s v="No"/>
    <s v="No"/>
    <n v="35"/>
    <s v="Cash"/>
    <s v="Fortnightly"/>
    <s v="Fortnightly"/>
    <n v="3"/>
  </r>
  <r>
    <x v="3340"/>
    <n v="42"/>
    <x v="1"/>
    <s v="T-shirt"/>
    <x v="0"/>
    <n v="36"/>
    <x v="41"/>
    <s v="XL"/>
    <s v="Maroon"/>
    <s v="Fall"/>
    <n v="4.4000000000000004"/>
    <s v="No"/>
    <s v="Free Shipping"/>
    <s v="No"/>
    <s v="No"/>
    <n v="47"/>
    <s v="Credit Card"/>
    <s v="Fortnightly"/>
    <s v="Fortnightly"/>
    <n v="3"/>
  </r>
  <r>
    <x v="3341"/>
    <n v="55"/>
    <x v="1"/>
    <s v="Jacket"/>
    <x v="2"/>
    <n v="50"/>
    <x v="39"/>
    <s v="XL"/>
    <s v="Olive"/>
    <s v="Summer"/>
    <n v="4.5"/>
    <s v="No"/>
    <s v="Standard"/>
    <s v="No"/>
    <s v="No"/>
    <n v="35"/>
    <s v="Credit Card"/>
    <s v="Monthly"/>
    <s v="Monthly"/>
    <n v="4"/>
  </r>
  <r>
    <x v="3342"/>
    <n v="66"/>
    <x v="1"/>
    <s v="Jacket"/>
    <x v="2"/>
    <n v="81"/>
    <x v="32"/>
    <s v="M"/>
    <s v="Violet"/>
    <s v="Spring"/>
    <n v="3.8"/>
    <s v="No"/>
    <s v="Free Shipping"/>
    <s v="No"/>
    <s v="No"/>
    <n v="45"/>
    <s v="Credit Card"/>
    <s v="Weekly"/>
    <s v="Weekly"/>
    <n v="1"/>
  </r>
  <r>
    <x v="3343"/>
    <n v="24"/>
    <x v="1"/>
    <s v="Shorts"/>
    <x v="0"/>
    <n v="31"/>
    <x v="0"/>
    <s v="XL"/>
    <s v="Green"/>
    <s v="Winter"/>
    <n v="3.6"/>
    <s v="No"/>
    <s v="2-Day Shipping"/>
    <s v="No"/>
    <s v="No"/>
    <n v="6"/>
    <s v="Cash"/>
    <s v="Bi-Weekly"/>
    <s v="Bi-Weekly"/>
    <n v="2"/>
  </r>
  <r>
    <x v="3344"/>
    <n v="62"/>
    <x v="1"/>
    <s v="Hat"/>
    <x v="3"/>
    <n v="48"/>
    <x v="47"/>
    <s v="XL"/>
    <s v="Magenta"/>
    <s v="Fall"/>
    <n v="4.3"/>
    <s v="No"/>
    <s v="Free Shipping"/>
    <s v="No"/>
    <s v="No"/>
    <n v="20"/>
    <s v="Cash"/>
    <s v="Annually"/>
    <s v="Annually"/>
    <n v="6"/>
  </r>
  <r>
    <x v="3345"/>
    <n v="28"/>
    <x v="1"/>
    <s v="Handbag"/>
    <x v="3"/>
    <n v="91"/>
    <x v="20"/>
    <s v="M"/>
    <s v="Turquoise"/>
    <s v="Summer"/>
    <n v="4"/>
    <s v="No"/>
    <s v="2-Day Shipping"/>
    <s v="No"/>
    <s v="No"/>
    <n v="3"/>
    <s v="Venmo"/>
    <s v="Bi-Weekly"/>
    <s v="Bi-Weekly"/>
    <n v="2"/>
  </r>
  <r>
    <x v="3346"/>
    <n v="30"/>
    <x v="1"/>
    <s v="Jeans"/>
    <x v="0"/>
    <n v="99"/>
    <x v="19"/>
    <s v="M"/>
    <s v="Black"/>
    <s v="Summer"/>
    <n v="3.4"/>
    <s v="No"/>
    <s v="Express"/>
    <s v="No"/>
    <s v="No"/>
    <n v="30"/>
    <s v="Venmo"/>
    <s v="Quarterly"/>
    <s v="Quarterly"/>
    <n v="5"/>
  </r>
  <r>
    <x v="3347"/>
    <n v="22"/>
    <x v="1"/>
    <s v="Shoes"/>
    <x v="1"/>
    <n v="70"/>
    <x v="44"/>
    <s v="XL"/>
    <s v="Cyan"/>
    <s v="Summer"/>
    <n v="4.4000000000000004"/>
    <s v="No"/>
    <s v="Standard"/>
    <s v="No"/>
    <s v="No"/>
    <n v="28"/>
    <s v="PayPal"/>
    <s v="Bi-Weekly"/>
    <s v="Bi-Weekly"/>
    <n v="2"/>
  </r>
  <r>
    <x v="3348"/>
    <n v="28"/>
    <x v="1"/>
    <s v="T-shirt"/>
    <x v="0"/>
    <n v="74"/>
    <x v="13"/>
    <s v="L"/>
    <s v="Gray"/>
    <s v="Winter"/>
    <n v="2.8"/>
    <s v="No"/>
    <s v="Standard"/>
    <s v="No"/>
    <s v="No"/>
    <n v="15"/>
    <s v="Cash"/>
    <s v="Every 3 Months"/>
    <s v="Quarterly"/>
    <n v="5"/>
  </r>
  <r>
    <x v="3349"/>
    <n v="35"/>
    <x v="1"/>
    <s v="Jewelry"/>
    <x v="3"/>
    <n v="79"/>
    <x v="42"/>
    <s v="M"/>
    <s v="Red"/>
    <s v="Fall"/>
    <n v="2.8"/>
    <s v="No"/>
    <s v="Store Pickup"/>
    <s v="No"/>
    <s v="No"/>
    <n v="29"/>
    <s v="PayPal"/>
    <s v="Quarterly"/>
    <s v="Quarterly"/>
    <n v="5"/>
  </r>
  <r>
    <x v="3350"/>
    <n v="45"/>
    <x v="1"/>
    <s v="Handbag"/>
    <x v="3"/>
    <n v="33"/>
    <x v="16"/>
    <s v="S"/>
    <s v="Olive"/>
    <s v="Fall"/>
    <n v="4.9000000000000004"/>
    <s v="No"/>
    <s v="2-Day Shipping"/>
    <s v="No"/>
    <s v="No"/>
    <n v="15"/>
    <s v="Cash"/>
    <s v="Bi-Weekly"/>
    <s v="Bi-Weekly"/>
    <n v="2"/>
  </r>
  <r>
    <x v="3351"/>
    <n v="43"/>
    <x v="1"/>
    <s v="Shirt"/>
    <x v="0"/>
    <n v="49"/>
    <x v="13"/>
    <s v="L"/>
    <s v="Cyan"/>
    <s v="Spring"/>
    <n v="4.2"/>
    <s v="No"/>
    <s v="2-Day Shipping"/>
    <s v="No"/>
    <s v="No"/>
    <n v="18"/>
    <s v="Bank Transfer"/>
    <s v="Fortnightly"/>
    <s v="Fortnightly"/>
    <n v="3"/>
  </r>
  <r>
    <x v="3352"/>
    <n v="55"/>
    <x v="1"/>
    <s v="Belt"/>
    <x v="3"/>
    <n v="96"/>
    <x v="47"/>
    <s v="M"/>
    <s v="Teal"/>
    <s v="Summer"/>
    <n v="2.9"/>
    <s v="No"/>
    <s v="Next Day Air"/>
    <s v="No"/>
    <s v="No"/>
    <n v="7"/>
    <s v="Bank Transfer"/>
    <s v="Bi-Weekly"/>
    <s v="Bi-Weekly"/>
    <n v="2"/>
  </r>
  <r>
    <x v="3353"/>
    <n v="31"/>
    <x v="1"/>
    <s v="Dress"/>
    <x v="0"/>
    <n v="66"/>
    <x v="31"/>
    <s v="L"/>
    <s v="Teal"/>
    <s v="Fall"/>
    <n v="4.5999999999999996"/>
    <s v="No"/>
    <s v="Free Shipping"/>
    <s v="No"/>
    <s v="No"/>
    <n v="19"/>
    <s v="Credit Card"/>
    <s v="Every 3 Months"/>
    <s v="Quarterly"/>
    <n v="5"/>
  </r>
  <r>
    <x v="3354"/>
    <n v="42"/>
    <x v="1"/>
    <s v="Skirt"/>
    <x v="0"/>
    <n v="45"/>
    <x v="33"/>
    <s v="M"/>
    <s v="Orange"/>
    <s v="Fall"/>
    <n v="2.8"/>
    <s v="No"/>
    <s v="Next Day Air"/>
    <s v="No"/>
    <s v="No"/>
    <n v="15"/>
    <s v="PayPal"/>
    <s v="Weekly"/>
    <s v="Weekly"/>
    <n v="1"/>
  </r>
  <r>
    <x v="3355"/>
    <n v="40"/>
    <x v="1"/>
    <s v="Blouse"/>
    <x v="0"/>
    <n v="28"/>
    <x v="12"/>
    <s v="M"/>
    <s v="Peach"/>
    <s v="Spring"/>
    <n v="2.6"/>
    <s v="No"/>
    <s v="Store Pickup"/>
    <s v="No"/>
    <s v="No"/>
    <n v="3"/>
    <s v="Bank Transfer"/>
    <s v="Bi-Weekly"/>
    <s v="Bi-Weekly"/>
    <n v="2"/>
  </r>
  <r>
    <x v="3356"/>
    <n v="39"/>
    <x v="1"/>
    <s v="Jeans"/>
    <x v="0"/>
    <n v="48"/>
    <x v="30"/>
    <s v="M"/>
    <s v="Silver"/>
    <s v="Summer"/>
    <n v="3.5"/>
    <s v="No"/>
    <s v="Store Pickup"/>
    <s v="No"/>
    <s v="No"/>
    <n v="13"/>
    <s v="PayPal"/>
    <s v="Bi-Weekly"/>
    <s v="Bi-Weekly"/>
    <n v="2"/>
  </r>
  <r>
    <x v="3357"/>
    <n v="41"/>
    <x v="1"/>
    <s v="Hoodie"/>
    <x v="0"/>
    <n v="67"/>
    <x v="10"/>
    <s v="M"/>
    <s v="Pink"/>
    <s v="Winter"/>
    <n v="3.5"/>
    <s v="No"/>
    <s v="Free Shipping"/>
    <s v="No"/>
    <s v="No"/>
    <n v="37"/>
    <s v="Credit Card"/>
    <s v="Monthly"/>
    <s v="Monthly"/>
    <n v="4"/>
  </r>
  <r>
    <x v="3358"/>
    <n v="56"/>
    <x v="1"/>
    <s v="T-shirt"/>
    <x v="0"/>
    <n v="59"/>
    <x v="30"/>
    <s v="M"/>
    <s v="Magenta"/>
    <s v="Fall"/>
    <n v="3.4"/>
    <s v="No"/>
    <s v="2-Day Shipping"/>
    <s v="No"/>
    <s v="No"/>
    <n v="26"/>
    <s v="Cash"/>
    <s v="Annually"/>
    <s v="Annually"/>
    <n v="6"/>
  </r>
  <r>
    <x v="3359"/>
    <n v="43"/>
    <x v="1"/>
    <s v="Sunglasses"/>
    <x v="3"/>
    <n v="74"/>
    <x v="13"/>
    <s v="L"/>
    <s v="Red"/>
    <s v="Fall"/>
    <n v="3.9"/>
    <s v="No"/>
    <s v="Next Day Air"/>
    <s v="No"/>
    <s v="No"/>
    <n v="29"/>
    <s v="Debit Card"/>
    <s v="Monthly"/>
    <s v="Monthly"/>
    <n v="4"/>
  </r>
  <r>
    <x v="3360"/>
    <n v="22"/>
    <x v="1"/>
    <s v="Jacket"/>
    <x v="2"/>
    <n v="81"/>
    <x v="46"/>
    <s v="M"/>
    <s v="Maroon"/>
    <s v="Spring"/>
    <n v="3.3"/>
    <s v="No"/>
    <s v="2-Day Shipping"/>
    <s v="No"/>
    <s v="No"/>
    <n v="47"/>
    <s v="Cash"/>
    <s v="Every 3 Months"/>
    <s v="Quarterly"/>
    <n v="5"/>
  </r>
  <r>
    <x v="3361"/>
    <n v="47"/>
    <x v="1"/>
    <s v="Shoes"/>
    <x v="1"/>
    <n v="26"/>
    <x v="20"/>
    <s v="M"/>
    <s v="Silver"/>
    <s v="Spring"/>
    <n v="4.0999999999999996"/>
    <s v="No"/>
    <s v="Free Shipping"/>
    <s v="No"/>
    <s v="No"/>
    <n v="47"/>
    <s v="Credit Card"/>
    <s v="Bi-Weekly"/>
    <s v="Bi-Weekly"/>
    <n v="2"/>
  </r>
  <r>
    <x v="3362"/>
    <n v="50"/>
    <x v="1"/>
    <s v="Handbag"/>
    <x v="3"/>
    <n v="61"/>
    <x v="30"/>
    <s v="M"/>
    <s v="Gray"/>
    <s v="Summer"/>
    <n v="3"/>
    <s v="No"/>
    <s v="Next Day Air"/>
    <s v="No"/>
    <s v="No"/>
    <n v="48"/>
    <s v="Venmo"/>
    <s v="Fortnightly"/>
    <s v="Fortnightly"/>
    <n v="3"/>
  </r>
  <r>
    <x v="3363"/>
    <n v="58"/>
    <x v="1"/>
    <s v="Sweater"/>
    <x v="0"/>
    <n v="23"/>
    <x v="18"/>
    <s v="M"/>
    <s v="Turquoise"/>
    <s v="Winter"/>
    <n v="3"/>
    <s v="No"/>
    <s v="Next Day Air"/>
    <s v="No"/>
    <s v="No"/>
    <n v="46"/>
    <s v="Bank Transfer"/>
    <s v="Bi-Weekly"/>
    <s v="Bi-Weekly"/>
    <n v="2"/>
  </r>
  <r>
    <x v="3364"/>
    <n v="50"/>
    <x v="1"/>
    <s v="Scarf"/>
    <x v="3"/>
    <n v="33"/>
    <x v="4"/>
    <s v="M"/>
    <s v="Peach"/>
    <s v="Fall"/>
    <n v="3.2"/>
    <s v="No"/>
    <s v="Standard"/>
    <s v="No"/>
    <s v="No"/>
    <n v="7"/>
    <s v="Credit Card"/>
    <s v="Monthly"/>
    <s v="Monthly"/>
    <n v="4"/>
  </r>
  <r>
    <x v="3365"/>
    <n v="43"/>
    <x v="1"/>
    <s v="Skirt"/>
    <x v="0"/>
    <n v="58"/>
    <x v="30"/>
    <s v="L"/>
    <s v="Teal"/>
    <s v="Fall"/>
    <n v="3.9"/>
    <s v="No"/>
    <s v="Express"/>
    <s v="No"/>
    <s v="No"/>
    <n v="45"/>
    <s v="Credit Card"/>
    <s v="Every 3 Months"/>
    <s v="Quarterly"/>
    <n v="5"/>
  </r>
  <r>
    <x v="3366"/>
    <n v="38"/>
    <x v="1"/>
    <s v="Gloves"/>
    <x v="3"/>
    <n v="65"/>
    <x v="17"/>
    <s v="M"/>
    <s v="Red"/>
    <s v="Spring"/>
    <n v="3.6"/>
    <s v="No"/>
    <s v="2-Day Shipping"/>
    <s v="No"/>
    <s v="No"/>
    <n v="47"/>
    <s v="Debit Card"/>
    <s v="Quarterly"/>
    <s v="Quarterly"/>
    <n v="5"/>
  </r>
  <r>
    <x v="3367"/>
    <n v="44"/>
    <x v="1"/>
    <s v="T-shirt"/>
    <x v="0"/>
    <n v="48"/>
    <x v="30"/>
    <s v="M"/>
    <s v="Blue"/>
    <s v="Summer"/>
    <n v="3.1"/>
    <s v="No"/>
    <s v="Store Pickup"/>
    <s v="No"/>
    <s v="No"/>
    <n v="6"/>
    <s v="Venmo"/>
    <s v="Fortnightly"/>
    <s v="Fortnightly"/>
    <n v="3"/>
  </r>
  <r>
    <x v="3368"/>
    <n v="30"/>
    <x v="1"/>
    <s v="Sandals"/>
    <x v="1"/>
    <n v="25"/>
    <x v="43"/>
    <s v="M"/>
    <s v="Blue"/>
    <s v="Spring"/>
    <n v="4.8"/>
    <s v="No"/>
    <s v="Express"/>
    <s v="No"/>
    <s v="No"/>
    <n v="29"/>
    <s v="Bank Transfer"/>
    <s v="Every 3 Months"/>
    <s v="Quarterly"/>
    <n v="5"/>
  </r>
  <r>
    <x v="3369"/>
    <n v="47"/>
    <x v="1"/>
    <s v="Sweater"/>
    <x v="0"/>
    <n v="51"/>
    <x v="1"/>
    <s v="M"/>
    <s v="Indigo"/>
    <s v="Winter"/>
    <n v="3.8"/>
    <s v="No"/>
    <s v="2-Day Shipping"/>
    <s v="No"/>
    <s v="No"/>
    <n v="42"/>
    <s v="Cash"/>
    <s v="Monthly"/>
    <s v="Monthly"/>
    <n v="4"/>
  </r>
  <r>
    <x v="3370"/>
    <n v="30"/>
    <x v="1"/>
    <s v="Belt"/>
    <x v="3"/>
    <n v="31"/>
    <x v="26"/>
    <s v="M"/>
    <s v="Charcoal"/>
    <s v="Summer"/>
    <n v="2.8"/>
    <s v="No"/>
    <s v="Store Pickup"/>
    <s v="No"/>
    <s v="No"/>
    <n v="46"/>
    <s v="Cash"/>
    <s v="Fortnightly"/>
    <s v="Fortnightly"/>
    <n v="3"/>
  </r>
  <r>
    <x v="3371"/>
    <n v="49"/>
    <x v="1"/>
    <s v="Hoodie"/>
    <x v="0"/>
    <n v="99"/>
    <x v="24"/>
    <s v="S"/>
    <s v="Turquoise"/>
    <s v="Winter"/>
    <n v="4"/>
    <s v="No"/>
    <s v="Next Day Air"/>
    <s v="No"/>
    <s v="No"/>
    <n v="28"/>
    <s v="PayPal"/>
    <s v="Annually"/>
    <s v="Annually"/>
    <n v="6"/>
  </r>
  <r>
    <x v="3372"/>
    <n v="56"/>
    <x v="1"/>
    <s v="Socks"/>
    <x v="0"/>
    <n v="25"/>
    <x v="38"/>
    <s v="M"/>
    <s v="Maroon"/>
    <s v="Winter"/>
    <n v="4.5999999999999996"/>
    <s v="No"/>
    <s v="Free Shipping"/>
    <s v="No"/>
    <s v="No"/>
    <n v="14"/>
    <s v="Credit Card"/>
    <s v="Every 3 Months"/>
    <s v="Quarterly"/>
    <n v="5"/>
  </r>
  <r>
    <x v="3373"/>
    <n v="70"/>
    <x v="1"/>
    <s v="Sandals"/>
    <x v="1"/>
    <n v="52"/>
    <x v="46"/>
    <s v="M"/>
    <s v="Purple"/>
    <s v="Spring"/>
    <n v="3.5"/>
    <s v="No"/>
    <s v="Store Pickup"/>
    <s v="No"/>
    <s v="No"/>
    <n v="12"/>
    <s v="Debit Card"/>
    <s v="Every 3 Months"/>
    <s v="Quarterly"/>
    <n v="5"/>
  </r>
  <r>
    <x v="3374"/>
    <n v="22"/>
    <x v="1"/>
    <s v="Blouse"/>
    <x v="0"/>
    <n v="47"/>
    <x v="22"/>
    <s v="S"/>
    <s v="Lavender"/>
    <s v="Spring"/>
    <n v="3.7"/>
    <s v="No"/>
    <s v="2-Day Shipping"/>
    <s v="No"/>
    <s v="No"/>
    <n v="41"/>
    <s v="Debit Card"/>
    <s v="Annually"/>
    <s v="Annually"/>
    <n v="6"/>
  </r>
  <r>
    <x v="3375"/>
    <n v="51"/>
    <x v="1"/>
    <s v="Boots"/>
    <x v="1"/>
    <n v="98"/>
    <x v="39"/>
    <s v="XL"/>
    <s v="Yellow"/>
    <s v="Fall"/>
    <n v="4.9000000000000004"/>
    <s v="No"/>
    <s v="Express"/>
    <s v="No"/>
    <s v="No"/>
    <n v="8"/>
    <s v="Credit Card"/>
    <s v="Annually"/>
    <s v="Annually"/>
    <n v="6"/>
  </r>
  <r>
    <x v="3376"/>
    <n v="22"/>
    <x v="1"/>
    <s v="Hat"/>
    <x v="3"/>
    <n v="46"/>
    <x v="31"/>
    <s v="M"/>
    <s v="Green"/>
    <s v="Winter"/>
    <n v="4.0999999999999996"/>
    <s v="No"/>
    <s v="Store Pickup"/>
    <s v="No"/>
    <s v="No"/>
    <n v="24"/>
    <s v="Cash"/>
    <s v="Quarterly"/>
    <s v="Quarterly"/>
    <n v="5"/>
  </r>
  <r>
    <x v="3377"/>
    <n v="37"/>
    <x v="1"/>
    <s v="Shirt"/>
    <x v="0"/>
    <n v="32"/>
    <x v="0"/>
    <s v="M"/>
    <s v="Yellow"/>
    <s v="Winter"/>
    <n v="4.5999999999999996"/>
    <s v="No"/>
    <s v="Next Day Air"/>
    <s v="No"/>
    <s v="No"/>
    <n v="18"/>
    <s v="PayPal"/>
    <s v="Fortnightly"/>
    <s v="Fortnightly"/>
    <n v="3"/>
  </r>
  <r>
    <x v="3378"/>
    <n v="49"/>
    <x v="1"/>
    <s v="Shorts"/>
    <x v="0"/>
    <n v="75"/>
    <x v="46"/>
    <s v="L"/>
    <s v="Gold"/>
    <s v="Fall"/>
    <n v="4.5"/>
    <s v="No"/>
    <s v="Next Day Air"/>
    <s v="No"/>
    <s v="No"/>
    <n v="6"/>
    <s v="Cash"/>
    <s v="Quarterly"/>
    <s v="Quarterly"/>
    <n v="5"/>
  </r>
  <r>
    <x v="3379"/>
    <n v="61"/>
    <x v="1"/>
    <s v="Handbag"/>
    <x v="3"/>
    <n v="51"/>
    <x v="30"/>
    <s v="L"/>
    <s v="Turquoise"/>
    <s v="Summer"/>
    <n v="5"/>
    <s v="No"/>
    <s v="Store Pickup"/>
    <s v="No"/>
    <s v="No"/>
    <n v="40"/>
    <s v="Cash"/>
    <s v="Weekly"/>
    <s v="Weekly"/>
    <n v="1"/>
  </r>
  <r>
    <x v="3380"/>
    <n v="41"/>
    <x v="1"/>
    <s v="Dress"/>
    <x v="0"/>
    <n v="52"/>
    <x v="25"/>
    <s v="L"/>
    <s v="Blue"/>
    <s v="Summer"/>
    <n v="3.8"/>
    <s v="No"/>
    <s v="Standard"/>
    <s v="No"/>
    <s v="No"/>
    <n v="6"/>
    <s v="PayPal"/>
    <s v="Every 3 Months"/>
    <s v="Quarterly"/>
    <n v="5"/>
  </r>
  <r>
    <x v="3381"/>
    <n v="57"/>
    <x v="1"/>
    <s v="Hat"/>
    <x v="3"/>
    <n v="66"/>
    <x v="46"/>
    <s v="L"/>
    <s v="Turquoise"/>
    <s v="Winter"/>
    <n v="4.7"/>
    <s v="No"/>
    <s v="Standard"/>
    <s v="No"/>
    <s v="No"/>
    <n v="27"/>
    <s v="Credit Card"/>
    <s v="Quarterly"/>
    <s v="Quarterly"/>
    <n v="5"/>
  </r>
  <r>
    <x v="3382"/>
    <n v="34"/>
    <x v="1"/>
    <s v="Sweater"/>
    <x v="0"/>
    <n v="35"/>
    <x v="43"/>
    <s v="M"/>
    <s v="Maroon"/>
    <s v="Spring"/>
    <n v="2.8"/>
    <s v="No"/>
    <s v="Express"/>
    <s v="No"/>
    <s v="No"/>
    <n v="2"/>
    <s v="Bank Transfer"/>
    <s v="Weekly"/>
    <s v="Weekly"/>
    <n v="1"/>
  </r>
  <r>
    <x v="3383"/>
    <n v="27"/>
    <x v="1"/>
    <s v="Coat"/>
    <x v="2"/>
    <n v="43"/>
    <x v="12"/>
    <s v="M"/>
    <s v="Pink"/>
    <s v="Fall"/>
    <n v="2.6"/>
    <s v="No"/>
    <s v="Next Day Air"/>
    <s v="No"/>
    <s v="No"/>
    <n v="39"/>
    <s v="Venmo"/>
    <s v="Bi-Weekly"/>
    <s v="Bi-Weekly"/>
    <n v="2"/>
  </r>
  <r>
    <x v="3384"/>
    <n v="39"/>
    <x v="1"/>
    <s v="Hoodie"/>
    <x v="0"/>
    <n v="24"/>
    <x v="46"/>
    <s v="L"/>
    <s v="Maroon"/>
    <s v="Summer"/>
    <n v="3.8"/>
    <s v="No"/>
    <s v="Free Shipping"/>
    <s v="No"/>
    <s v="No"/>
    <n v="9"/>
    <s v="Venmo"/>
    <s v="Quarterly"/>
    <s v="Quarterly"/>
    <n v="5"/>
  </r>
  <r>
    <x v="3385"/>
    <n v="62"/>
    <x v="1"/>
    <s v="Jewelry"/>
    <x v="3"/>
    <n v="83"/>
    <x v="3"/>
    <s v="M"/>
    <s v="Olive"/>
    <s v="Winter"/>
    <n v="2.8"/>
    <s v="No"/>
    <s v="Standard"/>
    <s v="No"/>
    <s v="No"/>
    <n v="16"/>
    <s v="Credit Card"/>
    <s v="Every 3 Months"/>
    <s v="Quarterly"/>
    <n v="5"/>
  </r>
  <r>
    <x v="3386"/>
    <n v="34"/>
    <x v="1"/>
    <s v="T-shirt"/>
    <x v="0"/>
    <n v="62"/>
    <x v="49"/>
    <s v="M"/>
    <s v="Lavender"/>
    <s v="Fall"/>
    <n v="2.6"/>
    <s v="No"/>
    <s v="2-Day Shipping"/>
    <s v="No"/>
    <s v="No"/>
    <n v="36"/>
    <s v="Cash"/>
    <s v="Quarterly"/>
    <s v="Quarterly"/>
    <n v="5"/>
  </r>
  <r>
    <x v="3387"/>
    <n v="53"/>
    <x v="1"/>
    <s v="Pants"/>
    <x v="0"/>
    <n v="78"/>
    <x v="32"/>
    <s v="S"/>
    <s v="Pink"/>
    <s v="Spring"/>
    <n v="3.4"/>
    <s v="No"/>
    <s v="2-Day Shipping"/>
    <s v="No"/>
    <s v="No"/>
    <n v="2"/>
    <s v="Credit Card"/>
    <s v="Bi-Weekly"/>
    <s v="Bi-Weekly"/>
    <n v="2"/>
  </r>
  <r>
    <x v="3388"/>
    <n v="35"/>
    <x v="1"/>
    <s v="Sweater"/>
    <x v="0"/>
    <n v="61"/>
    <x v="45"/>
    <s v="M"/>
    <s v="Cyan"/>
    <s v="Spring"/>
    <n v="4.5"/>
    <s v="No"/>
    <s v="Store Pickup"/>
    <s v="No"/>
    <s v="No"/>
    <n v="21"/>
    <s v="Credit Card"/>
    <s v="Weekly"/>
    <s v="Weekly"/>
    <n v="1"/>
  </r>
  <r>
    <x v="3389"/>
    <n v="38"/>
    <x v="1"/>
    <s v="Pants"/>
    <x v="0"/>
    <n v="57"/>
    <x v="17"/>
    <s v="L"/>
    <s v="Maroon"/>
    <s v="Fall"/>
    <n v="3.8"/>
    <s v="No"/>
    <s v="Free Shipping"/>
    <s v="No"/>
    <s v="No"/>
    <n v="39"/>
    <s v="Venmo"/>
    <s v="Annually"/>
    <s v="Annually"/>
    <n v="6"/>
  </r>
  <r>
    <x v="3390"/>
    <n v="32"/>
    <x v="1"/>
    <s v="Socks"/>
    <x v="0"/>
    <n v="70"/>
    <x v="4"/>
    <s v="S"/>
    <s v="Red"/>
    <s v="Summer"/>
    <n v="3"/>
    <s v="No"/>
    <s v="Next Day Air"/>
    <s v="No"/>
    <s v="No"/>
    <n v="38"/>
    <s v="PayPal"/>
    <s v="Annually"/>
    <s v="Annually"/>
    <n v="6"/>
  </r>
  <r>
    <x v="3391"/>
    <n v="47"/>
    <x v="1"/>
    <s v="Hoodie"/>
    <x v="0"/>
    <n v="57"/>
    <x v="6"/>
    <s v="M"/>
    <s v="Silver"/>
    <s v="Fall"/>
    <n v="3.7"/>
    <s v="No"/>
    <s v="2-Day Shipping"/>
    <s v="No"/>
    <s v="No"/>
    <n v="6"/>
    <s v="Debit Card"/>
    <s v="Every 3 Months"/>
    <s v="Quarterly"/>
    <n v="5"/>
  </r>
  <r>
    <x v="3392"/>
    <n v="53"/>
    <x v="1"/>
    <s v="Scarf"/>
    <x v="3"/>
    <n v="74"/>
    <x v="32"/>
    <s v="XL"/>
    <s v="Blue"/>
    <s v="Winter"/>
    <n v="4.4000000000000004"/>
    <s v="No"/>
    <s v="Free Shipping"/>
    <s v="No"/>
    <s v="No"/>
    <n v="6"/>
    <s v="Venmo"/>
    <s v="Bi-Weekly"/>
    <s v="Bi-Weekly"/>
    <n v="2"/>
  </r>
  <r>
    <x v="3393"/>
    <n v="60"/>
    <x v="1"/>
    <s v="Dress"/>
    <x v="0"/>
    <n v="90"/>
    <x v="28"/>
    <s v="M"/>
    <s v="Gold"/>
    <s v="Fall"/>
    <n v="3.1"/>
    <s v="No"/>
    <s v="Next Day Air"/>
    <s v="No"/>
    <s v="No"/>
    <n v="50"/>
    <s v="Debit Card"/>
    <s v="Monthly"/>
    <s v="Monthly"/>
    <n v="4"/>
  </r>
  <r>
    <x v="3394"/>
    <n v="31"/>
    <x v="1"/>
    <s v="Sandals"/>
    <x v="1"/>
    <n v="98"/>
    <x v="34"/>
    <s v="S"/>
    <s v="Yellow"/>
    <s v="Spring"/>
    <n v="4.2"/>
    <s v="No"/>
    <s v="Store Pickup"/>
    <s v="No"/>
    <s v="No"/>
    <n v="9"/>
    <s v="PayPal"/>
    <s v="Annually"/>
    <s v="Annually"/>
    <n v="6"/>
  </r>
  <r>
    <x v="3395"/>
    <n v="44"/>
    <x v="1"/>
    <s v="Dress"/>
    <x v="0"/>
    <n v="43"/>
    <x v="24"/>
    <s v="M"/>
    <s v="Silver"/>
    <s v="Winter"/>
    <n v="3.1"/>
    <s v="No"/>
    <s v="Free Shipping"/>
    <s v="No"/>
    <s v="No"/>
    <n v="15"/>
    <s v="Debit Card"/>
    <s v="Every 3 Months"/>
    <s v="Quarterly"/>
    <n v="5"/>
  </r>
  <r>
    <x v="3396"/>
    <n v="29"/>
    <x v="1"/>
    <s v="Pants"/>
    <x v="0"/>
    <n v="37"/>
    <x v="30"/>
    <s v="XL"/>
    <s v="Black"/>
    <s v="Winter"/>
    <n v="5"/>
    <s v="No"/>
    <s v="Next Day Air"/>
    <s v="No"/>
    <s v="No"/>
    <n v="5"/>
    <s v="PayPal"/>
    <s v="Quarterly"/>
    <s v="Quarterly"/>
    <n v="5"/>
  </r>
  <r>
    <x v="3397"/>
    <n v="19"/>
    <x v="1"/>
    <s v="Blouse"/>
    <x v="0"/>
    <n v="38"/>
    <x v="32"/>
    <s v="L"/>
    <s v="Yellow"/>
    <s v="Summer"/>
    <n v="2.7"/>
    <s v="No"/>
    <s v="Standard"/>
    <s v="No"/>
    <s v="No"/>
    <n v="13"/>
    <s v="Bank Transfer"/>
    <s v="Bi-Weekly"/>
    <s v="Bi-Weekly"/>
    <n v="2"/>
  </r>
  <r>
    <x v="3398"/>
    <n v="54"/>
    <x v="1"/>
    <s v="Jeans"/>
    <x v="0"/>
    <n v="60"/>
    <x v="6"/>
    <s v="L"/>
    <s v="Pink"/>
    <s v="Winter"/>
    <n v="3.8"/>
    <s v="No"/>
    <s v="Standard"/>
    <s v="No"/>
    <s v="No"/>
    <n v="44"/>
    <s v="Cash"/>
    <s v="Fortnightly"/>
    <s v="Fortnightly"/>
    <n v="3"/>
  </r>
  <r>
    <x v="3399"/>
    <n v="40"/>
    <x v="1"/>
    <s v="Pants"/>
    <x v="0"/>
    <n v="55"/>
    <x v="6"/>
    <s v="XL"/>
    <s v="Yellow"/>
    <s v="Winter"/>
    <n v="3.3"/>
    <s v="No"/>
    <s v="Standard"/>
    <s v="No"/>
    <s v="No"/>
    <n v="36"/>
    <s v="Debit Card"/>
    <s v="Annually"/>
    <s v="Annually"/>
    <n v="6"/>
  </r>
  <r>
    <x v="3400"/>
    <n v="39"/>
    <x v="1"/>
    <s v="Sunglasses"/>
    <x v="3"/>
    <n v="51"/>
    <x v="22"/>
    <s v="M"/>
    <s v="Lavender"/>
    <s v="Fall"/>
    <n v="4.8"/>
    <s v="No"/>
    <s v="Free Shipping"/>
    <s v="No"/>
    <s v="No"/>
    <n v="18"/>
    <s v="Venmo"/>
    <s v="Fortnightly"/>
    <s v="Fortnightly"/>
    <n v="3"/>
  </r>
  <r>
    <x v="3401"/>
    <n v="44"/>
    <x v="1"/>
    <s v="Backpack"/>
    <x v="3"/>
    <n v="71"/>
    <x v="22"/>
    <s v="L"/>
    <s v="Peach"/>
    <s v="Winter"/>
    <n v="3.4"/>
    <s v="No"/>
    <s v="Standard"/>
    <s v="No"/>
    <s v="No"/>
    <n v="39"/>
    <s v="Credit Card"/>
    <s v="Weekly"/>
    <s v="Weekly"/>
    <n v="1"/>
  </r>
  <r>
    <x v="3402"/>
    <n v="22"/>
    <x v="1"/>
    <s v="Hoodie"/>
    <x v="0"/>
    <n v="61"/>
    <x v="7"/>
    <s v="M"/>
    <s v="Black"/>
    <s v="Spring"/>
    <n v="4.4000000000000004"/>
    <s v="No"/>
    <s v="2-Day Shipping"/>
    <s v="No"/>
    <s v="No"/>
    <n v="11"/>
    <s v="PayPal"/>
    <s v="Every 3 Months"/>
    <s v="Quarterly"/>
    <n v="5"/>
  </r>
  <r>
    <x v="3403"/>
    <n v="30"/>
    <x v="1"/>
    <s v="Boots"/>
    <x v="1"/>
    <n v="65"/>
    <x v="26"/>
    <s v="M"/>
    <s v="Olive"/>
    <s v="Summer"/>
    <n v="3.9"/>
    <s v="No"/>
    <s v="Standard"/>
    <s v="No"/>
    <s v="No"/>
    <n v="1"/>
    <s v="Cash"/>
    <s v="Bi-Weekly"/>
    <s v="Bi-Weekly"/>
    <n v="2"/>
  </r>
  <r>
    <x v="3404"/>
    <n v="69"/>
    <x v="1"/>
    <s v="Gloves"/>
    <x v="3"/>
    <n v="34"/>
    <x v="36"/>
    <s v="L"/>
    <s v="Olive"/>
    <s v="Fall"/>
    <n v="3.9"/>
    <s v="No"/>
    <s v="2-Day Shipping"/>
    <s v="No"/>
    <s v="No"/>
    <n v="34"/>
    <s v="Credit Card"/>
    <s v="Annually"/>
    <s v="Annually"/>
    <n v="6"/>
  </r>
  <r>
    <x v="3405"/>
    <n v="28"/>
    <x v="1"/>
    <s v="Blouse"/>
    <x v="0"/>
    <n v="87"/>
    <x v="47"/>
    <s v="M"/>
    <s v="White"/>
    <s v="Summer"/>
    <n v="4.2"/>
    <s v="No"/>
    <s v="Store Pickup"/>
    <s v="No"/>
    <s v="No"/>
    <n v="47"/>
    <s v="Bank Transfer"/>
    <s v="Bi-Weekly"/>
    <s v="Bi-Weekly"/>
    <n v="2"/>
  </r>
  <r>
    <x v="3406"/>
    <n v="57"/>
    <x v="1"/>
    <s v="Sweater"/>
    <x v="0"/>
    <n v="79"/>
    <x v="43"/>
    <s v="M"/>
    <s v="Red"/>
    <s v="Spring"/>
    <n v="4"/>
    <s v="No"/>
    <s v="Store Pickup"/>
    <s v="No"/>
    <s v="No"/>
    <n v="24"/>
    <s v="Venmo"/>
    <s v="Quarterly"/>
    <s v="Quarterly"/>
    <n v="5"/>
  </r>
  <r>
    <x v="3407"/>
    <n v="46"/>
    <x v="1"/>
    <s v="Dress"/>
    <x v="0"/>
    <n v="46"/>
    <x v="15"/>
    <s v="S"/>
    <s v="Purple"/>
    <s v="Spring"/>
    <n v="2.6"/>
    <s v="No"/>
    <s v="Store Pickup"/>
    <s v="No"/>
    <s v="No"/>
    <n v="20"/>
    <s v="Cash"/>
    <s v="Quarterly"/>
    <s v="Quarterly"/>
    <n v="5"/>
  </r>
  <r>
    <x v="3408"/>
    <n v="48"/>
    <x v="1"/>
    <s v="Socks"/>
    <x v="0"/>
    <n v="72"/>
    <x v="6"/>
    <s v="L"/>
    <s v="Purple"/>
    <s v="Summer"/>
    <n v="4.4000000000000004"/>
    <s v="No"/>
    <s v="Standard"/>
    <s v="No"/>
    <s v="No"/>
    <n v="11"/>
    <s v="Bank Transfer"/>
    <s v="Annually"/>
    <s v="Annually"/>
    <n v="6"/>
  </r>
  <r>
    <x v="3409"/>
    <n v="24"/>
    <x v="1"/>
    <s v="Shirt"/>
    <x v="0"/>
    <n v="93"/>
    <x v="46"/>
    <s v="M"/>
    <s v="Teal"/>
    <s v="Summer"/>
    <n v="3.2"/>
    <s v="No"/>
    <s v="Next Day Air"/>
    <s v="No"/>
    <s v="No"/>
    <n v="3"/>
    <s v="Credit Card"/>
    <s v="Every 3 Months"/>
    <s v="Quarterly"/>
    <n v="5"/>
  </r>
  <r>
    <x v="3410"/>
    <n v="50"/>
    <x v="1"/>
    <s v="Sandals"/>
    <x v="1"/>
    <n v="76"/>
    <x v="31"/>
    <s v="L"/>
    <s v="Teal"/>
    <s v="Summer"/>
    <n v="4.3"/>
    <s v="No"/>
    <s v="Free Shipping"/>
    <s v="No"/>
    <s v="No"/>
    <n v="38"/>
    <s v="Bank Transfer"/>
    <s v="Bi-Weekly"/>
    <s v="Bi-Weekly"/>
    <n v="2"/>
  </r>
  <r>
    <x v="3411"/>
    <n v="29"/>
    <x v="1"/>
    <s v="Shoes"/>
    <x v="1"/>
    <n v="56"/>
    <x v="14"/>
    <s v="L"/>
    <s v="Gray"/>
    <s v="Winter"/>
    <n v="4.9000000000000004"/>
    <s v="No"/>
    <s v="2-Day Shipping"/>
    <s v="No"/>
    <s v="No"/>
    <n v="45"/>
    <s v="Cash"/>
    <s v="Weekly"/>
    <s v="Weekly"/>
    <n v="1"/>
  </r>
  <r>
    <x v="3412"/>
    <n v="61"/>
    <x v="1"/>
    <s v="Sandals"/>
    <x v="1"/>
    <n v="83"/>
    <x v="27"/>
    <s v="M"/>
    <s v="Magenta"/>
    <s v="Fall"/>
    <n v="3.8"/>
    <s v="No"/>
    <s v="Store Pickup"/>
    <s v="No"/>
    <s v="No"/>
    <n v="31"/>
    <s v="Venmo"/>
    <s v="Quarterly"/>
    <s v="Quarterly"/>
    <n v="5"/>
  </r>
  <r>
    <x v="3413"/>
    <n v="34"/>
    <x v="1"/>
    <s v="Gloves"/>
    <x v="3"/>
    <n v="90"/>
    <x v="12"/>
    <s v="XL"/>
    <s v="Black"/>
    <s v="Winter"/>
    <n v="2.5"/>
    <s v="No"/>
    <s v="Express"/>
    <s v="No"/>
    <s v="No"/>
    <n v="16"/>
    <s v="PayPal"/>
    <s v="Bi-Weekly"/>
    <s v="Bi-Weekly"/>
    <n v="2"/>
  </r>
  <r>
    <x v="3414"/>
    <n v="27"/>
    <x v="1"/>
    <s v="Boots"/>
    <x v="1"/>
    <n v="94"/>
    <x v="39"/>
    <s v="M"/>
    <s v="Maroon"/>
    <s v="Spring"/>
    <n v="4.9000000000000004"/>
    <s v="No"/>
    <s v="Next Day Air"/>
    <s v="No"/>
    <s v="No"/>
    <n v="3"/>
    <s v="Bank Transfer"/>
    <s v="Quarterly"/>
    <s v="Quarterly"/>
    <n v="5"/>
  </r>
  <r>
    <x v="3415"/>
    <n v="38"/>
    <x v="1"/>
    <s v="Blouse"/>
    <x v="0"/>
    <n v="68"/>
    <x v="14"/>
    <s v="M"/>
    <s v="Gold"/>
    <s v="Fall"/>
    <n v="3"/>
    <s v="No"/>
    <s v="2-Day Shipping"/>
    <s v="No"/>
    <s v="No"/>
    <n v="15"/>
    <s v="Bank Transfer"/>
    <s v="Annually"/>
    <s v="Annually"/>
    <n v="6"/>
  </r>
  <r>
    <x v="3416"/>
    <n v="25"/>
    <x v="1"/>
    <s v="Sandals"/>
    <x v="1"/>
    <n v="53"/>
    <x v="15"/>
    <s v="M"/>
    <s v="Purple"/>
    <s v="Spring"/>
    <n v="3.2"/>
    <s v="No"/>
    <s v="Store Pickup"/>
    <s v="No"/>
    <s v="No"/>
    <n v="11"/>
    <s v="Bank Transfer"/>
    <s v="Every 3 Months"/>
    <s v="Quarterly"/>
    <n v="5"/>
  </r>
  <r>
    <x v="3417"/>
    <n v="54"/>
    <x v="1"/>
    <s v="Coat"/>
    <x v="2"/>
    <n v="35"/>
    <x v="2"/>
    <s v="M"/>
    <s v="Blue"/>
    <s v="Summer"/>
    <n v="2.9"/>
    <s v="No"/>
    <s v="2-Day Shipping"/>
    <s v="No"/>
    <s v="No"/>
    <n v="22"/>
    <s v="Debit Card"/>
    <s v="Fortnightly"/>
    <s v="Fortnightly"/>
    <n v="3"/>
  </r>
  <r>
    <x v="3418"/>
    <n v="53"/>
    <x v="1"/>
    <s v="Jacket"/>
    <x v="2"/>
    <n v="30"/>
    <x v="36"/>
    <s v="M"/>
    <s v="Beige"/>
    <s v="Summer"/>
    <n v="2.8"/>
    <s v="No"/>
    <s v="Free Shipping"/>
    <s v="No"/>
    <s v="No"/>
    <n v="35"/>
    <s v="Debit Card"/>
    <s v="Annually"/>
    <s v="Annually"/>
    <n v="6"/>
  </r>
  <r>
    <x v="3419"/>
    <n v="23"/>
    <x v="1"/>
    <s v="Jewelry"/>
    <x v="3"/>
    <n v="26"/>
    <x v="8"/>
    <s v="L"/>
    <s v="Indigo"/>
    <s v="Winter"/>
    <n v="3.1"/>
    <s v="No"/>
    <s v="Store Pickup"/>
    <s v="No"/>
    <s v="No"/>
    <n v="5"/>
    <s v="Venmo"/>
    <s v="Bi-Weekly"/>
    <s v="Bi-Weekly"/>
    <n v="2"/>
  </r>
  <r>
    <x v="3420"/>
    <n v="19"/>
    <x v="1"/>
    <s v="Hat"/>
    <x v="3"/>
    <n v="60"/>
    <x v="0"/>
    <s v="M"/>
    <s v="Purple"/>
    <s v="Winter"/>
    <n v="3.4"/>
    <s v="No"/>
    <s v="Express"/>
    <s v="No"/>
    <s v="No"/>
    <n v="35"/>
    <s v="PayPal"/>
    <s v="Bi-Weekly"/>
    <s v="Bi-Weekly"/>
    <n v="2"/>
  </r>
  <r>
    <x v="3421"/>
    <n v="57"/>
    <x v="1"/>
    <s v="Shoes"/>
    <x v="1"/>
    <n v="30"/>
    <x v="32"/>
    <s v="M"/>
    <s v="Maroon"/>
    <s v="Summer"/>
    <n v="2.9"/>
    <s v="No"/>
    <s v="Free Shipping"/>
    <s v="No"/>
    <s v="No"/>
    <n v="27"/>
    <s v="PayPal"/>
    <s v="Weekly"/>
    <s v="Weekly"/>
    <n v="1"/>
  </r>
  <r>
    <x v="3422"/>
    <n v="19"/>
    <x v="1"/>
    <s v="Coat"/>
    <x v="2"/>
    <n v="91"/>
    <x v="14"/>
    <s v="L"/>
    <s v="Beige"/>
    <s v="Winter"/>
    <n v="3.2"/>
    <s v="No"/>
    <s v="Next Day Air"/>
    <s v="No"/>
    <s v="No"/>
    <n v="9"/>
    <s v="Venmo"/>
    <s v="Monthly"/>
    <s v="Monthly"/>
    <n v="4"/>
  </r>
  <r>
    <x v="3423"/>
    <n v="33"/>
    <x v="1"/>
    <s v="Boots"/>
    <x v="1"/>
    <n v="71"/>
    <x v="2"/>
    <s v="M"/>
    <s v="Brown"/>
    <s v="Spring"/>
    <n v="3.8"/>
    <s v="No"/>
    <s v="Next Day Air"/>
    <s v="No"/>
    <s v="No"/>
    <n v="21"/>
    <s v="PayPal"/>
    <s v="Bi-Weekly"/>
    <s v="Bi-Weekly"/>
    <n v="2"/>
  </r>
  <r>
    <x v="3424"/>
    <n v="33"/>
    <x v="1"/>
    <s v="Scarf"/>
    <x v="3"/>
    <n v="64"/>
    <x v="20"/>
    <s v="L"/>
    <s v="Green"/>
    <s v="Summer"/>
    <n v="3.6"/>
    <s v="No"/>
    <s v="2-Day Shipping"/>
    <s v="No"/>
    <s v="No"/>
    <n v="23"/>
    <s v="Credit Card"/>
    <s v="Monthly"/>
    <s v="Monthly"/>
    <n v="4"/>
  </r>
  <r>
    <x v="3425"/>
    <n v="38"/>
    <x v="1"/>
    <s v="Hat"/>
    <x v="3"/>
    <n v="54"/>
    <x v="49"/>
    <s v="M"/>
    <s v="Blue"/>
    <s v="Summer"/>
    <n v="4.3"/>
    <s v="No"/>
    <s v="Next Day Air"/>
    <s v="No"/>
    <s v="No"/>
    <n v="3"/>
    <s v="Debit Card"/>
    <s v="Bi-Weekly"/>
    <s v="Bi-Weekly"/>
    <n v="2"/>
  </r>
  <r>
    <x v="3426"/>
    <n v="47"/>
    <x v="1"/>
    <s v="Socks"/>
    <x v="0"/>
    <n v="35"/>
    <x v="4"/>
    <s v="XL"/>
    <s v="Magenta"/>
    <s v="Fall"/>
    <n v="4.8"/>
    <s v="No"/>
    <s v="2-Day Shipping"/>
    <s v="No"/>
    <s v="No"/>
    <n v="31"/>
    <s v="Credit Card"/>
    <s v="Annually"/>
    <s v="Annually"/>
    <n v="6"/>
  </r>
  <r>
    <x v="3427"/>
    <n v="39"/>
    <x v="1"/>
    <s v="T-shirt"/>
    <x v="0"/>
    <n v="38"/>
    <x v="49"/>
    <s v="XL"/>
    <s v="Turquoise"/>
    <s v="Winter"/>
    <n v="2.5"/>
    <s v="No"/>
    <s v="Store Pickup"/>
    <s v="No"/>
    <s v="No"/>
    <n v="44"/>
    <s v="Cash"/>
    <s v="Annually"/>
    <s v="Annually"/>
    <n v="6"/>
  </r>
  <r>
    <x v="3428"/>
    <n v="32"/>
    <x v="1"/>
    <s v="Jewelry"/>
    <x v="3"/>
    <n v="69"/>
    <x v="47"/>
    <s v="M"/>
    <s v="Gray"/>
    <s v="Fall"/>
    <n v="2.5"/>
    <s v="No"/>
    <s v="Next Day Air"/>
    <s v="No"/>
    <s v="No"/>
    <n v="20"/>
    <s v="Venmo"/>
    <s v="Monthly"/>
    <s v="Monthly"/>
    <n v="4"/>
  </r>
  <r>
    <x v="3429"/>
    <n v="27"/>
    <x v="1"/>
    <s v="Skirt"/>
    <x v="0"/>
    <n v="96"/>
    <x v="29"/>
    <s v="S"/>
    <s v="Purple"/>
    <s v="Winter"/>
    <n v="4.5999999999999996"/>
    <s v="No"/>
    <s v="Express"/>
    <s v="No"/>
    <s v="No"/>
    <n v="34"/>
    <s v="Debit Card"/>
    <s v="Weekly"/>
    <s v="Weekly"/>
    <n v="1"/>
  </r>
  <r>
    <x v="3430"/>
    <n v="67"/>
    <x v="1"/>
    <s v="Socks"/>
    <x v="0"/>
    <n v="73"/>
    <x v="6"/>
    <s v="M"/>
    <s v="Lavender"/>
    <s v="Winter"/>
    <n v="4.2"/>
    <s v="No"/>
    <s v="Next Day Air"/>
    <s v="No"/>
    <s v="No"/>
    <n v="17"/>
    <s v="Bank Transfer"/>
    <s v="Every 3 Months"/>
    <s v="Quarterly"/>
    <n v="5"/>
  </r>
  <r>
    <x v="3431"/>
    <n v="46"/>
    <x v="1"/>
    <s v="Belt"/>
    <x v="3"/>
    <n v="49"/>
    <x v="35"/>
    <s v="S"/>
    <s v="Green"/>
    <s v="Summer"/>
    <n v="4.2"/>
    <s v="No"/>
    <s v="Express"/>
    <s v="No"/>
    <s v="No"/>
    <n v="20"/>
    <s v="Venmo"/>
    <s v="Annually"/>
    <s v="Annually"/>
    <n v="6"/>
  </r>
  <r>
    <x v="3432"/>
    <n v="36"/>
    <x v="1"/>
    <s v="Boots"/>
    <x v="1"/>
    <n v="44"/>
    <x v="39"/>
    <s v="M"/>
    <s v="Gray"/>
    <s v="Summer"/>
    <n v="4.8"/>
    <s v="No"/>
    <s v="2-Day Shipping"/>
    <s v="No"/>
    <s v="No"/>
    <n v="46"/>
    <s v="PayPal"/>
    <s v="Every 3 Months"/>
    <s v="Quarterly"/>
    <n v="5"/>
  </r>
  <r>
    <x v="3433"/>
    <n v="62"/>
    <x v="1"/>
    <s v="Socks"/>
    <x v="0"/>
    <n v="93"/>
    <x v="29"/>
    <s v="M"/>
    <s v="Yellow"/>
    <s v="Spring"/>
    <n v="4.5"/>
    <s v="No"/>
    <s v="Free Shipping"/>
    <s v="No"/>
    <s v="No"/>
    <n v="28"/>
    <s v="PayPal"/>
    <s v="Annually"/>
    <s v="Annually"/>
    <n v="6"/>
  </r>
  <r>
    <x v="3434"/>
    <n v="31"/>
    <x v="1"/>
    <s v="Pants"/>
    <x v="0"/>
    <n v="72"/>
    <x v="31"/>
    <s v="S"/>
    <s v="Orange"/>
    <s v="Summer"/>
    <n v="3.3"/>
    <s v="No"/>
    <s v="2-Day Shipping"/>
    <s v="No"/>
    <s v="No"/>
    <n v="6"/>
    <s v="Venmo"/>
    <s v="Fortnightly"/>
    <s v="Fortnightly"/>
    <n v="3"/>
  </r>
  <r>
    <x v="3435"/>
    <n v="68"/>
    <x v="1"/>
    <s v="Socks"/>
    <x v="0"/>
    <n v="91"/>
    <x v="6"/>
    <s v="M"/>
    <s v="Beige"/>
    <s v="Summer"/>
    <n v="2.7"/>
    <s v="No"/>
    <s v="2-Day Shipping"/>
    <s v="No"/>
    <s v="No"/>
    <n v="50"/>
    <s v="Debit Card"/>
    <s v="Bi-Weekly"/>
    <s v="Bi-Weekly"/>
    <n v="2"/>
  </r>
  <r>
    <x v="3436"/>
    <n v="57"/>
    <x v="1"/>
    <s v="Belt"/>
    <x v="3"/>
    <n v="83"/>
    <x v="43"/>
    <s v="L"/>
    <s v="Peach"/>
    <s v="Winter"/>
    <n v="2.8"/>
    <s v="No"/>
    <s v="2-Day Shipping"/>
    <s v="No"/>
    <s v="No"/>
    <n v="41"/>
    <s v="Bank Transfer"/>
    <s v="Monthly"/>
    <s v="Monthly"/>
    <n v="4"/>
  </r>
  <r>
    <x v="3437"/>
    <n v="22"/>
    <x v="1"/>
    <s v="Jacket"/>
    <x v="2"/>
    <n v="62"/>
    <x v="19"/>
    <s v="S"/>
    <s v="Green"/>
    <s v="Winter"/>
    <n v="3.5"/>
    <s v="No"/>
    <s v="2-Day Shipping"/>
    <s v="No"/>
    <s v="No"/>
    <n v="50"/>
    <s v="PayPal"/>
    <s v="Annually"/>
    <s v="Annually"/>
    <n v="6"/>
  </r>
  <r>
    <x v="3438"/>
    <n v="26"/>
    <x v="1"/>
    <s v="Shirt"/>
    <x v="0"/>
    <n v="71"/>
    <x v="0"/>
    <s v="M"/>
    <s v="Violet"/>
    <s v="Fall"/>
    <n v="3"/>
    <s v="No"/>
    <s v="Store Pickup"/>
    <s v="No"/>
    <s v="No"/>
    <n v="33"/>
    <s v="Credit Card"/>
    <s v="Monthly"/>
    <s v="Monthly"/>
    <n v="4"/>
  </r>
  <r>
    <x v="3439"/>
    <n v="43"/>
    <x v="1"/>
    <s v="Gloves"/>
    <x v="3"/>
    <n v="93"/>
    <x v="37"/>
    <s v="M"/>
    <s v="Gray"/>
    <s v="Summer"/>
    <n v="4.5"/>
    <s v="No"/>
    <s v="Express"/>
    <s v="No"/>
    <s v="No"/>
    <n v="25"/>
    <s v="Venmo"/>
    <s v="Quarterly"/>
    <s v="Quarterly"/>
    <n v="5"/>
  </r>
  <r>
    <x v="3440"/>
    <n v="45"/>
    <x v="1"/>
    <s v="Handbag"/>
    <x v="3"/>
    <n v="63"/>
    <x v="33"/>
    <s v="L"/>
    <s v="Magenta"/>
    <s v="Fall"/>
    <n v="4.3"/>
    <s v="No"/>
    <s v="2-Day Shipping"/>
    <s v="No"/>
    <s v="No"/>
    <n v="2"/>
    <s v="PayPal"/>
    <s v="Weekly"/>
    <s v="Weekly"/>
    <n v="1"/>
  </r>
  <r>
    <x v="3441"/>
    <n v="64"/>
    <x v="1"/>
    <s v="Sweater"/>
    <x v="0"/>
    <n v="96"/>
    <x v="30"/>
    <s v="XL"/>
    <s v="Charcoal"/>
    <s v="Fall"/>
    <n v="4.0999999999999996"/>
    <s v="No"/>
    <s v="Standard"/>
    <s v="No"/>
    <s v="No"/>
    <n v="15"/>
    <s v="Credit Card"/>
    <s v="Annually"/>
    <s v="Annually"/>
    <n v="6"/>
  </r>
  <r>
    <x v="3442"/>
    <n v="28"/>
    <x v="1"/>
    <s v="Skirt"/>
    <x v="0"/>
    <n v="78"/>
    <x v="49"/>
    <s v="M"/>
    <s v="Violet"/>
    <s v="Spring"/>
    <n v="4.3"/>
    <s v="No"/>
    <s v="Next Day Air"/>
    <s v="No"/>
    <s v="No"/>
    <n v="12"/>
    <s v="PayPal"/>
    <s v="Weekly"/>
    <s v="Weekly"/>
    <n v="1"/>
  </r>
  <r>
    <x v="3443"/>
    <n v="47"/>
    <x v="1"/>
    <s v="Dress"/>
    <x v="0"/>
    <n v="24"/>
    <x v="30"/>
    <s v="L"/>
    <s v="Silver"/>
    <s v="Summer"/>
    <n v="5"/>
    <s v="No"/>
    <s v="Free Shipping"/>
    <s v="No"/>
    <s v="No"/>
    <n v="28"/>
    <s v="Cash"/>
    <s v="Bi-Weekly"/>
    <s v="Bi-Weekly"/>
    <n v="2"/>
  </r>
  <r>
    <x v="3444"/>
    <n v="53"/>
    <x v="1"/>
    <s v="Pants"/>
    <x v="0"/>
    <n v="63"/>
    <x v="3"/>
    <s v="S"/>
    <s v="Green"/>
    <s v="Summer"/>
    <n v="3.8"/>
    <s v="No"/>
    <s v="2-Day Shipping"/>
    <s v="No"/>
    <s v="No"/>
    <n v="12"/>
    <s v="Bank Transfer"/>
    <s v="Bi-Weekly"/>
    <s v="Bi-Weekly"/>
    <n v="2"/>
  </r>
  <r>
    <x v="3445"/>
    <n v="42"/>
    <x v="1"/>
    <s v="Hat"/>
    <x v="3"/>
    <n v="58"/>
    <x v="20"/>
    <s v="M"/>
    <s v="Magenta"/>
    <s v="Fall"/>
    <n v="4.9000000000000004"/>
    <s v="No"/>
    <s v="Standard"/>
    <s v="No"/>
    <s v="No"/>
    <n v="3"/>
    <s v="Debit Card"/>
    <s v="Annually"/>
    <s v="Annually"/>
    <n v="6"/>
  </r>
  <r>
    <x v="3446"/>
    <n v="51"/>
    <x v="1"/>
    <s v="Boots"/>
    <x v="1"/>
    <n v="55"/>
    <x v="7"/>
    <s v="S"/>
    <s v="Purple"/>
    <s v="Spring"/>
    <n v="5"/>
    <s v="No"/>
    <s v="2-Day Shipping"/>
    <s v="No"/>
    <s v="No"/>
    <n v="20"/>
    <s v="Cash"/>
    <s v="Weekly"/>
    <s v="Weekly"/>
    <n v="1"/>
  </r>
  <r>
    <x v="3447"/>
    <n v="62"/>
    <x v="1"/>
    <s v="Sandals"/>
    <x v="1"/>
    <n v="58"/>
    <x v="10"/>
    <s v="M"/>
    <s v="Blue"/>
    <s v="Fall"/>
    <n v="4.3"/>
    <s v="No"/>
    <s v="Express"/>
    <s v="No"/>
    <s v="No"/>
    <n v="3"/>
    <s v="Bank Transfer"/>
    <s v="Bi-Weekly"/>
    <s v="Bi-Weekly"/>
    <n v="2"/>
  </r>
  <r>
    <x v="3448"/>
    <n v="18"/>
    <x v="1"/>
    <s v="Coat"/>
    <x v="2"/>
    <n v="28"/>
    <x v="0"/>
    <s v="S"/>
    <s v="Yellow"/>
    <s v="Winter"/>
    <n v="4.0999999999999996"/>
    <s v="No"/>
    <s v="Express"/>
    <s v="No"/>
    <s v="No"/>
    <n v="32"/>
    <s v="Bank Transfer"/>
    <s v="Fortnightly"/>
    <s v="Fortnightly"/>
    <n v="3"/>
  </r>
  <r>
    <x v="3449"/>
    <n v="48"/>
    <x v="1"/>
    <s v="Blouse"/>
    <x v="0"/>
    <n v="37"/>
    <x v="23"/>
    <s v="M"/>
    <s v="Brown"/>
    <s v="Spring"/>
    <n v="4.5"/>
    <s v="No"/>
    <s v="Standard"/>
    <s v="No"/>
    <s v="No"/>
    <n v="35"/>
    <s v="Cash"/>
    <s v="Monthly"/>
    <s v="Monthly"/>
    <n v="4"/>
  </r>
  <r>
    <x v="3450"/>
    <n v="20"/>
    <x v="1"/>
    <s v="Shorts"/>
    <x v="0"/>
    <n v="78"/>
    <x v="34"/>
    <s v="M"/>
    <s v="Pink"/>
    <s v="Spring"/>
    <n v="3.6"/>
    <s v="No"/>
    <s v="Store Pickup"/>
    <s v="No"/>
    <s v="No"/>
    <n v="31"/>
    <s v="PayPal"/>
    <s v="Monthly"/>
    <s v="Monthly"/>
    <n v="4"/>
  </r>
  <r>
    <x v="3451"/>
    <n v="32"/>
    <x v="1"/>
    <s v="Blouse"/>
    <x v="0"/>
    <n v="73"/>
    <x v="22"/>
    <s v="XL"/>
    <s v="Silver"/>
    <s v="Fall"/>
    <n v="3"/>
    <s v="No"/>
    <s v="Free Shipping"/>
    <s v="No"/>
    <s v="No"/>
    <n v="13"/>
    <s v="Credit Card"/>
    <s v="Annually"/>
    <s v="Annually"/>
    <n v="6"/>
  </r>
  <r>
    <x v="3452"/>
    <n v="26"/>
    <x v="1"/>
    <s v="Jacket"/>
    <x v="2"/>
    <n v="20"/>
    <x v="19"/>
    <s v="M"/>
    <s v="Indigo"/>
    <s v="Spring"/>
    <n v="3.7"/>
    <s v="No"/>
    <s v="Next Day Air"/>
    <s v="No"/>
    <s v="No"/>
    <n v="3"/>
    <s v="Venmo"/>
    <s v="Fortnightly"/>
    <s v="Fortnightly"/>
    <n v="3"/>
  </r>
  <r>
    <x v="3453"/>
    <n v="31"/>
    <x v="1"/>
    <s v="Shirt"/>
    <x v="0"/>
    <n v="60"/>
    <x v="15"/>
    <s v="L"/>
    <s v="Pink"/>
    <s v="Winter"/>
    <n v="4.3"/>
    <s v="No"/>
    <s v="Standard"/>
    <s v="No"/>
    <s v="No"/>
    <n v="48"/>
    <s v="Venmo"/>
    <s v="Bi-Weekly"/>
    <s v="Bi-Weekly"/>
    <n v="2"/>
  </r>
  <r>
    <x v="3454"/>
    <n v="55"/>
    <x v="1"/>
    <s v="Handbag"/>
    <x v="3"/>
    <n v="71"/>
    <x v="7"/>
    <s v="S"/>
    <s v="Lavender"/>
    <s v="Fall"/>
    <n v="4.5999999999999996"/>
    <s v="No"/>
    <s v="Store Pickup"/>
    <s v="No"/>
    <s v="No"/>
    <n v="15"/>
    <s v="PayPal"/>
    <s v="Bi-Weekly"/>
    <s v="Bi-Weekly"/>
    <n v="2"/>
  </r>
  <r>
    <x v="3455"/>
    <n v="49"/>
    <x v="1"/>
    <s v="T-shirt"/>
    <x v="0"/>
    <n v="89"/>
    <x v="31"/>
    <s v="M"/>
    <s v="Orange"/>
    <s v="Fall"/>
    <n v="4.7"/>
    <s v="No"/>
    <s v="Standard"/>
    <s v="No"/>
    <s v="No"/>
    <n v="13"/>
    <s v="Venmo"/>
    <s v="Annually"/>
    <s v="Annually"/>
    <n v="6"/>
  </r>
  <r>
    <x v="3456"/>
    <n v="42"/>
    <x v="1"/>
    <s v="Hoodie"/>
    <x v="0"/>
    <n v="53"/>
    <x v="21"/>
    <s v="M"/>
    <s v="Red"/>
    <s v="Fall"/>
    <n v="4.5999999999999996"/>
    <s v="No"/>
    <s v="Express"/>
    <s v="No"/>
    <s v="No"/>
    <n v="21"/>
    <s v="Venmo"/>
    <s v="Monthly"/>
    <s v="Monthly"/>
    <n v="4"/>
  </r>
  <r>
    <x v="3457"/>
    <n v="64"/>
    <x v="1"/>
    <s v="Jewelry"/>
    <x v="3"/>
    <n v="87"/>
    <x v="33"/>
    <s v="M"/>
    <s v="Gray"/>
    <s v="Summer"/>
    <n v="3"/>
    <s v="No"/>
    <s v="Express"/>
    <s v="No"/>
    <s v="No"/>
    <n v="29"/>
    <s v="Cash"/>
    <s v="Fortnightly"/>
    <s v="Fortnightly"/>
    <n v="3"/>
  </r>
  <r>
    <x v="3458"/>
    <n v="68"/>
    <x v="1"/>
    <s v="Jewelry"/>
    <x v="3"/>
    <n v="37"/>
    <x v="8"/>
    <s v="L"/>
    <s v="Violet"/>
    <s v="Spring"/>
    <n v="3.4"/>
    <s v="No"/>
    <s v="Standard"/>
    <s v="No"/>
    <s v="No"/>
    <n v="24"/>
    <s v="Venmo"/>
    <s v="Quarterly"/>
    <s v="Quarterly"/>
    <n v="5"/>
  </r>
  <r>
    <x v="3459"/>
    <n v="68"/>
    <x v="1"/>
    <s v="Hoodie"/>
    <x v="0"/>
    <n v="37"/>
    <x v="31"/>
    <s v="L"/>
    <s v="Green"/>
    <s v="Fall"/>
    <n v="3.8"/>
    <s v="No"/>
    <s v="Express"/>
    <s v="No"/>
    <s v="No"/>
    <n v="21"/>
    <s v="PayPal"/>
    <s v="Annually"/>
    <s v="Annually"/>
    <n v="6"/>
  </r>
  <r>
    <x v="3460"/>
    <n v="41"/>
    <x v="1"/>
    <s v="Scarf"/>
    <x v="3"/>
    <n v="78"/>
    <x v="27"/>
    <s v="M"/>
    <s v="Gold"/>
    <s v="Spring"/>
    <n v="3.1"/>
    <s v="No"/>
    <s v="Express"/>
    <s v="No"/>
    <s v="No"/>
    <n v="5"/>
    <s v="Bank Transfer"/>
    <s v="Bi-Weekly"/>
    <s v="Bi-Weekly"/>
    <n v="2"/>
  </r>
  <r>
    <x v="3461"/>
    <n v="51"/>
    <x v="1"/>
    <s v="Shoes"/>
    <x v="1"/>
    <n v="23"/>
    <x v="5"/>
    <s v="S"/>
    <s v="Maroon"/>
    <s v="Spring"/>
    <n v="4.4000000000000004"/>
    <s v="No"/>
    <s v="Standard"/>
    <s v="No"/>
    <s v="No"/>
    <n v="47"/>
    <s v="Cash"/>
    <s v="Quarterly"/>
    <s v="Quarterly"/>
    <n v="5"/>
  </r>
  <r>
    <x v="3462"/>
    <n v="44"/>
    <x v="1"/>
    <s v="Jeans"/>
    <x v="0"/>
    <n v="73"/>
    <x v="49"/>
    <s v="L"/>
    <s v="Olive"/>
    <s v="Spring"/>
    <n v="4.5"/>
    <s v="No"/>
    <s v="Standard"/>
    <s v="No"/>
    <s v="No"/>
    <n v="34"/>
    <s v="Credit Card"/>
    <s v="Every 3 Months"/>
    <s v="Quarterly"/>
    <n v="5"/>
  </r>
  <r>
    <x v="3463"/>
    <n v="27"/>
    <x v="1"/>
    <s v="Jewelry"/>
    <x v="3"/>
    <n v="27"/>
    <x v="1"/>
    <s v="M"/>
    <s v="Yellow"/>
    <s v="Fall"/>
    <n v="2.8"/>
    <s v="No"/>
    <s v="2-Day Shipping"/>
    <s v="No"/>
    <s v="No"/>
    <n v="45"/>
    <s v="PayPal"/>
    <s v="Fortnightly"/>
    <s v="Fortnightly"/>
    <n v="3"/>
  </r>
  <r>
    <x v="3464"/>
    <n v="36"/>
    <x v="1"/>
    <s v="Coat"/>
    <x v="2"/>
    <n v="59"/>
    <x v="40"/>
    <s v="S"/>
    <s v="Peach"/>
    <s v="Winter"/>
    <n v="2.7"/>
    <s v="No"/>
    <s v="Next Day Air"/>
    <s v="No"/>
    <s v="No"/>
    <n v="12"/>
    <s v="PayPal"/>
    <s v="Annually"/>
    <s v="Annually"/>
    <n v="6"/>
  </r>
  <r>
    <x v="3465"/>
    <n v="19"/>
    <x v="1"/>
    <s v="Backpack"/>
    <x v="3"/>
    <n v="53"/>
    <x v="44"/>
    <s v="M"/>
    <s v="Gold"/>
    <s v="Spring"/>
    <n v="3.4"/>
    <s v="No"/>
    <s v="Standard"/>
    <s v="No"/>
    <s v="No"/>
    <n v="31"/>
    <s v="Debit Card"/>
    <s v="Weekly"/>
    <s v="Weekly"/>
    <n v="1"/>
  </r>
  <r>
    <x v="3466"/>
    <n v="49"/>
    <x v="1"/>
    <s v="Socks"/>
    <x v="0"/>
    <n v="42"/>
    <x v="33"/>
    <s v="S"/>
    <s v="Purple"/>
    <s v="Summer"/>
    <n v="4.5999999999999996"/>
    <s v="No"/>
    <s v="Standard"/>
    <s v="No"/>
    <s v="No"/>
    <n v="43"/>
    <s v="Bank Transfer"/>
    <s v="Annually"/>
    <s v="Annually"/>
    <n v="6"/>
  </r>
  <r>
    <x v="3467"/>
    <n v="18"/>
    <x v="1"/>
    <s v="Scarf"/>
    <x v="3"/>
    <n v="45"/>
    <x v="21"/>
    <s v="M"/>
    <s v="Charcoal"/>
    <s v="Fall"/>
    <n v="5"/>
    <s v="No"/>
    <s v="Next Day Air"/>
    <s v="No"/>
    <s v="No"/>
    <n v="5"/>
    <s v="Credit Card"/>
    <s v="Annually"/>
    <s v="Annually"/>
    <n v="6"/>
  </r>
  <r>
    <x v="3468"/>
    <n v="36"/>
    <x v="1"/>
    <s v="Sunglasses"/>
    <x v="3"/>
    <n v="89"/>
    <x v="31"/>
    <s v="S"/>
    <s v="Indigo"/>
    <s v="Winter"/>
    <n v="3.5"/>
    <s v="No"/>
    <s v="Standard"/>
    <s v="No"/>
    <s v="No"/>
    <n v="36"/>
    <s v="Debit Card"/>
    <s v="Quarterly"/>
    <s v="Quarterly"/>
    <n v="5"/>
  </r>
  <r>
    <x v="3469"/>
    <n v="36"/>
    <x v="1"/>
    <s v="Socks"/>
    <x v="0"/>
    <n v="85"/>
    <x v="25"/>
    <s v="L"/>
    <s v="Magenta"/>
    <s v="Fall"/>
    <n v="3.3"/>
    <s v="No"/>
    <s v="Store Pickup"/>
    <s v="No"/>
    <s v="No"/>
    <n v="12"/>
    <s v="Cash"/>
    <s v="Annually"/>
    <s v="Annually"/>
    <n v="6"/>
  </r>
  <r>
    <x v="3470"/>
    <n v="19"/>
    <x v="1"/>
    <s v="Coat"/>
    <x v="2"/>
    <n v="69"/>
    <x v="8"/>
    <s v="S"/>
    <s v="Olive"/>
    <s v="Summer"/>
    <n v="4.5"/>
    <s v="No"/>
    <s v="Free Shipping"/>
    <s v="No"/>
    <s v="No"/>
    <n v="31"/>
    <s v="Cash"/>
    <s v="Bi-Weekly"/>
    <s v="Bi-Weekly"/>
    <n v="2"/>
  </r>
  <r>
    <x v="3471"/>
    <n v="43"/>
    <x v="1"/>
    <s v="Sandals"/>
    <x v="1"/>
    <n v="66"/>
    <x v="17"/>
    <s v="S"/>
    <s v="Blue"/>
    <s v="Spring"/>
    <n v="3.1"/>
    <s v="No"/>
    <s v="Store Pickup"/>
    <s v="No"/>
    <s v="No"/>
    <n v="31"/>
    <s v="Cash"/>
    <s v="Bi-Weekly"/>
    <s v="Bi-Weekly"/>
    <n v="2"/>
  </r>
  <r>
    <x v="3472"/>
    <n v="31"/>
    <x v="1"/>
    <s v="Blouse"/>
    <x v="0"/>
    <n v="42"/>
    <x v="42"/>
    <s v="S"/>
    <s v="White"/>
    <s v="Summer"/>
    <n v="4"/>
    <s v="No"/>
    <s v="Free Shipping"/>
    <s v="No"/>
    <s v="No"/>
    <n v="15"/>
    <s v="Debit Card"/>
    <s v="Weekly"/>
    <s v="Weekly"/>
    <n v="1"/>
  </r>
  <r>
    <x v="3473"/>
    <n v="63"/>
    <x v="1"/>
    <s v="Dress"/>
    <x v="0"/>
    <n v="40"/>
    <x v="23"/>
    <s v="M"/>
    <s v="Cyan"/>
    <s v="Spring"/>
    <n v="2.5"/>
    <s v="No"/>
    <s v="Express"/>
    <s v="No"/>
    <s v="No"/>
    <n v="11"/>
    <s v="Cash"/>
    <s v="Weekly"/>
    <s v="Weekly"/>
    <n v="1"/>
  </r>
  <r>
    <x v="3474"/>
    <n v="41"/>
    <x v="1"/>
    <s v="Pants"/>
    <x v="0"/>
    <n v="82"/>
    <x v="1"/>
    <s v="M"/>
    <s v="Cyan"/>
    <s v="Winter"/>
    <n v="4.4000000000000004"/>
    <s v="No"/>
    <s v="Store Pickup"/>
    <s v="No"/>
    <s v="No"/>
    <n v="18"/>
    <s v="Venmo"/>
    <s v="Monthly"/>
    <s v="Monthly"/>
    <n v="4"/>
  </r>
  <r>
    <x v="3475"/>
    <n v="48"/>
    <x v="1"/>
    <s v="Sneakers"/>
    <x v="1"/>
    <n v="88"/>
    <x v="36"/>
    <s v="M"/>
    <s v="Orange"/>
    <s v="Spring"/>
    <n v="4.4000000000000004"/>
    <s v="No"/>
    <s v="Express"/>
    <s v="No"/>
    <s v="No"/>
    <n v="9"/>
    <s v="Cash"/>
    <s v="Quarterly"/>
    <s v="Quarterly"/>
    <n v="5"/>
  </r>
  <r>
    <x v="3476"/>
    <n v="68"/>
    <x v="1"/>
    <s v="Boots"/>
    <x v="1"/>
    <n v="99"/>
    <x v="36"/>
    <s v="XL"/>
    <s v="Orange"/>
    <s v="Summer"/>
    <n v="3.2"/>
    <s v="No"/>
    <s v="Free Shipping"/>
    <s v="No"/>
    <s v="No"/>
    <n v="11"/>
    <s v="Cash"/>
    <s v="Weekly"/>
    <s v="Weekly"/>
    <n v="1"/>
  </r>
  <r>
    <x v="3477"/>
    <n v="53"/>
    <x v="1"/>
    <s v="Handbag"/>
    <x v="3"/>
    <n v="85"/>
    <x v="0"/>
    <s v="S"/>
    <s v="Teal"/>
    <s v="Spring"/>
    <n v="3.8"/>
    <s v="No"/>
    <s v="Store Pickup"/>
    <s v="No"/>
    <s v="No"/>
    <n v="38"/>
    <s v="Debit Card"/>
    <s v="Bi-Weekly"/>
    <s v="Bi-Weekly"/>
    <n v="2"/>
  </r>
  <r>
    <x v="3478"/>
    <n v="36"/>
    <x v="1"/>
    <s v="Handbag"/>
    <x v="3"/>
    <n v="57"/>
    <x v="28"/>
    <s v="M"/>
    <s v="Magenta"/>
    <s v="Fall"/>
    <n v="4.5999999999999996"/>
    <s v="No"/>
    <s v="Store Pickup"/>
    <s v="No"/>
    <s v="No"/>
    <n v="42"/>
    <s v="PayPal"/>
    <s v="Quarterly"/>
    <s v="Quarterly"/>
    <n v="5"/>
  </r>
  <r>
    <x v="3479"/>
    <n v="46"/>
    <x v="1"/>
    <s v="Sweater"/>
    <x v="0"/>
    <n v="56"/>
    <x v="14"/>
    <s v="S"/>
    <s v="Orange"/>
    <s v="Summer"/>
    <n v="4.9000000000000004"/>
    <s v="No"/>
    <s v="Standard"/>
    <s v="No"/>
    <s v="No"/>
    <n v="41"/>
    <s v="Cash"/>
    <s v="Monthly"/>
    <s v="Monthly"/>
    <n v="4"/>
  </r>
  <r>
    <x v="3480"/>
    <n v="21"/>
    <x v="1"/>
    <s v="Sandals"/>
    <x v="1"/>
    <n v="79"/>
    <x v="13"/>
    <s v="L"/>
    <s v="Peach"/>
    <s v="Winter"/>
    <n v="3.5"/>
    <s v="No"/>
    <s v="Free Shipping"/>
    <s v="No"/>
    <s v="No"/>
    <n v="45"/>
    <s v="PayPal"/>
    <s v="Monthly"/>
    <s v="Monthly"/>
    <n v="4"/>
  </r>
  <r>
    <x v="3481"/>
    <n v="52"/>
    <x v="1"/>
    <s v="Socks"/>
    <x v="0"/>
    <n v="67"/>
    <x v="31"/>
    <s v="S"/>
    <s v="Maroon"/>
    <s v="Summer"/>
    <n v="3.4"/>
    <s v="No"/>
    <s v="Store Pickup"/>
    <s v="No"/>
    <s v="No"/>
    <n v="41"/>
    <s v="Debit Card"/>
    <s v="Bi-Weekly"/>
    <s v="Bi-Weekly"/>
    <n v="2"/>
  </r>
  <r>
    <x v="3482"/>
    <n v="66"/>
    <x v="1"/>
    <s v="Gloves"/>
    <x v="3"/>
    <n v="61"/>
    <x v="11"/>
    <s v="M"/>
    <s v="Gold"/>
    <s v="Winter"/>
    <n v="3.9"/>
    <s v="No"/>
    <s v="Next Day Air"/>
    <s v="No"/>
    <s v="No"/>
    <n v="35"/>
    <s v="Debit Card"/>
    <s v="Weekly"/>
    <s v="Weekly"/>
    <n v="1"/>
  </r>
  <r>
    <x v="3483"/>
    <n v="19"/>
    <x v="1"/>
    <s v="Hoodie"/>
    <x v="0"/>
    <n v="37"/>
    <x v="21"/>
    <s v="L"/>
    <s v="White"/>
    <s v="Winter"/>
    <n v="3.9"/>
    <s v="No"/>
    <s v="Express"/>
    <s v="No"/>
    <s v="No"/>
    <n v="21"/>
    <s v="Credit Card"/>
    <s v="Every 3 Months"/>
    <s v="Quarterly"/>
    <n v="5"/>
  </r>
  <r>
    <x v="3484"/>
    <n v="44"/>
    <x v="1"/>
    <s v="Dress"/>
    <x v="0"/>
    <n v="75"/>
    <x v="26"/>
    <s v="L"/>
    <s v="Gray"/>
    <s v="Fall"/>
    <n v="4.2"/>
    <s v="No"/>
    <s v="Free Shipping"/>
    <s v="No"/>
    <s v="No"/>
    <n v="13"/>
    <s v="Credit Card"/>
    <s v="Bi-Weekly"/>
    <s v="Bi-Weekly"/>
    <n v="2"/>
  </r>
  <r>
    <x v="3485"/>
    <n v="50"/>
    <x v="1"/>
    <s v="Shirt"/>
    <x v="0"/>
    <n v="21"/>
    <x v="2"/>
    <s v="XL"/>
    <s v="Brown"/>
    <s v="Winter"/>
    <n v="3.4"/>
    <s v="No"/>
    <s v="Standard"/>
    <s v="No"/>
    <s v="No"/>
    <n v="23"/>
    <s v="Debit Card"/>
    <s v="Fortnightly"/>
    <s v="Fortnightly"/>
    <n v="3"/>
  </r>
  <r>
    <x v="3486"/>
    <n v="51"/>
    <x v="1"/>
    <s v="Shorts"/>
    <x v="0"/>
    <n v="89"/>
    <x v="17"/>
    <s v="L"/>
    <s v="Charcoal"/>
    <s v="Winter"/>
    <n v="4.9000000000000004"/>
    <s v="No"/>
    <s v="Standard"/>
    <s v="No"/>
    <s v="No"/>
    <n v="6"/>
    <s v="PayPal"/>
    <s v="Weekly"/>
    <s v="Weekly"/>
    <n v="1"/>
  </r>
  <r>
    <x v="3487"/>
    <n v="25"/>
    <x v="1"/>
    <s v="Sandals"/>
    <x v="1"/>
    <n v="24"/>
    <x v="8"/>
    <s v="L"/>
    <s v="Beige"/>
    <s v="Fall"/>
    <n v="2.9"/>
    <s v="No"/>
    <s v="Store Pickup"/>
    <s v="No"/>
    <s v="No"/>
    <n v="39"/>
    <s v="Bank Transfer"/>
    <s v="Annually"/>
    <s v="Annually"/>
    <n v="6"/>
  </r>
  <r>
    <x v="3488"/>
    <n v="62"/>
    <x v="1"/>
    <s v="Sweater"/>
    <x v="0"/>
    <n v="27"/>
    <x v="12"/>
    <s v="XL"/>
    <s v="Teal"/>
    <s v="Spring"/>
    <n v="4.9000000000000004"/>
    <s v="No"/>
    <s v="Store Pickup"/>
    <s v="No"/>
    <s v="No"/>
    <n v="7"/>
    <s v="Cash"/>
    <s v="Quarterly"/>
    <s v="Quarterly"/>
    <n v="5"/>
  </r>
  <r>
    <x v="3489"/>
    <n v="48"/>
    <x v="1"/>
    <s v="Dress"/>
    <x v="0"/>
    <n v="26"/>
    <x v="37"/>
    <s v="L"/>
    <s v="Black"/>
    <s v="Summer"/>
    <n v="4.5999999999999996"/>
    <s v="No"/>
    <s v="2-Day Shipping"/>
    <s v="No"/>
    <s v="No"/>
    <n v="32"/>
    <s v="PayPal"/>
    <s v="Every 3 Months"/>
    <s v="Quarterly"/>
    <n v="5"/>
  </r>
  <r>
    <x v="3490"/>
    <n v="62"/>
    <x v="1"/>
    <s v="Boots"/>
    <x v="1"/>
    <n v="82"/>
    <x v="4"/>
    <s v="M"/>
    <s v="Violet"/>
    <s v="Spring"/>
    <n v="3.6"/>
    <s v="No"/>
    <s v="Store Pickup"/>
    <s v="No"/>
    <s v="No"/>
    <n v="43"/>
    <s v="Credit Card"/>
    <s v="Quarterly"/>
    <s v="Quarterly"/>
    <n v="5"/>
  </r>
  <r>
    <x v="3491"/>
    <n v="22"/>
    <x v="1"/>
    <s v="Pants"/>
    <x v="0"/>
    <n v="28"/>
    <x v="1"/>
    <s v="M"/>
    <s v="Orange"/>
    <s v="Winter"/>
    <n v="4.3"/>
    <s v="No"/>
    <s v="Express"/>
    <s v="No"/>
    <s v="No"/>
    <n v="15"/>
    <s v="Cash"/>
    <s v="Monthly"/>
    <s v="Monthly"/>
    <n v="4"/>
  </r>
  <r>
    <x v="3492"/>
    <n v="48"/>
    <x v="1"/>
    <s v="Gloves"/>
    <x v="3"/>
    <n v="65"/>
    <x v="45"/>
    <s v="M"/>
    <s v="Turquoise"/>
    <s v="Fall"/>
    <n v="4.5999999999999996"/>
    <s v="No"/>
    <s v="Standard"/>
    <s v="No"/>
    <s v="No"/>
    <n v="48"/>
    <s v="Bank Transfer"/>
    <s v="Annually"/>
    <s v="Annually"/>
    <n v="6"/>
  </r>
  <r>
    <x v="3493"/>
    <n v="48"/>
    <x v="1"/>
    <s v="Pants"/>
    <x v="0"/>
    <n v="82"/>
    <x v="35"/>
    <s v="XL"/>
    <s v="Black"/>
    <s v="Winter"/>
    <n v="4.7"/>
    <s v="No"/>
    <s v="Store Pickup"/>
    <s v="No"/>
    <s v="No"/>
    <n v="35"/>
    <s v="Credit Card"/>
    <s v="Weekly"/>
    <s v="Weekly"/>
    <n v="1"/>
  </r>
  <r>
    <x v="3494"/>
    <n v="62"/>
    <x v="1"/>
    <s v="Scarf"/>
    <x v="3"/>
    <n v="38"/>
    <x v="47"/>
    <s v="M"/>
    <s v="Silver"/>
    <s v="Winter"/>
    <n v="3.5"/>
    <s v="No"/>
    <s v="Free Shipping"/>
    <s v="No"/>
    <s v="No"/>
    <n v="41"/>
    <s v="PayPal"/>
    <s v="Quarterly"/>
    <s v="Quarterly"/>
    <n v="5"/>
  </r>
  <r>
    <x v="3495"/>
    <n v="24"/>
    <x v="1"/>
    <s v="Shorts"/>
    <x v="0"/>
    <n v="33"/>
    <x v="42"/>
    <s v="XL"/>
    <s v="Gray"/>
    <s v="Spring"/>
    <n v="2.8"/>
    <s v="No"/>
    <s v="Free Shipping"/>
    <s v="No"/>
    <s v="No"/>
    <n v="14"/>
    <s v="Cash"/>
    <s v="Weekly"/>
    <s v="Weekly"/>
    <n v="1"/>
  </r>
  <r>
    <x v="3496"/>
    <n v="39"/>
    <x v="1"/>
    <s v="Shoes"/>
    <x v="1"/>
    <n v="38"/>
    <x v="37"/>
    <s v="M"/>
    <s v="Pink"/>
    <s v="Summer"/>
    <n v="4"/>
    <s v="No"/>
    <s v="Free Shipping"/>
    <s v="No"/>
    <s v="No"/>
    <n v="22"/>
    <s v="PayPal"/>
    <s v="Monthly"/>
    <s v="Monthly"/>
    <n v="4"/>
  </r>
  <r>
    <x v="3497"/>
    <n v="35"/>
    <x v="1"/>
    <s v="Handbag"/>
    <x v="3"/>
    <n v="48"/>
    <x v="24"/>
    <s v="M"/>
    <s v="Red"/>
    <s v="Spring"/>
    <n v="4.3"/>
    <s v="No"/>
    <s v="Store Pickup"/>
    <s v="No"/>
    <s v="No"/>
    <n v="16"/>
    <s v="Venmo"/>
    <s v="Every 3 Months"/>
    <s v="Quarterly"/>
    <n v="5"/>
  </r>
  <r>
    <x v="3498"/>
    <n v="47"/>
    <x v="1"/>
    <s v="Sandals"/>
    <x v="1"/>
    <n v="35"/>
    <x v="0"/>
    <s v="M"/>
    <s v="Lavender"/>
    <s v="Summer"/>
    <n v="3.8"/>
    <s v="No"/>
    <s v="Standard"/>
    <s v="No"/>
    <s v="No"/>
    <n v="2"/>
    <s v="Bank Transfer"/>
    <s v="Bi-Weekly"/>
    <s v="Bi-Weekly"/>
    <n v="2"/>
  </r>
  <r>
    <x v="3499"/>
    <n v="22"/>
    <x v="1"/>
    <s v="Socks"/>
    <x v="0"/>
    <n v="29"/>
    <x v="32"/>
    <s v="L"/>
    <s v="Indigo"/>
    <s v="Fall"/>
    <n v="3"/>
    <s v="No"/>
    <s v="Next Day Air"/>
    <s v="No"/>
    <s v="No"/>
    <n v="13"/>
    <s v="PayPal"/>
    <s v="Every 3 Months"/>
    <s v="Quarterly"/>
    <n v="5"/>
  </r>
  <r>
    <x v="3500"/>
    <n v="38"/>
    <x v="1"/>
    <s v="Shirt"/>
    <x v="0"/>
    <n v="48"/>
    <x v="4"/>
    <s v="S"/>
    <s v="Silver"/>
    <s v="Fall"/>
    <n v="4.5999999999999996"/>
    <s v="No"/>
    <s v="Next Day Air"/>
    <s v="No"/>
    <s v="No"/>
    <n v="38"/>
    <s v="Debit Card"/>
    <s v="Fortnightly"/>
    <s v="Fortnightly"/>
    <n v="3"/>
  </r>
  <r>
    <x v="3501"/>
    <n v="53"/>
    <x v="1"/>
    <s v="Shoes"/>
    <x v="1"/>
    <n v="87"/>
    <x v="43"/>
    <s v="M"/>
    <s v="Silver"/>
    <s v="Fall"/>
    <n v="4.8"/>
    <s v="No"/>
    <s v="Standard"/>
    <s v="No"/>
    <s v="No"/>
    <n v="43"/>
    <s v="Bank Transfer"/>
    <s v="Weekly"/>
    <s v="Weekly"/>
    <n v="1"/>
  </r>
  <r>
    <x v="3502"/>
    <n v="31"/>
    <x v="1"/>
    <s v="Backpack"/>
    <x v="3"/>
    <n v="62"/>
    <x v="2"/>
    <s v="M"/>
    <s v="Green"/>
    <s v="Fall"/>
    <n v="4.7"/>
    <s v="No"/>
    <s v="Next Day Air"/>
    <s v="No"/>
    <s v="No"/>
    <n v="26"/>
    <s v="Bank Transfer"/>
    <s v="Quarterly"/>
    <s v="Quarterly"/>
    <n v="5"/>
  </r>
  <r>
    <x v="3503"/>
    <n v="31"/>
    <x v="1"/>
    <s v="Shirt"/>
    <x v="0"/>
    <n v="96"/>
    <x v="43"/>
    <s v="M"/>
    <s v="Pink"/>
    <s v="Spring"/>
    <n v="3.9"/>
    <s v="No"/>
    <s v="Free Shipping"/>
    <s v="No"/>
    <s v="No"/>
    <n v="39"/>
    <s v="Cash"/>
    <s v="Weekly"/>
    <s v="Weekly"/>
    <n v="1"/>
  </r>
  <r>
    <x v="3504"/>
    <n v="65"/>
    <x v="1"/>
    <s v="Handbag"/>
    <x v="3"/>
    <n v="41"/>
    <x v="11"/>
    <s v="S"/>
    <s v="Violet"/>
    <s v="Fall"/>
    <n v="4"/>
    <s v="No"/>
    <s v="Next Day Air"/>
    <s v="No"/>
    <s v="No"/>
    <n v="50"/>
    <s v="Venmo"/>
    <s v="Monthly"/>
    <s v="Monthly"/>
    <n v="4"/>
  </r>
  <r>
    <x v="3505"/>
    <n v="48"/>
    <x v="1"/>
    <s v="Jewelry"/>
    <x v="3"/>
    <n v="42"/>
    <x v="27"/>
    <s v="L"/>
    <s v="Red"/>
    <s v="Winter"/>
    <n v="3.7"/>
    <s v="No"/>
    <s v="2-Day Shipping"/>
    <s v="No"/>
    <s v="No"/>
    <n v="40"/>
    <s v="Bank Transfer"/>
    <s v="Every 3 Months"/>
    <s v="Quarterly"/>
    <n v="5"/>
  </r>
  <r>
    <x v="3506"/>
    <n v="18"/>
    <x v="1"/>
    <s v="Shirt"/>
    <x v="0"/>
    <n v="57"/>
    <x v="26"/>
    <s v="L"/>
    <s v="Olive"/>
    <s v="Winter"/>
    <n v="3.7"/>
    <s v="No"/>
    <s v="2-Day Shipping"/>
    <s v="No"/>
    <s v="No"/>
    <n v="12"/>
    <s v="Cash"/>
    <s v="Fortnightly"/>
    <s v="Fortnightly"/>
    <n v="3"/>
  </r>
  <r>
    <x v="3507"/>
    <n v="46"/>
    <x v="1"/>
    <s v="Handbag"/>
    <x v="3"/>
    <n v="65"/>
    <x v="24"/>
    <s v="S"/>
    <s v="Purple"/>
    <s v="Spring"/>
    <n v="4.2"/>
    <s v="No"/>
    <s v="Store Pickup"/>
    <s v="No"/>
    <s v="No"/>
    <n v="33"/>
    <s v="Credit Card"/>
    <s v="Every 3 Months"/>
    <s v="Quarterly"/>
    <n v="5"/>
  </r>
  <r>
    <x v="3508"/>
    <n v="52"/>
    <x v="1"/>
    <s v="Pants"/>
    <x v="0"/>
    <n v="54"/>
    <x v="38"/>
    <s v="M"/>
    <s v="Gray"/>
    <s v="Fall"/>
    <n v="4.7"/>
    <s v="No"/>
    <s v="Standard"/>
    <s v="No"/>
    <s v="No"/>
    <n v="49"/>
    <s v="Bank Transfer"/>
    <s v="Weekly"/>
    <s v="Weekly"/>
    <n v="1"/>
  </r>
  <r>
    <x v="3509"/>
    <n v="50"/>
    <x v="1"/>
    <s v="T-shirt"/>
    <x v="0"/>
    <n v="22"/>
    <x v="31"/>
    <s v="L"/>
    <s v="Brown"/>
    <s v="Winter"/>
    <n v="4.3"/>
    <s v="No"/>
    <s v="Next Day Air"/>
    <s v="No"/>
    <s v="No"/>
    <n v="43"/>
    <s v="Venmo"/>
    <s v="Bi-Weekly"/>
    <s v="Bi-Weekly"/>
    <n v="2"/>
  </r>
  <r>
    <x v="3510"/>
    <n v="49"/>
    <x v="1"/>
    <s v="Sneakers"/>
    <x v="1"/>
    <n v="96"/>
    <x v="38"/>
    <s v="S"/>
    <s v="Orange"/>
    <s v="Fall"/>
    <n v="4.9000000000000004"/>
    <s v="No"/>
    <s v="2-Day Shipping"/>
    <s v="No"/>
    <s v="No"/>
    <n v="14"/>
    <s v="Venmo"/>
    <s v="Monthly"/>
    <s v="Monthly"/>
    <n v="4"/>
  </r>
  <r>
    <x v="3511"/>
    <n v="69"/>
    <x v="1"/>
    <s v="Jewelry"/>
    <x v="3"/>
    <n v="81"/>
    <x v="16"/>
    <s v="M"/>
    <s v="Blue"/>
    <s v="Summer"/>
    <n v="3.9"/>
    <s v="No"/>
    <s v="2-Day Shipping"/>
    <s v="No"/>
    <s v="No"/>
    <n v="21"/>
    <s v="Credit Card"/>
    <s v="Every 3 Months"/>
    <s v="Quarterly"/>
    <n v="5"/>
  </r>
  <r>
    <x v="3512"/>
    <n v="36"/>
    <x v="1"/>
    <s v="Shirt"/>
    <x v="0"/>
    <n v="46"/>
    <x v="0"/>
    <s v="M"/>
    <s v="White"/>
    <s v="Fall"/>
    <n v="3.4"/>
    <s v="No"/>
    <s v="Free Shipping"/>
    <s v="No"/>
    <s v="No"/>
    <n v="31"/>
    <s v="Debit Card"/>
    <s v="Quarterly"/>
    <s v="Quarterly"/>
    <n v="5"/>
  </r>
  <r>
    <x v="3513"/>
    <n v="30"/>
    <x v="1"/>
    <s v="Blouse"/>
    <x v="0"/>
    <n v="74"/>
    <x v="29"/>
    <s v="XL"/>
    <s v="Charcoal"/>
    <s v="Spring"/>
    <n v="4.2"/>
    <s v="No"/>
    <s v="Store Pickup"/>
    <s v="No"/>
    <s v="No"/>
    <n v="29"/>
    <s v="Credit Card"/>
    <s v="Fortnightly"/>
    <s v="Fortnightly"/>
    <n v="3"/>
  </r>
  <r>
    <x v="3514"/>
    <n v="25"/>
    <x v="1"/>
    <s v="Sneakers"/>
    <x v="1"/>
    <n v="50"/>
    <x v="42"/>
    <s v="XL"/>
    <s v="Gray"/>
    <s v="Winter"/>
    <n v="4.7"/>
    <s v="No"/>
    <s v="Express"/>
    <s v="No"/>
    <s v="No"/>
    <n v="32"/>
    <s v="Cash"/>
    <s v="Monthly"/>
    <s v="Monthly"/>
    <n v="4"/>
  </r>
  <r>
    <x v="3515"/>
    <n v="19"/>
    <x v="1"/>
    <s v="Dress"/>
    <x v="0"/>
    <n v="80"/>
    <x v="45"/>
    <s v="XL"/>
    <s v="Charcoal"/>
    <s v="Winter"/>
    <n v="4"/>
    <s v="No"/>
    <s v="Next Day Air"/>
    <s v="No"/>
    <s v="No"/>
    <n v="16"/>
    <s v="Debit Card"/>
    <s v="Bi-Weekly"/>
    <s v="Bi-Weekly"/>
    <n v="2"/>
  </r>
  <r>
    <x v="3516"/>
    <n v="34"/>
    <x v="1"/>
    <s v="Boots"/>
    <x v="1"/>
    <n v="56"/>
    <x v="36"/>
    <s v="S"/>
    <s v="White"/>
    <s v="Summer"/>
    <n v="4"/>
    <s v="No"/>
    <s v="Free Shipping"/>
    <s v="No"/>
    <s v="No"/>
    <n v="38"/>
    <s v="PayPal"/>
    <s v="Bi-Weekly"/>
    <s v="Bi-Weekly"/>
    <n v="2"/>
  </r>
  <r>
    <x v="3517"/>
    <n v="29"/>
    <x v="1"/>
    <s v="Skirt"/>
    <x v="0"/>
    <n v="69"/>
    <x v="30"/>
    <s v="M"/>
    <s v="Orange"/>
    <s v="Winter"/>
    <n v="3.1"/>
    <s v="No"/>
    <s v="Next Day Air"/>
    <s v="No"/>
    <s v="No"/>
    <n v="34"/>
    <s v="Debit Card"/>
    <s v="Every 3 Months"/>
    <s v="Quarterly"/>
    <n v="5"/>
  </r>
  <r>
    <x v="3518"/>
    <n v="50"/>
    <x v="1"/>
    <s v="Shirt"/>
    <x v="0"/>
    <n v="97"/>
    <x v="24"/>
    <s v="M"/>
    <s v="Black"/>
    <s v="Spring"/>
    <n v="4.2"/>
    <s v="No"/>
    <s v="Standard"/>
    <s v="No"/>
    <s v="No"/>
    <n v="30"/>
    <s v="PayPal"/>
    <s v="Quarterly"/>
    <s v="Quarterly"/>
    <n v="5"/>
  </r>
  <r>
    <x v="3519"/>
    <n v="31"/>
    <x v="1"/>
    <s v="Shorts"/>
    <x v="0"/>
    <n v="66"/>
    <x v="48"/>
    <s v="M"/>
    <s v="White"/>
    <s v="Winter"/>
    <n v="3.7"/>
    <s v="No"/>
    <s v="Next Day Air"/>
    <s v="No"/>
    <s v="No"/>
    <n v="14"/>
    <s v="Bank Transfer"/>
    <s v="Fortnightly"/>
    <s v="Fortnightly"/>
    <n v="3"/>
  </r>
  <r>
    <x v="3520"/>
    <n v="41"/>
    <x v="1"/>
    <s v="Hat"/>
    <x v="3"/>
    <n v="70"/>
    <x v="42"/>
    <s v="S"/>
    <s v="Brown"/>
    <s v="Spring"/>
    <n v="3.1"/>
    <s v="No"/>
    <s v="Express"/>
    <s v="No"/>
    <s v="No"/>
    <n v="33"/>
    <s v="Bank Transfer"/>
    <s v="Monthly"/>
    <s v="Monthly"/>
    <n v="4"/>
  </r>
  <r>
    <x v="3521"/>
    <n v="52"/>
    <x v="1"/>
    <s v="Shoes"/>
    <x v="1"/>
    <n v="50"/>
    <x v="33"/>
    <s v="M"/>
    <s v="Pink"/>
    <s v="Winter"/>
    <n v="3.7"/>
    <s v="No"/>
    <s v="Store Pickup"/>
    <s v="No"/>
    <s v="No"/>
    <n v="35"/>
    <s v="Venmo"/>
    <s v="Weekly"/>
    <s v="Weekly"/>
    <n v="1"/>
  </r>
  <r>
    <x v="3522"/>
    <n v="27"/>
    <x v="1"/>
    <s v="Pants"/>
    <x v="0"/>
    <n v="85"/>
    <x v="32"/>
    <s v="M"/>
    <s v="Yellow"/>
    <s v="Spring"/>
    <n v="3.2"/>
    <s v="No"/>
    <s v="Store Pickup"/>
    <s v="No"/>
    <s v="No"/>
    <n v="13"/>
    <s v="Cash"/>
    <s v="Quarterly"/>
    <s v="Quarterly"/>
    <n v="5"/>
  </r>
  <r>
    <x v="3523"/>
    <n v="49"/>
    <x v="1"/>
    <s v="Backpack"/>
    <x v="3"/>
    <n v="59"/>
    <x v="22"/>
    <s v="M"/>
    <s v="Cyan"/>
    <s v="Summer"/>
    <n v="2.8"/>
    <s v="No"/>
    <s v="Standard"/>
    <s v="No"/>
    <s v="No"/>
    <n v="30"/>
    <s v="Cash"/>
    <s v="Fortnightly"/>
    <s v="Fortnightly"/>
    <n v="3"/>
  </r>
  <r>
    <x v="3524"/>
    <n v="69"/>
    <x v="1"/>
    <s v="Pants"/>
    <x v="0"/>
    <n v="74"/>
    <x v="49"/>
    <s v="L"/>
    <s v="Silver"/>
    <s v="Summer"/>
    <n v="2.9"/>
    <s v="No"/>
    <s v="Free Shipping"/>
    <s v="No"/>
    <s v="No"/>
    <n v="30"/>
    <s v="Credit Card"/>
    <s v="Monthly"/>
    <s v="Monthly"/>
    <n v="4"/>
  </r>
  <r>
    <x v="3525"/>
    <n v="45"/>
    <x v="1"/>
    <s v="Sunglasses"/>
    <x v="3"/>
    <n v="38"/>
    <x v="5"/>
    <s v="L"/>
    <s v="Olive"/>
    <s v="Winter"/>
    <n v="3.5"/>
    <s v="No"/>
    <s v="Standard"/>
    <s v="No"/>
    <s v="No"/>
    <n v="47"/>
    <s v="Bank Transfer"/>
    <s v="Annually"/>
    <s v="Annually"/>
    <n v="6"/>
  </r>
  <r>
    <x v="3526"/>
    <n v="20"/>
    <x v="1"/>
    <s v="Sweater"/>
    <x v="0"/>
    <n v="99"/>
    <x v="2"/>
    <s v="M"/>
    <s v="Olive"/>
    <s v="Spring"/>
    <n v="3.8"/>
    <s v="No"/>
    <s v="Express"/>
    <s v="No"/>
    <s v="No"/>
    <n v="1"/>
    <s v="PayPal"/>
    <s v="Every 3 Months"/>
    <s v="Quarterly"/>
    <n v="5"/>
  </r>
  <r>
    <x v="3527"/>
    <n v="25"/>
    <x v="1"/>
    <s v="Blouse"/>
    <x v="0"/>
    <n v="97"/>
    <x v="47"/>
    <s v="S"/>
    <s v="Charcoal"/>
    <s v="Spring"/>
    <n v="4.7"/>
    <s v="No"/>
    <s v="Free Shipping"/>
    <s v="No"/>
    <s v="No"/>
    <n v="1"/>
    <s v="Cash"/>
    <s v="Weekly"/>
    <s v="Weekly"/>
    <n v="1"/>
  </r>
  <r>
    <x v="3528"/>
    <n v="38"/>
    <x v="1"/>
    <s v="Scarf"/>
    <x v="3"/>
    <n v="67"/>
    <x v="1"/>
    <s v="L"/>
    <s v="Gray"/>
    <s v="Summer"/>
    <n v="4.5"/>
    <s v="No"/>
    <s v="Free Shipping"/>
    <s v="No"/>
    <s v="No"/>
    <n v="33"/>
    <s v="PayPal"/>
    <s v="Annually"/>
    <s v="Annually"/>
    <n v="6"/>
  </r>
  <r>
    <x v="3529"/>
    <n v="55"/>
    <x v="1"/>
    <s v="T-shirt"/>
    <x v="0"/>
    <n v="20"/>
    <x v="6"/>
    <s v="S"/>
    <s v="Maroon"/>
    <s v="Winter"/>
    <n v="3.9"/>
    <s v="No"/>
    <s v="Next Day Air"/>
    <s v="No"/>
    <s v="No"/>
    <n v="43"/>
    <s v="Bank Transfer"/>
    <s v="Weekly"/>
    <s v="Weekly"/>
    <n v="1"/>
  </r>
  <r>
    <x v="3530"/>
    <n v="62"/>
    <x v="1"/>
    <s v="Sunglasses"/>
    <x v="3"/>
    <n v="45"/>
    <x v="19"/>
    <s v="L"/>
    <s v="Black"/>
    <s v="Spring"/>
    <n v="3.4"/>
    <s v="No"/>
    <s v="Express"/>
    <s v="No"/>
    <s v="No"/>
    <n v="37"/>
    <s v="PayPal"/>
    <s v="Weekly"/>
    <s v="Weekly"/>
    <n v="1"/>
  </r>
  <r>
    <x v="3531"/>
    <n v="54"/>
    <x v="1"/>
    <s v="Shoes"/>
    <x v="1"/>
    <n v="52"/>
    <x v="25"/>
    <s v="XL"/>
    <s v="Violet"/>
    <s v="Winter"/>
    <n v="4.5999999999999996"/>
    <s v="No"/>
    <s v="2-Day Shipping"/>
    <s v="No"/>
    <s v="No"/>
    <n v="23"/>
    <s v="Cash"/>
    <s v="Quarterly"/>
    <s v="Quarterly"/>
    <n v="5"/>
  </r>
  <r>
    <x v="3532"/>
    <n v="61"/>
    <x v="1"/>
    <s v="Pants"/>
    <x v="0"/>
    <n v="68"/>
    <x v="39"/>
    <s v="L"/>
    <s v="Indigo"/>
    <s v="Fall"/>
    <n v="4.5999999999999996"/>
    <s v="No"/>
    <s v="Standard"/>
    <s v="No"/>
    <s v="No"/>
    <n v="12"/>
    <s v="Credit Card"/>
    <s v="Annually"/>
    <s v="Annually"/>
    <n v="6"/>
  </r>
  <r>
    <x v="3533"/>
    <n v="50"/>
    <x v="1"/>
    <s v="Sneakers"/>
    <x v="1"/>
    <n v="98"/>
    <x v="21"/>
    <s v="L"/>
    <s v="Yellow"/>
    <s v="Fall"/>
    <n v="4.7"/>
    <s v="No"/>
    <s v="Standard"/>
    <s v="No"/>
    <s v="No"/>
    <n v="30"/>
    <s v="Venmo"/>
    <s v="Fortnightly"/>
    <s v="Fortnightly"/>
    <n v="3"/>
  </r>
  <r>
    <x v="3534"/>
    <n v="65"/>
    <x v="1"/>
    <s v="Shoes"/>
    <x v="1"/>
    <n v="83"/>
    <x v="12"/>
    <s v="M"/>
    <s v="Gray"/>
    <s v="Fall"/>
    <n v="3.2"/>
    <s v="No"/>
    <s v="Express"/>
    <s v="No"/>
    <s v="No"/>
    <n v="7"/>
    <s v="Cash"/>
    <s v="Weekly"/>
    <s v="Weekly"/>
    <n v="1"/>
  </r>
  <r>
    <x v="3535"/>
    <n v="68"/>
    <x v="1"/>
    <s v="Shorts"/>
    <x v="0"/>
    <n v="51"/>
    <x v="16"/>
    <s v="M"/>
    <s v="Red"/>
    <s v="Summer"/>
    <n v="5"/>
    <s v="No"/>
    <s v="Express"/>
    <s v="No"/>
    <s v="No"/>
    <n v="20"/>
    <s v="Debit Card"/>
    <s v="Monthly"/>
    <s v="Monthly"/>
    <n v="4"/>
  </r>
  <r>
    <x v="3536"/>
    <n v="55"/>
    <x v="1"/>
    <s v="Handbag"/>
    <x v="3"/>
    <n v="21"/>
    <x v="46"/>
    <s v="L"/>
    <s v="Peach"/>
    <s v="Spring"/>
    <n v="4.5"/>
    <s v="No"/>
    <s v="Express"/>
    <s v="No"/>
    <s v="No"/>
    <n v="10"/>
    <s v="Venmo"/>
    <s v="Monthly"/>
    <s v="Monthly"/>
    <n v="4"/>
  </r>
  <r>
    <x v="3537"/>
    <n v="57"/>
    <x v="1"/>
    <s v="Handbag"/>
    <x v="3"/>
    <n v="92"/>
    <x v="42"/>
    <s v="M"/>
    <s v="Gray"/>
    <s v="Spring"/>
    <n v="3.5"/>
    <s v="No"/>
    <s v="Standard"/>
    <s v="No"/>
    <s v="No"/>
    <n v="40"/>
    <s v="Credit Card"/>
    <s v="Every 3 Months"/>
    <s v="Quarterly"/>
    <n v="5"/>
  </r>
  <r>
    <x v="3538"/>
    <n v="56"/>
    <x v="1"/>
    <s v="Shoes"/>
    <x v="1"/>
    <n v="63"/>
    <x v="44"/>
    <s v="S"/>
    <s v="White"/>
    <s v="Spring"/>
    <n v="4.5"/>
    <s v="No"/>
    <s v="Store Pickup"/>
    <s v="No"/>
    <s v="No"/>
    <n v="21"/>
    <s v="Venmo"/>
    <s v="Monthly"/>
    <s v="Monthly"/>
    <n v="4"/>
  </r>
  <r>
    <x v="3539"/>
    <n v="29"/>
    <x v="1"/>
    <s v="Jewelry"/>
    <x v="3"/>
    <n v="56"/>
    <x v="14"/>
    <s v="S"/>
    <s v="Green"/>
    <s v="Spring"/>
    <n v="3.2"/>
    <s v="No"/>
    <s v="Express"/>
    <s v="No"/>
    <s v="No"/>
    <n v="17"/>
    <s v="Credit Card"/>
    <s v="Bi-Weekly"/>
    <s v="Bi-Weekly"/>
    <n v="2"/>
  </r>
  <r>
    <x v="3540"/>
    <n v="24"/>
    <x v="1"/>
    <s v="Shorts"/>
    <x v="0"/>
    <n v="95"/>
    <x v="22"/>
    <s v="M"/>
    <s v="Magenta"/>
    <s v="Spring"/>
    <n v="4.5999999999999996"/>
    <s v="No"/>
    <s v="Free Shipping"/>
    <s v="No"/>
    <s v="No"/>
    <n v="5"/>
    <s v="Bank Transfer"/>
    <s v="Weekly"/>
    <s v="Weekly"/>
    <n v="1"/>
  </r>
  <r>
    <x v="3541"/>
    <n v="59"/>
    <x v="1"/>
    <s v="Blouse"/>
    <x v="0"/>
    <n v="66"/>
    <x v="41"/>
    <s v="M"/>
    <s v="Olive"/>
    <s v="Winter"/>
    <n v="4"/>
    <s v="No"/>
    <s v="Next Day Air"/>
    <s v="No"/>
    <s v="No"/>
    <n v="22"/>
    <s v="PayPal"/>
    <s v="Annually"/>
    <s v="Annually"/>
    <n v="6"/>
  </r>
  <r>
    <x v="3542"/>
    <n v="62"/>
    <x v="1"/>
    <s v="Coat"/>
    <x v="2"/>
    <n v="28"/>
    <x v="37"/>
    <s v="S"/>
    <s v="Olive"/>
    <s v="Spring"/>
    <n v="4.2"/>
    <s v="No"/>
    <s v="Express"/>
    <s v="No"/>
    <s v="No"/>
    <n v="5"/>
    <s v="Venmo"/>
    <s v="Weekly"/>
    <s v="Weekly"/>
    <n v="1"/>
  </r>
  <r>
    <x v="3543"/>
    <n v="58"/>
    <x v="1"/>
    <s v="Hat"/>
    <x v="3"/>
    <n v="83"/>
    <x v="24"/>
    <s v="M"/>
    <s v="Blue"/>
    <s v="Winter"/>
    <n v="4.0999999999999996"/>
    <s v="No"/>
    <s v="Standard"/>
    <s v="No"/>
    <s v="No"/>
    <n v="18"/>
    <s v="PayPal"/>
    <s v="Every 3 Months"/>
    <s v="Quarterly"/>
    <n v="5"/>
  </r>
  <r>
    <x v="3544"/>
    <n v="64"/>
    <x v="1"/>
    <s v="Socks"/>
    <x v="0"/>
    <n v="55"/>
    <x v="48"/>
    <s v="XL"/>
    <s v="Charcoal"/>
    <s v="Fall"/>
    <n v="3.6"/>
    <s v="No"/>
    <s v="2-Day Shipping"/>
    <s v="No"/>
    <s v="No"/>
    <n v="42"/>
    <s v="Cash"/>
    <s v="Every 3 Months"/>
    <s v="Quarterly"/>
    <n v="5"/>
  </r>
  <r>
    <x v="3545"/>
    <n v="48"/>
    <x v="1"/>
    <s v="Sandals"/>
    <x v="1"/>
    <n v="28"/>
    <x v="39"/>
    <s v="M"/>
    <s v="Yellow"/>
    <s v="Spring"/>
    <n v="3.7"/>
    <s v="No"/>
    <s v="2-Day Shipping"/>
    <s v="No"/>
    <s v="No"/>
    <n v="22"/>
    <s v="Debit Card"/>
    <s v="Annually"/>
    <s v="Annually"/>
    <n v="6"/>
  </r>
  <r>
    <x v="3546"/>
    <n v="60"/>
    <x v="1"/>
    <s v="Scarf"/>
    <x v="3"/>
    <n v="79"/>
    <x v="23"/>
    <s v="M"/>
    <s v="Violet"/>
    <s v="Summer"/>
    <n v="3.6"/>
    <s v="No"/>
    <s v="Free Shipping"/>
    <s v="No"/>
    <s v="No"/>
    <n v="37"/>
    <s v="Bank Transfer"/>
    <s v="Bi-Weekly"/>
    <s v="Bi-Weekly"/>
    <n v="2"/>
  </r>
  <r>
    <x v="3547"/>
    <n v="52"/>
    <x v="1"/>
    <s v="Scarf"/>
    <x v="3"/>
    <n v="31"/>
    <x v="38"/>
    <s v="L"/>
    <s v="Magenta"/>
    <s v="Summer"/>
    <n v="3.8"/>
    <s v="No"/>
    <s v="Standard"/>
    <s v="No"/>
    <s v="No"/>
    <n v="23"/>
    <s v="Credit Card"/>
    <s v="Annually"/>
    <s v="Annually"/>
    <n v="6"/>
  </r>
  <r>
    <x v="3548"/>
    <n v="63"/>
    <x v="1"/>
    <s v="Blouse"/>
    <x v="0"/>
    <n v="37"/>
    <x v="40"/>
    <s v="M"/>
    <s v="Red"/>
    <s v="Fall"/>
    <n v="3"/>
    <s v="No"/>
    <s v="Standard"/>
    <s v="No"/>
    <s v="No"/>
    <n v="47"/>
    <s v="Debit Card"/>
    <s v="Fortnightly"/>
    <s v="Fortnightly"/>
    <n v="3"/>
  </r>
  <r>
    <x v="3549"/>
    <n v="44"/>
    <x v="1"/>
    <s v="T-shirt"/>
    <x v="0"/>
    <n v="34"/>
    <x v="4"/>
    <s v="M"/>
    <s v="Cyan"/>
    <s v="Summer"/>
    <n v="3.4"/>
    <s v="No"/>
    <s v="2-Day Shipping"/>
    <s v="No"/>
    <s v="No"/>
    <n v="11"/>
    <s v="Bank Transfer"/>
    <s v="Fortnightly"/>
    <s v="Fortnightly"/>
    <n v="3"/>
  </r>
  <r>
    <x v="3550"/>
    <n v="63"/>
    <x v="1"/>
    <s v="Shoes"/>
    <x v="1"/>
    <n v="74"/>
    <x v="8"/>
    <s v="S"/>
    <s v="Orange"/>
    <s v="Winter"/>
    <n v="4.8"/>
    <s v="No"/>
    <s v="Standard"/>
    <s v="No"/>
    <s v="No"/>
    <n v="32"/>
    <s v="Cash"/>
    <s v="Weekly"/>
    <s v="Weekly"/>
    <n v="1"/>
  </r>
  <r>
    <x v="3551"/>
    <n v="66"/>
    <x v="1"/>
    <s v="Gloves"/>
    <x v="3"/>
    <n v="31"/>
    <x v="6"/>
    <s v="L"/>
    <s v="Black"/>
    <s v="Spring"/>
    <n v="2.6"/>
    <s v="No"/>
    <s v="Store Pickup"/>
    <s v="No"/>
    <s v="No"/>
    <n v="20"/>
    <s v="Venmo"/>
    <s v="Weekly"/>
    <s v="Weekly"/>
    <n v="1"/>
  </r>
  <r>
    <x v="3552"/>
    <n v="22"/>
    <x v="1"/>
    <s v="Sunglasses"/>
    <x v="3"/>
    <n v="66"/>
    <x v="0"/>
    <s v="M"/>
    <s v="Blue"/>
    <s v="Winter"/>
    <n v="2.9"/>
    <s v="No"/>
    <s v="Next Day Air"/>
    <s v="No"/>
    <s v="No"/>
    <n v="3"/>
    <s v="PayPal"/>
    <s v="Quarterly"/>
    <s v="Quarterly"/>
    <n v="5"/>
  </r>
  <r>
    <x v="3553"/>
    <n v="62"/>
    <x v="1"/>
    <s v="Shoes"/>
    <x v="1"/>
    <n v="99"/>
    <x v="46"/>
    <s v="M"/>
    <s v="Charcoal"/>
    <s v="Spring"/>
    <n v="4.9000000000000004"/>
    <s v="No"/>
    <s v="Free Shipping"/>
    <s v="No"/>
    <s v="No"/>
    <n v="32"/>
    <s v="Bank Transfer"/>
    <s v="Weekly"/>
    <s v="Weekly"/>
    <n v="1"/>
  </r>
  <r>
    <x v="3554"/>
    <n v="39"/>
    <x v="1"/>
    <s v="Dress"/>
    <x v="0"/>
    <n v="55"/>
    <x v="7"/>
    <s v="M"/>
    <s v="Indigo"/>
    <s v="Spring"/>
    <n v="5"/>
    <s v="No"/>
    <s v="Free Shipping"/>
    <s v="No"/>
    <s v="No"/>
    <n v="5"/>
    <s v="Credit Card"/>
    <s v="Fortnightly"/>
    <s v="Fortnightly"/>
    <n v="3"/>
  </r>
  <r>
    <x v="3555"/>
    <n v="25"/>
    <x v="1"/>
    <s v="Blouse"/>
    <x v="0"/>
    <n v="23"/>
    <x v="12"/>
    <s v="L"/>
    <s v="Silver"/>
    <s v="Spring"/>
    <n v="4.5999999999999996"/>
    <s v="No"/>
    <s v="Next Day Air"/>
    <s v="No"/>
    <s v="No"/>
    <n v="45"/>
    <s v="Cash"/>
    <s v="Quarterly"/>
    <s v="Quarterly"/>
    <n v="5"/>
  </r>
  <r>
    <x v="3556"/>
    <n v="70"/>
    <x v="1"/>
    <s v="Sweater"/>
    <x v="0"/>
    <n v="88"/>
    <x v="28"/>
    <s v="M"/>
    <s v="Brown"/>
    <s v="Fall"/>
    <n v="4.2"/>
    <s v="No"/>
    <s v="Express"/>
    <s v="No"/>
    <s v="No"/>
    <n v="43"/>
    <s v="Cash"/>
    <s v="Bi-Weekly"/>
    <s v="Bi-Weekly"/>
    <n v="2"/>
  </r>
  <r>
    <x v="3557"/>
    <n v="52"/>
    <x v="1"/>
    <s v="Jacket"/>
    <x v="2"/>
    <n v="26"/>
    <x v="22"/>
    <s v="M"/>
    <s v="Peach"/>
    <s v="Summer"/>
    <n v="4.9000000000000004"/>
    <s v="No"/>
    <s v="Next Day Air"/>
    <s v="No"/>
    <s v="No"/>
    <n v="1"/>
    <s v="PayPal"/>
    <s v="Every 3 Months"/>
    <s v="Quarterly"/>
    <n v="5"/>
  </r>
  <r>
    <x v="3558"/>
    <n v="68"/>
    <x v="1"/>
    <s v="Backpack"/>
    <x v="3"/>
    <n v="94"/>
    <x v="29"/>
    <s v="L"/>
    <s v="Magenta"/>
    <s v="Summer"/>
    <n v="4.8"/>
    <s v="No"/>
    <s v="Standard"/>
    <s v="No"/>
    <s v="No"/>
    <n v="9"/>
    <s v="Venmo"/>
    <s v="Quarterly"/>
    <s v="Quarterly"/>
    <n v="5"/>
  </r>
  <r>
    <x v="3559"/>
    <n v="18"/>
    <x v="1"/>
    <s v="Shorts"/>
    <x v="0"/>
    <n v="25"/>
    <x v="40"/>
    <s v="M"/>
    <s v="Beige"/>
    <s v="Fall"/>
    <n v="3"/>
    <s v="No"/>
    <s v="Next Day Air"/>
    <s v="No"/>
    <s v="No"/>
    <n v="13"/>
    <s v="Venmo"/>
    <s v="Every 3 Months"/>
    <s v="Quarterly"/>
    <n v="5"/>
  </r>
  <r>
    <x v="3560"/>
    <n v="18"/>
    <x v="1"/>
    <s v="Socks"/>
    <x v="0"/>
    <n v="96"/>
    <x v="23"/>
    <s v="XL"/>
    <s v="Violet"/>
    <s v="Fall"/>
    <n v="3.5"/>
    <s v="No"/>
    <s v="Express"/>
    <s v="No"/>
    <s v="No"/>
    <n v="5"/>
    <s v="Credit Card"/>
    <s v="Annually"/>
    <s v="Annually"/>
    <n v="6"/>
  </r>
  <r>
    <x v="3561"/>
    <n v="63"/>
    <x v="1"/>
    <s v="Sneakers"/>
    <x v="1"/>
    <n v="29"/>
    <x v="17"/>
    <s v="L"/>
    <s v="Black"/>
    <s v="Spring"/>
    <n v="3.4"/>
    <s v="No"/>
    <s v="Standard"/>
    <s v="No"/>
    <s v="No"/>
    <n v="39"/>
    <s v="Credit Card"/>
    <s v="Fortnightly"/>
    <s v="Fortnightly"/>
    <n v="3"/>
  </r>
  <r>
    <x v="3562"/>
    <n v="47"/>
    <x v="1"/>
    <s v="Sneakers"/>
    <x v="1"/>
    <n v="36"/>
    <x v="33"/>
    <s v="M"/>
    <s v="Cyan"/>
    <s v="Winter"/>
    <n v="3.4"/>
    <s v="No"/>
    <s v="Free Shipping"/>
    <s v="No"/>
    <s v="No"/>
    <n v="7"/>
    <s v="Bank Transfer"/>
    <s v="Weekly"/>
    <s v="Weekly"/>
    <n v="1"/>
  </r>
  <r>
    <x v="3563"/>
    <n v="43"/>
    <x v="1"/>
    <s v="Blouse"/>
    <x v="0"/>
    <n v="90"/>
    <x v="1"/>
    <s v="M"/>
    <s v="Green"/>
    <s v="Summer"/>
    <n v="4.9000000000000004"/>
    <s v="No"/>
    <s v="Standard"/>
    <s v="No"/>
    <s v="No"/>
    <n v="8"/>
    <s v="Credit Card"/>
    <s v="Every 3 Months"/>
    <s v="Quarterly"/>
    <n v="5"/>
  </r>
  <r>
    <x v="3564"/>
    <n v="60"/>
    <x v="1"/>
    <s v="Gloves"/>
    <x v="3"/>
    <n v="38"/>
    <x v="26"/>
    <s v="S"/>
    <s v="Brown"/>
    <s v="Summer"/>
    <n v="4.4000000000000004"/>
    <s v="No"/>
    <s v="Free Shipping"/>
    <s v="No"/>
    <s v="No"/>
    <n v="40"/>
    <s v="Venmo"/>
    <s v="Annually"/>
    <s v="Annually"/>
    <n v="6"/>
  </r>
  <r>
    <x v="3565"/>
    <n v="49"/>
    <x v="1"/>
    <s v="Handbag"/>
    <x v="3"/>
    <n v="52"/>
    <x v="38"/>
    <s v="S"/>
    <s v="Gray"/>
    <s v="Spring"/>
    <n v="4.2"/>
    <s v="No"/>
    <s v="Store Pickup"/>
    <s v="No"/>
    <s v="No"/>
    <n v="35"/>
    <s v="PayPal"/>
    <s v="Monthly"/>
    <s v="Monthly"/>
    <n v="4"/>
  </r>
  <r>
    <x v="3566"/>
    <n v="28"/>
    <x v="1"/>
    <s v="Jeans"/>
    <x v="0"/>
    <n v="88"/>
    <x v="29"/>
    <s v="S"/>
    <s v="Orange"/>
    <s v="Spring"/>
    <n v="3.1"/>
    <s v="No"/>
    <s v="Next Day Air"/>
    <s v="No"/>
    <s v="No"/>
    <n v="14"/>
    <s v="Venmo"/>
    <s v="Monthly"/>
    <s v="Monthly"/>
    <n v="4"/>
  </r>
  <r>
    <x v="3567"/>
    <n v="32"/>
    <x v="1"/>
    <s v="Scarf"/>
    <x v="3"/>
    <n v="56"/>
    <x v="35"/>
    <s v="S"/>
    <s v="Silver"/>
    <s v="Summer"/>
    <n v="4"/>
    <s v="No"/>
    <s v="Next Day Air"/>
    <s v="No"/>
    <s v="No"/>
    <n v="26"/>
    <s v="Credit Card"/>
    <s v="Monthly"/>
    <s v="Monthly"/>
    <n v="4"/>
  </r>
  <r>
    <x v="3568"/>
    <n v="29"/>
    <x v="1"/>
    <s v="Sandals"/>
    <x v="1"/>
    <n v="71"/>
    <x v="10"/>
    <s v="M"/>
    <s v="Purple"/>
    <s v="Spring"/>
    <n v="4.8"/>
    <s v="No"/>
    <s v="Next Day Air"/>
    <s v="No"/>
    <s v="No"/>
    <n v="14"/>
    <s v="PayPal"/>
    <s v="Quarterly"/>
    <s v="Quarterly"/>
    <n v="5"/>
  </r>
  <r>
    <x v="3569"/>
    <n v="35"/>
    <x v="1"/>
    <s v="Sandals"/>
    <x v="1"/>
    <n v="94"/>
    <x v="29"/>
    <s v="M"/>
    <s v="Olive"/>
    <s v="Fall"/>
    <n v="3.3"/>
    <s v="No"/>
    <s v="Express"/>
    <s v="No"/>
    <s v="No"/>
    <n v="9"/>
    <s v="Bank Transfer"/>
    <s v="Fortnightly"/>
    <s v="Fortnightly"/>
    <n v="3"/>
  </r>
  <r>
    <x v="3570"/>
    <n v="23"/>
    <x v="1"/>
    <s v="Dress"/>
    <x v="0"/>
    <n v="97"/>
    <x v="7"/>
    <s v="XL"/>
    <s v="Teal"/>
    <s v="Winter"/>
    <n v="4.7"/>
    <s v="No"/>
    <s v="Standard"/>
    <s v="No"/>
    <s v="No"/>
    <n v="32"/>
    <s v="Debit Card"/>
    <s v="Annually"/>
    <s v="Annually"/>
    <n v="6"/>
  </r>
  <r>
    <x v="3571"/>
    <n v="70"/>
    <x v="1"/>
    <s v="Skirt"/>
    <x v="0"/>
    <n v="27"/>
    <x v="25"/>
    <s v="M"/>
    <s v="White"/>
    <s v="Summer"/>
    <n v="3.2"/>
    <s v="No"/>
    <s v="Standard"/>
    <s v="No"/>
    <s v="No"/>
    <n v="15"/>
    <s v="Bank Transfer"/>
    <s v="Every 3 Months"/>
    <s v="Quarterly"/>
    <n v="5"/>
  </r>
  <r>
    <x v="3572"/>
    <n v="23"/>
    <x v="1"/>
    <s v="Shorts"/>
    <x v="0"/>
    <n v="28"/>
    <x v="3"/>
    <s v="M"/>
    <s v="Black"/>
    <s v="Spring"/>
    <n v="5"/>
    <s v="No"/>
    <s v="Standard"/>
    <s v="No"/>
    <s v="No"/>
    <n v="25"/>
    <s v="Credit Card"/>
    <s v="Monthly"/>
    <s v="Monthly"/>
    <n v="4"/>
  </r>
  <r>
    <x v="3573"/>
    <n v="43"/>
    <x v="1"/>
    <s v="Jeans"/>
    <x v="0"/>
    <n v="67"/>
    <x v="39"/>
    <s v="L"/>
    <s v="Maroon"/>
    <s v="Fall"/>
    <n v="4.9000000000000004"/>
    <s v="No"/>
    <s v="Free Shipping"/>
    <s v="No"/>
    <s v="No"/>
    <n v="27"/>
    <s v="PayPal"/>
    <s v="Monthly"/>
    <s v="Monthly"/>
    <n v="4"/>
  </r>
  <r>
    <x v="3574"/>
    <n v="29"/>
    <x v="1"/>
    <s v="Socks"/>
    <x v="0"/>
    <n v="70"/>
    <x v="14"/>
    <s v="M"/>
    <s v="Cyan"/>
    <s v="Fall"/>
    <n v="4.9000000000000004"/>
    <s v="No"/>
    <s v="Express"/>
    <s v="No"/>
    <s v="No"/>
    <n v="39"/>
    <s v="Bank Transfer"/>
    <s v="Quarterly"/>
    <s v="Quarterly"/>
    <n v="5"/>
  </r>
  <r>
    <x v="3575"/>
    <n v="61"/>
    <x v="1"/>
    <s v="Coat"/>
    <x v="2"/>
    <n v="95"/>
    <x v="0"/>
    <s v="M"/>
    <s v="Violet"/>
    <s v="Fall"/>
    <n v="3.7"/>
    <s v="No"/>
    <s v="Express"/>
    <s v="No"/>
    <s v="No"/>
    <n v="49"/>
    <s v="Venmo"/>
    <s v="Bi-Weekly"/>
    <s v="Bi-Weekly"/>
    <n v="2"/>
  </r>
  <r>
    <x v="3576"/>
    <n v="29"/>
    <x v="1"/>
    <s v="Boots"/>
    <x v="1"/>
    <n v="24"/>
    <x v="1"/>
    <s v="L"/>
    <s v="Yellow"/>
    <s v="Spring"/>
    <n v="3"/>
    <s v="No"/>
    <s v="Express"/>
    <s v="No"/>
    <s v="No"/>
    <n v="12"/>
    <s v="Venmo"/>
    <s v="Bi-Weekly"/>
    <s v="Bi-Weekly"/>
    <n v="2"/>
  </r>
  <r>
    <x v="3577"/>
    <n v="66"/>
    <x v="1"/>
    <s v="Belt"/>
    <x v="3"/>
    <n v="35"/>
    <x v="9"/>
    <s v="S"/>
    <s v="Yellow"/>
    <s v="Winter"/>
    <n v="2.6"/>
    <s v="No"/>
    <s v="Standard"/>
    <s v="No"/>
    <s v="No"/>
    <n v="13"/>
    <s v="Bank Transfer"/>
    <s v="Weekly"/>
    <s v="Weekly"/>
    <n v="1"/>
  </r>
  <r>
    <x v="3578"/>
    <n v="46"/>
    <x v="1"/>
    <s v="Shoes"/>
    <x v="1"/>
    <n v="22"/>
    <x v="42"/>
    <s v="L"/>
    <s v="Olive"/>
    <s v="Winter"/>
    <n v="2.6"/>
    <s v="No"/>
    <s v="Standard"/>
    <s v="No"/>
    <s v="No"/>
    <n v="22"/>
    <s v="Bank Transfer"/>
    <s v="Quarterly"/>
    <s v="Quarterly"/>
    <n v="5"/>
  </r>
  <r>
    <x v="3579"/>
    <n v="34"/>
    <x v="1"/>
    <s v="Scarf"/>
    <x v="3"/>
    <n v="66"/>
    <x v="28"/>
    <s v="L"/>
    <s v="Olive"/>
    <s v="Fall"/>
    <n v="4.8"/>
    <s v="No"/>
    <s v="Standard"/>
    <s v="No"/>
    <s v="No"/>
    <n v="19"/>
    <s v="Credit Card"/>
    <s v="Every 3 Months"/>
    <s v="Quarterly"/>
    <n v="5"/>
  </r>
  <r>
    <x v="3580"/>
    <n v="51"/>
    <x v="1"/>
    <s v="Blouse"/>
    <x v="0"/>
    <n v="83"/>
    <x v="13"/>
    <s v="M"/>
    <s v="Magenta"/>
    <s v="Summer"/>
    <n v="3.2"/>
    <s v="No"/>
    <s v="2-Day Shipping"/>
    <s v="No"/>
    <s v="No"/>
    <n v="3"/>
    <s v="Cash"/>
    <s v="Bi-Weekly"/>
    <s v="Bi-Weekly"/>
    <n v="2"/>
  </r>
  <r>
    <x v="3581"/>
    <n v="26"/>
    <x v="1"/>
    <s v="Dress"/>
    <x v="0"/>
    <n v="95"/>
    <x v="42"/>
    <s v="M"/>
    <s v="Orange"/>
    <s v="Fall"/>
    <n v="4.9000000000000004"/>
    <s v="No"/>
    <s v="Next Day Air"/>
    <s v="No"/>
    <s v="No"/>
    <n v="50"/>
    <s v="Credit Card"/>
    <s v="Weekly"/>
    <s v="Weekly"/>
    <n v="1"/>
  </r>
  <r>
    <x v="3582"/>
    <n v="23"/>
    <x v="1"/>
    <s v="Shorts"/>
    <x v="0"/>
    <n v="41"/>
    <x v="18"/>
    <s v="S"/>
    <s v="Beige"/>
    <s v="Summer"/>
    <n v="3.4"/>
    <s v="No"/>
    <s v="2-Day Shipping"/>
    <s v="No"/>
    <s v="No"/>
    <n v="15"/>
    <s v="PayPal"/>
    <s v="Annually"/>
    <s v="Annually"/>
    <n v="6"/>
  </r>
  <r>
    <x v="3583"/>
    <n v="52"/>
    <x v="1"/>
    <s v="Blouse"/>
    <x v="0"/>
    <n v="77"/>
    <x v="28"/>
    <s v="L"/>
    <s v="Brown"/>
    <s v="Summer"/>
    <n v="2.7"/>
    <s v="No"/>
    <s v="Store Pickup"/>
    <s v="No"/>
    <s v="No"/>
    <n v="44"/>
    <s v="Credit Card"/>
    <s v="Every 3 Months"/>
    <s v="Quarterly"/>
    <n v="5"/>
  </r>
  <r>
    <x v="3584"/>
    <n v="39"/>
    <x v="1"/>
    <s v="Sneakers"/>
    <x v="1"/>
    <n v="52"/>
    <x v="20"/>
    <s v="L"/>
    <s v="Indigo"/>
    <s v="Fall"/>
    <n v="4.8"/>
    <s v="No"/>
    <s v="Express"/>
    <s v="No"/>
    <s v="No"/>
    <n v="48"/>
    <s v="Debit Card"/>
    <s v="Monthly"/>
    <s v="Monthly"/>
    <n v="4"/>
  </r>
  <r>
    <x v="3585"/>
    <n v="39"/>
    <x v="1"/>
    <s v="Gloves"/>
    <x v="3"/>
    <n v="41"/>
    <x v="14"/>
    <s v="XL"/>
    <s v="Gray"/>
    <s v="Winter"/>
    <n v="4.0999999999999996"/>
    <s v="No"/>
    <s v="Standard"/>
    <s v="No"/>
    <s v="No"/>
    <n v="4"/>
    <s v="Venmo"/>
    <s v="Bi-Weekly"/>
    <s v="Bi-Weekly"/>
    <n v="2"/>
  </r>
  <r>
    <x v="3586"/>
    <n v="33"/>
    <x v="1"/>
    <s v="Hoodie"/>
    <x v="0"/>
    <n v="28"/>
    <x v="37"/>
    <s v="M"/>
    <s v="Yellow"/>
    <s v="Winter"/>
    <n v="4.5999999999999996"/>
    <s v="No"/>
    <s v="Store Pickup"/>
    <s v="No"/>
    <s v="No"/>
    <n v="12"/>
    <s v="PayPal"/>
    <s v="Bi-Weekly"/>
    <s v="Bi-Weekly"/>
    <n v="2"/>
  </r>
  <r>
    <x v="3587"/>
    <n v="33"/>
    <x v="1"/>
    <s v="Sweater"/>
    <x v="0"/>
    <n v="90"/>
    <x v="41"/>
    <s v="S"/>
    <s v="Violet"/>
    <s v="Summer"/>
    <n v="4.4000000000000004"/>
    <s v="No"/>
    <s v="Standard"/>
    <s v="No"/>
    <s v="No"/>
    <n v="33"/>
    <s v="Debit Card"/>
    <s v="Annually"/>
    <s v="Annually"/>
    <n v="6"/>
  </r>
  <r>
    <x v="3588"/>
    <n v="23"/>
    <x v="1"/>
    <s v="Sunglasses"/>
    <x v="3"/>
    <n v="55"/>
    <x v="49"/>
    <s v="M"/>
    <s v="Magenta"/>
    <s v="Spring"/>
    <n v="3.5"/>
    <s v="No"/>
    <s v="2-Day Shipping"/>
    <s v="No"/>
    <s v="No"/>
    <n v="40"/>
    <s v="Cash"/>
    <s v="Annually"/>
    <s v="Annually"/>
    <n v="6"/>
  </r>
  <r>
    <x v="3589"/>
    <n v="31"/>
    <x v="1"/>
    <s v="Belt"/>
    <x v="3"/>
    <n v="73"/>
    <x v="13"/>
    <s v="M"/>
    <s v="Blue"/>
    <s v="Spring"/>
    <n v="4.8"/>
    <s v="No"/>
    <s v="Next Day Air"/>
    <s v="No"/>
    <s v="No"/>
    <n v="38"/>
    <s v="Cash"/>
    <s v="Every 3 Months"/>
    <s v="Quarterly"/>
    <n v="5"/>
  </r>
  <r>
    <x v="3590"/>
    <n v="27"/>
    <x v="1"/>
    <s v="Dress"/>
    <x v="0"/>
    <n v="87"/>
    <x v="45"/>
    <s v="M"/>
    <s v="Gray"/>
    <s v="Fall"/>
    <n v="2.9"/>
    <s v="No"/>
    <s v="2-Day Shipping"/>
    <s v="No"/>
    <s v="No"/>
    <n v="19"/>
    <s v="Venmo"/>
    <s v="Every 3 Months"/>
    <s v="Quarterly"/>
    <n v="5"/>
  </r>
  <r>
    <x v="3591"/>
    <n v="48"/>
    <x v="1"/>
    <s v="Jacket"/>
    <x v="2"/>
    <n v="89"/>
    <x v="45"/>
    <s v="M"/>
    <s v="Gold"/>
    <s v="Winter"/>
    <n v="3.2"/>
    <s v="No"/>
    <s v="2-Day Shipping"/>
    <s v="No"/>
    <s v="No"/>
    <n v="38"/>
    <s v="Bank Transfer"/>
    <s v="Quarterly"/>
    <s v="Quarterly"/>
    <n v="5"/>
  </r>
  <r>
    <x v="3592"/>
    <n v="61"/>
    <x v="1"/>
    <s v="Boots"/>
    <x v="1"/>
    <n v="82"/>
    <x v="32"/>
    <s v="L"/>
    <s v="Lavender"/>
    <s v="Spring"/>
    <n v="4.4000000000000004"/>
    <s v="No"/>
    <s v="2-Day Shipping"/>
    <s v="No"/>
    <s v="No"/>
    <n v="18"/>
    <s v="Venmo"/>
    <s v="Fortnightly"/>
    <s v="Fortnightly"/>
    <n v="3"/>
  </r>
  <r>
    <x v="3593"/>
    <n v="63"/>
    <x v="1"/>
    <s v="Sandals"/>
    <x v="1"/>
    <n v="80"/>
    <x v="5"/>
    <s v="M"/>
    <s v="Black"/>
    <s v="Spring"/>
    <n v="4.5999999999999996"/>
    <s v="No"/>
    <s v="Next Day Air"/>
    <s v="No"/>
    <s v="No"/>
    <n v="24"/>
    <s v="PayPal"/>
    <s v="Monthly"/>
    <s v="Monthly"/>
    <n v="4"/>
  </r>
  <r>
    <x v="3594"/>
    <n v="19"/>
    <x v="1"/>
    <s v="Scarf"/>
    <x v="3"/>
    <n v="87"/>
    <x v="15"/>
    <s v="L"/>
    <s v="Charcoal"/>
    <s v="Summer"/>
    <n v="2.6"/>
    <s v="No"/>
    <s v="2-Day Shipping"/>
    <s v="No"/>
    <s v="No"/>
    <n v="29"/>
    <s v="Venmo"/>
    <s v="Quarterly"/>
    <s v="Quarterly"/>
    <n v="5"/>
  </r>
  <r>
    <x v="3595"/>
    <n v="21"/>
    <x v="1"/>
    <s v="Blouse"/>
    <x v="0"/>
    <n v="41"/>
    <x v="45"/>
    <s v="M"/>
    <s v="Violet"/>
    <s v="Spring"/>
    <n v="3.1"/>
    <s v="No"/>
    <s v="Store Pickup"/>
    <s v="No"/>
    <s v="No"/>
    <n v="14"/>
    <s v="PayPal"/>
    <s v="Annually"/>
    <s v="Annually"/>
    <n v="6"/>
  </r>
  <r>
    <x v="3596"/>
    <n v="28"/>
    <x v="1"/>
    <s v="Hoodie"/>
    <x v="0"/>
    <n v="83"/>
    <x v="36"/>
    <s v="M"/>
    <s v="Charcoal"/>
    <s v="Spring"/>
    <n v="4.3"/>
    <s v="No"/>
    <s v="Standard"/>
    <s v="No"/>
    <s v="No"/>
    <n v="44"/>
    <s v="Cash"/>
    <s v="Fortnightly"/>
    <s v="Fortnightly"/>
    <n v="3"/>
  </r>
  <r>
    <x v="3597"/>
    <n v="29"/>
    <x v="1"/>
    <s v="Sunglasses"/>
    <x v="3"/>
    <n v="71"/>
    <x v="35"/>
    <s v="M"/>
    <s v="Maroon"/>
    <s v="Summer"/>
    <n v="3.1"/>
    <s v="No"/>
    <s v="Standard"/>
    <s v="No"/>
    <s v="No"/>
    <n v="18"/>
    <s v="Bank Transfer"/>
    <s v="Quarterly"/>
    <s v="Quarterly"/>
    <n v="5"/>
  </r>
  <r>
    <x v="3598"/>
    <n v="23"/>
    <x v="1"/>
    <s v="Hoodie"/>
    <x v="0"/>
    <n v="76"/>
    <x v="39"/>
    <s v="XL"/>
    <s v="Purple"/>
    <s v="Spring"/>
    <n v="4.5999999999999996"/>
    <s v="No"/>
    <s v="Store Pickup"/>
    <s v="No"/>
    <s v="No"/>
    <n v="19"/>
    <s v="Bank Transfer"/>
    <s v="Bi-Weekly"/>
    <s v="Bi-Weekly"/>
    <n v="2"/>
  </r>
  <r>
    <x v="3599"/>
    <n v="37"/>
    <x v="1"/>
    <s v="Scarf"/>
    <x v="3"/>
    <n v="34"/>
    <x v="23"/>
    <s v="S"/>
    <s v="Peach"/>
    <s v="Spring"/>
    <n v="4.5999999999999996"/>
    <s v="No"/>
    <s v="Express"/>
    <s v="No"/>
    <s v="No"/>
    <n v="4"/>
    <s v="Cash"/>
    <s v="Weekly"/>
    <s v="Weekly"/>
    <n v="1"/>
  </r>
  <r>
    <x v="3600"/>
    <n v="67"/>
    <x v="1"/>
    <s v="Dress"/>
    <x v="0"/>
    <n v="81"/>
    <x v="36"/>
    <s v="XL"/>
    <s v="Olive"/>
    <s v="Spring"/>
    <n v="2.7"/>
    <s v="No"/>
    <s v="Free Shipping"/>
    <s v="No"/>
    <s v="No"/>
    <n v="25"/>
    <s v="Cash"/>
    <s v="Bi-Weekly"/>
    <s v="Bi-Weekly"/>
    <n v="2"/>
  </r>
  <r>
    <x v="3601"/>
    <n v="34"/>
    <x v="1"/>
    <s v="T-shirt"/>
    <x v="0"/>
    <n v="47"/>
    <x v="17"/>
    <s v="M"/>
    <s v="Indigo"/>
    <s v="Summer"/>
    <n v="3"/>
    <s v="No"/>
    <s v="Next Day Air"/>
    <s v="No"/>
    <s v="No"/>
    <n v="3"/>
    <s v="PayPal"/>
    <s v="Monthly"/>
    <s v="Monthly"/>
    <n v="4"/>
  </r>
  <r>
    <x v="3602"/>
    <n v="58"/>
    <x v="1"/>
    <s v="Skirt"/>
    <x v="0"/>
    <n v="36"/>
    <x v="5"/>
    <s v="S"/>
    <s v="Magenta"/>
    <s v="Summer"/>
    <n v="3.3"/>
    <s v="No"/>
    <s v="Store Pickup"/>
    <s v="No"/>
    <s v="No"/>
    <n v="40"/>
    <s v="Debit Card"/>
    <s v="Quarterly"/>
    <s v="Quarterly"/>
    <n v="5"/>
  </r>
  <r>
    <x v="3603"/>
    <n v="45"/>
    <x v="1"/>
    <s v="Jeans"/>
    <x v="0"/>
    <n v="51"/>
    <x v="7"/>
    <s v="M"/>
    <s v="Gold"/>
    <s v="Spring"/>
    <n v="2.7"/>
    <s v="No"/>
    <s v="Free Shipping"/>
    <s v="No"/>
    <s v="No"/>
    <n v="5"/>
    <s v="Cash"/>
    <s v="Weekly"/>
    <s v="Weekly"/>
    <n v="1"/>
  </r>
  <r>
    <x v="3604"/>
    <n v="63"/>
    <x v="1"/>
    <s v="Hoodie"/>
    <x v="0"/>
    <n v="86"/>
    <x v="7"/>
    <s v="M"/>
    <s v="Orange"/>
    <s v="Fall"/>
    <n v="3.3"/>
    <s v="No"/>
    <s v="Standard"/>
    <s v="No"/>
    <s v="No"/>
    <n v="17"/>
    <s v="Debit Card"/>
    <s v="Annually"/>
    <s v="Annually"/>
    <n v="6"/>
  </r>
  <r>
    <x v="3605"/>
    <n v="68"/>
    <x v="1"/>
    <s v="Jeans"/>
    <x v="0"/>
    <n v="41"/>
    <x v="15"/>
    <s v="M"/>
    <s v="Gold"/>
    <s v="Fall"/>
    <n v="4.3"/>
    <s v="No"/>
    <s v="Store Pickup"/>
    <s v="No"/>
    <s v="No"/>
    <n v="36"/>
    <s v="Bank Transfer"/>
    <s v="Every 3 Months"/>
    <s v="Quarterly"/>
    <n v="5"/>
  </r>
  <r>
    <x v="3606"/>
    <n v="41"/>
    <x v="1"/>
    <s v="Sandals"/>
    <x v="1"/>
    <n v="90"/>
    <x v="46"/>
    <s v="XL"/>
    <s v="Purple"/>
    <s v="Fall"/>
    <n v="4.8"/>
    <s v="No"/>
    <s v="Express"/>
    <s v="No"/>
    <s v="No"/>
    <n v="41"/>
    <s v="Venmo"/>
    <s v="Annually"/>
    <s v="Annually"/>
    <n v="6"/>
  </r>
  <r>
    <x v="3607"/>
    <n v="50"/>
    <x v="1"/>
    <s v="Hat"/>
    <x v="3"/>
    <n v="93"/>
    <x v="35"/>
    <s v="L"/>
    <s v="Charcoal"/>
    <s v="Fall"/>
    <n v="3.3"/>
    <s v="No"/>
    <s v="Standard"/>
    <s v="No"/>
    <s v="No"/>
    <n v="20"/>
    <s v="Venmo"/>
    <s v="Bi-Weekly"/>
    <s v="Bi-Weekly"/>
    <n v="2"/>
  </r>
  <r>
    <x v="3608"/>
    <n v="24"/>
    <x v="1"/>
    <s v="Gloves"/>
    <x v="3"/>
    <n v="56"/>
    <x v="30"/>
    <s v="M"/>
    <s v="Cyan"/>
    <s v="Fall"/>
    <n v="4.3"/>
    <s v="No"/>
    <s v="Next Day Air"/>
    <s v="No"/>
    <s v="No"/>
    <n v="2"/>
    <s v="Cash"/>
    <s v="Every 3 Months"/>
    <s v="Quarterly"/>
    <n v="5"/>
  </r>
  <r>
    <x v="3609"/>
    <n v="21"/>
    <x v="1"/>
    <s v="Socks"/>
    <x v="0"/>
    <n v="39"/>
    <x v="35"/>
    <s v="M"/>
    <s v="Cyan"/>
    <s v="Summer"/>
    <n v="3"/>
    <s v="No"/>
    <s v="2-Day Shipping"/>
    <s v="No"/>
    <s v="No"/>
    <n v="31"/>
    <s v="Debit Card"/>
    <s v="Monthly"/>
    <s v="Monthly"/>
    <n v="4"/>
  </r>
  <r>
    <x v="3610"/>
    <n v="18"/>
    <x v="1"/>
    <s v="Jacket"/>
    <x v="2"/>
    <n v="86"/>
    <x v="21"/>
    <s v="XL"/>
    <s v="Green"/>
    <s v="Fall"/>
    <n v="4.8"/>
    <s v="No"/>
    <s v="2-Day Shipping"/>
    <s v="No"/>
    <s v="No"/>
    <n v="23"/>
    <s v="Bank Transfer"/>
    <s v="Fortnightly"/>
    <s v="Fortnightly"/>
    <n v="3"/>
  </r>
  <r>
    <x v="3611"/>
    <n v="63"/>
    <x v="1"/>
    <s v="T-shirt"/>
    <x v="0"/>
    <n v="82"/>
    <x v="47"/>
    <s v="M"/>
    <s v="Silver"/>
    <s v="Spring"/>
    <n v="2.9"/>
    <s v="No"/>
    <s v="Standard"/>
    <s v="No"/>
    <s v="No"/>
    <n v="30"/>
    <s v="Credit Card"/>
    <s v="Annually"/>
    <s v="Annually"/>
    <n v="6"/>
  </r>
  <r>
    <x v="3612"/>
    <n v="47"/>
    <x v="1"/>
    <s v="Sandals"/>
    <x v="1"/>
    <n v="29"/>
    <x v="49"/>
    <s v="M"/>
    <s v="Teal"/>
    <s v="Summer"/>
    <n v="3.6"/>
    <s v="No"/>
    <s v="Standard"/>
    <s v="No"/>
    <s v="No"/>
    <n v="26"/>
    <s v="Cash"/>
    <s v="Every 3 Months"/>
    <s v="Quarterly"/>
    <n v="5"/>
  </r>
  <r>
    <x v="3613"/>
    <n v="58"/>
    <x v="1"/>
    <s v="Hat"/>
    <x v="3"/>
    <n v="27"/>
    <x v="46"/>
    <s v="M"/>
    <s v="Magenta"/>
    <s v="Fall"/>
    <n v="3.5"/>
    <s v="No"/>
    <s v="Store Pickup"/>
    <s v="No"/>
    <s v="No"/>
    <n v="40"/>
    <s v="Venmo"/>
    <s v="Annually"/>
    <s v="Annually"/>
    <n v="6"/>
  </r>
  <r>
    <x v="3614"/>
    <n v="46"/>
    <x v="1"/>
    <s v="Gloves"/>
    <x v="3"/>
    <n v="25"/>
    <x v="12"/>
    <s v="L"/>
    <s v="Maroon"/>
    <s v="Spring"/>
    <n v="4.7"/>
    <s v="No"/>
    <s v="2-Day Shipping"/>
    <s v="No"/>
    <s v="No"/>
    <n v="19"/>
    <s v="Bank Transfer"/>
    <s v="Annually"/>
    <s v="Annually"/>
    <n v="6"/>
  </r>
  <r>
    <x v="3615"/>
    <n v="35"/>
    <x v="1"/>
    <s v="Dress"/>
    <x v="0"/>
    <n v="31"/>
    <x v="18"/>
    <s v="M"/>
    <s v="Gold"/>
    <s v="Winter"/>
    <n v="4.4000000000000004"/>
    <s v="No"/>
    <s v="Free Shipping"/>
    <s v="No"/>
    <s v="No"/>
    <n v="4"/>
    <s v="Credit Card"/>
    <s v="Monthly"/>
    <s v="Monthly"/>
    <n v="4"/>
  </r>
  <r>
    <x v="3616"/>
    <n v="42"/>
    <x v="1"/>
    <s v="Hoodie"/>
    <x v="0"/>
    <n v="23"/>
    <x v="48"/>
    <s v="L"/>
    <s v="Purple"/>
    <s v="Winter"/>
    <n v="3.3"/>
    <s v="No"/>
    <s v="Store Pickup"/>
    <s v="No"/>
    <s v="No"/>
    <n v="33"/>
    <s v="Debit Card"/>
    <s v="Fortnightly"/>
    <s v="Fortnightly"/>
    <n v="3"/>
  </r>
  <r>
    <x v="3617"/>
    <n v="48"/>
    <x v="1"/>
    <s v="Belt"/>
    <x v="3"/>
    <n v="47"/>
    <x v="0"/>
    <s v="M"/>
    <s v="Lavender"/>
    <s v="Fall"/>
    <n v="4.3"/>
    <s v="No"/>
    <s v="Express"/>
    <s v="No"/>
    <s v="No"/>
    <n v="29"/>
    <s v="Debit Card"/>
    <s v="Monthly"/>
    <s v="Monthly"/>
    <n v="4"/>
  </r>
  <r>
    <x v="3618"/>
    <n v="28"/>
    <x v="1"/>
    <s v="Gloves"/>
    <x v="3"/>
    <n v="67"/>
    <x v="22"/>
    <s v="M"/>
    <s v="Maroon"/>
    <s v="Fall"/>
    <n v="4"/>
    <s v="No"/>
    <s v="2-Day Shipping"/>
    <s v="No"/>
    <s v="No"/>
    <n v="47"/>
    <s v="PayPal"/>
    <s v="Bi-Weekly"/>
    <s v="Bi-Weekly"/>
    <n v="2"/>
  </r>
  <r>
    <x v="3619"/>
    <n v="44"/>
    <x v="1"/>
    <s v="Scarf"/>
    <x v="3"/>
    <n v="75"/>
    <x v="17"/>
    <s v="S"/>
    <s v="Magenta"/>
    <s v="Winter"/>
    <n v="4.9000000000000004"/>
    <s v="No"/>
    <s v="2-Day Shipping"/>
    <s v="No"/>
    <s v="No"/>
    <n v="50"/>
    <s v="Venmo"/>
    <s v="Weekly"/>
    <s v="Weekly"/>
    <n v="1"/>
  </r>
  <r>
    <x v="3620"/>
    <n v="60"/>
    <x v="1"/>
    <s v="Sandals"/>
    <x v="1"/>
    <n v="82"/>
    <x v="7"/>
    <s v="M"/>
    <s v="Turquoise"/>
    <s v="Summer"/>
    <n v="2.9"/>
    <s v="No"/>
    <s v="Express"/>
    <s v="No"/>
    <s v="No"/>
    <n v="28"/>
    <s v="Credit Card"/>
    <s v="Fortnightly"/>
    <s v="Fortnightly"/>
    <n v="3"/>
  </r>
  <r>
    <x v="3621"/>
    <n v="38"/>
    <x v="1"/>
    <s v="Sneakers"/>
    <x v="1"/>
    <n v="32"/>
    <x v="32"/>
    <s v="XL"/>
    <s v="Silver"/>
    <s v="Summer"/>
    <n v="4"/>
    <s v="No"/>
    <s v="2-Day Shipping"/>
    <s v="No"/>
    <s v="No"/>
    <n v="5"/>
    <s v="Cash"/>
    <s v="Fortnightly"/>
    <s v="Fortnightly"/>
    <n v="3"/>
  </r>
  <r>
    <x v="3622"/>
    <n v="46"/>
    <x v="1"/>
    <s v="Dress"/>
    <x v="0"/>
    <n v="41"/>
    <x v="48"/>
    <s v="M"/>
    <s v="Purple"/>
    <s v="Fall"/>
    <n v="4.3"/>
    <s v="No"/>
    <s v="Store Pickup"/>
    <s v="No"/>
    <s v="No"/>
    <n v="12"/>
    <s v="Credit Card"/>
    <s v="Annually"/>
    <s v="Annually"/>
    <n v="6"/>
  </r>
  <r>
    <x v="3623"/>
    <n v="39"/>
    <x v="1"/>
    <s v="Jewelry"/>
    <x v="3"/>
    <n v="89"/>
    <x v="10"/>
    <s v="M"/>
    <s v="Violet"/>
    <s v="Winter"/>
    <n v="2.7"/>
    <s v="No"/>
    <s v="2-Day Shipping"/>
    <s v="No"/>
    <s v="No"/>
    <n v="4"/>
    <s v="PayPal"/>
    <s v="Weekly"/>
    <s v="Weekly"/>
    <n v="1"/>
  </r>
  <r>
    <x v="3624"/>
    <n v="22"/>
    <x v="1"/>
    <s v="Hat"/>
    <x v="3"/>
    <n v="82"/>
    <x v="21"/>
    <s v="XL"/>
    <s v="Peach"/>
    <s v="Fall"/>
    <n v="5"/>
    <s v="No"/>
    <s v="Store Pickup"/>
    <s v="No"/>
    <s v="No"/>
    <n v="22"/>
    <s v="Bank Transfer"/>
    <s v="Bi-Weekly"/>
    <s v="Bi-Weekly"/>
    <n v="2"/>
  </r>
  <r>
    <x v="3625"/>
    <n v="44"/>
    <x v="1"/>
    <s v="Scarf"/>
    <x v="3"/>
    <n v="99"/>
    <x v="26"/>
    <s v="L"/>
    <s v="Green"/>
    <s v="Winter"/>
    <n v="4.4000000000000004"/>
    <s v="No"/>
    <s v="Express"/>
    <s v="No"/>
    <s v="No"/>
    <n v="32"/>
    <s v="PayPal"/>
    <s v="Weekly"/>
    <s v="Weekly"/>
    <n v="1"/>
  </r>
  <r>
    <x v="3626"/>
    <n v="69"/>
    <x v="1"/>
    <s v="Blouse"/>
    <x v="0"/>
    <n v="98"/>
    <x v="16"/>
    <s v="L"/>
    <s v="Teal"/>
    <s v="Fall"/>
    <n v="3.5"/>
    <s v="No"/>
    <s v="Express"/>
    <s v="No"/>
    <s v="No"/>
    <n v="32"/>
    <s v="Venmo"/>
    <s v="Quarterly"/>
    <s v="Quarterly"/>
    <n v="5"/>
  </r>
  <r>
    <x v="3627"/>
    <n v="39"/>
    <x v="1"/>
    <s v="Belt"/>
    <x v="3"/>
    <n v="54"/>
    <x v="12"/>
    <s v="M"/>
    <s v="Silver"/>
    <s v="Winter"/>
    <n v="3.3"/>
    <s v="No"/>
    <s v="Next Day Air"/>
    <s v="No"/>
    <s v="No"/>
    <n v="48"/>
    <s v="Cash"/>
    <s v="Every 3 Months"/>
    <s v="Quarterly"/>
    <n v="5"/>
  </r>
  <r>
    <x v="3628"/>
    <n v="53"/>
    <x v="1"/>
    <s v="Blouse"/>
    <x v="0"/>
    <n v="88"/>
    <x v="42"/>
    <s v="L"/>
    <s v="Purple"/>
    <s v="Summer"/>
    <n v="3.8"/>
    <s v="No"/>
    <s v="Free Shipping"/>
    <s v="No"/>
    <s v="No"/>
    <n v="35"/>
    <s v="Credit Card"/>
    <s v="Monthly"/>
    <s v="Monthly"/>
    <n v="4"/>
  </r>
  <r>
    <x v="3629"/>
    <n v="52"/>
    <x v="1"/>
    <s v="T-shirt"/>
    <x v="0"/>
    <n v="43"/>
    <x v="23"/>
    <s v="L"/>
    <s v="Lavender"/>
    <s v="Summer"/>
    <n v="4.5"/>
    <s v="No"/>
    <s v="Standard"/>
    <s v="No"/>
    <s v="No"/>
    <n v="44"/>
    <s v="Debit Card"/>
    <s v="Fortnightly"/>
    <s v="Fortnightly"/>
    <n v="3"/>
  </r>
  <r>
    <x v="3630"/>
    <n v="65"/>
    <x v="1"/>
    <s v="Hat"/>
    <x v="3"/>
    <n v="73"/>
    <x v="19"/>
    <s v="M"/>
    <s v="Lavender"/>
    <s v="Winter"/>
    <n v="4.8"/>
    <s v="No"/>
    <s v="Store Pickup"/>
    <s v="No"/>
    <s v="No"/>
    <n v="29"/>
    <s v="Cash"/>
    <s v="Weekly"/>
    <s v="Weekly"/>
    <n v="1"/>
  </r>
  <r>
    <x v="3631"/>
    <n v="48"/>
    <x v="1"/>
    <s v="Hat"/>
    <x v="3"/>
    <n v="50"/>
    <x v="32"/>
    <s v="M"/>
    <s v="Peach"/>
    <s v="Fall"/>
    <n v="2.9"/>
    <s v="No"/>
    <s v="Store Pickup"/>
    <s v="No"/>
    <s v="No"/>
    <n v="26"/>
    <s v="Credit Card"/>
    <s v="Monthly"/>
    <s v="Monthly"/>
    <n v="4"/>
  </r>
  <r>
    <x v="3632"/>
    <n v="27"/>
    <x v="1"/>
    <s v="Sneakers"/>
    <x v="1"/>
    <n v="73"/>
    <x v="40"/>
    <s v="L"/>
    <s v="Green"/>
    <s v="Spring"/>
    <n v="3.2"/>
    <s v="No"/>
    <s v="Express"/>
    <s v="No"/>
    <s v="No"/>
    <n v="3"/>
    <s v="Debit Card"/>
    <s v="Quarterly"/>
    <s v="Quarterly"/>
    <n v="5"/>
  </r>
  <r>
    <x v="3633"/>
    <n v="39"/>
    <x v="1"/>
    <s v="Gloves"/>
    <x v="3"/>
    <n v="51"/>
    <x v="6"/>
    <s v="M"/>
    <s v="Orange"/>
    <s v="Spring"/>
    <n v="2.8"/>
    <s v="No"/>
    <s v="Free Shipping"/>
    <s v="No"/>
    <s v="No"/>
    <n v="1"/>
    <s v="Bank Transfer"/>
    <s v="Bi-Weekly"/>
    <s v="Bi-Weekly"/>
    <n v="2"/>
  </r>
  <r>
    <x v="3634"/>
    <n v="59"/>
    <x v="1"/>
    <s v="Socks"/>
    <x v="0"/>
    <n v="22"/>
    <x v="31"/>
    <s v="M"/>
    <s v="Pink"/>
    <s v="Winter"/>
    <n v="3.3"/>
    <s v="No"/>
    <s v="Standard"/>
    <s v="No"/>
    <s v="No"/>
    <n v="17"/>
    <s v="PayPal"/>
    <s v="Annually"/>
    <s v="Annually"/>
    <n v="6"/>
  </r>
  <r>
    <x v="3635"/>
    <n v="52"/>
    <x v="1"/>
    <s v="Sandals"/>
    <x v="1"/>
    <n v="32"/>
    <x v="24"/>
    <s v="L"/>
    <s v="Cyan"/>
    <s v="Fall"/>
    <n v="3.3"/>
    <s v="No"/>
    <s v="Free Shipping"/>
    <s v="No"/>
    <s v="No"/>
    <n v="17"/>
    <s v="Credit Card"/>
    <s v="Fortnightly"/>
    <s v="Fortnightly"/>
    <n v="3"/>
  </r>
  <r>
    <x v="3636"/>
    <n v="50"/>
    <x v="1"/>
    <s v="Sandals"/>
    <x v="1"/>
    <n v="38"/>
    <x v="18"/>
    <s v="L"/>
    <s v="Lavender"/>
    <s v="Summer"/>
    <n v="4.2"/>
    <s v="No"/>
    <s v="2-Day Shipping"/>
    <s v="No"/>
    <s v="No"/>
    <n v="36"/>
    <s v="Cash"/>
    <s v="Weekly"/>
    <s v="Weekly"/>
    <n v="1"/>
  </r>
  <r>
    <x v="3637"/>
    <n v="32"/>
    <x v="1"/>
    <s v="Boots"/>
    <x v="1"/>
    <n v="66"/>
    <x v="40"/>
    <s v="L"/>
    <s v="Yellow"/>
    <s v="Winter"/>
    <n v="3.6"/>
    <s v="No"/>
    <s v="Express"/>
    <s v="No"/>
    <s v="No"/>
    <n v="32"/>
    <s v="Credit Card"/>
    <s v="Fortnightly"/>
    <s v="Fortnightly"/>
    <n v="3"/>
  </r>
  <r>
    <x v="3638"/>
    <n v="40"/>
    <x v="1"/>
    <s v="Backpack"/>
    <x v="3"/>
    <n v="20"/>
    <x v="23"/>
    <s v="M"/>
    <s v="Olive"/>
    <s v="Spring"/>
    <n v="4.5999999999999996"/>
    <s v="No"/>
    <s v="Express"/>
    <s v="No"/>
    <s v="No"/>
    <n v="50"/>
    <s v="PayPal"/>
    <s v="Bi-Weekly"/>
    <s v="Bi-Weekly"/>
    <n v="2"/>
  </r>
  <r>
    <x v="3639"/>
    <n v="26"/>
    <x v="1"/>
    <s v="Coat"/>
    <x v="2"/>
    <n v="44"/>
    <x v="26"/>
    <s v="M"/>
    <s v="Brown"/>
    <s v="Summer"/>
    <n v="3.6"/>
    <s v="No"/>
    <s v="2-Day Shipping"/>
    <s v="No"/>
    <s v="No"/>
    <n v="39"/>
    <s v="Venmo"/>
    <s v="Annually"/>
    <s v="Annually"/>
    <n v="6"/>
  </r>
  <r>
    <x v="3640"/>
    <n v="47"/>
    <x v="1"/>
    <s v="Sunglasses"/>
    <x v="3"/>
    <n v="31"/>
    <x v="46"/>
    <s v="L"/>
    <s v="Pink"/>
    <s v="Spring"/>
    <n v="4"/>
    <s v="No"/>
    <s v="Next Day Air"/>
    <s v="No"/>
    <s v="No"/>
    <n v="17"/>
    <s v="PayPal"/>
    <s v="Monthly"/>
    <s v="Monthly"/>
    <n v="4"/>
  </r>
  <r>
    <x v="3641"/>
    <n v="51"/>
    <x v="1"/>
    <s v="Jacket"/>
    <x v="2"/>
    <n v="45"/>
    <x v="14"/>
    <s v="M"/>
    <s v="Cyan"/>
    <s v="Fall"/>
    <n v="2.7"/>
    <s v="No"/>
    <s v="Free Shipping"/>
    <s v="No"/>
    <s v="No"/>
    <n v="39"/>
    <s v="Bank Transfer"/>
    <s v="Every 3 Months"/>
    <s v="Quarterly"/>
    <n v="5"/>
  </r>
  <r>
    <x v="3642"/>
    <n v="47"/>
    <x v="1"/>
    <s v="Dress"/>
    <x v="0"/>
    <n v="71"/>
    <x v="28"/>
    <s v="L"/>
    <s v="Maroon"/>
    <s v="Summer"/>
    <n v="4.4000000000000004"/>
    <s v="No"/>
    <s v="Store Pickup"/>
    <s v="No"/>
    <s v="No"/>
    <n v="5"/>
    <s v="PayPal"/>
    <s v="Annually"/>
    <s v="Annually"/>
    <n v="6"/>
  </r>
  <r>
    <x v="3643"/>
    <n v="53"/>
    <x v="1"/>
    <s v="Scarf"/>
    <x v="3"/>
    <n v="96"/>
    <x v="30"/>
    <s v="XL"/>
    <s v="Magenta"/>
    <s v="Fall"/>
    <n v="3.2"/>
    <s v="No"/>
    <s v="Standard"/>
    <s v="No"/>
    <s v="No"/>
    <n v="47"/>
    <s v="Debit Card"/>
    <s v="Annually"/>
    <s v="Annually"/>
    <n v="6"/>
  </r>
  <r>
    <x v="3644"/>
    <n v="35"/>
    <x v="1"/>
    <s v="Blouse"/>
    <x v="0"/>
    <n v="32"/>
    <x v="10"/>
    <s v="M"/>
    <s v="Violet"/>
    <s v="Winter"/>
    <n v="2.6"/>
    <s v="No"/>
    <s v="Next Day Air"/>
    <s v="No"/>
    <s v="No"/>
    <n v="18"/>
    <s v="Venmo"/>
    <s v="Weekly"/>
    <s v="Weekly"/>
    <n v="1"/>
  </r>
  <r>
    <x v="3645"/>
    <n v="38"/>
    <x v="1"/>
    <s v="Backpack"/>
    <x v="3"/>
    <n v="90"/>
    <x v="24"/>
    <s v="L"/>
    <s v="Silver"/>
    <s v="Summer"/>
    <n v="3.4"/>
    <s v="No"/>
    <s v="Free Shipping"/>
    <s v="No"/>
    <s v="No"/>
    <n v="31"/>
    <s v="Credit Card"/>
    <s v="Every 3 Months"/>
    <s v="Quarterly"/>
    <n v="5"/>
  </r>
  <r>
    <x v="3646"/>
    <n v="69"/>
    <x v="1"/>
    <s v="Jewelry"/>
    <x v="3"/>
    <n v="68"/>
    <x v="22"/>
    <s v="M"/>
    <s v="Maroon"/>
    <s v="Spring"/>
    <n v="5"/>
    <s v="No"/>
    <s v="2-Day Shipping"/>
    <s v="No"/>
    <s v="No"/>
    <n v="39"/>
    <s v="Debit Card"/>
    <s v="Fortnightly"/>
    <s v="Fortnightly"/>
    <n v="3"/>
  </r>
  <r>
    <x v="3647"/>
    <n v="47"/>
    <x v="1"/>
    <s v="Shorts"/>
    <x v="0"/>
    <n v="45"/>
    <x v="23"/>
    <s v="M"/>
    <s v="Gray"/>
    <s v="Winter"/>
    <n v="2.9"/>
    <s v="No"/>
    <s v="Store Pickup"/>
    <s v="No"/>
    <s v="No"/>
    <n v="12"/>
    <s v="Bank Transfer"/>
    <s v="Weekly"/>
    <s v="Weekly"/>
    <n v="1"/>
  </r>
  <r>
    <x v="3648"/>
    <n v="31"/>
    <x v="1"/>
    <s v="Skirt"/>
    <x v="0"/>
    <n v="67"/>
    <x v="14"/>
    <s v="M"/>
    <s v="White"/>
    <s v="Winter"/>
    <n v="5"/>
    <s v="No"/>
    <s v="Free Shipping"/>
    <s v="No"/>
    <s v="No"/>
    <n v="45"/>
    <s v="Cash"/>
    <s v="Bi-Weekly"/>
    <s v="Bi-Weekly"/>
    <n v="2"/>
  </r>
  <r>
    <x v="3649"/>
    <n v="68"/>
    <x v="1"/>
    <s v="Skirt"/>
    <x v="0"/>
    <n v="57"/>
    <x v="46"/>
    <s v="M"/>
    <s v="Brown"/>
    <s v="Fall"/>
    <n v="4.4000000000000004"/>
    <s v="No"/>
    <s v="Standard"/>
    <s v="No"/>
    <s v="No"/>
    <n v="33"/>
    <s v="Credit Card"/>
    <s v="Fortnightly"/>
    <s v="Fortnightly"/>
    <n v="3"/>
  </r>
  <r>
    <x v="3650"/>
    <n v="51"/>
    <x v="1"/>
    <s v="Jeans"/>
    <x v="0"/>
    <n v="60"/>
    <x v="31"/>
    <s v="M"/>
    <s v="Silver"/>
    <s v="Summer"/>
    <n v="3.5"/>
    <s v="No"/>
    <s v="2-Day Shipping"/>
    <s v="No"/>
    <s v="No"/>
    <n v="3"/>
    <s v="PayPal"/>
    <s v="Annually"/>
    <s v="Annually"/>
    <n v="6"/>
  </r>
  <r>
    <x v="3651"/>
    <n v="20"/>
    <x v="1"/>
    <s v="Handbag"/>
    <x v="3"/>
    <n v="32"/>
    <x v="28"/>
    <s v="M"/>
    <s v="Yellow"/>
    <s v="Spring"/>
    <n v="3.8"/>
    <s v="No"/>
    <s v="Express"/>
    <s v="No"/>
    <s v="No"/>
    <n v="5"/>
    <s v="Venmo"/>
    <s v="Every 3 Months"/>
    <s v="Quarterly"/>
    <n v="5"/>
  </r>
  <r>
    <x v="3652"/>
    <n v="27"/>
    <x v="1"/>
    <s v="Handbag"/>
    <x v="3"/>
    <n v="29"/>
    <x v="0"/>
    <s v="S"/>
    <s v="Magenta"/>
    <s v="Fall"/>
    <n v="3.8"/>
    <s v="No"/>
    <s v="Store Pickup"/>
    <s v="No"/>
    <s v="No"/>
    <n v="23"/>
    <s v="Debit Card"/>
    <s v="Monthly"/>
    <s v="Monthly"/>
    <n v="4"/>
  </r>
  <r>
    <x v="3653"/>
    <n v="67"/>
    <x v="1"/>
    <s v="Coat"/>
    <x v="2"/>
    <n v="20"/>
    <x v="46"/>
    <s v="M"/>
    <s v="Blue"/>
    <s v="Spring"/>
    <n v="3.9"/>
    <s v="No"/>
    <s v="Next Day Air"/>
    <s v="No"/>
    <s v="No"/>
    <n v="39"/>
    <s v="Credit Card"/>
    <s v="Fortnightly"/>
    <s v="Fortnightly"/>
    <n v="3"/>
  </r>
  <r>
    <x v="3654"/>
    <n v="21"/>
    <x v="1"/>
    <s v="Jewelry"/>
    <x v="3"/>
    <n v="98"/>
    <x v="10"/>
    <s v="M"/>
    <s v="Green"/>
    <s v="Winter"/>
    <n v="3.3"/>
    <s v="No"/>
    <s v="Next Day Air"/>
    <s v="No"/>
    <s v="No"/>
    <n v="10"/>
    <s v="Credit Card"/>
    <s v="Annually"/>
    <s v="Annually"/>
    <n v="6"/>
  </r>
  <r>
    <x v="3655"/>
    <n v="20"/>
    <x v="1"/>
    <s v="Sweater"/>
    <x v="0"/>
    <n v="27"/>
    <x v="5"/>
    <s v="M"/>
    <s v="Yellow"/>
    <s v="Fall"/>
    <n v="2.9"/>
    <s v="No"/>
    <s v="Next Day Air"/>
    <s v="No"/>
    <s v="No"/>
    <n v="4"/>
    <s v="Credit Card"/>
    <s v="Bi-Weekly"/>
    <s v="Bi-Weekly"/>
    <n v="2"/>
  </r>
  <r>
    <x v="3656"/>
    <n v="35"/>
    <x v="1"/>
    <s v="Jacket"/>
    <x v="2"/>
    <n v="67"/>
    <x v="25"/>
    <s v="XL"/>
    <s v="Cyan"/>
    <s v="Spring"/>
    <n v="3.7"/>
    <s v="No"/>
    <s v="2-Day Shipping"/>
    <s v="No"/>
    <s v="No"/>
    <n v="18"/>
    <s v="Credit Card"/>
    <s v="Monthly"/>
    <s v="Monthly"/>
    <n v="4"/>
  </r>
  <r>
    <x v="3657"/>
    <n v="58"/>
    <x v="1"/>
    <s v="Shoes"/>
    <x v="1"/>
    <n v="82"/>
    <x v="15"/>
    <s v="L"/>
    <s v="Gold"/>
    <s v="Winter"/>
    <n v="3.7"/>
    <s v="No"/>
    <s v="Express"/>
    <s v="No"/>
    <s v="No"/>
    <n v="1"/>
    <s v="Debit Card"/>
    <s v="Every 3 Months"/>
    <s v="Quarterly"/>
    <n v="5"/>
  </r>
  <r>
    <x v="3658"/>
    <n v="28"/>
    <x v="1"/>
    <s v="T-shirt"/>
    <x v="0"/>
    <n v="72"/>
    <x v="16"/>
    <s v="M"/>
    <s v="Magenta"/>
    <s v="Fall"/>
    <n v="4.5999999999999996"/>
    <s v="No"/>
    <s v="Standard"/>
    <s v="No"/>
    <s v="No"/>
    <n v="18"/>
    <s v="PayPal"/>
    <s v="Fortnightly"/>
    <s v="Fortnightly"/>
    <n v="3"/>
  </r>
  <r>
    <x v="3659"/>
    <n v="27"/>
    <x v="1"/>
    <s v="Sandals"/>
    <x v="1"/>
    <n v="77"/>
    <x v="26"/>
    <s v="S"/>
    <s v="Gray"/>
    <s v="Fall"/>
    <n v="4.9000000000000004"/>
    <s v="No"/>
    <s v="Store Pickup"/>
    <s v="No"/>
    <s v="No"/>
    <n v="46"/>
    <s v="Bank Transfer"/>
    <s v="Annually"/>
    <s v="Annually"/>
    <n v="6"/>
  </r>
  <r>
    <x v="3660"/>
    <n v="19"/>
    <x v="1"/>
    <s v="Shoes"/>
    <x v="1"/>
    <n v="74"/>
    <x v="10"/>
    <s v="L"/>
    <s v="Indigo"/>
    <s v="Winter"/>
    <n v="3.1"/>
    <s v="No"/>
    <s v="2-Day Shipping"/>
    <s v="No"/>
    <s v="No"/>
    <n v="13"/>
    <s v="Bank Transfer"/>
    <s v="Fortnightly"/>
    <s v="Fortnightly"/>
    <n v="3"/>
  </r>
  <r>
    <x v="3661"/>
    <n v="63"/>
    <x v="1"/>
    <s v="Sandals"/>
    <x v="1"/>
    <n v="39"/>
    <x v="23"/>
    <s v="S"/>
    <s v="White"/>
    <s v="Winter"/>
    <n v="3.5"/>
    <s v="No"/>
    <s v="Next Day Air"/>
    <s v="No"/>
    <s v="No"/>
    <n v="5"/>
    <s v="Credit Card"/>
    <s v="Fortnightly"/>
    <s v="Fortnightly"/>
    <n v="3"/>
  </r>
  <r>
    <x v="3662"/>
    <n v="69"/>
    <x v="1"/>
    <s v="Shorts"/>
    <x v="0"/>
    <n v="80"/>
    <x v="3"/>
    <s v="M"/>
    <s v="Indigo"/>
    <s v="Spring"/>
    <n v="4.9000000000000004"/>
    <s v="No"/>
    <s v="Next Day Air"/>
    <s v="No"/>
    <s v="No"/>
    <n v="11"/>
    <s v="Debit Card"/>
    <s v="Weekly"/>
    <s v="Weekly"/>
    <n v="1"/>
  </r>
  <r>
    <x v="3663"/>
    <n v="65"/>
    <x v="1"/>
    <s v="Backpack"/>
    <x v="3"/>
    <n v="59"/>
    <x v="20"/>
    <s v="M"/>
    <s v="Green"/>
    <s v="Summer"/>
    <n v="4.4000000000000004"/>
    <s v="No"/>
    <s v="Express"/>
    <s v="No"/>
    <s v="No"/>
    <n v="49"/>
    <s v="Credit Card"/>
    <s v="Weekly"/>
    <s v="Weekly"/>
    <n v="1"/>
  </r>
  <r>
    <x v="3664"/>
    <n v="63"/>
    <x v="1"/>
    <s v="Jacket"/>
    <x v="2"/>
    <n v="68"/>
    <x v="9"/>
    <s v="M"/>
    <s v="Turquoise"/>
    <s v="Fall"/>
    <n v="4.4000000000000004"/>
    <s v="No"/>
    <s v="Store Pickup"/>
    <s v="No"/>
    <s v="No"/>
    <n v="1"/>
    <s v="Debit Card"/>
    <s v="Fortnightly"/>
    <s v="Fortnightly"/>
    <n v="3"/>
  </r>
  <r>
    <x v="3665"/>
    <n v="28"/>
    <x v="1"/>
    <s v="Socks"/>
    <x v="0"/>
    <n v="77"/>
    <x v="17"/>
    <s v="M"/>
    <s v="Peach"/>
    <s v="Fall"/>
    <n v="3.4"/>
    <s v="No"/>
    <s v="Next Day Air"/>
    <s v="No"/>
    <s v="No"/>
    <n v="11"/>
    <s v="Credit Card"/>
    <s v="Quarterly"/>
    <s v="Quarterly"/>
    <n v="5"/>
  </r>
  <r>
    <x v="3666"/>
    <n v="67"/>
    <x v="1"/>
    <s v="Jewelry"/>
    <x v="3"/>
    <n v="50"/>
    <x v="15"/>
    <s v="M"/>
    <s v="Olive"/>
    <s v="Winter"/>
    <n v="3"/>
    <s v="No"/>
    <s v="2-Day Shipping"/>
    <s v="No"/>
    <s v="No"/>
    <n v="47"/>
    <s v="Cash"/>
    <s v="Every 3 Months"/>
    <s v="Quarterly"/>
    <n v="5"/>
  </r>
  <r>
    <x v="3667"/>
    <n v="51"/>
    <x v="1"/>
    <s v="Pants"/>
    <x v="0"/>
    <n v="45"/>
    <x v="47"/>
    <s v="L"/>
    <s v="Cyan"/>
    <s v="Fall"/>
    <n v="2.6"/>
    <s v="No"/>
    <s v="Next Day Air"/>
    <s v="No"/>
    <s v="No"/>
    <n v="20"/>
    <s v="Venmo"/>
    <s v="Monthly"/>
    <s v="Monthly"/>
    <n v="4"/>
  </r>
  <r>
    <x v="3668"/>
    <n v="59"/>
    <x v="1"/>
    <s v="Blouse"/>
    <x v="0"/>
    <n v="71"/>
    <x v="49"/>
    <s v="XL"/>
    <s v="Magenta"/>
    <s v="Summer"/>
    <n v="3.2"/>
    <s v="No"/>
    <s v="Store Pickup"/>
    <s v="No"/>
    <s v="No"/>
    <n v="18"/>
    <s v="Venmo"/>
    <s v="Annually"/>
    <s v="Annually"/>
    <n v="6"/>
  </r>
  <r>
    <x v="3669"/>
    <n v="25"/>
    <x v="1"/>
    <s v="Socks"/>
    <x v="0"/>
    <n v="52"/>
    <x v="47"/>
    <s v="S"/>
    <s v="Silver"/>
    <s v="Fall"/>
    <n v="4.5999999999999996"/>
    <s v="No"/>
    <s v="Store Pickup"/>
    <s v="No"/>
    <s v="No"/>
    <n v="43"/>
    <s v="PayPal"/>
    <s v="Quarterly"/>
    <s v="Quarterly"/>
    <n v="5"/>
  </r>
  <r>
    <x v="3670"/>
    <n v="31"/>
    <x v="1"/>
    <s v="Shoes"/>
    <x v="1"/>
    <n v="50"/>
    <x v="34"/>
    <s v="S"/>
    <s v="White"/>
    <s v="Winter"/>
    <n v="3.8"/>
    <s v="No"/>
    <s v="Free Shipping"/>
    <s v="No"/>
    <s v="No"/>
    <n v="4"/>
    <s v="PayPal"/>
    <s v="Every 3 Months"/>
    <s v="Quarterly"/>
    <n v="5"/>
  </r>
  <r>
    <x v="3671"/>
    <n v="62"/>
    <x v="1"/>
    <s v="Handbag"/>
    <x v="3"/>
    <n v="66"/>
    <x v="26"/>
    <s v="L"/>
    <s v="Pink"/>
    <s v="Summer"/>
    <n v="4.8"/>
    <s v="No"/>
    <s v="2-Day Shipping"/>
    <s v="No"/>
    <s v="No"/>
    <n v="20"/>
    <s v="Venmo"/>
    <s v="Quarterly"/>
    <s v="Quarterly"/>
    <n v="5"/>
  </r>
  <r>
    <x v="3672"/>
    <n v="51"/>
    <x v="1"/>
    <s v="Sandals"/>
    <x v="1"/>
    <n v="81"/>
    <x v="14"/>
    <s v="S"/>
    <s v="Pink"/>
    <s v="Fall"/>
    <n v="4.5"/>
    <s v="No"/>
    <s v="Free Shipping"/>
    <s v="No"/>
    <s v="No"/>
    <n v="7"/>
    <s v="PayPal"/>
    <s v="Monthly"/>
    <s v="Monthly"/>
    <n v="4"/>
  </r>
  <r>
    <x v="3673"/>
    <n v="32"/>
    <x v="1"/>
    <s v="Socks"/>
    <x v="0"/>
    <n v="28"/>
    <x v="3"/>
    <s v="M"/>
    <s v="Pink"/>
    <s v="Summer"/>
    <n v="4.2"/>
    <s v="No"/>
    <s v="2-Day Shipping"/>
    <s v="No"/>
    <s v="No"/>
    <n v="31"/>
    <s v="Bank Transfer"/>
    <s v="Fortnightly"/>
    <s v="Fortnightly"/>
    <n v="3"/>
  </r>
  <r>
    <x v="3674"/>
    <n v="35"/>
    <x v="1"/>
    <s v="Handbag"/>
    <x v="3"/>
    <n v="65"/>
    <x v="47"/>
    <s v="M"/>
    <s v="Blue"/>
    <s v="Winter"/>
    <n v="2.7"/>
    <s v="No"/>
    <s v="2-Day Shipping"/>
    <s v="No"/>
    <s v="No"/>
    <n v="41"/>
    <s v="Venmo"/>
    <s v="Fortnightly"/>
    <s v="Fortnightly"/>
    <n v="3"/>
  </r>
  <r>
    <x v="3675"/>
    <n v="70"/>
    <x v="1"/>
    <s v="Hat"/>
    <x v="3"/>
    <n v="80"/>
    <x v="41"/>
    <s v="M"/>
    <s v="White"/>
    <s v="Winter"/>
    <n v="4.5"/>
    <s v="No"/>
    <s v="Express"/>
    <s v="No"/>
    <s v="No"/>
    <n v="3"/>
    <s v="Bank Transfer"/>
    <s v="Monthly"/>
    <s v="Monthly"/>
    <n v="4"/>
  </r>
  <r>
    <x v="3676"/>
    <n v="19"/>
    <x v="1"/>
    <s v="Jewelry"/>
    <x v="3"/>
    <n v="94"/>
    <x v="48"/>
    <s v="S"/>
    <s v="Teal"/>
    <s v="Spring"/>
    <n v="4.9000000000000004"/>
    <s v="No"/>
    <s v="Free Shipping"/>
    <s v="No"/>
    <s v="No"/>
    <n v="16"/>
    <s v="PayPal"/>
    <s v="Monthly"/>
    <s v="Monthly"/>
    <n v="4"/>
  </r>
  <r>
    <x v="3677"/>
    <n v="32"/>
    <x v="1"/>
    <s v="Backpack"/>
    <x v="3"/>
    <n v="30"/>
    <x v="49"/>
    <s v="M"/>
    <s v="Gray"/>
    <s v="Fall"/>
    <n v="2.8"/>
    <s v="No"/>
    <s v="Standard"/>
    <s v="No"/>
    <s v="No"/>
    <n v="43"/>
    <s v="Cash"/>
    <s v="Annually"/>
    <s v="Annually"/>
    <n v="6"/>
  </r>
  <r>
    <x v="3678"/>
    <n v="56"/>
    <x v="1"/>
    <s v="Shirt"/>
    <x v="0"/>
    <n v="45"/>
    <x v="21"/>
    <s v="S"/>
    <s v="Beige"/>
    <s v="Fall"/>
    <n v="3.5"/>
    <s v="No"/>
    <s v="Standard"/>
    <s v="No"/>
    <s v="No"/>
    <n v="29"/>
    <s v="Bank Transfer"/>
    <s v="Fortnightly"/>
    <s v="Fortnightly"/>
    <n v="3"/>
  </r>
  <r>
    <x v="3679"/>
    <n v="53"/>
    <x v="1"/>
    <s v="Coat"/>
    <x v="2"/>
    <n v="91"/>
    <x v="37"/>
    <s v="M"/>
    <s v="Violet"/>
    <s v="Summer"/>
    <n v="2.5"/>
    <s v="No"/>
    <s v="Store Pickup"/>
    <s v="No"/>
    <s v="No"/>
    <n v="5"/>
    <s v="Cash"/>
    <s v="Bi-Weekly"/>
    <s v="Bi-Weekly"/>
    <n v="2"/>
  </r>
  <r>
    <x v="3680"/>
    <n v="22"/>
    <x v="1"/>
    <s v="Sunglasses"/>
    <x v="3"/>
    <n v="36"/>
    <x v="44"/>
    <s v="S"/>
    <s v="Blue"/>
    <s v="Winter"/>
    <n v="2.9"/>
    <s v="No"/>
    <s v="Standard"/>
    <s v="No"/>
    <s v="No"/>
    <n v="30"/>
    <s v="Debit Card"/>
    <s v="Quarterly"/>
    <s v="Quarterly"/>
    <n v="5"/>
  </r>
  <r>
    <x v="3681"/>
    <n v="26"/>
    <x v="1"/>
    <s v="Gloves"/>
    <x v="3"/>
    <n v="73"/>
    <x v="39"/>
    <s v="XL"/>
    <s v="Magenta"/>
    <s v="Fall"/>
    <n v="4.2"/>
    <s v="No"/>
    <s v="Next Day Air"/>
    <s v="No"/>
    <s v="No"/>
    <n v="33"/>
    <s v="Debit Card"/>
    <s v="Monthly"/>
    <s v="Monthly"/>
    <n v="4"/>
  </r>
  <r>
    <x v="3682"/>
    <n v="42"/>
    <x v="1"/>
    <s v="Shirt"/>
    <x v="0"/>
    <n v="60"/>
    <x v="5"/>
    <s v="M"/>
    <s v="Maroon"/>
    <s v="Fall"/>
    <n v="4.5999999999999996"/>
    <s v="No"/>
    <s v="Store Pickup"/>
    <s v="No"/>
    <s v="No"/>
    <n v="46"/>
    <s v="Venmo"/>
    <s v="Bi-Weekly"/>
    <s v="Bi-Weekly"/>
    <n v="2"/>
  </r>
  <r>
    <x v="3683"/>
    <n v="30"/>
    <x v="1"/>
    <s v="Socks"/>
    <x v="0"/>
    <n v="77"/>
    <x v="16"/>
    <s v="M"/>
    <s v="Purple"/>
    <s v="Winter"/>
    <n v="3"/>
    <s v="No"/>
    <s v="Free Shipping"/>
    <s v="No"/>
    <s v="No"/>
    <n v="17"/>
    <s v="Venmo"/>
    <s v="Fortnightly"/>
    <s v="Fortnightly"/>
    <n v="3"/>
  </r>
  <r>
    <x v="3684"/>
    <n v="29"/>
    <x v="1"/>
    <s v="Skirt"/>
    <x v="0"/>
    <n v="86"/>
    <x v="38"/>
    <s v="L"/>
    <s v="Charcoal"/>
    <s v="Spring"/>
    <n v="4.4000000000000004"/>
    <s v="No"/>
    <s v="Free Shipping"/>
    <s v="No"/>
    <s v="No"/>
    <n v="47"/>
    <s v="Credit Card"/>
    <s v="Bi-Weekly"/>
    <s v="Bi-Weekly"/>
    <n v="2"/>
  </r>
  <r>
    <x v="3685"/>
    <n v="47"/>
    <x v="1"/>
    <s v="Shorts"/>
    <x v="0"/>
    <n v="42"/>
    <x v="30"/>
    <s v="L"/>
    <s v="Red"/>
    <s v="Summer"/>
    <n v="2.6"/>
    <s v="No"/>
    <s v="Standard"/>
    <s v="No"/>
    <s v="No"/>
    <n v="17"/>
    <s v="Cash"/>
    <s v="Bi-Weekly"/>
    <s v="Bi-Weekly"/>
    <n v="2"/>
  </r>
  <r>
    <x v="3686"/>
    <n v="59"/>
    <x v="1"/>
    <s v="Sandals"/>
    <x v="1"/>
    <n v="70"/>
    <x v="7"/>
    <s v="M"/>
    <s v="Charcoal"/>
    <s v="Spring"/>
    <n v="4.8"/>
    <s v="No"/>
    <s v="Free Shipping"/>
    <s v="No"/>
    <s v="No"/>
    <n v="17"/>
    <s v="Cash"/>
    <s v="Bi-Weekly"/>
    <s v="Bi-Weekly"/>
    <n v="2"/>
  </r>
  <r>
    <x v="3687"/>
    <n v="34"/>
    <x v="1"/>
    <s v="Shirt"/>
    <x v="0"/>
    <n v="44"/>
    <x v="10"/>
    <s v="L"/>
    <s v="Lavender"/>
    <s v="Summer"/>
    <n v="2.9"/>
    <s v="No"/>
    <s v="Next Day Air"/>
    <s v="No"/>
    <s v="No"/>
    <n v="28"/>
    <s v="Bank Transfer"/>
    <s v="Every 3 Months"/>
    <s v="Quarterly"/>
    <n v="5"/>
  </r>
  <r>
    <x v="3688"/>
    <n v="52"/>
    <x v="1"/>
    <s v="Sunglasses"/>
    <x v="3"/>
    <n v="91"/>
    <x v="8"/>
    <s v="L"/>
    <s v="White"/>
    <s v="Spring"/>
    <n v="3"/>
    <s v="No"/>
    <s v="Next Day Air"/>
    <s v="No"/>
    <s v="No"/>
    <n v="8"/>
    <s v="Cash"/>
    <s v="Monthly"/>
    <s v="Monthly"/>
    <n v="4"/>
  </r>
  <r>
    <x v="3689"/>
    <n v="47"/>
    <x v="1"/>
    <s v="Jewelry"/>
    <x v="3"/>
    <n v="30"/>
    <x v="36"/>
    <s v="L"/>
    <s v="Red"/>
    <s v="Fall"/>
    <n v="4.5"/>
    <s v="No"/>
    <s v="Standard"/>
    <s v="No"/>
    <s v="No"/>
    <n v="8"/>
    <s v="Bank Transfer"/>
    <s v="Quarterly"/>
    <s v="Quarterly"/>
    <n v="5"/>
  </r>
  <r>
    <x v="3690"/>
    <n v="24"/>
    <x v="1"/>
    <s v="Blouse"/>
    <x v="0"/>
    <n v="23"/>
    <x v="23"/>
    <s v="S"/>
    <s v="Violet"/>
    <s v="Fall"/>
    <n v="3.7"/>
    <s v="No"/>
    <s v="Store Pickup"/>
    <s v="No"/>
    <s v="No"/>
    <n v="4"/>
    <s v="Bank Transfer"/>
    <s v="Bi-Weekly"/>
    <s v="Bi-Weekly"/>
    <n v="2"/>
  </r>
  <r>
    <x v="3691"/>
    <n v="63"/>
    <x v="1"/>
    <s v="Sandals"/>
    <x v="1"/>
    <n v="21"/>
    <x v="49"/>
    <s v="XL"/>
    <s v="Orange"/>
    <s v="Summer"/>
    <n v="4.8"/>
    <s v="No"/>
    <s v="Next Day Air"/>
    <s v="No"/>
    <s v="No"/>
    <n v="24"/>
    <s v="PayPal"/>
    <s v="Weekly"/>
    <s v="Weekly"/>
    <n v="1"/>
  </r>
  <r>
    <x v="3692"/>
    <n v="59"/>
    <x v="1"/>
    <s v="Coat"/>
    <x v="2"/>
    <n v="34"/>
    <x v="15"/>
    <s v="L"/>
    <s v="Turquoise"/>
    <s v="Spring"/>
    <n v="4.8"/>
    <s v="No"/>
    <s v="Free Shipping"/>
    <s v="No"/>
    <s v="No"/>
    <n v="29"/>
    <s v="Cash"/>
    <s v="Fortnightly"/>
    <s v="Fortnightly"/>
    <n v="3"/>
  </r>
  <r>
    <x v="3693"/>
    <n v="66"/>
    <x v="1"/>
    <s v="Blouse"/>
    <x v="0"/>
    <n v="46"/>
    <x v="45"/>
    <s v="M"/>
    <s v="Violet"/>
    <s v="Summer"/>
    <n v="4.7"/>
    <s v="No"/>
    <s v="2-Day Shipping"/>
    <s v="No"/>
    <s v="No"/>
    <n v="10"/>
    <s v="Venmo"/>
    <s v="Weekly"/>
    <s v="Weekly"/>
    <n v="1"/>
  </r>
  <r>
    <x v="3694"/>
    <n v="45"/>
    <x v="1"/>
    <s v="Sweater"/>
    <x v="0"/>
    <n v="41"/>
    <x v="3"/>
    <s v="M"/>
    <s v="Blue"/>
    <s v="Winter"/>
    <n v="2.6"/>
    <s v="No"/>
    <s v="Express"/>
    <s v="No"/>
    <s v="No"/>
    <n v="11"/>
    <s v="PayPal"/>
    <s v="Bi-Weekly"/>
    <s v="Bi-Weekly"/>
    <n v="2"/>
  </r>
  <r>
    <x v="3695"/>
    <n v="38"/>
    <x v="1"/>
    <s v="Skirt"/>
    <x v="0"/>
    <n v="33"/>
    <x v="20"/>
    <s v="M"/>
    <s v="White"/>
    <s v="Fall"/>
    <n v="4.5999999999999996"/>
    <s v="No"/>
    <s v="Standard"/>
    <s v="No"/>
    <s v="No"/>
    <n v="18"/>
    <s v="Bank Transfer"/>
    <s v="Fortnightly"/>
    <s v="Fortnightly"/>
    <n v="3"/>
  </r>
  <r>
    <x v="3696"/>
    <n v="63"/>
    <x v="1"/>
    <s v="Blouse"/>
    <x v="0"/>
    <n v="48"/>
    <x v="39"/>
    <s v="L"/>
    <s v="Turquoise"/>
    <s v="Fall"/>
    <n v="3.4"/>
    <s v="No"/>
    <s v="Next Day Air"/>
    <s v="No"/>
    <s v="No"/>
    <n v="26"/>
    <s v="Bank Transfer"/>
    <s v="Annually"/>
    <s v="Annually"/>
    <n v="6"/>
  </r>
  <r>
    <x v="3697"/>
    <n v="55"/>
    <x v="1"/>
    <s v="Hoodie"/>
    <x v="0"/>
    <n v="66"/>
    <x v="38"/>
    <s v="L"/>
    <s v="Pink"/>
    <s v="Winter"/>
    <n v="3"/>
    <s v="No"/>
    <s v="Standard"/>
    <s v="No"/>
    <s v="No"/>
    <n v="39"/>
    <s v="Cash"/>
    <s v="Weekly"/>
    <s v="Weekly"/>
    <n v="1"/>
  </r>
  <r>
    <x v="3698"/>
    <n v="25"/>
    <x v="1"/>
    <s v="Skirt"/>
    <x v="0"/>
    <n v="54"/>
    <x v="18"/>
    <s v="XL"/>
    <s v="Maroon"/>
    <s v="Spring"/>
    <n v="4"/>
    <s v="No"/>
    <s v="2-Day Shipping"/>
    <s v="No"/>
    <s v="No"/>
    <n v="4"/>
    <s v="Venmo"/>
    <s v="Annually"/>
    <s v="Annually"/>
    <n v="6"/>
  </r>
  <r>
    <x v="3699"/>
    <n v="51"/>
    <x v="1"/>
    <s v="Backpack"/>
    <x v="3"/>
    <n v="55"/>
    <x v="19"/>
    <s v="M"/>
    <s v="Olive"/>
    <s v="Fall"/>
    <n v="2.6"/>
    <s v="No"/>
    <s v="Store Pickup"/>
    <s v="No"/>
    <s v="No"/>
    <n v="24"/>
    <s v="Bank Transfer"/>
    <s v="Weekly"/>
    <s v="Weekly"/>
    <n v="1"/>
  </r>
  <r>
    <x v="3700"/>
    <n v="28"/>
    <x v="1"/>
    <s v="Handbag"/>
    <x v="3"/>
    <n v="84"/>
    <x v="25"/>
    <s v="XL"/>
    <s v="Charcoal"/>
    <s v="Summer"/>
    <n v="3.4"/>
    <s v="No"/>
    <s v="Store Pickup"/>
    <s v="No"/>
    <s v="No"/>
    <n v="2"/>
    <s v="Bank Transfer"/>
    <s v="Every 3 Months"/>
    <s v="Quarterly"/>
    <n v="5"/>
  </r>
  <r>
    <x v="3701"/>
    <n v="46"/>
    <x v="1"/>
    <s v="Sandals"/>
    <x v="1"/>
    <n v="66"/>
    <x v="35"/>
    <s v="M"/>
    <s v="Charcoal"/>
    <s v="Spring"/>
    <n v="4.5"/>
    <s v="No"/>
    <s v="Store Pickup"/>
    <s v="No"/>
    <s v="No"/>
    <n v="36"/>
    <s v="Cash"/>
    <s v="Annually"/>
    <s v="Annually"/>
    <n v="6"/>
  </r>
  <r>
    <x v="3702"/>
    <n v="58"/>
    <x v="1"/>
    <s v="Shoes"/>
    <x v="1"/>
    <n v="65"/>
    <x v="36"/>
    <s v="M"/>
    <s v="Indigo"/>
    <s v="Spring"/>
    <n v="2.7"/>
    <s v="No"/>
    <s v="Store Pickup"/>
    <s v="No"/>
    <s v="No"/>
    <n v="36"/>
    <s v="Venmo"/>
    <s v="Weekly"/>
    <s v="Weekly"/>
    <n v="1"/>
  </r>
  <r>
    <x v="3703"/>
    <n v="30"/>
    <x v="1"/>
    <s v="Sandals"/>
    <x v="1"/>
    <n v="83"/>
    <x v="49"/>
    <s v="S"/>
    <s v="Teal"/>
    <s v="Fall"/>
    <n v="2.9"/>
    <s v="No"/>
    <s v="Standard"/>
    <s v="No"/>
    <s v="No"/>
    <n v="23"/>
    <s v="PayPal"/>
    <s v="Every 3 Months"/>
    <s v="Quarterly"/>
    <n v="5"/>
  </r>
  <r>
    <x v="3704"/>
    <n v="68"/>
    <x v="1"/>
    <s v="Sunglasses"/>
    <x v="3"/>
    <n v="61"/>
    <x v="9"/>
    <s v="L"/>
    <s v="Black"/>
    <s v="Winter"/>
    <n v="4"/>
    <s v="No"/>
    <s v="Store Pickup"/>
    <s v="No"/>
    <s v="No"/>
    <n v="36"/>
    <s v="Credit Card"/>
    <s v="Quarterly"/>
    <s v="Quarterly"/>
    <n v="5"/>
  </r>
  <r>
    <x v="3705"/>
    <n v="28"/>
    <x v="1"/>
    <s v="Skirt"/>
    <x v="0"/>
    <n v="65"/>
    <x v="24"/>
    <s v="L"/>
    <s v="Teal"/>
    <s v="Summer"/>
    <n v="3.2"/>
    <s v="No"/>
    <s v="Free Shipping"/>
    <s v="No"/>
    <s v="No"/>
    <n v="2"/>
    <s v="Debit Card"/>
    <s v="Annually"/>
    <s v="Annually"/>
    <n v="6"/>
  </r>
  <r>
    <x v="3706"/>
    <n v="26"/>
    <x v="1"/>
    <s v="Sandals"/>
    <x v="1"/>
    <n v="55"/>
    <x v="23"/>
    <s v="M"/>
    <s v="Green"/>
    <s v="Spring"/>
    <n v="4"/>
    <s v="No"/>
    <s v="Store Pickup"/>
    <s v="No"/>
    <s v="No"/>
    <n v="17"/>
    <s v="Cash"/>
    <s v="Bi-Weekly"/>
    <s v="Bi-Weekly"/>
    <n v="2"/>
  </r>
  <r>
    <x v="3707"/>
    <n v="35"/>
    <x v="1"/>
    <s v="Gloves"/>
    <x v="3"/>
    <n v="79"/>
    <x v="26"/>
    <s v="M"/>
    <s v="Gold"/>
    <s v="Fall"/>
    <n v="3.4"/>
    <s v="No"/>
    <s v="2-Day Shipping"/>
    <s v="No"/>
    <s v="No"/>
    <n v="19"/>
    <s v="Venmo"/>
    <s v="Weekly"/>
    <s v="Weekly"/>
    <n v="1"/>
  </r>
  <r>
    <x v="3708"/>
    <n v="40"/>
    <x v="1"/>
    <s v="Hoodie"/>
    <x v="0"/>
    <n v="96"/>
    <x v="36"/>
    <s v="M"/>
    <s v="Red"/>
    <s v="Fall"/>
    <n v="4.9000000000000004"/>
    <s v="No"/>
    <s v="Express"/>
    <s v="No"/>
    <s v="No"/>
    <n v="41"/>
    <s v="PayPal"/>
    <s v="Monthly"/>
    <s v="Monthly"/>
    <n v="4"/>
  </r>
  <r>
    <x v="3709"/>
    <n v="31"/>
    <x v="1"/>
    <s v="Socks"/>
    <x v="0"/>
    <n v="43"/>
    <x v="40"/>
    <s v="M"/>
    <s v="Silver"/>
    <s v="Fall"/>
    <n v="3.6"/>
    <s v="No"/>
    <s v="Free Shipping"/>
    <s v="No"/>
    <s v="No"/>
    <n v="27"/>
    <s v="PayPal"/>
    <s v="Quarterly"/>
    <s v="Quarterly"/>
    <n v="5"/>
  </r>
  <r>
    <x v="3710"/>
    <n v="60"/>
    <x v="1"/>
    <s v="Jewelry"/>
    <x v="3"/>
    <n v="40"/>
    <x v="11"/>
    <s v="M"/>
    <s v="Yellow"/>
    <s v="Summer"/>
    <n v="3.6"/>
    <s v="No"/>
    <s v="2-Day Shipping"/>
    <s v="No"/>
    <s v="No"/>
    <n v="32"/>
    <s v="Bank Transfer"/>
    <s v="Fortnightly"/>
    <s v="Fortnightly"/>
    <n v="3"/>
  </r>
  <r>
    <x v="3711"/>
    <n v="69"/>
    <x v="1"/>
    <s v="Hat"/>
    <x v="3"/>
    <n v="62"/>
    <x v="21"/>
    <s v="XL"/>
    <s v="Peach"/>
    <s v="Fall"/>
    <n v="3.2"/>
    <s v="No"/>
    <s v="Free Shipping"/>
    <s v="No"/>
    <s v="No"/>
    <n v="33"/>
    <s v="Cash"/>
    <s v="Annually"/>
    <s v="Annually"/>
    <n v="6"/>
  </r>
  <r>
    <x v="3712"/>
    <n v="51"/>
    <x v="1"/>
    <s v="Blouse"/>
    <x v="0"/>
    <n v="72"/>
    <x v="4"/>
    <s v="M"/>
    <s v="Turquoise"/>
    <s v="Spring"/>
    <n v="3.7"/>
    <s v="No"/>
    <s v="2-Day Shipping"/>
    <s v="No"/>
    <s v="No"/>
    <n v="24"/>
    <s v="PayPal"/>
    <s v="Quarterly"/>
    <s v="Quarterly"/>
    <n v="5"/>
  </r>
  <r>
    <x v="3713"/>
    <n v="49"/>
    <x v="1"/>
    <s v="Shoes"/>
    <x v="1"/>
    <n v="87"/>
    <x v="28"/>
    <s v="M"/>
    <s v="Peach"/>
    <s v="Spring"/>
    <n v="2.6"/>
    <s v="No"/>
    <s v="Express"/>
    <s v="No"/>
    <s v="No"/>
    <n v="31"/>
    <s v="Debit Card"/>
    <s v="Every 3 Months"/>
    <s v="Quarterly"/>
    <n v="5"/>
  </r>
  <r>
    <x v="3714"/>
    <n v="18"/>
    <x v="1"/>
    <s v="Hat"/>
    <x v="3"/>
    <n v="31"/>
    <x v="14"/>
    <s v="S"/>
    <s v="Peach"/>
    <s v="Winter"/>
    <n v="3.9"/>
    <s v="No"/>
    <s v="Express"/>
    <s v="No"/>
    <s v="No"/>
    <n v="35"/>
    <s v="Credit Card"/>
    <s v="Weekly"/>
    <s v="Weekly"/>
    <n v="1"/>
  </r>
  <r>
    <x v="3715"/>
    <n v="63"/>
    <x v="1"/>
    <s v="Sunglasses"/>
    <x v="3"/>
    <n v="34"/>
    <x v="43"/>
    <s v="S"/>
    <s v="Orange"/>
    <s v="Fall"/>
    <n v="3.4"/>
    <s v="No"/>
    <s v="Free Shipping"/>
    <s v="No"/>
    <s v="No"/>
    <n v="2"/>
    <s v="Bank Transfer"/>
    <s v="Monthly"/>
    <s v="Monthly"/>
    <n v="4"/>
  </r>
  <r>
    <x v="3716"/>
    <n v="57"/>
    <x v="1"/>
    <s v="Shirt"/>
    <x v="0"/>
    <n v="53"/>
    <x v="34"/>
    <s v="M"/>
    <s v="Charcoal"/>
    <s v="Fall"/>
    <n v="3.4"/>
    <s v="No"/>
    <s v="Next Day Air"/>
    <s v="No"/>
    <s v="No"/>
    <n v="42"/>
    <s v="Debit Card"/>
    <s v="Every 3 Months"/>
    <s v="Quarterly"/>
    <n v="5"/>
  </r>
  <r>
    <x v="3717"/>
    <n v="45"/>
    <x v="1"/>
    <s v="T-shirt"/>
    <x v="0"/>
    <n v="85"/>
    <x v="33"/>
    <s v="XL"/>
    <s v="White"/>
    <s v="Summer"/>
    <n v="4.2"/>
    <s v="No"/>
    <s v="Express"/>
    <s v="No"/>
    <s v="No"/>
    <n v="47"/>
    <s v="Bank Transfer"/>
    <s v="Every 3 Months"/>
    <s v="Quarterly"/>
    <n v="5"/>
  </r>
  <r>
    <x v="3718"/>
    <n v="36"/>
    <x v="1"/>
    <s v="Pants"/>
    <x v="0"/>
    <n v="50"/>
    <x v="30"/>
    <s v="L"/>
    <s v="Turquoise"/>
    <s v="Fall"/>
    <n v="2.9"/>
    <s v="No"/>
    <s v="Standard"/>
    <s v="No"/>
    <s v="No"/>
    <n v="44"/>
    <s v="Bank Transfer"/>
    <s v="Bi-Weekly"/>
    <s v="Bi-Weekly"/>
    <n v="2"/>
  </r>
  <r>
    <x v="3719"/>
    <n v="20"/>
    <x v="1"/>
    <s v="Pants"/>
    <x v="0"/>
    <n v="91"/>
    <x v="38"/>
    <s v="M"/>
    <s v="Red"/>
    <s v="Summer"/>
    <n v="4.0999999999999996"/>
    <s v="No"/>
    <s v="Free Shipping"/>
    <s v="No"/>
    <s v="No"/>
    <n v="8"/>
    <s v="Bank Transfer"/>
    <s v="Every 3 Months"/>
    <s v="Quarterly"/>
    <n v="5"/>
  </r>
  <r>
    <x v="3720"/>
    <n v="21"/>
    <x v="1"/>
    <s v="Hat"/>
    <x v="3"/>
    <n v="56"/>
    <x v="36"/>
    <s v="M"/>
    <s v="Peach"/>
    <s v="Fall"/>
    <n v="3.6"/>
    <s v="No"/>
    <s v="Free Shipping"/>
    <s v="No"/>
    <s v="No"/>
    <n v="13"/>
    <s v="Credit Card"/>
    <s v="Quarterly"/>
    <s v="Quarterly"/>
    <n v="5"/>
  </r>
  <r>
    <x v="3721"/>
    <n v="62"/>
    <x v="1"/>
    <s v="Coat"/>
    <x v="2"/>
    <n v="60"/>
    <x v="39"/>
    <s v="L"/>
    <s v="Pink"/>
    <s v="Fall"/>
    <n v="4"/>
    <s v="No"/>
    <s v="Next Day Air"/>
    <s v="No"/>
    <s v="No"/>
    <n v="10"/>
    <s v="Cash"/>
    <s v="Annually"/>
    <s v="Annually"/>
    <n v="6"/>
  </r>
  <r>
    <x v="3722"/>
    <n v="23"/>
    <x v="1"/>
    <s v="Jacket"/>
    <x v="2"/>
    <n v="34"/>
    <x v="0"/>
    <s v="XL"/>
    <s v="Yellow"/>
    <s v="Fall"/>
    <n v="4"/>
    <s v="No"/>
    <s v="Standard"/>
    <s v="No"/>
    <s v="No"/>
    <n v="1"/>
    <s v="Credit Card"/>
    <s v="Fortnightly"/>
    <s v="Fortnightly"/>
    <n v="3"/>
  </r>
  <r>
    <x v="3723"/>
    <n v="26"/>
    <x v="1"/>
    <s v="Sandals"/>
    <x v="1"/>
    <n v="30"/>
    <x v="3"/>
    <s v="M"/>
    <s v="Beige"/>
    <s v="Spring"/>
    <n v="3.6"/>
    <s v="No"/>
    <s v="Free Shipping"/>
    <s v="No"/>
    <s v="No"/>
    <n v="1"/>
    <s v="Debit Card"/>
    <s v="Monthly"/>
    <s v="Monthly"/>
    <n v="4"/>
  </r>
  <r>
    <x v="3724"/>
    <n v="30"/>
    <x v="1"/>
    <s v="Gloves"/>
    <x v="3"/>
    <n v="71"/>
    <x v="24"/>
    <s v="L"/>
    <s v="Green"/>
    <s v="Winter"/>
    <n v="3.1"/>
    <s v="No"/>
    <s v="Express"/>
    <s v="No"/>
    <s v="No"/>
    <n v="18"/>
    <s v="Bank Transfer"/>
    <s v="Annually"/>
    <s v="Annually"/>
    <n v="6"/>
  </r>
  <r>
    <x v="3725"/>
    <n v="18"/>
    <x v="1"/>
    <s v="Dress"/>
    <x v="0"/>
    <n v="100"/>
    <x v="19"/>
    <s v="S"/>
    <s v="Turquoise"/>
    <s v="Winter"/>
    <n v="4.4000000000000004"/>
    <s v="No"/>
    <s v="Next Day Air"/>
    <s v="No"/>
    <s v="No"/>
    <n v="2"/>
    <s v="PayPal"/>
    <s v="Annually"/>
    <s v="Annually"/>
    <n v="6"/>
  </r>
  <r>
    <x v="3726"/>
    <n v="47"/>
    <x v="1"/>
    <s v="Belt"/>
    <x v="3"/>
    <n v="85"/>
    <x v="37"/>
    <s v="XL"/>
    <s v="Orange"/>
    <s v="Fall"/>
    <n v="4.3"/>
    <s v="No"/>
    <s v="Next Day Air"/>
    <s v="No"/>
    <s v="No"/>
    <n v="36"/>
    <s v="Debit Card"/>
    <s v="Every 3 Months"/>
    <s v="Quarterly"/>
    <n v="5"/>
  </r>
  <r>
    <x v="3727"/>
    <n v="41"/>
    <x v="1"/>
    <s v="Socks"/>
    <x v="0"/>
    <n v="83"/>
    <x v="1"/>
    <s v="M"/>
    <s v="Gold"/>
    <s v="Summer"/>
    <n v="3.5"/>
    <s v="No"/>
    <s v="Next Day Air"/>
    <s v="No"/>
    <s v="No"/>
    <n v="17"/>
    <s v="Debit Card"/>
    <s v="Bi-Weekly"/>
    <s v="Bi-Weekly"/>
    <n v="2"/>
  </r>
  <r>
    <x v="3728"/>
    <n v="62"/>
    <x v="1"/>
    <s v="Jacket"/>
    <x v="2"/>
    <n v="31"/>
    <x v="34"/>
    <s v="L"/>
    <s v="Red"/>
    <s v="Winter"/>
    <n v="3"/>
    <s v="No"/>
    <s v="Standard"/>
    <s v="No"/>
    <s v="No"/>
    <n v="1"/>
    <s v="Debit Card"/>
    <s v="Annually"/>
    <s v="Annually"/>
    <n v="6"/>
  </r>
  <r>
    <x v="3729"/>
    <n v="28"/>
    <x v="1"/>
    <s v="Boots"/>
    <x v="1"/>
    <n v="82"/>
    <x v="3"/>
    <s v="M"/>
    <s v="Teal"/>
    <s v="Spring"/>
    <n v="4.7"/>
    <s v="No"/>
    <s v="2-Day Shipping"/>
    <s v="No"/>
    <s v="No"/>
    <n v="50"/>
    <s v="Cash"/>
    <s v="Quarterly"/>
    <s v="Quarterly"/>
    <n v="5"/>
  </r>
  <r>
    <x v="3730"/>
    <n v="46"/>
    <x v="1"/>
    <s v="Shirt"/>
    <x v="0"/>
    <n v="79"/>
    <x v="20"/>
    <s v="M"/>
    <s v="Teal"/>
    <s v="Summer"/>
    <n v="2.5"/>
    <s v="No"/>
    <s v="2-Day Shipping"/>
    <s v="No"/>
    <s v="No"/>
    <n v="3"/>
    <s v="Credit Card"/>
    <s v="Bi-Weekly"/>
    <s v="Bi-Weekly"/>
    <n v="2"/>
  </r>
  <r>
    <x v="3731"/>
    <n v="54"/>
    <x v="1"/>
    <s v="Hat"/>
    <x v="3"/>
    <n v="62"/>
    <x v="8"/>
    <s v="M"/>
    <s v="Lavender"/>
    <s v="Spring"/>
    <n v="3.1"/>
    <s v="No"/>
    <s v="2-Day Shipping"/>
    <s v="No"/>
    <s v="No"/>
    <n v="45"/>
    <s v="PayPal"/>
    <s v="Quarterly"/>
    <s v="Quarterly"/>
    <n v="5"/>
  </r>
  <r>
    <x v="3732"/>
    <n v="36"/>
    <x v="1"/>
    <s v="Shoes"/>
    <x v="1"/>
    <n v="92"/>
    <x v="27"/>
    <s v="L"/>
    <s v="Pink"/>
    <s v="Spring"/>
    <n v="3.3"/>
    <s v="No"/>
    <s v="Free Shipping"/>
    <s v="No"/>
    <s v="No"/>
    <n v="28"/>
    <s v="PayPal"/>
    <s v="Annually"/>
    <s v="Annually"/>
    <n v="6"/>
  </r>
  <r>
    <x v="3733"/>
    <n v="25"/>
    <x v="1"/>
    <s v="Socks"/>
    <x v="0"/>
    <n v="58"/>
    <x v="26"/>
    <s v="M"/>
    <s v="Maroon"/>
    <s v="Fall"/>
    <n v="4.7"/>
    <s v="No"/>
    <s v="Next Day Air"/>
    <s v="No"/>
    <s v="No"/>
    <n v="6"/>
    <s v="Debit Card"/>
    <s v="Every 3 Months"/>
    <s v="Quarterly"/>
    <n v="5"/>
  </r>
  <r>
    <x v="3734"/>
    <n v="38"/>
    <x v="1"/>
    <s v="Hoodie"/>
    <x v="0"/>
    <n v="88"/>
    <x v="18"/>
    <s v="M"/>
    <s v="Beige"/>
    <s v="Spring"/>
    <n v="3.4"/>
    <s v="No"/>
    <s v="Next Day Air"/>
    <s v="No"/>
    <s v="No"/>
    <n v="33"/>
    <s v="Debit Card"/>
    <s v="Every 3 Months"/>
    <s v="Quarterly"/>
    <n v="5"/>
  </r>
  <r>
    <x v="3735"/>
    <n v="38"/>
    <x v="1"/>
    <s v="Sandals"/>
    <x v="1"/>
    <n v="44"/>
    <x v="2"/>
    <s v="L"/>
    <s v="Orange"/>
    <s v="Spring"/>
    <n v="3.1"/>
    <s v="No"/>
    <s v="2-Day Shipping"/>
    <s v="No"/>
    <s v="No"/>
    <n v="29"/>
    <s v="PayPal"/>
    <s v="Annually"/>
    <s v="Annually"/>
    <n v="6"/>
  </r>
  <r>
    <x v="3736"/>
    <n v="42"/>
    <x v="1"/>
    <s v="Jeans"/>
    <x v="0"/>
    <n v="56"/>
    <x v="37"/>
    <s v="M"/>
    <s v="Red"/>
    <s v="Spring"/>
    <n v="4.5999999999999996"/>
    <s v="No"/>
    <s v="Store Pickup"/>
    <s v="No"/>
    <s v="No"/>
    <n v="2"/>
    <s v="PayPal"/>
    <s v="Every 3 Months"/>
    <s v="Quarterly"/>
    <n v="5"/>
  </r>
  <r>
    <x v="3737"/>
    <n v="19"/>
    <x v="1"/>
    <s v="Jewelry"/>
    <x v="3"/>
    <n v="23"/>
    <x v="0"/>
    <s v="S"/>
    <s v="Maroon"/>
    <s v="Winter"/>
    <n v="4.9000000000000004"/>
    <s v="No"/>
    <s v="Free Shipping"/>
    <s v="No"/>
    <s v="No"/>
    <n v="43"/>
    <s v="PayPal"/>
    <s v="Bi-Weekly"/>
    <s v="Bi-Weekly"/>
    <n v="2"/>
  </r>
  <r>
    <x v="3738"/>
    <n v="34"/>
    <x v="1"/>
    <s v="Shorts"/>
    <x v="0"/>
    <n v="45"/>
    <x v="12"/>
    <s v="M"/>
    <s v="Brown"/>
    <s v="Spring"/>
    <n v="2.7"/>
    <s v="No"/>
    <s v="Free Shipping"/>
    <s v="No"/>
    <s v="No"/>
    <n v="48"/>
    <s v="Cash"/>
    <s v="Fortnightly"/>
    <s v="Fortnightly"/>
    <n v="3"/>
  </r>
  <r>
    <x v="3739"/>
    <n v="38"/>
    <x v="1"/>
    <s v="Sunglasses"/>
    <x v="3"/>
    <n v="31"/>
    <x v="37"/>
    <s v="M"/>
    <s v="Olive"/>
    <s v="Fall"/>
    <n v="4.2"/>
    <s v="No"/>
    <s v="Free Shipping"/>
    <s v="No"/>
    <s v="No"/>
    <n v="43"/>
    <s v="Credit Card"/>
    <s v="Weekly"/>
    <s v="Weekly"/>
    <n v="1"/>
  </r>
  <r>
    <x v="3740"/>
    <n v="42"/>
    <x v="1"/>
    <s v="Pants"/>
    <x v="0"/>
    <n v="96"/>
    <x v="41"/>
    <s v="M"/>
    <s v="Silver"/>
    <s v="Summer"/>
    <n v="2.6"/>
    <s v="No"/>
    <s v="Store Pickup"/>
    <s v="No"/>
    <s v="No"/>
    <n v="26"/>
    <s v="Debit Card"/>
    <s v="Bi-Weekly"/>
    <s v="Bi-Weekly"/>
    <n v="2"/>
  </r>
  <r>
    <x v="3741"/>
    <n v="58"/>
    <x v="1"/>
    <s v="Shirt"/>
    <x v="0"/>
    <n v="96"/>
    <x v="28"/>
    <s v="M"/>
    <s v="Purple"/>
    <s v="Spring"/>
    <n v="3.2"/>
    <s v="No"/>
    <s v="2-Day Shipping"/>
    <s v="No"/>
    <s v="No"/>
    <n v="26"/>
    <s v="Debit Card"/>
    <s v="Bi-Weekly"/>
    <s v="Bi-Weekly"/>
    <n v="2"/>
  </r>
  <r>
    <x v="3742"/>
    <n v="56"/>
    <x v="1"/>
    <s v="Shirt"/>
    <x v="0"/>
    <n v="80"/>
    <x v="33"/>
    <s v="M"/>
    <s v="Gray"/>
    <s v="Fall"/>
    <n v="4.4000000000000004"/>
    <s v="No"/>
    <s v="Standard"/>
    <s v="No"/>
    <s v="No"/>
    <n v="50"/>
    <s v="Credit Card"/>
    <s v="Bi-Weekly"/>
    <s v="Bi-Weekly"/>
    <n v="2"/>
  </r>
  <r>
    <x v="3743"/>
    <n v="62"/>
    <x v="1"/>
    <s v="Pants"/>
    <x v="0"/>
    <n v="28"/>
    <x v="37"/>
    <s v="L"/>
    <s v="Cyan"/>
    <s v="Fall"/>
    <n v="3.6"/>
    <s v="No"/>
    <s v="Free Shipping"/>
    <s v="No"/>
    <s v="No"/>
    <n v="36"/>
    <s v="Debit Card"/>
    <s v="Quarterly"/>
    <s v="Quarterly"/>
    <n v="5"/>
  </r>
  <r>
    <x v="3744"/>
    <n v="24"/>
    <x v="1"/>
    <s v="Hoodie"/>
    <x v="0"/>
    <n v="51"/>
    <x v="32"/>
    <s v="M"/>
    <s v="Gray"/>
    <s v="Summer"/>
    <n v="2.7"/>
    <s v="No"/>
    <s v="Next Day Air"/>
    <s v="No"/>
    <s v="No"/>
    <n v="26"/>
    <s v="Bank Transfer"/>
    <s v="Fortnightly"/>
    <s v="Fortnightly"/>
    <n v="3"/>
  </r>
  <r>
    <x v="3745"/>
    <n v="60"/>
    <x v="1"/>
    <s v="Socks"/>
    <x v="0"/>
    <n v="41"/>
    <x v="47"/>
    <s v="L"/>
    <s v="Gold"/>
    <s v="Spring"/>
    <n v="4.3"/>
    <s v="No"/>
    <s v="Express"/>
    <s v="No"/>
    <s v="No"/>
    <n v="2"/>
    <s v="Debit Card"/>
    <s v="Monthly"/>
    <s v="Monthly"/>
    <n v="4"/>
  </r>
  <r>
    <x v="3746"/>
    <n v="53"/>
    <x v="1"/>
    <s v="Coat"/>
    <x v="2"/>
    <n v="99"/>
    <x v="37"/>
    <s v="XL"/>
    <s v="Cyan"/>
    <s v="Summer"/>
    <n v="2.6"/>
    <s v="No"/>
    <s v="Next Day Air"/>
    <s v="No"/>
    <s v="No"/>
    <n v="49"/>
    <s v="PayPal"/>
    <s v="Monthly"/>
    <s v="Monthly"/>
    <n v="4"/>
  </r>
  <r>
    <x v="3747"/>
    <n v="26"/>
    <x v="1"/>
    <s v="Sweater"/>
    <x v="0"/>
    <n v="53"/>
    <x v="3"/>
    <s v="L"/>
    <s v="Olive"/>
    <s v="Spring"/>
    <n v="4.3"/>
    <s v="No"/>
    <s v="Store Pickup"/>
    <s v="No"/>
    <s v="No"/>
    <n v="32"/>
    <s v="Bank Transfer"/>
    <s v="Bi-Weekly"/>
    <s v="Bi-Weekly"/>
    <n v="2"/>
  </r>
  <r>
    <x v="3748"/>
    <n v="34"/>
    <x v="1"/>
    <s v="Backpack"/>
    <x v="3"/>
    <n v="25"/>
    <x v="12"/>
    <s v="M"/>
    <s v="Violet"/>
    <s v="Fall"/>
    <n v="3.9"/>
    <s v="No"/>
    <s v="2-Day Shipping"/>
    <s v="No"/>
    <s v="No"/>
    <n v="3"/>
    <s v="Venmo"/>
    <s v="Annually"/>
    <s v="Annually"/>
    <n v="6"/>
  </r>
  <r>
    <x v="3749"/>
    <n v="24"/>
    <x v="1"/>
    <s v="Blouse"/>
    <x v="0"/>
    <n v="95"/>
    <x v="29"/>
    <s v="L"/>
    <s v="Yellow"/>
    <s v="Winter"/>
    <n v="2.9"/>
    <s v="No"/>
    <s v="2-Day Shipping"/>
    <s v="No"/>
    <s v="No"/>
    <n v="38"/>
    <s v="Venmo"/>
    <s v="Every 3 Months"/>
    <s v="Quarterly"/>
    <n v="5"/>
  </r>
  <r>
    <x v="3750"/>
    <n v="42"/>
    <x v="1"/>
    <s v="Hoodie"/>
    <x v="0"/>
    <n v="88"/>
    <x v="28"/>
    <s v="M"/>
    <s v="Gold"/>
    <s v="Fall"/>
    <n v="3.1"/>
    <s v="No"/>
    <s v="Free Shipping"/>
    <s v="No"/>
    <s v="No"/>
    <n v="5"/>
    <s v="PayPal"/>
    <s v="Monthly"/>
    <s v="Monthly"/>
    <n v="4"/>
  </r>
  <r>
    <x v="3751"/>
    <n v="36"/>
    <x v="1"/>
    <s v="Jewelry"/>
    <x v="3"/>
    <n v="97"/>
    <x v="15"/>
    <s v="S"/>
    <s v="Silver"/>
    <s v="Fall"/>
    <n v="4.2"/>
    <s v="No"/>
    <s v="Free Shipping"/>
    <s v="No"/>
    <s v="No"/>
    <n v="8"/>
    <s v="Credit Card"/>
    <s v="Every 3 Months"/>
    <s v="Quarterly"/>
    <n v="5"/>
  </r>
  <r>
    <x v="3752"/>
    <n v="24"/>
    <x v="1"/>
    <s v="Coat"/>
    <x v="2"/>
    <n v="81"/>
    <x v="47"/>
    <s v="L"/>
    <s v="Pink"/>
    <s v="Winter"/>
    <n v="4.0999999999999996"/>
    <s v="No"/>
    <s v="2-Day Shipping"/>
    <s v="No"/>
    <s v="No"/>
    <n v="43"/>
    <s v="Venmo"/>
    <s v="Weekly"/>
    <s v="Weekly"/>
    <n v="1"/>
  </r>
  <r>
    <x v="3753"/>
    <n v="39"/>
    <x v="1"/>
    <s v="Sunglasses"/>
    <x v="3"/>
    <n v="26"/>
    <x v="7"/>
    <s v="S"/>
    <s v="Turquoise"/>
    <s v="Winter"/>
    <n v="4.2"/>
    <s v="No"/>
    <s v="Next Day Air"/>
    <s v="No"/>
    <s v="No"/>
    <n v="22"/>
    <s v="Bank Transfer"/>
    <s v="Fortnightly"/>
    <s v="Fortnightly"/>
    <n v="3"/>
  </r>
  <r>
    <x v="3754"/>
    <n v="46"/>
    <x v="1"/>
    <s v="Shoes"/>
    <x v="1"/>
    <n v="41"/>
    <x v="43"/>
    <s v="M"/>
    <s v="Turquoise"/>
    <s v="Summer"/>
    <n v="4.4000000000000004"/>
    <s v="No"/>
    <s v="Express"/>
    <s v="No"/>
    <s v="No"/>
    <n v="10"/>
    <s v="Cash"/>
    <s v="Every 3 Months"/>
    <s v="Quarterly"/>
    <n v="5"/>
  </r>
  <r>
    <x v="3755"/>
    <n v="64"/>
    <x v="1"/>
    <s v="Skirt"/>
    <x v="0"/>
    <n v="93"/>
    <x v="38"/>
    <s v="M"/>
    <s v="Peach"/>
    <s v="Fall"/>
    <n v="3.4"/>
    <s v="No"/>
    <s v="Free Shipping"/>
    <s v="No"/>
    <s v="No"/>
    <n v="26"/>
    <s v="Credit Card"/>
    <s v="Monthly"/>
    <s v="Monthly"/>
    <n v="4"/>
  </r>
  <r>
    <x v="3756"/>
    <n v="64"/>
    <x v="1"/>
    <s v="Skirt"/>
    <x v="0"/>
    <n v="69"/>
    <x v="36"/>
    <s v="L"/>
    <s v="Teal"/>
    <s v="Spring"/>
    <n v="4.8"/>
    <s v="No"/>
    <s v="Express"/>
    <s v="No"/>
    <s v="No"/>
    <n v="42"/>
    <s v="Debit Card"/>
    <s v="Bi-Weekly"/>
    <s v="Bi-Weekly"/>
    <n v="2"/>
  </r>
  <r>
    <x v="3757"/>
    <n v="61"/>
    <x v="1"/>
    <s v="Skirt"/>
    <x v="0"/>
    <n v="44"/>
    <x v="18"/>
    <s v="L"/>
    <s v="Red"/>
    <s v="Fall"/>
    <n v="4.5"/>
    <s v="No"/>
    <s v="2-Day Shipping"/>
    <s v="No"/>
    <s v="No"/>
    <n v="33"/>
    <s v="Cash"/>
    <s v="Weekly"/>
    <s v="Weekly"/>
    <n v="1"/>
  </r>
  <r>
    <x v="3758"/>
    <n v="61"/>
    <x v="1"/>
    <s v="Sandals"/>
    <x v="1"/>
    <n v="54"/>
    <x v="27"/>
    <s v="S"/>
    <s v="Black"/>
    <s v="Spring"/>
    <n v="2.7"/>
    <s v="No"/>
    <s v="Store Pickup"/>
    <s v="No"/>
    <s v="No"/>
    <n v="23"/>
    <s v="Bank Transfer"/>
    <s v="Quarterly"/>
    <s v="Quarterly"/>
    <n v="5"/>
  </r>
  <r>
    <x v="3759"/>
    <n v="44"/>
    <x v="1"/>
    <s v="Sneakers"/>
    <x v="1"/>
    <n v="61"/>
    <x v="9"/>
    <s v="M"/>
    <s v="Pink"/>
    <s v="Spring"/>
    <n v="3.5"/>
    <s v="No"/>
    <s v="Store Pickup"/>
    <s v="No"/>
    <s v="No"/>
    <n v="30"/>
    <s v="Venmo"/>
    <s v="Quarterly"/>
    <s v="Quarterly"/>
    <n v="5"/>
  </r>
  <r>
    <x v="3760"/>
    <n v="65"/>
    <x v="1"/>
    <s v="Socks"/>
    <x v="0"/>
    <n v="80"/>
    <x v="39"/>
    <s v="M"/>
    <s v="Peach"/>
    <s v="Fall"/>
    <n v="3.1"/>
    <s v="No"/>
    <s v="Next Day Air"/>
    <s v="No"/>
    <s v="No"/>
    <n v="36"/>
    <s v="PayPal"/>
    <s v="Weekly"/>
    <s v="Weekly"/>
    <n v="1"/>
  </r>
  <r>
    <x v="3761"/>
    <n v="60"/>
    <x v="1"/>
    <s v="Backpack"/>
    <x v="3"/>
    <n v="30"/>
    <x v="22"/>
    <s v="M"/>
    <s v="Green"/>
    <s v="Summer"/>
    <n v="2.8"/>
    <s v="No"/>
    <s v="Next Day Air"/>
    <s v="No"/>
    <s v="No"/>
    <n v="3"/>
    <s v="Venmo"/>
    <s v="Every 3 Months"/>
    <s v="Quarterly"/>
    <n v="5"/>
  </r>
  <r>
    <x v="3762"/>
    <n v="65"/>
    <x v="1"/>
    <s v="Shorts"/>
    <x v="0"/>
    <n v="94"/>
    <x v="14"/>
    <s v="L"/>
    <s v="Green"/>
    <s v="Fall"/>
    <n v="2.9"/>
    <s v="No"/>
    <s v="Store Pickup"/>
    <s v="No"/>
    <s v="No"/>
    <n v="13"/>
    <s v="PayPal"/>
    <s v="Annually"/>
    <s v="Annually"/>
    <n v="6"/>
  </r>
  <r>
    <x v="3763"/>
    <n v="27"/>
    <x v="1"/>
    <s v="Shirt"/>
    <x v="0"/>
    <n v="24"/>
    <x v="19"/>
    <s v="XL"/>
    <s v="Red"/>
    <s v="Winter"/>
    <n v="4.5"/>
    <s v="No"/>
    <s v="Standard"/>
    <s v="No"/>
    <s v="No"/>
    <n v="38"/>
    <s v="Cash"/>
    <s v="Every 3 Months"/>
    <s v="Quarterly"/>
    <n v="5"/>
  </r>
  <r>
    <x v="3764"/>
    <n v="36"/>
    <x v="1"/>
    <s v="Socks"/>
    <x v="0"/>
    <n v="21"/>
    <x v="45"/>
    <s v="M"/>
    <s v="Maroon"/>
    <s v="Fall"/>
    <n v="3.5"/>
    <s v="No"/>
    <s v="Next Day Air"/>
    <s v="No"/>
    <s v="No"/>
    <n v="19"/>
    <s v="Venmo"/>
    <s v="Monthly"/>
    <s v="Monthly"/>
    <n v="4"/>
  </r>
  <r>
    <x v="3765"/>
    <n v="22"/>
    <x v="1"/>
    <s v="Jewelry"/>
    <x v="3"/>
    <n v="52"/>
    <x v="9"/>
    <s v="M"/>
    <s v="Green"/>
    <s v="Summer"/>
    <n v="4.3"/>
    <s v="No"/>
    <s v="Standard"/>
    <s v="No"/>
    <s v="No"/>
    <n v="14"/>
    <s v="Bank Transfer"/>
    <s v="Bi-Weekly"/>
    <s v="Bi-Weekly"/>
    <n v="2"/>
  </r>
  <r>
    <x v="3766"/>
    <n v="62"/>
    <x v="1"/>
    <s v="Handbag"/>
    <x v="3"/>
    <n v="59"/>
    <x v="21"/>
    <s v="M"/>
    <s v="Black"/>
    <s v="Fall"/>
    <n v="4.9000000000000004"/>
    <s v="No"/>
    <s v="Next Day Air"/>
    <s v="No"/>
    <s v="No"/>
    <n v="43"/>
    <s v="Debit Card"/>
    <s v="Annually"/>
    <s v="Annually"/>
    <n v="6"/>
  </r>
  <r>
    <x v="3767"/>
    <n v="59"/>
    <x v="1"/>
    <s v="Shorts"/>
    <x v="0"/>
    <n v="51"/>
    <x v="14"/>
    <s v="XL"/>
    <s v="Black"/>
    <s v="Summer"/>
    <n v="3.1"/>
    <s v="No"/>
    <s v="Free Shipping"/>
    <s v="No"/>
    <s v="No"/>
    <n v="10"/>
    <s v="Bank Transfer"/>
    <s v="Fortnightly"/>
    <s v="Fortnightly"/>
    <n v="3"/>
  </r>
  <r>
    <x v="3768"/>
    <n v="50"/>
    <x v="1"/>
    <s v="Sweater"/>
    <x v="0"/>
    <n v="35"/>
    <x v="34"/>
    <s v="M"/>
    <s v="Yellow"/>
    <s v="Winter"/>
    <n v="4"/>
    <s v="No"/>
    <s v="Free Shipping"/>
    <s v="No"/>
    <s v="No"/>
    <n v="34"/>
    <s v="Bank Transfer"/>
    <s v="Quarterly"/>
    <s v="Quarterly"/>
    <n v="5"/>
  </r>
  <r>
    <x v="3769"/>
    <n v="51"/>
    <x v="1"/>
    <s v="Gloves"/>
    <x v="3"/>
    <n v="87"/>
    <x v="28"/>
    <s v="L"/>
    <s v="Green"/>
    <s v="Summer"/>
    <n v="3.6"/>
    <s v="No"/>
    <s v="Standard"/>
    <s v="No"/>
    <s v="No"/>
    <n v="31"/>
    <s v="Venmo"/>
    <s v="Annually"/>
    <s v="Annually"/>
    <n v="6"/>
  </r>
  <r>
    <x v="3770"/>
    <n v="23"/>
    <x v="1"/>
    <s v="Pants"/>
    <x v="0"/>
    <n v="42"/>
    <x v="6"/>
    <s v="L"/>
    <s v="Black"/>
    <s v="Summer"/>
    <n v="4"/>
    <s v="No"/>
    <s v="Store Pickup"/>
    <s v="No"/>
    <s v="No"/>
    <n v="34"/>
    <s v="Bank Transfer"/>
    <s v="Weekly"/>
    <s v="Weekly"/>
    <n v="1"/>
  </r>
  <r>
    <x v="3771"/>
    <n v="21"/>
    <x v="1"/>
    <s v="T-shirt"/>
    <x v="0"/>
    <n v="86"/>
    <x v="19"/>
    <s v="M"/>
    <s v="Red"/>
    <s v="Winter"/>
    <n v="2.6"/>
    <s v="No"/>
    <s v="Express"/>
    <s v="No"/>
    <s v="No"/>
    <n v="28"/>
    <s v="Venmo"/>
    <s v="Bi-Weekly"/>
    <s v="Bi-Weekly"/>
    <n v="2"/>
  </r>
  <r>
    <x v="3772"/>
    <n v="44"/>
    <x v="1"/>
    <s v="Pants"/>
    <x v="0"/>
    <n v="26"/>
    <x v="13"/>
    <s v="L"/>
    <s v="Yellow"/>
    <s v="Fall"/>
    <n v="3.1"/>
    <s v="No"/>
    <s v="Next Day Air"/>
    <s v="No"/>
    <s v="No"/>
    <n v="35"/>
    <s v="Cash"/>
    <s v="Annually"/>
    <s v="Annually"/>
    <n v="6"/>
  </r>
  <r>
    <x v="3773"/>
    <n v="25"/>
    <x v="1"/>
    <s v="Sweater"/>
    <x v="0"/>
    <n v="60"/>
    <x v="48"/>
    <s v="M"/>
    <s v="Violet"/>
    <s v="Summer"/>
    <n v="3.5"/>
    <s v="No"/>
    <s v="Store Pickup"/>
    <s v="No"/>
    <s v="No"/>
    <n v="41"/>
    <s v="Cash"/>
    <s v="Quarterly"/>
    <s v="Quarterly"/>
    <n v="5"/>
  </r>
  <r>
    <x v="3774"/>
    <n v="57"/>
    <x v="1"/>
    <s v="Gloves"/>
    <x v="3"/>
    <n v="83"/>
    <x v="29"/>
    <s v="S"/>
    <s v="Cyan"/>
    <s v="Winter"/>
    <n v="3.9"/>
    <s v="No"/>
    <s v="Standard"/>
    <s v="No"/>
    <s v="No"/>
    <n v="48"/>
    <s v="PayPal"/>
    <s v="Fortnightly"/>
    <s v="Fortnightly"/>
    <n v="3"/>
  </r>
  <r>
    <x v="3775"/>
    <n v="41"/>
    <x v="1"/>
    <s v="Belt"/>
    <x v="3"/>
    <n v="63"/>
    <x v="45"/>
    <s v="S"/>
    <s v="Pink"/>
    <s v="Spring"/>
    <n v="2.7"/>
    <s v="No"/>
    <s v="2-Day Shipping"/>
    <s v="No"/>
    <s v="No"/>
    <n v="45"/>
    <s v="Cash"/>
    <s v="Quarterly"/>
    <s v="Quarterly"/>
    <n v="5"/>
  </r>
  <r>
    <x v="3776"/>
    <n v="19"/>
    <x v="1"/>
    <s v="Sneakers"/>
    <x v="1"/>
    <n v="25"/>
    <x v="29"/>
    <s v="L"/>
    <s v="Olive"/>
    <s v="Spring"/>
    <n v="4.0999999999999996"/>
    <s v="No"/>
    <s v="Standard"/>
    <s v="No"/>
    <s v="No"/>
    <n v="10"/>
    <s v="Credit Card"/>
    <s v="Fortnightly"/>
    <s v="Fortnightly"/>
    <n v="3"/>
  </r>
  <r>
    <x v="3777"/>
    <n v="43"/>
    <x v="1"/>
    <s v="Shorts"/>
    <x v="0"/>
    <n v="65"/>
    <x v="40"/>
    <s v="M"/>
    <s v="Maroon"/>
    <s v="Fall"/>
    <n v="4.3"/>
    <s v="No"/>
    <s v="Express"/>
    <s v="No"/>
    <s v="No"/>
    <n v="9"/>
    <s v="Cash"/>
    <s v="Weekly"/>
    <s v="Weekly"/>
    <n v="1"/>
  </r>
  <r>
    <x v="3778"/>
    <n v="25"/>
    <x v="1"/>
    <s v="Sneakers"/>
    <x v="1"/>
    <n v="60"/>
    <x v="45"/>
    <s v="M"/>
    <s v="Cyan"/>
    <s v="Fall"/>
    <n v="2.9"/>
    <s v="No"/>
    <s v="Free Shipping"/>
    <s v="No"/>
    <s v="No"/>
    <n v="30"/>
    <s v="Debit Card"/>
    <s v="Annually"/>
    <s v="Annually"/>
    <n v="6"/>
  </r>
  <r>
    <x v="3779"/>
    <n v="60"/>
    <x v="1"/>
    <s v="Jeans"/>
    <x v="0"/>
    <n v="75"/>
    <x v="18"/>
    <s v="XL"/>
    <s v="Lavender"/>
    <s v="Spring"/>
    <n v="4"/>
    <s v="No"/>
    <s v="Express"/>
    <s v="No"/>
    <s v="No"/>
    <n v="45"/>
    <s v="PayPal"/>
    <s v="Annually"/>
    <s v="Annually"/>
    <n v="6"/>
  </r>
  <r>
    <x v="3780"/>
    <n v="54"/>
    <x v="1"/>
    <s v="Sneakers"/>
    <x v="1"/>
    <n v="57"/>
    <x v="16"/>
    <s v="L"/>
    <s v="Yellow"/>
    <s v="Fall"/>
    <n v="4.0999999999999996"/>
    <s v="No"/>
    <s v="Free Shipping"/>
    <s v="No"/>
    <s v="No"/>
    <n v="41"/>
    <s v="Venmo"/>
    <s v="Quarterly"/>
    <s v="Quarterly"/>
    <n v="5"/>
  </r>
  <r>
    <x v="3781"/>
    <n v="52"/>
    <x v="1"/>
    <s v="Boots"/>
    <x v="1"/>
    <n v="99"/>
    <x v="30"/>
    <s v="M"/>
    <s v="Pink"/>
    <s v="Winter"/>
    <n v="3.7"/>
    <s v="No"/>
    <s v="Standard"/>
    <s v="No"/>
    <s v="No"/>
    <n v="40"/>
    <s v="PayPal"/>
    <s v="Fortnightly"/>
    <s v="Fortnightly"/>
    <n v="3"/>
  </r>
  <r>
    <x v="3782"/>
    <n v="40"/>
    <x v="1"/>
    <s v="Jacket"/>
    <x v="2"/>
    <n v="45"/>
    <x v="15"/>
    <s v="L"/>
    <s v="Orange"/>
    <s v="Spring"/>
    <n v="2.8"/>
    <s v="No"/>
    <s v="Free Shipping"/>
    <s v="No"/>
    <s v="No"/>
    <n v="42"/>
    <s v="PayPal"/>
    <s v="Fortnightly"/>
    <s v="Fortnightly"/>
    <n v="3"/>
  </r>
  <r>
    <x v="3783"/>
    <n v="39"/>
    <x v="1"/>
    <s v="Gloves"/>
    <x v="3"/>
    <n v="66"/>
    <x v="1"/>
    <s v="XL"/>
    <s v="Orange"/>
    <s v="Summer"/>
    <n v="3.2"/>
    <s v="No"/>
    <s v="Free Shipping"/>
    <s v="No"/>
    <s v="No"/>
    <n v="17"/>
    <s v="Debit Card"/>
    <s v="Fortnightly"/>
    <s v="Fortnightly"/>
    <n v="3"/>
  </r>
  <r>
    <x v="3784"/>
    <n v="54"/>
    <x v="1"/>
    <s v="Socks"/>
    <x v="0"/>
    <n v="53"/>
    <x v="41"/>
    <s v="M"/>
    <s v="Violet"/>
    <s v="Winter"/>
    <n v="4.5"/>
    <s v="No"/>
    <s v="Next Day Air"/>
    <s v="No"/>
    <s v="No"/>
    <n v="4"/>
    <s v="Venmo"/>
    <s v="Annually"/>
    <s v="Annually"/>
    <n v="6"/>
  </r>
  <r>
    <x v="3785"/>
    <n v="64"/>
    <x v="1"/>
    <s v="Jeans"/>
    <x v="0"/>
    <n v="94"/>
    <x v="13"/>
    <s v="L"/>
    <s v="Lavender"/>
    <s v="Winter"/>
    <n v="3.8"/>
    <s v="No"/>
    <s v="Standard"/>
    <s v="No"/>
    <s v="No"/>
    <n v="6"/>
    <s v="Cash"/>
    <s v="Monthly"/>
    <s v="Monthly"/>
    <n v="4"/>
  </r>
  <r>
    <x v="3786"/>
    <n v="31"/>
    <x v="1"/>
    <s v="Boots"/>
    <x v="1"/>
    <n v="47"/>
    <x v="30"/>
    <s v="L"/>
    <s v="Yellow"/>
    <s v="Fall"/>
    <n v="3.6"/>
    <s v="No"/>
    <s v="2-Day Shipping"/>
    <s v="No"/>
    <s v="No"/>
    <n v="22"/>
    <s v="Venmo"/>
    <s v="Weekly"/>
    <s v="Weekly"/>
    <n v="1"/>
  </r>
  <r>
    <x v="3787"/>
    <n v="37"/>
    <x v="1"/>
    <s v="Blouse"/>
    <x v="0"/>
    <n v="80"/>
    <x v="14"/>
    <s v="M"/>
    <s v="Pink"/>
    <s v="Fall"/>
    <n v="3.6"/>
    <s v="No"/>
    <s v="2-Day Shipping"/>
    <s v="No"/>
    <s v="No"/>
    <n v="46"/>
    <s v="PayPal"/>
    <s v="Every 3 Months"/>
    <s v="Quarterly"/>
    <n v="5"/>
  </r>
  <r>
    <x v="3788"/>
    <n v="43"/>
    <x v="1"/>
    <s v="Hat"/>
    <x v="3"/>
    <n v="65"/>
    <x v="23"/>
    <s v="XL"/>
    <s v="Teal"/>
    <s v="Spring"/>
    <n v="3.2"/>
    <s v="No"/>
    <s v="Next Day Air"/>
    <s v="No"/>
    <s v="No"/>
    <n v="27"/>
    <s v="Debit Card"/>
    <s v="Monthly"/>
    <s v="Monthly"/>
    <n v="4"/>
  </r>
  <r>
    <x v="3789"/>
    <n v="56"/>
    <x v="1"/>
    <s v="Shirt"/>
    <x v="0"/>
    <n v="75"/>
    <x v="25"/>
    <s v="M"/>
    <s v="Magenta"/>
    <s v="Summer"/>
    <n v="3.8"/>
    <s v="No"/>
    <s v="Express"/>
    <s v="No"/>
    <s v="No"/>
    <n v="18"/>
    <s v="Bank Transfer"/>
    <s v="Every 3 Months"/>
    <s v="Quarterly"/>
    <n v="5"/>
  </r>
  <r>
    <x v="3790"/>
    <n v="27"/>
    <x v="1"/>
    <s v="Handbag"/>
    <x v="3"/>
    <n v="45"/>
    <x v="29"/>
    <s v="XL"/>
    <s v="Beige"/>
    <s v="Summer"/>
    <n v="4.4000000000000004"/>
    <s v="No"/>
    <s v="Standard"/>
    <s v="No"/>
    <s v="No"/>
    <n v="31"/>
    <s v="Credit Card"/>
    <s v="Weekly"/>
    <s v="Weekly"/>
    <n v="1"/>
  </r>
  <r>
    <x v="3791"/>
    <n v="40"/>
    <x v="1"/>
    <s v="Sunglasses"/>
    <x v="3"/>
    <n v="51"/>
    <x v="21"/>
    <s v="M"/>
    <s v="Gray"/>
    <s v="Spring"/>
    <n v="3.7"/>
    <s v="No"/>
    <s v="Store Pickup"/>
    <s v="No"/>
    <s v="No"/>
    <n v="1"/>
    <s v="Venmo"/>
    <s v="Weekly"/>
    <s v="Weekly"/>
    <n v="1"/>
  </r>
  <r>
    <x v="3792"/>
    <n v="43"/>
    <x v="1"/>
    <s v="Scarf"/>
    <x v="3"/>
    <n v="58"/>
    <x v="2"/>
    <s v="S"/>
    <s v="Turquoise"/>
    <s v="Summer"/>
    <n v="2.6"/>
    <s v="No"/>
    <s v="Express"/>
    <s v="No"/>
    <s v="No"/>
    <n v="2"/>
    <s v="PayPal"/>
    <s v="Fortnightly"/>
    <s v="Fortnightly"/>
    <n v="3"/>
  </r>
  <r>
    <x v="3793"/>
    <n v="62"/>
    <x v="1"/>
    <s v="Sunglasses"/>
    <x v="3"/>
    <n v="20"/>
    <x v="12"/>
    <s v="M"/>
    <s v="Pink"/>
    <s v="Fall"/>
    <n v="4"/>
    <s v="No"/>
    <s v="Standard"/>
    <s v="No"/>
    <s v="No"/>
    <n v="46"/>
    <s v="Bank Transfer"/>
    <s v="Annually"/>
    <s v="Annually"/>
    <n v="6"/>
  </r>
  <r>
    <x v="3794"/>
    <n v="44"/>
    <x v="1"/>
    <s v="Scarf"/>
    <x v="3"/>
    <n v="82"/>
    <x v="45"/>
    <s v="M"/>
    <s v="Violet"/>
    <s v="Summer"/>
    <n v="3.6"/>
    <s v="No"/>
    <s v="2-Day Shipping"/>
    <s v="No"/>
    <s v="No"/>
    <n v="27"/>
    <s v="Venmo"/>
    <s v="Weekly"/>
    <s v="Weekly"/>
    <n v="1"/>
  </r>
  <r>
    <x v="3795"/>
    <n v="45"/>
    <x v="1"/>
    <s v="Gloves"/>
    <x v="3"/>
    <n v="92"/>
    <x v="10"/>
    <s v="M"/>
    <s v="Charcoal"/>
    <s v="Spring"/>
    <n v="2.5"/>
    <s v="No"/>
    <s v="Express"/>
    <s v="No"/>
    <s v="No"/>
    <n v="3"/>
    <s v="Cash"/>
    <s v="Weekly"/>
    <s v="Weekly"/>
    <n v="1"/>
  </r>
  <r>
    <x v="3796"/>
    <n v="40"/>
    <x v="1"/>
    <s v="Shorts"/>
    <x v="0"/>
    <n v="81"/>
    <x v="40"/>
    <s v="M"/>
    <s v="Lavender"/>
    <s v="Fall"/>
    <n v="3.2"/>
    <s v="No"/>
    <s v="Free Shipping"/>
    <s v="No"/>
    <s v="No"/>
    <n v="47"/>
    <s v="Bank Transfer"/>
    <s v="Quarterly"/>
    <s v="Quarterly"/>
    <n v="5"/>
  </r>
  <r>
    <x v="3797"/>
    <n v="68"/>
    <x v="1"/>
    <s v="Sunglasses"/>
    <x v="3"/>
    <n v="44"/>
    <x v="18"/>
    <s v="M"/>
    <s v="Gray"/>
    <s v="Summer"/>
    <n v="2.5"/>
    <s v="No"/>
    <s v="Next Day Air"/>
    <s v="No"/>
    <s v="No"/>
    <n v="20"/>
    <s v="Cash"/>
    <s v="Quarterly"/>
    <s v="Quarterly"/>
    <n v="5"/>
  </r>
  <r>
    <x v="3798"/>
    <n v="63"/>
    <x v="1"/>
    <s v="Jewelry"/>
    <x v="3"/>
    <n v="72"/>
    <x v="3"/>
    <s v="S"/>
    <s v="Brown"/>
    <s v="Winter"/>
    <n v="3.2"/>
    <s v="No"/>
    <s v="Next Day Air"/>
    <s v="No"/>
    <s v="No"/>
    <n v="23"/>
    <s v="Credit Card"/>
    <s v="Annually"/>
    <s v="Annually"/>
    <n v="6"/>
  </r>
  <r>
    <x v="3799"/>
    <n v="60"/>
    <x v="1"/>
    <s v="Jacket"/>
    <x v="2"/>
    <n v="26"/>
    <x v="19"/>
    <s v="L"/>
    <s v="Violet"/>
    <s v="Winter"/>
    <n v="2.6"/>
    <s v="No"/>
    <s v="Store Pickup"/>
    <s v="No"/>
    <s v="No"/>
    <n v="13"/>
    <s v="Credit Card"/>
    <s v="Monthly"/>
    <s v="Monthly"/>
    <n v="4"/>
  </r>
  <r>
    <x v="3800"/>
    <n v="19"/>
    <x v="1"/>
    <s v="Sweater"/>
    <x v="0"/>
    <n v="26"/>
    <x v="34"/>
    <s v="M"/>
    <s v="Turquoise"/>
    <s v="Fall"/>
    <n v="4.8"/>
    <s v="No"/>
    <s v="Next Day Air"/>
    <s v="No"/>
    <s v="No"/>
    <n v="12"/>
    <s v="Venmo"/>
    <s v="Bi-Weekly"/>
    <s v="Bi-Weekly"/>
    <n v="2"/>
  </r>
  <r>
    <x v="3801"/>
    <n v="26"/>
    <x v="1"/>
    <s v="Blouse"/>
    <x v="0"/>
    <n v="84"/>
    <x v="0"/>
    <s v="M"/>
    <s v="Peach"/>
    <s v="Spring"/>
    <n v="5"/>
    <s v="No"/>
    <s v="Store Pickup"/>
    <s v="No"/>
    <s v="No"/>
    <n v="36"/>
    <s v="PayPal"/>
    <s v="Fortnightly"/>
    <s v="Fortnightly"/>
    <n v="3"/>
  </r>
  <r>
    <x v="3802"/>
    <n v="70"/>
    <x v="1"/>
    <s v="Scarf"/>
    <x v="3"/>
    <n v="72"/>
    <x v="26"/>
    <s v="S"/>
    <s v="Turquoise"/>
    <s v="Spring"/>
    <n v="3.2"/>
    <s v="No"/>
    <s v="2-Day Shipping"/>
    <s v="No"/>
    <s v="No"/>
    <n v="1"/>
    <s v="Bank Transfer"/>
    <s v="Monthly"/>
    <s v="Monthly"/>
    <n v="4"/>
  </r>
  <r>
    <x v="3803"/>
    <n v="48"/>
    <x v="1"/>
    <s v="Handbag"/>
    <x v="3"/>
    <n v="55"/>
    <x v="39"/>
    <s v="M"/>
    <s v="Violet"/>
    <s v="Spring"/>
    <n v="3.6"/>
    <s v="No"/>
    <s v="Standard"/>
    <s v="No"/>
    <s v="No"/>
    <n v="14"/>
    <s v="Debit Card"/>
    <s v="Weekly"/>
    <s v="Weekly"/>
    <n v="1"/>
  </r>
  <r>
    <x v="3804"/>
    <n v="37"/>
    <x v="1"/>
    <s v="Hat"/>
    <x v="3"/>
    <n v="77"/>
    <x v="20"/>
    <s v="M"/>
    <s v="Olive"/>
    <s v="Fall"/>
    <n v="2.7"/>
    <s v="No"/>
    <s v="2-Day Shipping"/>
    <s v="No"/>
    <s v="No"/>
    <n v="45"/>
    <s v="Cash"/>
    <s v="Annually"/>
    <s v="Annually"/>
    <n v="6"/>
  </r>
  <r>
    <x v="3805"/>
    <n v="48"/>
    <x v="1"/>
    <s v="Scarf"/>
    <x v="3"/>
    <n v="57"/>
    <x v="32"/>
    <s v="M"/>
    <s v="Green"/>
    <s v="Fall"/>
    <n v="3.1"/>
    <s v="No"/>
    <s v="Standard"/>
    <s v="No"/>
    <s v="No"/>
    <n v="31"/>
    <s v="Credit Card"/>
    <s v="Quarterly"/>
    <s v="Quarterly"/>
    <n v="5"/>
  </r>
  <r>
    <x v="3806"/>
    <n v="18"/>
    <x v="1"/>
    <s v="Boots"/>
    <x v="1"/>
    <n v="71"/>
    <x v="9"/>
    <s v="M"/>
    <s v="Teal"/>
    <s v="Spring"/>
    <n v="3"/>
    <s v="No"/>
    <s v="Standard"/>
    <s v="No"/>
    <s v="No"/>
    <n v="41"/>
    <s v="PayPal"/>
    <s v="Weekly"/>
    <s v="Weekly"/>
    <n v="1"/>
  </r>
  <r>
    <x v="3807"/>
    <n v="38"/>
    <x v="1"/>
    <s v="Blouse"/>
    <x v="0"/>
    <n v="39"/>
    <x v="49"/>
    <s v="L"/>
    <s v="Peach"/>
    <s v="Spring"/>
    <n v="2.9"/>
    <s v="No"/>
    <s v="Next Day Air"/>
    <s v="No"/>
    <s v="No"/>
    <n v="36"/>
    <s v="PayPal"/>
    <s v="Annually"/>
    <s v="Annually"/>
    <n v="6"/>
  </r>
  <r>
    <x v="3808"/>
    <n v="33"/>
    <x v="1"/>
    <s v="Socks"/>
    <x v="0"/>
    <n v="28"/>
    <x v="47"/>
    <s v="M"/>
    <s v="Pink"/>
    <s v="Winter"/>
    <n v="4.7"/>
    <s v="No"/>
    <s v="Express"/>
    <s v="No"/>
    <s v="No"/>
    <n v="6"/>
    <s v="Debit Card"/>
    <s v="Bi-Weekly"/>
    <s v="Bi-Weekly"/>
    <n v="2"/>
  </r>
  <r>
    <x v="3809"/>
    <n v="57"/>
    <x v="1"/>
    <s v="Shoes"/>
    <x v="1"/>
    <n v="33"/>
    <x v="14"/>
    <s v="S"/>
    <s v="Maroon"/>
    <s v="Winter"/>
    <n v="3.7"/>
    <s v="No"/>
    <s v="Standard"/>
    <s v="No"/>
    <s v="No"/>
    <n v="28"/>
    <s v="Credit Card"/>
    <s v="Annually"/>
    <s v="Annually"/>
    <n v="6"/>
  </r>
  <r>
    <x v="3810"/>
    <n v="46"/>
    <x v="1"/>
    <s v="Skirt"/>
    <x v="0"/>
    <n v="79"/>
    <x v="48"/>
    <s v="L"/>
    <s v="Peach"/>
    <s v="Fall"/>
    <n v="3.9"/>
    <s v="No"/>
    <s v="Free Shipping"/>
    <s v="No"/>
    <s v="No"/>
    <n v="29"/>
    <s v="Venmo"/>
    <s v="Monthly"/>
    <s v="Monthly"/>
    <n v="4"/>
  </r>
  <r>
    <x v="3811"/>
    <n v="46"/>
    <x v="1"/>
    <s v="Belt"/>
    <x v="3"/>
    <n v="30"/>
    <x v="37"/>
    <s v="M"/>
    <s v="Maroon"/>
    <s v="Winter"/>
    <n v="4"/>
    <s v="No"/>
    <s v="Standard"/>
    <s v="No"/>
    <s v="No"/>
    <n v="14"/>
    <s v="Cash"/>
    <s v="Monthly"/>
    <s v="Monthly"/>
    <n v="4"/>
  </r>
  <r>
    <x v="3812"/>
    <n v="50"/>
    <x v="1"/>
    <s v="Skirt"/>
    <x v="0"/>
    <n v="75"/>
    <x v="49"/>
    <s v="M"/>
    <s v="Pink"/>
    <s v="Spring"/>
    <n v="2.8"/>
    <s v="No"/>
    <s v="Next Day Air"/>
    <s v="No"/>
    <s v="No"/>
    <n v="7"/>
    <s v="Bank Transfer"/>
    <s v="Every 3 Months"/>
    <s v="Quarterly"/>
    <n v="5"/>
  </r>
  <r>
    <x v="3813"/>
    <n v="61"/>
    <x v="1"/>
    <s v="Pants"/>
    <x v="0"/>
    <n v="89"/>
    <x v="42"/>
    <s v="M"/>
    <s v="Orange"/>
    <s v="Summer"/>
    <n v="4.0999999999999996"/>
    <s v="No"/>
    <s v="Express"/>
    <s v="No"/>
    <s v="No"/>
    <n v="31"/>
    <s v="Venmo"/>
    <s v="Bi-Weekly"/>
    <s v="Bi-Weekly"/>
    <n v="2"/>
  </r>
  <r>
    <x v="3814"/>
    <n v="45"/>
    <x v="1"/>
    <s v="Dress"/>
    <x v="0"/>
    <n v="95"/>
    <x v="49"/>
    <s v="M"/>
    <s v="Orange"/>
    <s v="Winter"/>
    <n v="4.2"/>
    <s v="No"/>
    <s v="Free Shipping"/>
    <s v="No"/>
    <s v="No"/>
    <n v="26"/>
    <s v="Bank Transfer"/>
    <s v="Every 3 Months"/>
    <s v="Quarterly"/>
    <n v="5"/>
  </r>
  <r>
    <x v="3815"/>
    <n v="32"/>
    <x v="1"/>
    <s v="Hat"/>
    <x v="3"/>
    <n v="44"/>
    <x v="1"/>
    <s v="M"/>
    <s v="Brown"/>
    <s v="Fall"/>
    <n v="4.3"/>
    <s v="No"/>
    <s v="Express"/>
    <s v="No"/>
    <s v="No"/>
    <n v="12"/>
    <s v="Venmo"/>
    <s v="Fortnightly"/>
    <s v="Fortnightly"/>
    <n v="3"/>
  </r>
  <r>
    <x v="3816"/>
    <n v="29"/>
    <x v="1"/>
    <s v="Coat"/>
    <x v="2"/>
    <n v="86"/>
    <x v="33"/>
    <s v="S"/>
    <s v="Silver"/>
    <s v="Summer"/>
    <n v="4.3"/>
    <s v="No"/>
    <s v="Store Pickup"/>
    <s v="No"/>
    <s v="No"/>
    <n v="45"/>
    <s v="Credit Card"/>
    <s v="Fortnightly"/>
    <s v="Fortnightly"/>
    <n v="3"/>
  </r>
  <r>
    <x v="3817"/>
    <n v="66"/>
    <x v="1"/>
    <s v="Scarf"/>
    <x v="3"/>
    <n v="91"/>
    <x v="9"/>
    <s v="M"/>
    <s v="Magenta"/>
    <s v="Fall"/>
    <n v="2.6"/>
    <s v="No"/>
    <s v="Express"/>
    <s v="No"/>
    <s v="No"/>
    <n v="40"/>
    <s v="PayPal"/>
    <s v="Annually"/>
    <s v="Annually"/>
    <n v="6"/>
  </r>
  <r>
    <x v="3818"/>
    <n v="70"/>
    <x v="1"/>
    <s v="Sneakers"/>
    <x v="1"/>
    <n v="41"/>
    <x v="4"/>
    <s v="XL"/>
    <s v="Indigo"/>
    <s v="Winter"/>
    <n v="3.8"/>
    <s v="No"/>
    <s v="Free Shipping"/>
    <s v="No"/>
    <s v="No"/>
    <n v="42"/>
    <s v="Cash"/>
    <s v="Monthly"/>
    <s v="Monthly"/>
    <n v="4"/>
  </r>
  <r>
    <x v="3819"/>
    <n v="36"/>
    <x v="1"/>
    <s v="Pants"/>
    <x v="0"/>
    <n v="99"/>
    <x v="10"/>
    <s v="S"/>
    <s v="Gold"/>
    <s v="Spring"/>
    <n v="2.9"/>
    <s v="No"/>
    <s v="Express"/>
    <s v="No"/>
    <s v="No"/>
    <n v="45"/>
    <s v="Cash"/>
    <s v="Quarterly"/>
    <s v="Quarterly"/>
    <n v="5"/>
  </r>
  <r>
    <x v="3820"/>
    <n v="34"/>
    <x v="1"/>
    <s v="Belt"/>
    <x v="3"/>
    <n v="65"/>
    <x v="13"/>
    <s v="M"/>
    <s v="Purple"/>
    <s v="Winter"/>
    <n v="5"/>
    <s v="No"/>
    <s v="Standard"/>
    <s v="No"/>
    <s v="No"/>
    <n v="34"/>
    <s v="Debit Card"/>
    <s v="Quarterly"/>
    <s v="Quarterly"/>
    <n v="5"/>
  </r>
  <r>
    <x v="3821"/>
    <n v="20"/>
    <x v="1"/>
    <s v="Sneakers"/>
    <x v="1"/>
    <n v="48"/>
    <x v="4"/>
    <s v="M"/>
    <s v="Gold"/>
    <s v="Summer"/>
    <n v="4.5999999999999996"/>
    <s v="No"/>
    <s v="Free Shipping"/>
    <s v="No"/>
    <s v="No"/>
    <n v="34"/>
    <s v="Credit Card"/>
    <s v="Every 3 Months"/>
    <s v="Quarterly"/>
    <n v="5"/>
  </r>
  <r>
    <x v="3822"/>
    <n v="70"/>
    <x v="1"/>
    <s v="Hat"/>
    <x v="3"/>
    <n v="41"/>
    <x v="23"/>
    <s v="S"/>
    <s v="Gold"/>
    <s v="Spring"/>
    <n v="3.2"/>
    <s v="No"/>
    <s v="Free Shipping"/>
    <s v="No"/>
    <s v="No"/>
    <n v="17"/>
    <s v="PayPal"/>
    <s v="Every 3 Months"/>
    <s v="Quarterly"/>
    <n v="5"/>
  </r>
  <r>
    <x v="3823"/>
    <n v="50"/>
    <x v="1"/>
    <s v="Shirt"/>
    <x v="0"/>
    <n v="42"/>
    <x v="18"/>
    <s v="M"/>
    <s v="Gold"/>
    <s v="Summer"/>
    <n v="3"/>
    <s v="No"/>
    <s v="Standard"/>
    <s v="No"/>
    <s v="No"/>
    <n v="27"/>
    <s v="Bank Transfer"/>
    <s v="Weekly"/>
    <s v="Weekly"/>
    <n v="1"/>
  </r>
  <r>
    <x v="3824"/>
    <n v="54"/>
    <x v="1"/>
    <s v="Shorts"/>
    <x v="0"/>
    <n v="26"/>
    <x v="42"/>
    <s v="M"/>
    <s v="Olive"/>
    <s v="Summer"/>
    <n v="4"/>
    <s v="No"/>
    <s v="Free Shipping"/>
    <s v="No"/>
    <s v="No"/>
    <n v="31"/>
    <s v="Credit Card"/>
    <s v="Quarterly"/>
    <s v="Quarterly"/>
    <n v="5"/>
  </r>
  <r>
    <x v="3825"/>
    <n v="49"/>
    <x v="1"/>
    <s v="Shorts"/>
    <x v="0"/>
    <n v="35"/>
    <x v="11"/>
    <s v="L"/>
    <s v="Green"/>
    <s v="Fall"/>
    <n v="4.0999999999999996"/>
    <s v="No"/>
    <s v="Express"/>
    <s v="No"/>
    <s v="No"/>
    <n v="47"/>
    <s v="Debit Card"/>
    <s v="Fortnightly"/>
    <s v="Fortnightly"/>
    <n v="3"/>
  </r>
  <r>
    <x v="3826"/>
    <n v="50"/>
    <x v="1"/>
    <s v="Jacket"/>
    <x v="2"/>
    <n v="31"/>
    <x v="6"/>
    <s v="M"/>
    <s v="Gray"/>
    <s v="Summer"/>
    <n v="4"/>
    <s v="No"/>
    <s v="Express"/>
    <s v="No"/>
    <s v="No"/>
    <n v="25"/>
    <s v="Bank Transfer"/>
    <s v="Annually"/>
    <s v="Annually"/>
    <n v="6"/>
  </r>
  <r>
    <x v="3827"/>
    <n v="62"/>
    <x v="1"/>
    <s v="Jewelry"/>
    <x v="3"/>
    <n v="73"/>
    <x v="6"/>
    <s v="M"/>
    <s v="Red"/>
    <s v="Summer"/>
    <n v="4.0999999999999996"/>
    <s v="No"/>
    <s v="Standard"/>
    <s v="No"/>
    <s v="No"/>
    <n v="47"/>
    <s v="Cash"/>
    <s v="Fortnightly"/>
    <s v="Fortnightly"/>
    <n v="3"/>
  </r>
  <r>
    <x v="3828"/>
    <n v="42"/>
    <x v="1"/>
    <s v="Blouse"/>
    <x v="0"/>
    <n v="82"/>
    <x v="16"/>
    <s v="M"/>
    <s v="Charcoal"/>
    <s v="Spring"/>
    <n v="3.4"/>
    <s v="No"/>
    <s v="Free Shipping"/>
    <s v="No"/>
    <s v="No"/>
    <n v="8"/>
    <s v="Cash"/>
    <s v="Weekly"/>
    <s v="Weekly"/>
    <n v="1"/>
  </r>
  <r>
    <x v="3829"/>
    <n v="69"/>
    <x v="1"/>
    <s v="Pants"/>
    <x v="0"/>
    <n v="32"/>
    <x v="47"/>
    <s v="M"/>
    <s v="Indigo"/>
    <s v="Spring"/>
    <n v="2.9"/>
    <s v="No"/>
    <s v="Free Shipping"/>
    <s v="No"/>
    <s v="No"/>
    <n v="32"/>
    <s v="Debit Card"/>
    <s v="Fortnightly"/>
    <s v="Fortnightly"/>
    <n v="3"/>
  </r>
  <r>
    <x v="3830"/>
    <n v="22"/>
    <x v="1"/>
    <s v="Hat"/>
    <x v="3"/>
    <n v="27"/>
    <x v="38"/>
    <s v="M"/>
    <s v="Indigo"/>
    <s v="Summer"/>
    <n v="3"/>
    <s v="No"/>
    <s v="2-Day Shipping"/>
    <s v="No"/>
    <s v="No"/>
    <n v="33"/>
    <s v="Bank Transfer"/>
    <s v="Every 3 Months"/>
    <s v="Quarterly"/>
    <n v="5"/>
  </r>
  <r>
    <x v="3831"/>
    <n v="36"/>
    <x v="1"/>
    <s v="Backpack"/>
    <x v="3"/>
    <n v="86"/>
    <x v="22"/>
    <s v="L"/>
    <s v="Silver"/>
    <s v="Spring"/>
    <n v="4"/>
    <s v="No"/>
    <s v="Next Day Air"/>
    <s v="No"/>
    <s v="No"/>
    <n v="16"/>
    <s v="Debit Card"/>
    <s v="Every 3 Months"/>
    <s v="Quarterly"/>
    <n v="5"/>
  </r>
  <r>
    <x v="3832"/>
    <n v="64"/>
    <x v="1"/>
    <s v="Boots"/>
    <x v="1"/>
    <n v="38"/>
    <x v="23"/>
    <s v="XL"/>
    <s v="Purple"/>
    <s v="Winter"/>
    <n v="4.8"/>
    <s v="No"/>
    <s v="2-Day Shipping"/>
    <s v="No"/>
    <s v="No"/>
    <n v="27"/>
    <s v="Cash"/>
    <s v="Weekly"/>
    <s v="Weekly"/>
    <n v="1"/>
  </r>
  <r>
    <x v="3833"/>
    <n v="44"/>
    <x v="1"/>
    <s v="Jacket"/>
    <x v="2"/>
    <n v="93"/>
    <x v="28"/>
    <s v="L"/>
    <s v="Gray"/>
    <s v="Summer"/>
    <n v="4.5999999999999996"/>
    <s v="No"/>
    <s v="Free Shipping"/>
    <s v="No"/>
    <s v="No"/>
    <n v="17"/>
    <s v="PayPal"/>
    <s v="Every 3 Months"/>
    <s v="Quarterly"/>
    <n v="5"/>
  </r>
  <r>
    <x v="3834"/>
    <n v="43"/>
    <x v="1"/>
    <s v="Hoodie"/>
    <x v="0"/>
    <n v="59"/>
    <x v="30"/>
    <s v="M"/>
    <s v="Magenta"/>
    <s v="Winter"/>
    <n v="4.0999999999999996"/>
    <s v="No"/>
    <s v="2-Day Shipping"/>
    <s v="No"/>
    <s v="No"/>
    <n v="17"/>
    <s v="Cash"/>
    <s v="Quarterly"/>
    <s v="Quarterly"/>
    <n v="5"/>
  </r>
  <r>
    <x v="3835"/>
    <n v="58"/>
    <x v="1"/>
    <s v="Sandals"/>
    <x v="1"/>
    <n v="58"/>
    <x v="38"/>
    <s v="L"/>
    <s v="Silver"/>
    <s v="Winter"/>
    <n v="2.6"/>
    <s v="No"/>
    <s v="Express"/>
    <s v="No"/>
    <s v="No"/>
    <n v="28"/>
    <s v="PayPal"/>
    <s v="Bi-Weekly"/>
    <s v="Bi-Weekly"/>
    <n v="2"/>
  </r>
  <r>
    <x v="3836"/>
    <n v="62"/>
    <x v="1"/>
    <s v="Skirt"/>
    <x v="0"/>
    <n v="84"/>
    <x v="29"/>
    <s v="M"/>
    <s v="Violet"/>
    <s v="Spring"/>
    <n v="2.5"/>
    <s v="No"/>
    <s v="Free Shipping"/>
    <s v="No"/>
    <s v="No"/>
    <n v="38"/>
    <s v="PayPal"/>
    <s v="Fortnightly"/>
    <s v="Fortnightly"/>
    <n v="3"/>
  </r>
  <r>
    <x v="3837"/>
    <n v="45"/>
    <x v="1"/>
    <s v="Hoodie"/>
    <x v="0"/>
    <n v="100"/>
    <x v="35"/>
    <s v="M"/>
    <s v="Green"/>
    <s v="Spring"/>
    <n v="4.8"/>
    <s v="No"/>
    <s v="Free Shipping"/>
    <s v="No"/>
    <s v="No"/>
    <n v="33"/>
    <s v="Bank Transfer"/>
    <s v="Fortnightly"/>
    <s v="Fortnightly"/>
    <n v="3"/>
  </r>
  <r>
    <x v="3838"/>
    <n v="47"/>
    <x v="1"/>
    <s v="Dress"/>
    <x v="0"/>
    <n v="25"/>
    <x v="3"/>
    <s v="L"/>
    <s v="Green"/>
    <s v="Summer"/>
    <n v="4.2"/>
    <s v="No"/>
    <s v="Express"/>
    <s v="No"/>
    <s v="No"/>
    <n v="24"/>
    <s v="Venmo"/>
    <s v="Every 3 Months"/>
    <s v="Quarterly"/>
    <n v="5"/>
  </r>
  <r>
    <x v="3839"/>
    <n v="66"/>
    <x v="1"/>
    <s v="Sandals"/>
    <x v="1"/>
    <n v="29"/>
    <x v="39"/>
    <s v="M"/>
    <s v="Peach"/>
    <s v="Spring"/>
    <n v="3.9"/>
    <s v="No"/>
    <s v="Free Shipping"/>
    <s v="No"/>
    <s v="No"/>
    <n v="14"/>
    <s v="Venmo"/>
    <s v="Quarterly"/>
    <s v="Quarterly"/>
    <n v="5"/>
  </r>
  <r>
    <x v="3840"/>
    <n v="30"/>
    <x v="1"/>
    <s v="Jeans"/>
    <x v="0"/>
    <n v="42"/>
    <x v="37"/>
    <s v="M"/>
    <s v="Turquoise"/>
    <s v="Spring"/>
    <n v="3.7"/>
    <s v="No"/>
    <s v="Express"/>
    <s v="No"/>
    <s v="No"/>
    <n v="5"/>
    <s v="Venmo"/>
    <s v="Fortnightly"/>
    <s v="Fortnightly"/>
    <n v="3"/>
  </r>
  <r>
    <x v="3841"/>
    <n v="68"/>
    <x v="1"/>
    <s v="Jeans"/>
    <x v="0"/>
    <n v="57"/>
    <x v="16"/>
    <s v="L"/>
    <s v="Pink"/>
    <s v="Fall"/>
    <n v="4.2"/>
    <s v="No"/>
    <s v="2-Day Shipping"/>
    <s v="No"/>
    <s v="No"/>
    <n v="8"/>
    <s v="Bank Transfer"/>
    <s v="Monthly"/>
    <s v="Monthly"/>
    <n v="4"/>
  </r>
  <r>
    <x v="3842"/>
    <n v="35"/>
    <x v="1"/>
    <s v="Jacket"/>
    <x v="2"/>
    <n v="84"/>
    <x v="24"/>
    <s v="L"/>
    <s v="Lavender"/>
    <s v="Winter"/>
    <n v="4.2"/>
    <s v="No"/>
    <s v="Next Day Air"/>
    <s v="No"/>
    <s v="No"/>
    <n v="42"/>
    <s v="Debit Card"/>
    <s v="Monthly"/>
    <s v="Monthly"/>
    <n v="4"/>
  </r>
  <r>
    <x v="3843"/>
    <n v="64"/>
    <x v="1"/>
    <s v="Hat"/>
    <x v="3"/>
    <n v="71"/>
    <x v="42"/>
    <s v="L"/>
    <s v="Silver"/>
    <s v="Winter"/>
    <n v="4"/>
    <s v="No"/>
    <s v="Free Shipping"/>
    <s v="No"/>
    <s v="No"/>
    <n v="48"/>
    <s v="Venmo"/>
    <s v="Every 3 Months"/>
    <s v="Quarterly"/>
    <n v="5"/>
  </r>
  <r>
    <x v="3844"/>
    <n v="30"/>
    <x v="1"/>
    <s v="Shorts"/>
    <x v="0"/>
    <n v="87"/>
    <x v="6"/>
    <s v="S"/>
    <s v="Cyan"/>
    <s v="Fall"/>
    <n v="5"/>
    <s v="No"/>
    <s v="Next Day Air"/>
    <s v="No"/>
    <s v="No"/>
    <n v="40"/>
    <s v="Venmo"/>
    <s v="Quarterly"/>
    <s v="Quarterly"/>
    <n v="5"/>
  </r>
  <r>
    <x v="3845"/>
    <n v="58"/>
    <x v="1"/>
    <s v="Sweater"/>
    <x v="0"/>
    <n v="52"/>
    <x v="18"/>
    <s v="M"/>
    <s v="Green"/>
    <s v="Winter"/>
    <n v="4.9000000000000004"/>
    <s v="No"/>
    <s v="Standard"/>
    <s v="No"/>
    <s v="No"/>
    <n v="46"/>
    <s v="Venmo"/>
    <s v="Annually"/>
    <s v="Annually"/>
    <n v="6"/>
  </r>
  <r>
    <x v="3846"/>
    <n v="57"/>
    <x v="1"/>
    <s v="Blouse"/>
    <x v="0"/>
    <n v="58"/>
    <x v="38"/>
    <s v="L"/>
    <s v="Orange"/>
    <s v="Summer"/>
    <n v="4"/>
    <s v="No"/>
    <s v="Express"/>
    <s v="No"/>
    <s v="No"/>
    <n v="40"/>
    <s v="PayPal"/>
    <s v="Every 3 Months"/>
    <s v="Quarterly"/>
    <n v="5"/>
  </r>
  <r>
    <x v="3847"/>
    <n v="60"/>
    <x v="1"/>
    <s v="Sweater"/>
    <x v="0"/>
    <n v="34"/>
    <x v="12"/>
    <s v="S"/>
    <s v="Blue"/>
    <s v="Fall"/>
    <n v="3.2"/>
    <s v="No"/>
    <s v="2-Day Shipping"/>
    <s v="No"/>
    <s v="No"/>
    <n v="31"/>
    <s v="PayPal"/>
    <s v="Fortnightly"/>
    <s v="Fortnightly"/>
    <n v="3"/>
  </r>
  <r>
    <x v="3848"/>
    <n v="22"/>
    <x v="1"/>
    <s v="Jewelry"/>
    <x v="3"/>
    <n v="60"/>
    <x v="13"/>
    <s v="M"/>
    <s v="Magenta"/>
    <s v="Winter"/>
    <n v="3"/>
    <s v="No"/>
    <s v="Next Day Air"/>
    <s v="No"/>
    <s v="No"/>
    <n v="39"/>
    <s v="Cash"/>
    <s v="Every 3 Months"/>
    <s v="Quarterly"/>
    <n v="5"/>
  </r>
  <r>
    <x v="3849"/>
    <n v="46"/>
    <x v="1"/>
    <s v="Hoodie"/>
    <x v="0"/>
    <n v="68"/>
    <x v="20"/>
    <s v="S"/>
    <s v="Cyan"/>
    <s v="Winter"/>
    <n v="2.6"/>
    <s v="No"/>
    <s v="Express"/>
    <s v="No"/>
    <s v="No"/>
    <n v="36"/>
    <s v="PayPal"/>
    <s v="Fortnightly"/>
    <s v="Fortnightly"/>
    <n v="3"/>
  </r>
  <r>
    <x v="3850"/>
    <n v="27"/>
    <x v="1"/>
    <s v="Jewelry"/>
    <x v="3"/>
    <n v="74"/>
    <x v="16"/>
    <s v="L"/>
    <s v="Indigo"/>
    <s v="Summer"/>
    <n v="4.4000000000000004"/>
    <s v="No"/>
    <s v="2-Day Shipping"/>
    <s v="No"/>
    <s v="No"/>
    <n v="25"/>
    <s v="Debit Card"/>
    <s v="Every 3 Months"/>
    <s v="Quarterly"/>
    <n v="5"/>
  </r>
  <r>
    <x v="3851"/>
    <n v="50"/>
    <x v="1"/>
    <s v="Scarf"/>
    <x v="3"/>
    <n v="83"/>
    <x v="6"/>
    <s v="M"/>
    <s v="Pink"/>
    <s v="Summer"/>
    <n v="3.9"/>
    <s v="No"/>
    <s v="Free Shipping"/>
    <s v="No"/>
    <s v="No"/>
    <n v="24"/>
    <s v="Debit Card"/>
    <s v="Annually"/>
    <s v="Annually"/>
    <n v="6"/>
  </r>
  <r>
    <x v="3852"/>
    <n v="65"/>
    <x v="1"/>
    <s v="Hat"/>
    <x v="3"/>
    <n v="79"/>
    <x v="16"/>
    <s v="M"/>
    <s v="Peach"/>
    <s v="Fall"/>
    <n v="4"/>
    <s v="No"/>
    <s v="2-Day Shipping"/>
    <s v="No"/>
    <s v="No"/>
    <n v="19"/>
    <s v="PayPal"/>
    <s v="Weekly"/>
    <s v="Weekly"/>
    <n v="1"/>
  </r>
  <r>
    <x v="3853"/>
    <n v="61"/>
    <x v="1"/>
    <s v="Sunglasses"/>
    <x v="3"/>
    <n v="76"/>
    <x v="30"/>
    <s v="M"/>
    <s v="Lavender"/>
    <s v="Fall"/>
    <n v="4"/>
    <s v="No"/>
    <s v="Store Pickup"/>
    <s v="No"/>
    <s v="No"/>
    <n v="49"/>
    <s v="Debit Card"/>
    <s v="Bi-Weekly"/>
    <s v="Bi-Weekly"/>
    <n v="2"/>
  </r>
  <r>
    <x v="3854"/>
    <n v="57"/>
    <x v="1"/>
    <s v="T-shirt"/>
    <x v="0"/>
    <n v="20"/>
    <x v="20"/>
    <s v="M"/>
    <s v="Black"/>
    <s v="Spring"/>
    <n v="4.2"/>
    <s v="No"/>
    <s v="Free Shipping"/>
    <s v="No"/>
    <s v="No"/>
    <n v="4"/>
    <s v="Venmo"/>
    <s v="Annually"/>
    <s v="Annually"/>
    <n v="6"/>
  </r>
  <r>
    <x v="3855"/>
    <n v="40"/>
    <x v="1"/>
    <s v="Shirt"/>
    <x v="0"/>
    <n v="61"/>
    <x v="26"/>
    <s v="XL"/>
    <s v="Lavender"/>
    <s v="Summer"/>
    <n v="4.4000000000000004"/>
    <s v="No"/>
    <s v="Next Day Air"/>
    <s v="No"/>
    <s v="No"/>
    <n v="36"/>
    <s v="Cash"/>
    <s v="Quarterly"/>
    <s v="Quarterly"/>
    <n v="5"/>
  </r>
  <r>
    <x v="3856"/>
    <n v="39"/>
    <x v="1"/>
    <s v="Sandals"/>
    <x v="1"/>
    <n v="78"/>
    <x v="41"/>
    <s v="S"/>
    <s v="Brown"/>
    <s v="Summer"/>
    <n v="2.5"/>
    <s v="No"/>
    <s v="Free Shipping"/>
    <s v="No"/>
    <s v="No"/>
    <n v="8"/>
    <s v="Debit Card"/>
    <s v="Quarterly"/>
    <s v="Quarterly"/>
    <n v="5"/>
  </r>
  <r>
    <x v="3857"/>
    <n v="42"/>
    <x v="1"/>
    <s v="Hat"/>
    <x v="3"/>
    <n v="21"/>
    <x v="21"/>
    <s v="S"/>
    <s v="Yellow"/>
    <s v="Summer"/>
    <n v="3.1"/>
    <s v="No"/>
    <s v="Store Pickup"/>
    <s v="No"/>
    <s v="No"/>
    <n v="29"/>
    <s v="Credit Card"/>
    <s v="Every 3 Months"/>
    <s v="Quarterly"/>
    <n v="5"/>
  </r>
  <r>
    <x v="3858"/>
    <n v="30"/>
    <x v="1"/>
    <s v="T-shirt"/>
    <x v="0"/>
    <n v="77"/>
    <x v="9"/>
    <s v="M"/>
    <s v="Olive"/>
    <s v="Winter"/>
    <n v="3.5"/>
    <s v="No"/>
    <s v="Store Pickup"/>
    <s v="No"/>
    <s v="No"/>
    <n v="26"/>
    <s v="Credit Card"/>
    <s v="Quarterly"/>
    <s v="Quarterly"/>
    <n v="5"/>
  </r>
  <r>
    <x v="3859"/>
    <n v="65"/>
    <x v="1"/>
    <s v="Shorts"/>
    <x v="0"/>
    <n v="88"/>
    <x v="16"/>
    <s v="S"/>
    <s v="Blue"/>
    <s v="Fall"/>
    <n v="3"/>
    <s v="No"/>
    <s v="2-Day Shipping"/>
    <s v="No"/>
    <s v="No"/>
    <n v="47"/>
    <s v="Bank Transfer"/>
    <s v="Bi-Weekly"/>
    <s v="Bi-Weekly"/>
    <n v="2"/>
  </r>
  <r>
    <x v="3860"/>
    <n v="57"/>
    <x v="1"/>
    <s v="Sunglasses"/>
    <x v="3"/>
    <n v="64"/>
    <x v="38"/>
    <s v="M"/>
    <s v="Turquoise"/>
    <s v="Summer"/>
    <n v="4.4000000000000004"/>
    <s v="No"/>
    <s v="Next Day Air"/>
    <s v="No"/>
    <s v="No"/>
    <n v="44"/>
    <s v="Cash"/>
    <s v="Annually"/>
    <s v="Annually"/>
    <n v="6"/>
  </r>
  <r>
    <x v="3861"/>
    <n v="64"/>
    <x v="1"/>
    <s v="Jacket"/>
    <x v="2"/>
    <n v="57"/>
    <x v="5"/>
    <s v="M"/>
    <s v="Yellow"/>
    <s v="Spring"/>
    <n v="4.9000000000000004"/>
    <s v="No"/>
    <s v="Standard"/>
    <s v="No"/>
    <s v="No"/>
    <n v="49"/>
    <s v="Credit Card"/>
    <s v="Monthly"/>
    <s v="Monthly"/>
    <n v="4"/>
  </r>
  <r>
    <x v="3862"/>
    <n v="56"/>
    <x v="1"/>
    <s v="Shirt"/>
    <x v="0"/>
    <n v="49"/>
    <x v="37"/>
    <s v="L"/>
    <s v="Turquoise"/>
    <s v="Winter"/>
    <n v="2.8"/>
    <s v="No"/>
    <s v="Next Day Air"/>
    <s v="No"/>
    <s v="No"/>
    <n v="9"/>
    <s v="Venmo"/>
    <s v="Monthly"/>
    <s v="Monthly"/>
    <n v="4"/>
  </r>
  <r>
    <x v="3863"/>
    <n v="40"/>
    <x v="1"/>
    <s v="Scarf"/>
    <x v="3"/>
    <n v="35"/>
    <x v="13"/>
    <s v="M"/>
    <s v="Orange"/>
    <s v="Summer"/>
    <n v="3.3"/>
    <s v="No"/>
    <s v="Free Shipping"/>
    <s v="No"/>
    <s v="No"/>
    <n v="28"/>
    <s v="Cash"/>
    <s v="Fortnightly"/>
    <s v="Fortnightly"/>
    <n v="3"/>
  </r>
  <r>
    <x v="3864"/>
    <n v="55"/>
    <x v="1"/>
    <s v="T-shirt"/>
    <x v="0"/>
    <n v="99"/>
    <x v="5"/>
    <s v="S"/>
    <s v="Blue"/>
    <s v="Winter"/>
    <n v="4.9000000000000004"/>
    <s v="No"/>
    <s v="Express"/>
    <s v="No"/>
    <s v="No"/>
    <n v="1"/>
    <s v="Debit Card"/>
    <s v="Fortnightly"/>
    <s v="Fortnightly"/>
    <n v="3"/>
  </r>
  <r>
    <x v="3865"/>
    <n v="25"/>
    <x v="1"/>
    <s v="Shorts"/>
    <x v="0"/>
    <n v="42"/>
    <x v="43"/>
    <s v="M"/>
    <s v="Olive"/>
    <s v="Spring"/>
    <n v="4.2"/>
    <s v="No"/>
    <s v="Store Pickup"/>
    <s v="No"/>
    <s v="No"/>
    <n v="28"/>
    <s v="Cash"/>
    <s v="Every 3 Months"/>
    <s v="Quarterly"/>
    <n v="5"/>
  </r>
  <r>
    <x v="3866"/>
    <n v="58"/>
    <x v="1"/>
    <s v="Hat"/>
    <x v="3"/>
    <n v="32"/>
    <x v="29"/>
    <s v="M"/>
    <s v="Beige"/>
    <s v="Winter"/>
    <n v="3.3"/>
    <s v="No"/>
    <s v="2-Day Shipping"/>
    <s v="No"/>
    <s v="No"/>
    <n v="33"/>
    <s v="Credit Card"/>
    <s v="Fortnightly"/>
    <s v="Fortnightly"/>
    <n v="3"/>
  </r>
  <r>
    <x v="3867"/>
    <n v="46"/>
    <x v="1"/>
    <s v="Jacket"/>
    <x v="2"/>
    <n v="21"/>
    <x v="33"/>
    <s v="L"/>
    <s v="Lavender"/>
    <s v="Summer"/>
    <n v="2.7"/>
    <s v="No"/>
    <s v="Standard"/>
    <s v="No"/>
    <s v="No"/>
    <n v="28"/>
    <s v="Credit Card"/>
    <s v="Monthly"/>
    <s v="Monthly"/>
    <n v="4"/>
  </r>
  <r>
    <x v="3868"/>
    <n v="18"/>
    <x v="1"/>
    <s v="Dress"/>
    <x v="0"/>
    <n v="29"/>
    <x v="33"/>
    <s v="XL"/>
    <s v="Magenta"/>
    <s v="Winter"/>
    <n v="3.3"/>
    <s v="No"/>
    <s v="2-Day Shipping"/>
    <s v="No"/>
    <s v="No"/>
    <n v="9"/>
    <s v="Cash"/>
    <s v="Annually"/>
    <s v="Annually"/>
    <n v="6"/>
  </r>
  <r>
    <x v="3869"/>
    <n v="26"/>
    <x v="1"/>
    <s v="Coat"/>
    <x v="2"/>
    <n v="64"/>
    <x v="28"/>
    <s v="L"/>
    <s v="Cyan"/>
    <s v="Spring"/>
    <n v="3.8"/>
    <s v="No"/>
    <s v="Free Shipping"/>
    <s v="No"/>
    <s v="No"/>
    <n v="28"/>
    <s v="Bank Transfer"/>
    <s v="Annually"/>
    <s v="Annually"/>
    <n v="6"/>
  </r>
  <r>
    <x v="3870"/>
    <n v="61"/>
    <x v="1"/>
    <s v="Sandals"/>
    <x v="1"/>
    <n v="46"/>
    <x v="31"/>
    <s v="L"/>
    <s v="Lavender"/>
    <s v="Fall"/>
    <n v="3.2"/>
    <s v="No"/>
    <s v="Next Day Air"/>
    <s v="No"/>
    <s v="No"/>
    <n v="19"/>
    <s v="Cash"/>
    <s v="Every 3 Months"/>
    <s v="Quarterly"/>
    <n v="5"/>
  </r>
  <r>
    <x v="3871"/>
    <n v="55"/>
    <x v="1"/>
    <s v="T-shirt"/>
    <x v="0"/>
    <n v="97"/>
    <x v="46"/>
    <s v="M"/>
    <s v="Black"/>
    <s v="Fall"/>
    <n v="4.0999999999999996"/>
    <s v="No"/>
    <s v="2-Day Shipping"/>
    <s v="No"/>
    <s v="No"/>
    <n v="20"/>
    <s v="Bank Transfer"/>
    <s v="Every 3 Months"/>
    <s v="Quarterly"/>
    <n v="5"/>
  </r>
  <r>
    <x v="3872"/>
    <n v="41"/>
    <x v="1"/>
    <s v="Jacket"/>
    <x v="2"/>
    <n v="94"/>
    <x v="13"/>
    <s v="M"/>
    <s v="Green"/>
    <s v="Spring"/>
    <n v="4.3"/>
    <s v="No"/>
    <s v="Standard"/>
    <s v="No"/>
    <s v="No"/>
    <n v="3"/>
    <s v="Cash"/>
    <s v="Monthly"/>
    <s v="Monthly"/>
    <n v="4"/>
  </r>
  <r>
    <x v="3873"/>
    <n v="42"/>
    <x v="1"/>
    <s v="Sandals"/>
    <x v="1"/>
    <n v="43"/>
    <x v="7"/>
    <s v="L"/>
    <s v="Silver"/>
    <s v="Summer"/>
    <n v="4"/>
    <s v="No"/>
    <s v="Standard"/>
    <s v="No"/>
    <s v="No"/>
    <n v="22"/>
    <s v="Credit Card"/>
    <s v="Weekly"/>
    <s v="Weekly"/>
    <n v="1"/>
  </r>
  <r>
    <x v="3874"/>
    <n v="70"/>
    <x v="1"/>
    <s v="Sweater"/>
    <x v="0"/>
    <n v="54"/>
    <x v="22"/>
    <s v="XL"/>
    <s v="Beige"/>
    <s v="Summer"/>
    <n v="3.9"/>
    <s v="No"/>
    <s v="2-Day Shipping"/>
    <s v="No"/>
    <s v="No"/>
    <n v="33"/>
    <s v="Credit Card"/>
    <s v="Bi-Weekly"/>
    <s v="Bi-Weekly"/>
    <n v="2"/>
  </r>
  <r>
    <x v="3875"/>
    <n v="63"/>
    <x v="1"/>
    <s v="Hat"/>
    <x v="3"/>
    <n v="51"/>
    <x v="13"/>
    <s v="M"/>
    <s v="Pink"/>
    <s v="Winter"/>
    <n v="3.3"/>
    <s v="No"/>
    <s v="2-Day Shipping"/>
    <s v="No"/>
    <s v="No"/>
    <n v="21"/>
    <s v="Credit Card"/>
    <s v="Annually"/>
    <s v="Annually"/>
    <n v="6"/>
  </r>
  <r>
    <x v="3876"/>
    <n v="60"/>
    <x v="1"/>
    <s v="Shoes"/>
    <x v="1"/>
    <n v="85"/>
    <x v="48"/>
    <s v="S"/>
    <s v="Cyan"/>
    <s v="Fall"/>
    <n v="2.6"/>
    <s v="No"/>
    <s v="2-Day Shipping"/>
    <s v="No"/>
    <s v="No"/>
    <n v="7"/>
    <s v="Cash"/>
    <s v="Annually"/>
    <s v="Annually"/>
    <n v="6"/>
  </r>
  <r>
    <x v="3877"/>
    <n v="28"/>
    <x v="1"/>
    <s v="Hoodie"/>
    <x v="0"/>
    <n v="96"/>
    <x v="22"/>
    <s v="M"/>
    <s v="Olive"/>
    <s v="Spring"/>
    <n v="4.2"/>
    <s v="No"/>
    <s v="Next Day Air"/>
    <s v="No"/>
    <s v="No"/>
    <n v="46"/>
    <s v="Debit Card"/>
    <s v="Monthly"/>
    <s v="Monthly"/>
    <n v="4"/>
  </r>
  <r>
    <x v="3878"/>
    <n v="60"/>
    <x v="1"/>
    <s v="Hat"/>
    <x v="3"/>
    <n v="42"/>
    <x v="36"/>
    <s v="M"/>
    <s v="Pink"/>
    <s v="Summer"/>
    <n v="3.4"/>
    <s v="No"/>
    <s v="2-Day Shipping"/>
    <s v="No"/>
    <s v="No"/>
    <n v="24"/>
    <s v="Credit Card"/>
    <s v="Annually"/>
    <s v="Annually"/>
    <n v="6"/>
  </r>
  <r>
    <x v="3879"/>
    <n v="26"/>
    <x v="1"/>
    <s v="Skirt"/>
    <x v="0"/>
    <n v="63"/>
    <x v="20"/>
    <s v="L"/>
    <s v="Maroon"/>
    <s v="Winter"/>
    <n v="4.0999999999999996"/>
    <s v="No"/>
    <s v="Free Shipping"/>
    <s v="No"/>
    <s v="No"/>
    <n v="6"/>
    <s v="Debit Card"/>
    <s v="Quarterly"/>
    <s v="Quarterly"/>
    <n v="5"/>
  </r>
  <r>
    <x v="3880"/>
    <n v="42"/>
    <x v="1"/>
    <s v="Shirt"/>
    <x v="0"/>
    <n v="20"/>
    <x v="2"/>
    <s v="M"/>
    <s v="Red"/>
    <s v="Winter"/>
    <n v="3.9"/>
    <s v="No"/>
    <s v="Free Shipping"/>
    <s v="No"/>
    <s v="No"/>
    <n v="40"/>
    <s v="PayPal"/>
    <s v="Monthly"/>
    <s v="Monthly"/>
    <n v="4"/>
  </r>
  <r>
    <x v="3881"/>
    <n v="56"/>
    <x v="1"/>
    <s v="Scarf"/>
    <x v="3"/>
    <n v="25"/>
    <x v="42"/>
    <s v="L"/>
    <s v="Silver"/>
    <s v="Spring"/>
    <n v="2.8"/>
    <s v="No"/>
    <s v="2-Day Shipping"/>
    <s v="No"/>
    <s v="No"/>
    <n v="17"/>
    <s v="Debit Card"/>
    <s v="Weekly"/>
    <s v="Weekly"/>
    <n v="1"/>
  </r>
  <r>
    <x v="3882"/>
    <n v="35"/>
    <x v="1"/>
    <s v="Pants"/>
    <x v="0"/>
    <n v="95"/>
    <x v="25"/>
    <s v="L"/>
    <s v="Blue"/>
    <s v="Fall"/>
    <n v="2.6"/>
    <s v="No"/>
    <s v="Free Shipping"/>
    <s v="No"/>
    <s v="No"/>
    <n v="24"/>
    <s v="Cash"/>
    <s v="Fortnightly"/>
    <s v="Fortnightly"/>
    <n v="3"/>
  </r>
  <r>
    <x v="3883"/>
    <n v="34"/>
    <x v="1"/>
    <s v="Hat"/>
    <x v="3"/>
    <n v="38"/>
    <x v="25"/>
    <s v="XL"/>
    <s v="Purple"/>
    <s v="Fall"/>
    <n v="4"/>
    <s v="No"/>
    <s v="Next Day Air"/>
    <s v="No"/>
    <s v="No"/>
    <n v="22"/>
    <s v="Cash"/>
    <s v="Fortnightly"/>
    <s v="Fortnightly"/>
    <n v="3"/>
  </r>
  <r>
    <x v="3884"/>
    <n v="47"/>
    <x v="1"/>
    <s v="Sandals"/>
    <x v="1"/>
    <n v="29"/>
    <x v="33"/>
    <s v="M"/>
    <s v="Brown"/>
    <s v="Fall"/>
    <n v="4.9000000000000004"/>
    <s v="No"/>
    <s v="Express"/>
    <s v="No"/>
    <s v="No"/>
    <n v="3"/>
    <s v="PayPal"/>
    <s v="Weekly"/>
    <s v="Weekly"/>
    <n v="1"/>
  </r>
  <r>
    <x v="3885"/>
    <n v="49"/>
    <x v="1"/>
    <s v="Socks"/>
    <x v="0"/>
    <n v="64"/>
    <x v="35"/>
    <s v="L"/>
    <s v="Purple"/>
    <s v="Winter"/>
    <n v="3.2"/>
    <s v="No"/>
    <s v="Free Shipping"/>
    <s v="No"/>
    <s v="No"/>
    <n v="39"/>
    <s v="Cash"/>
    <s v="Quarterly"/>
    <s v="Quarterly"/>
    <n v="5"/>
  </r>
  <r>
    <x v="3886"/>
    <n v="37"/>
    <x v="1"/>
    <s v="Jewelry"/>
    <x v="3"/>
    <n v="92"/>
    <x v="44"/>
    <s v="S"/>
    <s v="Brown"/>
    <s v="Summer"/>
    <n v="3.9"/>
    <s v="No"/>
    <s v="Express"/>
    <s v="No"/>
    <s v="No"/>
    <n v="40"/>
    <s v="Debit Card"/>
    <s v="Quarterly"/>
    <s v="Quarterly"/>
    <n v="5"/>
  </r>
  <r>
    <x v="3887"/>
    <n v="40"/>
    <x v="1"/>
    <s v="Shirt"/>
    <x v="0"/>
    <n v="34"/>
    <x v="23"/>
    <s v="M"/>
    <s v="Charcoal"/>
    <s v="Spring"/>
    <n v="2.7"/>
    <s v="No"/>
    <s v="Express"/>
    <s v="No"/>
    <s v="No"/>
    <n v="1"/>
    <s v="Credit Card"/>
    <s v="Quarterly"/>
    <s v="Quarterly"/>
    <n v="5"/>
  </r>
  <r>
    <x v="3888"/>
    <n v="45"/>
    <x v="1"/>
    <s v="Sneakers"/>
    <x v="1"/>
    <n v="69"/>
    <x v="41"/>
    <s v="M"/>
    <s v="Violet"/>
    <s v="Spring"/>
    <n v="3.4"/>
    <s v="No"/>
    <s v="Standard"/>
    <s v="No"/>
    <s v="No"/>
    <n v="14"/>
    <s v="Venmo"/>
    <s v="Bi-Weekly"/>
    <s v="Bi-Weekly"/>
    <n v="2"/>
  </r>
  <r>
    <x v="3889"/>
    <n v="57"/>
    <x v="1"/>
    <s v="Dress"/>
    <x v="0"/>
    <n v="65"/>
    <x v="29"/>
    <s v="S"/>
    <s v="Yellow"/>
    <s v="Spring"/>
    <n v="3.5"/>
    <s v="No"/>
    <s v="Express"/>
    <s v="No"/>
    <s v="No"/>
    <n v="49"/>
    <s v="Bank Transfer"/>
    <s v="Annually"/>
    <s v="Annually"/>
    <n v="6"/>
  </r>
  <r>
    <x v="3890"/>
    <n v="35"/>
    <x v="1"/>
    <s v="Shirt"/>
    <x v="0"/>
    <n v="81"/>
    <x v="43"/>
    <s v="XL"/>
    <s v="Green"/>
    <s v="Winter"/>
    <n v="2.6"/>
    <s v="No"/>
    <s v="Standard"/>
    <s v="No"/>
    <s v="No"/>
    <n v="33"/>
    <s v="Debit Card"/>
    <s v="Annually"/>
    <s v="Annually"/>
    <n v="6"/>
  </r>
  <r>
    <x v="3891"/>
    <n v="36"/>
    <x v="1"/>
    <s v="Dress"/>
    <x v="0"/>
    <n v="30"/>
    <x v="24"/>
    <s v="L"/>
    <s v="Peach"/>
    <s v="Winter"/>
    <n v="4.7"/>
    <s v="No"/>
    <s v="Free Shipping"/>
    <s v="No"/>
    <s v="No"/>
    <n v="6"/>
    <s v="Bank Transfer"/>
    <s v="Quarterly"/>
    <s v="Quarterly"/>
    <n v="5"/>
  </r>
  <r>
    <x v="3892"/>
    <n v="35"/>
    <x v="1"/>
    <s v="Jewelry"/>
    <x v="3"/>
    <n v="86"/>
    <x v="49"/>
    <s v="L"/>
    <s v="Indigo"/>
    <s v="Summer"/>
    <n v="3.5"/>
    <s v="No"/>
    <s v="Standard"/>
    <s v="No"/>
    <s v="No"/>
    <n v="5"/>
    <s v="PayPal"/>
    <s v="Fortnightly"/>
    <s v="Fortnightly"/>
    <n v="3"/>
  </r>
  <r>
    <x v="3893"/>
    <n v="21"/>
    <x v="1"/>
    <s v="Hat"/>
    <x v="3"/>
    <n v="64"/>
    <x v="2"/>
    <s v="L"/>
    <s v="White"/>
    <s v="Fall"/>
    <n v="3.3"/>
    <s v="No"/>
    <s v="Store Pickup"/>
    <s v="No"/>
    <s v="No"/>
    <n v="29"/>
    <s v="Bank Transfer"/>
    <s v="Bi-Weekly"/>
    <s v="Bi-Weekly"/>
    <n v="2"/>
  </r>
  <r>
    <x v="3894"/>
    <n v="66"/>
    <x v="1"/>
    <s v="Skirt"/>
    <x v="0"/>
    <n v="78"/>
    <x v="39"/>
    <s v="L"/>
    <s v="White"/>
    <s v="Spring"/>
    <n v="3.9"/>
    <s v="No"/>
    <s v="2-Day Shipping"/>
    <s v="No"/>
    <s v="No"/>
    <n v="44"/>
    <s v="Credit Card"/>
    <s v="Every 3 Months"/>
    <s v="Quarterly"/>
    <n v="5"/>
  </r>
  <r>
    <x v="3895"/>
    <n v="40"/>
    <x v="1"/>
    <s v="Hoodie"/>
    <x v="0"/>
    <n v="28"/>
    <x v="41"/>
    <s v="L"/>
    <s v="Turquoise"/>
    <s v="Summer"/>
    <n v="4.2"/>
    <s v="No"/>
    <s v="2-Day Shipping"/>
    <s v="No"/>
    <s v="No"/>
    <n v="32"/>
    <s v="Venmo"/>
    <s v="Weekly"/>
    <s v="Weekly"/>
    <n v="1"/>
  </r>
  <r>
    <x v="3896"/>
    <n v="52"/>
    <x v="1"/>
    <s v="Backpack"/>
    <x v="3"/>
    <n v="49"/>
    <x v="44"/>
    <s v="L"/>
    <s v="White"/>
    <s v="Spring"/>
    <n v="4.5"/>
    <s v="No"/>
    <s v="Store Pickup"/>
    <s v="No"/>
    <s v="No"/>
    <n v="41"/>
    <s v="Bank Transfer"/>
    <s v="Bi-Weekly"/>
    <s v="Bi-Weekly"/>
    <n v="2"/>
  </r>
  <r>
    <x v="3897"/>
    <n v="46"/>
    <x v="1"/>
    <s v="Belt"/>
    <x v="3"/>
    <n v="33"/>
    <x v="32"/>
    <s v="L"/>
    <s v="Green"/>
    <s v="Spring"/>
    <n v="2.9"/>
    <s v="No"/>
    <s v="Standard"/>
    <s v="No"/>
    <s v="No"/>
    <n v="24"/>
    <s v="Venmo"/>
    <s v="Quarterly"/>
    <s v="Quarterly"/>
    <n v="5"/>
  </r>
  <r>
    <x v="3898"/>
    <n v="44"/>
    <x v="1"/>
    <s v="Shoes"/>
    <x v="1"/>
    <n v="77"/>
    <x v="46"/>
    <s v="S"/>
    <s v="Brown"/>
    <s v="Summer"/>
    <n v="3.8"/>
    <s v="No"/>
    <s v="Express"/>
    <s v="No"/>
    <s v="No"/>
    <n v="24"/>
    <s v="Venmo"/>
    <s v="Weekly"/>
    <s v="Weekly"/>
    <n v="1"/>
  </r>
  <r>
    <x v="3899"/>
    <n v="52"/>
    <x v="1"/>
    <s v="Handbag"/>
    <x v="3"/>
    <n v="81"/>
    <x v="18"/>
    <s v="M"/>
    <s v="Beige"/>
    <s v="Spring"/>
    <n v="3.1"/>
    <s v="No"/>
    <s v="Store Pickup"/>
    <s v="No"/>
    <s v="No"/>
    <n v="33"/>
    <s v="Venmo"/>
    <s v="Quarterly"/>
    <s v="Quarterly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easons">
  <location ref="A37:D42" firstHeaderRow="0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5" baseField="0" baseItem="0"/>
    <dataField name="Previous Purchase" fld="15" baseField="0" baseItem="0"/>
    <dataField name="Increase Volume" fld="20" baseField="0" baseItem="0" numFmtId="2"/>
  </dataFields>
  <formats count="2"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ayment Method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ayment Method">
  <location ref="A69:B76" firstHeaderRow="1" firstDataRow="1" firstDataCol="1"/>
  <pivotFields count="22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1"/>
        <item x="2"/>
        <item x="5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6"/>
  </rowFields>
  <rowItems count="7">
    <i>
      <x v="2"/>
    </i>
    <i>
      <x v="4"/>
    </i>
    <i>
      <x v="1"/>
    </i>
    <i>
      <x v="3"/>
    </i>
    <i>
      <x v="5"/>
    </i>
    <i>
      <x/>
    </i>
    <i t="grand">
      <x/>
    </i>
  </rowItems>
  <colItems count="1">
    <i/>
  </colItems>
  <dataFields count="1">
    <dataField name="Total revenue" fld="5" baseField="0" baseItem="0"/>
  </dataFields>
  <chartFormats count="7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A000000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 rowHeaderCaption="Promotion Code">
  <location ref="A94:B97" firstHeaderRow="1" firstDataRow="1" firstDataCol="1"/>
  <pivotFields count="22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Number of Purchases" fld="5" subtotal="count" showDataAs="percentOfTotal" baseField="14" baseItem="0" numFmtId="1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Category of Products ">
  <location ref="A3:D8" firstHeaderRow="0" firstDataRow="1" firstDataCol="1"/>
  <pivotFields count="21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urchase" fld="0" subtotal="count" baseField="4" baseItem="0"/>
    <dataField name="Total Purchase" fld="5" baseField="0" baseItem="0"/>
    <dataField name="Total Purchase %" fld="5" showDataAs="percentOfTotal" baseField="4" baseItem="0" numFmtId="1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ize">
  <location ref="A61:C66" firstHeaderRow="0" firstDataRow="1" firstDataCol="1"/>
  <pivotFields count="21">
    <pivotField showAll="0"/>
    <pivotField showAll="0"/>
    <pivotField showAll="0"/>
    <pivotField dataField="1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urchase Count" fld="3" subtotal="count" baseField="0" baseItem="0"/>
    <dataField name="Count of Item Purchased" fld="3" subtotal="count" showDataAs="percentOfTotal" baseField="7" baseItem="1" numFmtId="10"/>
  </dataFields>
  <formats count="3">
    <format dxfId="6">
      <pivotArea field="7" type="button" dataOnly="0" labelOnly="1" outline="0" axis="axisRow" fieldPosition="0"/>
    </format>
    <format dxfId="5">
      <pivotArea dataOnly="0" labelOnly="1" outline="0" axis="axisValues" fieldPosition="0"/>
    </format>
    <format dxfId="4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Location">
  <location ref="A45:H57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axis="axisRow" showAll="0" measureFilter="1" sortType="descending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7">
        <item x="2"/>
        <item x="4"/>
        <item x="0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25"/>
    </i>
    <i>
      <x v="11"/>
    </i>
    <i>
      <x v="12"/>
    </i>
    <i>
      <x v="4"/>
    </i>
    <i>
      <x/>
    </i>
    <i>
      <x v="22"/>
    </i>
    <i>
      <x v="26"/>
    </i>
    <i>
      <x v="31"/>
    </i>
    <i>
      <x v="19"/>
    </i>
    <i>
      <x v="6"/>
    </i>
    <i t="grand">
      <x/>
    </i>
  </rowItems>
  <colFields count="1">
    <field x="18"/>
  </colFields>
  <colItems count="7">
    <i>
      <x v="4"/>
    </i>
    <i>
      <x v="3"/>
    </i>
    <i>
      <x v="5"/>
    </i>
    <i>
      <x/>
    </i>
    <i>
      <x v="2"/>
    </i>
    <i>
      <x v="1"/>
    </i>
    <i t="grand">
      <x/>
    </i>
  </colItems>
  <dataFields count="1">
    <dataField name="Number of customers" fld="0" showDataAs="percentOfRow" baseField="6" baseItem="0" numFmtId="1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Delivery Type">
  <location ref="A108:B11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0"/>
        <item x="1"/>
        <item x="2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7">
    <i>
      <x v="2"/>
    </i>
    <i>
      <x v="4"/>
    </i>
    <i>
      <x v="5"/>
    </i>
    <i>
      <x v="3"/>
    </i>
    <i>
      <x v="1"/>
    </i>
    <i>
      <x/>
    </i>
    <i t="grand">
      <x/>
    </i>
  </rowItems>
  <colItems count="1">
    <i/>
  </colItems>
  <dataFields count="1">
    <dataField name="Count of Customer ID" fld="0" subtotal="count" baseField="12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Category" colHeaderCaption="Subscription">
  <location ref="A22:F26" firstHeaderRow="1" firstDataRow="2" firstDataCol="1"/>
  <pivotFields count="21">
    <pivotField dataField="1" showAll="0"/>
    <pivotField showAll="0"/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3">
    <i>
      <x/>
    </i>
    <i>
      <x v="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No of Purchase" fld="0" showDataAs="percentOfTotal" baseField="11" baseItem="0" numFmtId="10"/>
  </dataFields>
  <formats count="3">
    <format dxfId="9">
      <pivotArea field="11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Col="1" outline="0" fieldPosition="0"/>
    </format>
  </format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iscounts" colHeaderCaption="Subscription">
  <location ref="A102:B10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customers" fld="0" showDataAs="percentOfTotal" baseField="13" baseItem="0" numFmtId="10"/>
  </dataFields>
  <formats count="3">
    <format dxfId="12">
      <pivotArea collapsedLevelsAreSubtotals="1" fieldPosition="0">
        <references count="1">
          <reference field="13" count="0"/>
        </references>
      </pivotArea>
    </format>
    <format dxfId="11">
      <pivotArea outline="0" collapsedLevelsAreSubtotals="1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>
  <location ref="A79:D91" firstHeaderRow="1" firstDataRow="2" firstDataCol="1"/>
  <pivotFields count="22"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 measureFilter="1">
      <items count="3">
        <item x="1"/>
        <item x="0"/>
        <item t="default"/>
      </items>
    </pivotField>
    <pivotField axis="axisRow" showAll="0" measureFilter="1" sortType="descending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1"/>
        <item x="2"/>
        <item t="default"/>
      </items>
    </pivotField>
    <pivotField dataField="1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1">
    <i>
      <x v="2"/>
    </i>
    <i>
      <x v="16"/>
    </i>
    <i>
      <x v="5"/>
    </i>
    <i>
      <x v="13"/>
    </i>
    <i>
      <x v="12"/>
    </i>
    <i>
      <x v="22"/>
    </i>
    <i>
      <x v="1"/>
    </i>
    <i>
      <x v="15"/>
    </i>
    <i>
      <x v="23"/>
    </i>
    <i>
      <x v="1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10" filterVal="10"/>
        </filterColumn>
      </autoFilter>
    </filter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Age">
  <location ref="A11:F19" firstHeaderRow="1" firstDataRow="2" firstDataCol="1"/>
  <pivotFields count="21">
    <pivotField showAll="0"/>
    <pivotField axis="axisRow"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7">
    <i>
      <x v="2"/>
    </i>
    <i>
      <x v="4"/>
    </i>
    <i>
      <x v="5"/>
    </i>
    <i>
      <x v="1"/>
    </i>
    <i>
      <x/>
    </i>
    <i>
      <x v="3"/>
    </i>
    <i t="grand">
      <x/>
    </i>
  </rowItems>
  <colFields count="1">
    <field x="4"/>
  </colFields>
  <colItems count="5">
    <i>
      <x v="1"/>
    </i>
    <i>
      <x v="2"/>
    </i>
    <i>
      <x v="3"/>
    </i>
    <i>
      <x/>
    </i>
    <i t="grand">
      <x/>
    </i>
  </colItems>
  <dataFields count="1">
    <dataField name="Avg Purchase" fld="5" subtotal="average" baseField="1" baseItem="1" numFmtId="2"/>
  </dataFields>
  <formats count="3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</format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9EFEC-AF36-4CBC-92F8-A4ED53843E8C}" name="PivotTable1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">
  <location ref="A2:B4" firstHeaderRow="1" firstDataRow="1" firstDataCol="1"/>
  <pivotFields count="20">
    <pivotField showAll="0"/>
    <pivotField showAll="0"/>
    <pivotField showAll="0"/>
    <pivotField showAll="0"/>
    <pivotField axis="axisRow" showAll="0" measureFilter="1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 v="3"/>
    </i>
    <i t="grand">
      <x/>
    </i>
  </rowItems>
  <colItems count="1">
    <i/>
  </colItems>
  <dataFields count="1">
    <dataField name="Variance" fld="5" subtotal="varp" baseField="4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4" type="sum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426C4-5B38-4879-9926-0769DE793C1C}" name="PivotTable1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670:C2687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86283-923A-42D8-9915-83A8C3E25E3B}" name="PivotTable1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">
  <location ref="A11:D13" firstHeaderRow="1" firstDataRow="2" firstDataCol="1"/>
  <pivotFields count="20">
    <pivotField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Variance" fld="5" subtotal="varp" baseField="4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5"/>
  <sheetViews>
    <sheetView showGridLines="0" zoomScale="115" zoomScaleNormal="115" workbookViewId="0">
      <selection activeCell="B1" sqref="B1"/>
    </sheetView>
  </sheetViews>
  <sheetFormatPr defaultRowHeight="14.4" x14ac:dyDescent="0.3"/>
  <cols>
    <col min="1" max="1" width="28.21875" bestFit="1" customWidth="1"/>
    <col min="2" max="2" width="19.33203125" bestFit="1" customWidth="1"/>
    <col min="3" max="3" width="22.21875" bestFit="1" customWidth="1"/>
    <col min="4" max="4" width="15.33203125" bestFit="1" customWidth="1"/>
    <col min="5" max="5" width="10" bestFit="1" customWidth="1"/>
    <col min="6" max="6" width="10.109375" bestFit="1" customWidth="1"/>
    <col min="7" max="7" width="9.44140625" bestFit="1" customWidth="1"/>
    <col min="8" max="8" width="10.77734375" bestFit="1" customWidth="1"/>
    <col min="9" max="9" width="8.5546875" bestFit="1" customWidth="1"/>
    <col min="10" max="10" width="5" bestFit="1" customWidth="1"/>
    <col min="11" max="11" width="7" bestFit="1" customWidth="1"/>
    <col min="12" max="12" width="6.21875" bestFit="1" customWidth="1"/>
    <col min="13" max="13" width="5.5546875" bestFit="1" customWidth="1"/>
    <col min="14" max="14" width="7.21875" bestFit="1" customWidth="1"/>
    <col min="15" max="15" width="6" bestFit="1" customWidth="1"/>
    <col min="16" max="16" width="7.44140625" bestFit="1" customWidth="1"/>
    <col min="17" max="17" width="5.21875" bestFit="1" customWidth="1"/>
    <col min="18" max="19" width="6" bestFit="1" customWidth="1"/>
    <col min="20" max="20" width="6.33203125" bestFit="1" customWidth="1"/>
    <col min="21" max="21" width="5" bestFit="1" customWidth="1"/>
    <col min="22" max="22" width="8.5546875" bestFit="1" customWidth="1"/>
    <col min="23" max="23" width="5.77734375" bestFit="1" customWidth="1"/>
    <col min="24" max="24" width="10" bestFit="1" customWidth="1"/>
    <col min="25" max="25" width="7.77734375" bestFit="1" customWidth="1"/>
    <col min="26" max="26" width="6.33203125" bestFit="1" customWidth="1"/>
    <col min="27" max="27" width="10.77734375" bestFit="1" customWidth="1"/>
  </cols>
  <sheetData>
    <row r="2" spans="1:6" x14ac:dyDescent="0.3">
      <c r="A2" s="29" t="s">
        <v>159</v>
      </c>
      <c r="B2" s="29"/>
      <c r="C2" s="29"/>
      <c r="D2" s="29"/>
    </row>
    <row r="3" spans="1:6" x14ac:dyDescent="0.3">
      <c r="A3" s="2" t="s">
        <v>154</v>
      </c>
      <c r="B3" t="s">
        <v>156</v>
      </c>
      <c r="C3" t="s">
        <v>158</v>
      </c>
      <c r="D3" t="s">
        <v>160</v>
      </c>
    </row>
    <row r="4" spans="1:6" x14ac:dyDescent="0.3">
      <c r="A4" s="3" t="s">
        <v>20</v>
      </c>
      <c r="B4" s="1">
        <v>1737</v>
      </c>
      <c r="C4" s="1">
        <v>104264</v>
      </c>
      <c r="D4" s="5">
        <v>0.44732946915449995</v>
      </c>
    </row>
    <row r="5" spans="1:6" x14ac:dyDescent="0.3">
      <c r="A5" s="3" t="s">
        <v>66</v>
      </c>
      <c r="B5" s="1">
        <v>1240</v>
      </c>
      <c r="C5" s="1">
        <v>74200</v>
      </c>
      <c r="D5" s="5">
        <v>0.31834426658543596</v>
      </c>
    </row>
    <row r="6" spans="1:6" x14ac:dyDescent="0.3">
      <c r="A6" s="3" t="s">
        <v>41</v>
      </c>
      <c r="B6" s="1">
        <v>599</v>
      </c>
      <c r="C6" s="1">
        <v>36093</v>
      </c>
      <c r="D6" s="5">
        <v>0.15485174681762992</v>
      </c>
    </row>
    <row r="7" spans="1:6" x14ac:dyDescent="0.3">
      <c r="A7" s="3" t="s">
        <v>62</v>
      </c>
      <c r="B7" s="1">
        <v>324</v>
      </c>
      <c r="C7" s="1">
        <v>18524</v>
      </c>
      <c r="D7" s="5">
        <v>7.9474517442434181E-2</v>
      </c>
    </row>
    <row r="8" spans="1:6" x14ac:dyDescent="0.3">
      <c r="A8" s="3" t="s">
        <v>153</v>
      </c>
      <c r="B8" s="1">
        <v>3900</v>
      </c>
      <c r="C8" s="1">
        <v>233081</v>
      </c>
      <c r="D8" s="5">
        <v>1</v>
      </c>
    </row>
    <row r="10" spans="1:6" x14ac:dyDescent="0.3">
      <c r="A10" s="30" t="s">
        <v>168</v>
      </c>
      <c r="B10" s="30"/>
    </row>
    <row r="11" spans="1:6" x14ac:dyDescent="0.3">
      <c r="A11" s="2" t="s">
        <v>170</v>
      </c>
      <c r="B11" s="2" t="s">
        <v>169</v>
      </c>
    </row>
    <row r="12" spans="1:6" x14ac:dyDescent="0.3">
      <c r="A12" s="6" t="s">
        <v>1</v>
      </c>
      <c r="B12" t="s">
        <v>41</v>
      </c>
      <c r="C12" t="s">
        <v>20</v>
      </c>
      <c r="D12" t="s">
        <v>66</v>
      </c>
      <c r="E12" t="s">
        <v>62</v>
      </c>
      <c r="F12" t="s">
        <v>153</v>
      </c>
    </row>
    <row r="13" spans="1:6" x14ac:dyDescent="0.3">
      <c r="A13" s="3" t="s">
        <v>164</v>
      </c>
      <c r="B13" s="8">
        <v>61.348684210526315</v>
      </c>
      <c r="C13" s="8">
        <v>61.096874999999997</v>
      </c>
      <c r="D13" s="8">
        <v>61.258620689655174</v>
      </c>
      <c r="E13" s="8">
        <v>58.523809523809526</v>
      </c>
      <c r="F13" s="8">
        <v>60.984354628422423</v>
      </c>
    </row>
    <row r="14" spans="1:6" x14ac:dyDescent="0.3">
      <c r="A14" s="3" t="s">
        <v>162</v>
      </c>
      <c r="B14" s="8">
        <v>63.273584905660378</v>
      </c>
      <c r="C14" s="8">
        <v>60.636094674556212</v>
      </c>
      <c r="D14" s="8">
        <v>59.861788617886177</v>
      </c>
      <c r="E14" s="8">
        <v>58.627450980392155</v>
      </c>
      <c r="F14" s="8">
        <v>60.618083670715251</v>
      </c>
    </row>
    <row r="15" spans="1:6" x14ac:dyDescent="0.3">
      <c r="A15" s="3" t="s">
        <v>161</v>
      </c>
      <c r="B15" s="8">
        <v>61.790476190476191</v>
      </c>
      <c r="C15" s="8">
        <v>59.096096096096097</v>
      </c>
      <c r="D15" s="8">
        <v>60.727272727272727</v>
      </c>
      <c r="E15" s="8">
        <v>58.07692307692308</v>
      </c>
      <c r="F15" s="8">
        <v>59.892116182572614</v>
      </c>
    </row>
    <row r="16" spans="1:6" x14ac:dyDescent="0.3">
      <c r="A16" s="3" t="s">
        <v>165</v>
      </c>
      <c r="B16" s="8">
        <v>59.173469387755105</v>
      </c>
      <c r="C16" s="8">
        <v>60.087227414330215</v>
      </c>
      <c r="D16" s="8">
        <v>59.395555555555553</v>
      </c>
      <c r="E16" s="8">
        <v>53.3</v>
      </c>
      <c r="F16" s="8">
        <v>59.078431372549019</v>
      </c>
    </row>
    <row r="17" spans="1:6" x14ac:dyDescent="0.3">
      <c r="A17" s="3" t="s">
        <v>166</v>
      </c>
      <c r="B17" s="8">
        <v>59.696969696969695</v>
      </c>
      <c r="C17" s="8">
        <v>60.2</v>
      </c>
      <c r="D17" s="8">
        <v>57.609756097560975</v>
      </c>
      <c r="E17" s="8">
        <v>57.8</v>
      </c>
      <c r="F17" s="8">
        <v>59.047826086956519</v>
      </c>
    </row>
    <row r="18" spans="1:6" x14ac:dyDescent="0.3">
      <c r="A18" s="3" t="s">
        <v>163</v>
      </c>
      <c r="B18" s="8">
        <v>55.276190476190479</v>
      </c>
      <c r="C18" s="8">
        <v>59.17230769230769</v>
      </c>
      <c r="D18" s="8">
        <v>58.782978723404256</v>
      </c>
      <c r="E18" s="8">
        <v>57.9</v>
      </c>
      <c r="F18" s="8">
        <v>58.376551724137933</v>
      </c>
    </row>
    <row r="19" spans="1:6" x14ac:dyDescent="0.3">
      <c r="A19" s="3" t="s">
        <v>153</v>
      </c>
      <c r="B19" s="8">
        <v>60.255425709515862</v>
      </c>
      <c r="C19" s="8">
        <v>60.025331030512376</v>
      </c>
      <c r="D19" s="8">
        <v>59.838709677419352</v>
      </c>
      <c r="E19" s="8">
        <v>57.172839506172842</v>
      </c>
      <c r="F19" s="8">
        <v>59.764358974358977</v>
      </c>
    </row>
    <row r="21" spans="1:6" x14ac:dyDescent="0.3">
      <c r="A21" s="31" t="s">
        <v>178</v>
      </c>
      <c r="B21" s="31"/>
      <c r="C21" s="7"/>
      <c r="D21" s="7"/>
      <c r="E21" s="7"/>
      <c r="F21" s="7"/>
    </row>
    <row r="22" spans="1:6" x14ac:dyDescent="0.3">
      <c r="A22" s="2" t="s">
        <v>175</v>
      </c>
      <c r="B22" s="2" t="s">
        <v>174</v>
      </c>
    </row>
    <row r="23" spans="1:6" x14ac:dyDescent="0.3">
      <c r="A23" s="6" t="s">
        <v>4</v>
      </c>
      <c r="B23" s="4" t="s">
        <v>66</v>
      </c>
      <c r="C23" s="4" t="s">
        <v>20</v>
      </c>
      <c r="D23" s="4" t="s">
        <v>41</v>
      </c>
      <c r="E23" s="4" t="s">
        <v>62</v>
      </c>
      <c r="F23" s="4" t="s">
        <v>153</v>
      </c>
    </row>
    <row r="24" spans="1:6" x14ac:dyDescent="0.3">
      <c r="A24" s="3" t="s">
        <v>151</v>
      </c>
      <c r="B24" s="5">
        <v>0.2938862487593582</v>
      </c>
      <c r="C24" s="5">
        <v>0.41575480317341379</v>
      </c>
      <c r="D24" s="5">
        <v>0.14178323769710593</v>
      </c>
      <c r="E24" s="5">
        <v>7.5625184863841621E-2</v>
      </c>
      <c r="F24" s="5">
        <v>0.92704947449371955</v>
      </c>
    </row>
    <row r="25" spans="1:6" x14ac:dyDescent="0.3">
      <c r="A25" s="3" t="s">
        <v>25</v>
      </c>
      <c r="B25" s="5">
        <v>2.3247687969554159E-2</v>
      </c>
      <c r="C25" s="5">
        <v>3.1556931490281916E-2</v>
      </c>
      <c r="D25" s="5">
        <v>1.2535641748664051E-2</v>
      </c>
      <c r="E25" s="5">
        <v>5.6102642977803197E-3</v>
      </c>
      <c r="F25" s="5">
        <v>7.2950525506280436E-2</v>
      </c>
    </row>
    <row r="26" spans="1:6" x14ac:dyDescent="0.3">
      <c r="A26" s="3" t="s">
        <v>153</v>
      </c>
      <c r="B26" s="5">
        <v>0.31713393672891238</v>
      </c>
      <c r="C26" s="5">
        <v>0.44731173466369573</v>
      </c>
      <c r="D26" s="5">
        <v>0.15431887944577</v>
      </c>
      <c r="E26" s="5">
        <v>8.1235449161621939E-2</v>
      </c>
      <c r="F26" s="5">
        <v>1</v>
      </c>
    </row>
    <row r="36" spans="1:8" x14ac:dyDescent="0.3">
      <c r="A36" s="30" t="s">
        <v>187</v>
      </c>
      <c r="B36" s="30"/>
      <c r="C36" s="30"/>
      <c r="D36" s="30"/>
    </row>
    <row r="37" spans="1:8" x14ac:dyDescent="0.3">
      <c r="A37" s="2" t="s">
        <v>183</v>
      </c>
      <c r="B37" t="s">
        <v>184</v>
      </c>
      <c r="C37" s="4" t="s">
        <v>185</v>
      </c>
      <c r="D37" t="s">
        <v>186</v>
      </c>
    </row>
    <row r="38" spans="1:8" x14ac:dyDescent="0.3">
      <c r="A38" s="3" t="s">
        <v>56</v>
      </c>
      <c r="B38" s="1">
        <v>60018</v>
      </c>
      <c r="C38" s="1">
        <v>24346</v>
      </c>
      <c r="D38" s="8">
        <v>146.52098907418056</v>
      </c>
    </row>
    <row r="39" spans="1:8" x14ac:dyDescent="0.3">
      <c r="A39" s="3" t="s">
        <v>36</v>
      </c>
      <c r="B39" s="1">
        <v>58679</v>
      </c>
      <c r="C39" s="1">
        <v>25091</v>
      </c>
      <c r="D39" s="8">
        <v>133.86473237415805</v>
      </c>
    </row>
    <row r="40" spans="1:8" x14ac:dyDescent="0.3">
      <c r="A40" s="3" t="s">
        <v>52</v>
      </c>
      <c r="B40" s="1">
        <v>55777</v>
      </c>
      <c r="C40" s="1">
        <v>24265</v>
      </c>
      <c r="D40" s="8">
        <v>129.86606222954873</v>
      </c>
    </row>
    <row r="41" spans="1:8" x14ac:dyDescent="0.3">
      <c r="A41" s="3" t="s">
        <v>24</v>
      </c>
      <c r="B41" s="1">
        <v>58607</v>
      </c>
      <c r="C41" s="1">
        <v>25169</v>
      </c>
      <c r="D41" s="8">
        <v>132.85390758472724</v>
      </c>
    </row>
    <row r="42" spans="1:8" x14ac:dyDescent="0.3">
      <c r="A42" s="3" t="s">
        <v>153</v>
      </c>
      <c r="B42" s="1">
        <v>233081</v>
      </c>
      <c r="C42" s="1">
        <v>98871</v>
      </c>
      <c r="D42" s="8">
        <v>135.74253319982603</v>
      </c>
    </row>
    <row r="44" spans="1:8" x14ac:dyDescent="0.3">
      <c r="A44" s="32" t="s">
        <v>193</v>
      </c>
      <c r="B44" s="32"/>
      <c r="C44" s="32"/>
    </row>
    <row r="45" spans="1:8" x14ac:dyDescent="0.3">
      <c r="A45" s="2" t="s">
        <v>191</v>
      </c>
      <c r="B45" s="2" t="s">
        <v>169</v>
      </c>
    </row>
    <row r="46" spans="1:8" x14ac:dyDescent="0.3">
      <c r="A46" s="2" t="s">
        <v>6</v>
      </c>
      <c r="B46" t="s">
        <v>57</v>
      </c>
      <c r="C46" t="s">
        <v>87</v>
      </c>
      <c r="D46" t="s">
        <v>39</v>
      </c>
      <c r="E46" t="s">
        <v>48</v>
      </c>
      <c r="F46" t="s">
        <v>28</v>
      </c>
      <c r="G46" t="s">
        <v>75</v>
      </c>
      <c r="H46" t="s">
        <v>153</v>
      </c>
    </row>
    <row r="47" spans="1:8" x14ac:dyDescent="0.3">
      <c r="A47" s="3" t="s">
        <v>55</v>
      </c>
      <c r="B47" s="5">
        <v>0.31677450457993961</v>
      </c>
      <c r="C47" s="5">
        <v>0.11756616173149628</v>
      </c>
      <c r="D47" s="5">
        <v>0.13105478165994267</v>
      </c>
      <c r="E47" s="5">
        <v>0.18284742838293877</v>
      </c>
      <c r="F47" s="5">
        <v>0.15190682804293218</v>
      </c>
      <c r="G47" s="5">
        <v>9.9850295602750508E-2</v>
      </c>
      <c r="H47" s="5">
        <v>1</v>
      </c>
    </row>
    <row r="48" spans="1:8" x14ac:dyDescent="0.3">
      <c r="A48" s="3" t="s">
        <v>134</v>
      </c>
      <c r="B48" s="5">
        <v>0.36550318737590137</v>
      </c>
      <c r="C48" s="5">
        <v>0.18263663914724632</v>
      </c>
      <c r="D48" s="5">
        <v>7.8252690981293754E-2</v>
      </c>
      <c r="E48" s="5">
        <v>0.12100532971052357</v>
      </c>
      <c r="F48" s="5">
        <v>0.13878670707492946</v>
      </c>
      <c r="G48" s="5">
        <v>0.11381544571010555</v>
      </c>
      <c r="H48" s="5">
        <v>1</v>
      </c>
    </row>
    <row r="49" spans="1:8" x14ac:dyDescent="0.3">
      <c r="A49" s="3" t="s">
        <v>114</v>
      </c>
      <c r="B49" s="5">
        <v>0.25732433975885438</v>
      </c>
      <c r="C49" s="5">
        <v>0.11970002262760353</v>
      </c>
      <c r="D49" s="5">
        <v>0.16813925673709956</v>
      </c>
      <c r="E49" s="5">
        <v>0.11389227105714009</v>
      </c>
      <c r="F49" s="5">
        <v>0.1472895363496288</v>
      </c>
      <c r="G49" s="5">
        <v>0.19365457346967363</v>
      </c>
      <c r="H49" s="5">
        <v>1</v>
      </c>
    </row>
    <row r="50" spans="1:8" x14ac:dyDescent="0.3">
      <c r="A50" s="3" t="s">
        <v>98</v>
      </c>
      <c r="B50" s="5">
        <v>0.27811411149825782</v>
      </c>
      <c r="C50" s="5">
        <v>0.16755226480836236</v>
      </c>
      <c r="D50" s="5">
        <v>0.20378375435540069</v>
      </c>
      <c r="E50" s="5">
        <v>0.18508275261324042</v>
      </c>
      <c r="F50" s="5">
        <v>6.5461672473867596E-2</v>
      </c>
      <c r="G50" s="5">
        <v>0.10000544425087109</v>
      </c>
      <c r="H50" s="5">
        <v>1</v>
      </c>
    </row>
    <row r="51" spans="1:8" x14ac:dyDescent="0.3">
      <c r="A51" s="3" t="s">
        <v>89</v>
      </c>
      <c r="B51" s="5">
        <v>0.32316985556558175</v>
      </c>
      <c r="C51" s="5">
        <v>0.11520843271701084</v>
      </c>
      <c r="D51" s="5">
        <v>0.15200386231313473</v>
      </c>
      <c r="E51" s="5">
        <v>8.1108575829506466E-2</v>
      </c>
      <c r="F51" s="5">
        <v>0.15590640787636001</v>
      </c>
      <c r="G51" s="5">
        <v>0.17260286569840622</v>
      </c>
      <c r="H51" s="5">
        <v>1</v>
      </c>
    </row>
    <row r="52" spans="1:8" x14ac:dyDescent="0.3">
      <c r="A52" s="3" t="s">
        <v>147</v>
      </c>
      <c r="B52" s="5">
        <v>0.25439113658784318</v>
      </c>
      <c r="C52" s="5">
        <v>0.22155611723707175</v>
      </c>
      <c r="D52" s="5">
        <v>0.15872302420743559</v>
      </c>
      <c r="E52" s="5">
        <v>0.10743034597895057</v>
      </c>
      <c r="F52" s="5">
        <v>0.17851743320627397</v>
      </c>
      <c r="G52" s="5">
        <v>7.9381942782424941E-2</v>
      </c>
      <c r="H52" s="5">
        <v>1</v>
      </c>
    </row>
    <row r="53" spans="1:8" x14ac:dyDescent="0.3">
      <c r="A53" s="3" t="s">
        <v>144</v>
      </c>
      <c r="B53" s="5">
        <v>0.28148847083800199</v>
      </c>
      <c r="C53" s="5">
        <v>0.13498260305478563</v>
      </c>
      <c r="D53" s="5">
        <v>0.13245267441174735</v>
      </c>
      <c r="E53" s="5">
        <v>0.18114642920327889</v>
      </c>
      <c r="F53" s="5">
        <v>0.19243970041870614</v>
      </c>
      <c r="G53" s="5">
        <v>7.7490122073479981E-2</v>
      </c>
      <c r="H53" s="5">
        <v>1</v>
      </c>
    </row>
    <row r="54" spans="1:8" x14ac:dyDescent="0.3">
      <c r="A54" s="3" t="s">
        <v>83</v>
      </c>
      <c r="B54" s="5">
        <v>0.258291469180291</v>
      </c>
      <c r="C54" s="5">
        <v>0.166279090408819</v>
      </c>
      <c r="D54" s="5">
        <v>0.18558097976911106</v>
      </c>
      <c r="E54" s="5">
        <v>0.1219178811708945</v>
      </c>
      <c r="F54" s="5">
        <v>0.10017219036799034</v>
      </c>
      <c r="G54" s="5">
        <v>0.16775838910289409</v>
      </c>
      <c r="H54" s="5">
        <v>1</v>
      </c>
    </row>
    <row r="55" spans="1:8" x14ac:dyDescent="0.3">
      <c r="A55" s="3" t="s">
        <v>127</v>
      </c>
      <c r="B55" s="5">
        <v>0.22368767661286459</v>
      </c>
      <c r="C55" s="5">
        <v>0.16013099286364291</v>
      </c>
      <c r="D55" s="5">
        <v>0.19757890703577757</v>
      </c>
      <c r="E55" s="5">
        <v>0.15382681162890943</v>
      </c>
      <c r="F55" s="5">
        <v>0.11034412567651708</v>
      </c>
      <c r="G55" s="5">
        <v>0.15443148618228841</v>
      </c>
      <c r="H55" s="5">
        <v>1</v>
      </c>
    </row>
    <row r="56" spans="1:8" x14ac:dyDescent="0.3">
      <c r="A56" s="3" t="s">
        <v>138</v>
      </c>
      <c r="B56" s="5">
        <v>0.34437117851576549</v>
      </c>
      <c r="C56" s="5">
        <v>0.13364105023378492</v>
      </c>
      <c r="D56" s="5">
        <v>0.11404507852775446</v>
      </c>
      <c r="E56" s="5">
        <v>0.22371418295168444</v>
      </c>
      <c r="F56" s="5">
        <v>7.0609039683491193E-2</v>
      </c>
      <c r="G56" s="5">
        <v>0.11361947008751948</v>
      </c>
      <c r="H56" s="5">
        <v>1</v>
      </c>
    </row>
    <row r="57" spans="1:8" x14ac:dyDescent="0.3">
      <c r="A57" s="3" t="s">
        <v>153</v>
      </c>
      <c r="B57" s="5">
        <v>0.29131825734320876</v>
      </c>
      <c r="C57" s="5">
        <v>0.15159255400039426</v>
      </c>
      <c r="D57" s="5">
        <v>0.15147089470275141</v>
      </c>
      <c r="E57" s="5">
        <v>0.14710411444985777</v>
      </c>
      <c r="F57" s="5">
        <v>0.13142414599115718</v>
      </c>
      <c r="G57" s="5">
        <v>0.1270900335126306</v>
      </c>
      <c r="H57" s="5">
        <v>1</v>
      </c>
    </row>
    <row r="60" spans="1:8" x14ac:dyDescent="0.3">
      <c r="A60" s="30" t="s">
        <v>180</v>
      </c>
      <c r="B60" s="30"/>
    </row>
    <row r="61" spans="1:8" x14ac:dyDescent="0.3">
      <c r="A61" s="6" t="s">
        <v>7</v>
      </c>
      <c r="B61" t="s">
        <v>181</v>
      </c>
      <c r="C61" t="s">
        <v>179</v>
      </c>
    </row>
    <row r="62" spans="1:8" x14ac:dyDescent="0.3">
      <c r="A62" s="3" t="s">
        <v>43</v>
      </c>
      <c r="B62" s="1">
        <v>1755</v>
      </c>
      <c r="C62" s="5">
        <v>0.45</v>
      </c>
    </row>
    <row r="63" spans="1:8" x14ac:dyDescent="0.3">
      <c r="A63" s="3" t="s">
        <v>22</v>
      </c>
      <c r="B63" s="1">
        <v>1053</v>
      </c>
      <c r="C63" s="5">
        <v>0.27</v>
      </c>
    </row>
    <row r="64" spans="1:8" x14ac:dyDescent="0.3">
      <c r="A64" s="3" t="s">
        <v>35</v>
      </c>
      <c r="B64" s="1">
        <v>663</v>
      </c>
      <c r="C64" s="5">
        <v>0.17</v>
      </c>
    </row>
    <row r="65" spans="1:4" x14ac:dyDescent="0.3">
      <c r="A65" s="3" t="s">
        <v>91</v>
      </c>
      <c r="B65" s="1">
        <v>429</v>
      </c>
      <c r="C65" s="5">
        <v>0.11</v>
      </c>
    </row>
    <row r="66" spans="1:4" x14ac:dyDescent="0.3">
      <c r="A66" s="3" t="s">
        <v>153</v>
      </c>
      <c r="B66" s="1">
        <v>3900</v>
      </c>
      <c r="C66" s="5">
        <v>1</v>
      </c>
    </row>
    <row r="68" spans="1:4" x14ac:dyDescent="0.3">
      <c r="A68" s="33" t="s">
        <v>16</v>
      </c>
      <c r="B68" s="33"/>
    </row>
    <row r="69" spans="1:4" x14ac:dyDescent="0.3">
      <c r="A69" s="2" t="s">
        <v>16</v>
      </c>
      <c r="B69" t="s">
        <v>195</v>
      </c>
    </row>
    <row r="70" spans="1:4" x14ac:dyDescent="0.3">
      <c r="A70" s="3" t="s">
        <v>38</v>
      </c>
      <c r="B70" s="1">
        <v>40310</v>
      </c>
    </row>
    <row r="71" spans="1:4" x14ac:dyDescent="0.3">
      <c r="A71" s="3" t="s">
        <v>45</v>
      </c>
      <c r="B71" s="1">
        <v>40109</v>
      </c>
    </row>
    <row r="72" spans="1:4" x14ac:dyDescent="0.3">
      <c r="A72" s="3" t="s">
        <v>32</v>
      </c>
      <c r="B72" s="1">
        <v>40002</v>
      </c>
    </row>
    <row r="73" spans="1:4" x14ac:dyDescent="0.3">
      <c r="A73" s="3" t="s">
        <v>85</v>
      </c>
      <c r="B73" s="1">
        <v>38742</v>
      </c>
    </row>
    <row r="74" spans="1:4" x14ac:dyDescent="0.3">
      <c r="A74" s="3" t="s">
        <v>27</v>
      </c>
      <c r="B74" s="1">
        <v>37374</v>
      </c>
    </row>
    <row r="75" spans="1:4" x14ac:dyDescent="0.3">
      <c r="A75" s="3" t="s">
        <v>74</v>
      </c>
      <c r="B75" s="1">
        <v>36544</v>
      </c>
    </row>
    <row r="76" spans="1:4" x14ac:dyDescent="0.3">
      <c r="A76" s="3" t="s">
        <v>153</v>
      </c>
      <c r="B76" s="1">
        <v>233081</v>
      </c>
    </row>
    <row r="78" spans="1:4" x14ac:dyDescent="0.3">
      <c r="A78" s="30" t="s">
        <v>279</v>
      </c>
      <c r="B78" s="30"/>
    </row>
    <row r="79" spans="1:4" x14ac:dyDescent="0.3">
      <c r="A79" s="2" t="s">
        <v>157</v>
      </c>
      <c r="B79" s="2" t="s">
        <v>169</v>
      </c>
    </row>
    <row r="80" spans="1:4" x14ac:dyDescent="0.3">
      <c r="A80" s="2" t="s">
        <v>2</v>
      </c>
      <c r="B80" t="s">
        <v>152</v>
      </c>
      <c r="C80" t="s">
        <v>18</v>
      </c>
      <c r="D80" t="s">
        <v>153</v>
      </c>
    </row>
    <row r="81" spans="1:4" x14ac:dyDescent="0.3">
      <c r="A81" s="3" t="s">
        <v>19</v>
      </c>
      <c r="B81" s="1">
        <v>4016</v>
      </c>
      <c r="C81" s="1">
        <v>6394</v>
      </c>
      <c r="D81" s="1">
        <v>10410</v>
      </c>
    </row>
    <row r="82" spans="1:4" x14ac:dyDescent="0.3">
      <c r="A82" s="3" t="s">
        <v>54</v>
      </c>
      <c r="B82" s="1">
        <v>3552</v>
      </c>
      <c r="C82" s="1">
        <v>6780</v>
      </c>
      <c r="D82" s="1">
        <v>10332</v>
      </c>
    </row>
    <row r="83" spans="1:4" x14ac:dyDescent="0.3">
      <c r="A83" s="3" t="s">
        <v>80</v>
      </c>
      <c r="B83" s="1">
        <v>3492</v>
      </c>
      <c r="C83" s="1">
        <v>6828</v>
      </c>
      <c r="D83" s="1">
        <v>10320</v>
      </c>
    </row>
    <row r="84" spans="1:4" x14ac:dyDescent="0.3">
      <c r="A84" s="3" t="s">
        <v>94</v>
      </c>
      <c r="B84" s="1">
        <v>2936</v>
      </c>
      <c r="C84" s="1">
        <v>7154</v>
      </c>
      <c r="D84" s="1">
        <v>10090</v>
      </c>
    </row>
    <row r="85" spans="1:4" x14ac:dyDescent="0.3">
      <c r="A85" s="3" t="s">
        <v>105</v>
      </c>
      <c r="B85" s="1">
        <v>3371</v>
      </c>
      <c r="C85" s="1">
        <v>6639</v>
      </c>
      <c r="D85" s="1">
        <v>10010</v>
      </c>
    </row>
    <row r="86" spans="1:4" x14ac:dyDescent="0.3">
      <c r="A86" s="3" t="s">
        <v>88</v>
      </c>
      <c r="B86" s="1">
        <v>3248</v>
      </c>
      <c r="C86" s="1">
        <v>6401</v>
      </c>
      <c r="D86" s="1">
        <v>9649</v>
      </c>
    </row>
    <row r="87" spans="1:4" x14ac:dyDescent="0.3">
      <c r="A87" s="3" t="s">
        <v>132</v>
      </c>
      <c r="B87" s="1">
        <v>3209</v>
      </c>
      <c r="C87" s="1">
        <v>6426</v>
      </c>
      <c r="D87" s="1">
        <v>9635</v>
      </c>
    </row>
    <row r="88" spans="1:4" x14ac:dyDescent="0.3">
      <c r="A88" s="3" t="s">
        <v>118</v>
      </c>
      <c r="B88" s="1">
        <v>2702</v>
      </c>
      <c r="C88" s="1">
        <v>6859</v>
      </c>
      <c r="D88" s="1">
        <v>9561</v>
      </c>
    </row>
    <row r="89" spans="1:4" x14ac:dyDescent="0.3">
      <c r="A89" s="3" t="s">
        <v>29</v>
      </c>
      <c r="B89" s="1">
        <v>2923</v>
      </c>
      <c r="C89" s="1">
        <v>6539</v>
      </c>
      <c r="D89" s="1">
        <v>9462</v>
      </c>
    </row>
    <row r="90" spans="1:4" x14ac:dyDescent="0.3">
      <c r="A90" s="3" t="s">
        <v>58</v>
      </c>
      <c r="B90" s="1">
        <v>2797</v>
      </c>
      <c r="C90" s="1">
        <v>6636</v>
      </c>
      <c r="D90" s="1">
        <v>9433</v>
      </c>
    </row>
    <row r="91" spans="1:4" x14ac:dyDescent="0.3">
      <c r="A91" s="3" t="s">
        <v>153</v>
      </c>
      <c r="B91" s="1">
        <v>32246</v>
      </c>
      <c r="C91" s="1">
        <v>66656</v>
      </c>
      <c r="D91" s="1">
        <v>98902</v>
      </c>
    </row>
    <row r="93" spans="1:4" x14ac:dyDescent="0.3">
      <c r="A93" s="30" t="s">
        <v>201</v>
      </c>
      <c r="B93" s="30"/>
    </row>
    <row r="94" spans="1:4" x14ac:dyDescent="0.3">
      <c r="A94" s="2" t="s">
        <v>199</v>
      </c>
      <c r="B94" t="s">
        <v>200</v>
      </c>
    </row>
    <row r="95" spans="1:4" x14ac:dyDescent="0.3">
      <c r="A95" s="3" t="s">
        <v>151</v>
      </c>
      <c r="B95" s="5">
        <v>0.56999999999999995</v>
      </c>
    </row>
    <row r="96" spans="1:4" x14ac:dyDescent="0.3">
      <c r="A96" s="3" t="s">
        <v>25</v>
      </c>
      <c r="B96" s="5">
        <v>0.43</v>
      </c>
    </row>
    <row r="97" spans="1:2" x14ac:dyDescent="0.3">
      <c r="A97" s="3" t="s">
        <v>153</v>
      </c>
      <c r="B97" s="5">
        <v>1</v>
      </c>
    </row>
    <row r="101" spans="1:2" x14ac:dyDescent="0.3">
      <c r="A101" s="30" t="s">
        <v>206</v>
      </c>
      <c r="B101" s="30"/>
    </row>
    <row r="102" spans="1:2" x14ac:dyDescent="0.3">
      <c r="A102" s="2" t="s">
        <v>204</v>
      </c>
      <c r="B102" t="s">
        <v>205</v>
      </c>
    </row>
    <row r="103" spans="1:2" x14ac:dyDescent="0.3">
      <c r="A103" s="3" t="s">
        <v>151</v>
      </c>
      <c r="B103" s="5">
        <v>0.81503716995642139</v>
      </c>
    </row>
    <row r="104" spans="1:2" x14ac:dyDescent="0.3">
      <c r="A104" s="3" t="s">
        <v>25</v>
      </c>
      <c r="B104" s="5">
        <v>0.18496283004357858</v>
      </c>
    </row>
    <row r="105" spans="1:2" x14ac:dyDescent="0.3">
      <c r="A105" s="3" t="s">
        <v>153</v>
      </c>
      <c r="B105" s="5">
        <v>1</v>
      </c>
    </row>
    <row r="107" spans="1:2" x14ac:dyDescent="0.3">
      <c r="A107" s="30" t="s">
        <v>209</v>
      </c>
      <c r="B107" s="30"/>
    </row>
    <row r="108" spans="1:2" x14ac:dyDescent="0.3">
      <c r="A108" s="2" t="s">
        <v>208</v>
      </c>
      <c r="B108" t="s">
        <v>155</v>
      </c>
    </row>
    <row r="109" spans="1:2" x14ac:dyDescent="0.3">
      <c r="A109" s="3" t="s">
        <v>37</v>
      </c>
      <c r="B109" s="1">
        <v>675</v>
      </c>
    </row>
    <row r="110" spans="1:2" x14ac:dyDescent="0.3">
      <c r="A110" s="3" t="s">
        <v>53</v>
      </c>
      <c r="B110" s="1">
        <v>654</v>
      </c>
    </row>
    <row r="111" spans="1:2" x14ac:dyDescent="0.3">
      <c r="A111" s="3" t="s">
        <v>73</v>
      </c>
      <c r="B111" s="1">
        <v>650</v>
      </c>
    </row>
    <row r="112" spans="1:2" x14ac:dyDescent="0.3">
      <c r="A112" s="3" t="s">
        <v>44</v>
      </c>
      <c r="B112" s="1">
        <v>648</v>
      </c>
    </row>
    <row r="113" spans="1:2" x14ac:dyDescent="0.3">
      <c r="A113" s="3" t="s">
        <v>26</v>
      </c>
      <c r="B113" s="1">
        <v>646</v>
      </c>
    </row>
    <row r="114" spans="1:2" x14ac:dyDescent="0.3">
      <c r="A114" s="3" t="s">
        <v>69</v>
      </c>
      <c r="B114" s="1">
        <v>627</v>
      </c>
    </row>
    <row r="115" spans="1:2" x14ac:dyDescent="0.3">
      <c r="A115" s="3" t="s">
        <v>153</v>
      </c>
      <c r="B115" s="1">
        <v>3900</v>
      </c>
    </row>
  </sheetData>
  <mergeCells count="11">
    <mergeCell ref="A2:D2"/>
    <mergeCell ref="A10:B10"/>
    <mergeCell ref="A21:B21"/>
    <mergeCell ref="A78:B78"/>
    <mergeCell ref="A107:B107"/>
    <mergeCell ref="A60:B60"/>
    <mergeCell ref="A36:D36"/>
    <mergeCell ref="A44:C44"/>
    <mergeCell ref="A68:B68"/>
    <mergeCell ref="A93:B93"/>
    <mergeCell ref="A101:B101"/>
  </mergeCells>
  <pageMargins left="0.7" right="0.7" top="0.75" bottom="0.75" header="0.3" footer="0.3"/>
  <pageSetup paperSize="9" orientation="landscape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79" zoomScale="55" zoomScaleNormal="55" workbookViewId="0">
      <selection activeCell="L119" sqref="L119"/>
    </sheetView>
  </sheetViews>
  <sheetFormatPr defaultRowHeight="14.4" x14ac:dyDescent="0.3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showGridLines="0" tabSelected="1" topLeftCell="A23" workbookViewId="0">
      <selection sqref="A1:G45"/>
    </sheetView>
  </sheetViews>
  <sheetFormatPr defaultRowHeight="14.4" x14ac:dyDescent="0.3"/>
  <cols>
    <col min="1" max="1" width="74.109375" bestFit="1" customWidth="1"/>
  </cols>
  <sheetData>
    <row r="1" spans="1:7" ht="25.8" x14ac:dyDescent="0.5">
      <c r="A1" s="34" t="s">
        <v>280</v>
      </c>
      <c r="B1" s="34"/>
      <c r="C1" s="34"/>
      <c r="D1" s="34"/>
      <c r="E1" s="34"/>
      <c r="F1" s="34"/>
      <c r="G1" s="34"/>
    </row>
    <row r="3" spans="1:7" x14ac:dyDescent="0.3">
      <c r="A3" s="9" t="s">
        <v>171</v>
      </c>
    </row>
    <row r="4" spans="1:7" x14ac:dyDescent="0.3">
      <c r="A4" s="10" t="s">
        <v>167</v>
      </c>
    </row>
    <row r="5" spans="1:7" x14ac:dyDescent="0.3">
      <c r="A5" s="9" t="s">
        <v>172</v>
      </c>
    </row>
    <row r="6" spans="1:7" ht="28.8" x14ac:dyDescent="0.3">
      <c r="A6" s="11" t="s">
        <v>173</v>
      </c>
    </row>
    <row r="7" spans="1:7" x14ac:dyDescent="0.3">
      <c r="A7" s="9" t="s">
        <v>176</v>
      </c>
    </row>
    <row r="8" spans="1:7" x14ac:dyDescent="0.3">
      <c r="A8" s="10" t="s">
        <v>177</v>
      </c>
    </row>
    <row r="9" spans="1:7" x14ac:dyDescent="0.3">
      <c r="A9" s="9" t="s">
        <v>7</v>
      </c>
    </row>
    <row r="10" spans="1:7" x14ac:dyDescent="0.3">
      <c r="A10" s="10" t="s">
        <v>182</v>
      </c>
    </row>
    <row r="11" spans="1:7" x14ac:dyDescent="0.3">
      <c r="A11" s="9" t="s">
        <v>188</v>
      </c>
    </row>
    <row r="12" spans="1:7" ht="28.8" x14ac:dyDescent="0.3">
      <c r="A12" s="12" t="s">
        <v>189</v>
      </c>
    </row>
    <row r="13" spans="1:7" x14ac:dyDescent="0.3">
      <c r="A13" s="9" t="s">
        <v>192</v>
      </c>
    </row>
    <row r="14" spans="1:7" x14ac:dyDescent="0.3">
      <c r="A14" s="3" t="s">
        <v>194</v>
      </c>
    </row>
    <row r="15" spans="1:7" x14ac:dyDescent="0.3">
      <c r="A15" s="9" t="s">
        <v>196</v>
      </c>
    </row>
    <row r="16" spans="1:7" x14ac:dyDescent="0.3">
      <c r="A16" s="10" t="s">
        <v>197</v>
      </c>
    </row>
    <row r="17" spans="1:1" x14ac:dyDescent="0.3">
      <c r="A17" s="9" t="s">
        <v>3</v>
      </c>
    </row>
    <row r="18" spans="1:1" x14ac:dyDescent="0.3">
      <c r="A18" s="10" t="s">
        <v>198</v>
      </c>
    </row>
    <row r="19" spans="1:1" x14ac:dyDescent="0.3">
      <c r="A19" s="9" t="s">
        <v>202</v>
      </c>
    </row>
    <row r="20" spans="1:1" x14ac:dyDescent="0.3">
      <c r="A20" s="10" t="s">
        <v>203</v>
      </c>
    </row>
    <row r="21" spans="1:1" x14ac:dyDescent="0.3">
      <c r="A21" s="9" t="s">
        <v>204</v>
      </c>
    </row>
    <row r="22" spans="1:1" x14ac:dyDescent="0.3">
      <c r="A22" s="10" t="s">
        <v>207</v>
      </c>
    </row>
    <row r="23" spans="1:1" x14ac:dyDescent="0.3">
      <c r="A23" s="9" t="s">
        <v>208</v>
      </c>
    </row>
    <row r="24" spans="1:1" x14ac:dyDescent="0.3">
      <c r="A24" s="10" t="s">
        <v>210</v>
      </c>
    </row>
    <row r="33" spans="1:1" ht="18" x14ac:dyDescent="0.3">
      <c r="A33" s="13" t="s">
        <v>217</v>
      </c>
    </row>
    <row r="34" spans="1:1" x14ac:dyDescent="0.3">
      <c r="A34" s="14"/>
    </row>
    <row r="35" spans="1:1" x14ac:dyDescent="0.3">
      <c r="A35" s="15" t="s">
        <v>211</v>
      </c>
    </row>
    <row r="36" spans="1:1" x14ac:dyDescent="0.3">
      <c r="A36" s="14"/>
    </row>
    <row r="37" spans="1:1" x14ac:dyDescent="0.3">
      <c r="A37" s="15" t="s">
        <v>212</v>
      </c>
    </row>
    <row r="38" spans="1:1" x14ac:dyDescent="0.3">
      <c r="A38" s="14"/>
    </row>
    <row r="39" spans="1:1" x14ac:dyDescent="0.3">
      <c r="A39" s="15" t="s">
        <v>213</v>
      </c>
    </row>
    <row r="40" spans="1:1" x14ac:dyDescent="0.3">
      <c r="A40" s="14"/>
    </row>
    <row r="41" spans="1:1" x14ac:dyDescent="0.3">
      <c r="A41" s="15" t="s">
        <v>214</v>
      </c>
    </row>
    <row r="42" spans="1:1" x14ac:dyDescent="0.3">
      <c r="A42" s="14"/>
    </row>
    <row r="43" spans="1:1" x14ac:dyDescent="0.3">
      <c r="A43" s="15" t="s">
        <v>215</v>
      </c>
    </row>
    <row r="44" spans="1:1" x14ac:dyDescent="0.3">
      <c r="A44" s="14"/>
    </row>
    <row r="45" spans="1:1" x14ac:dyDescent="0.3">
      <c r="A45" s="15" t="s">
        <v>216</v>
      </c>
    </row>
  </sheetData>
  <mergeCells count="1">
    <mergeCell ref="A1:G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3901"/>
  <sheetViews>
    <sheetView workbookViewId="0">
      <selection activeCell="F1" sqref="F1"/>
    </sheetView>
  </sheetViews>
  <sheetFormatPr defaultRowHeight="14.4" x14ac:dyDescent="0.3"/>
  <cols>
    <col min="4" max="4" width="13.6640625" bestFit="1" customWidth="1"/>
    <col min="5" max="5" width="16.33203125" customWidth="1"/>
    <col min="6" max="6" width="25.21875" customWidth="1"/>
    <col min="16" max="16" width="16.5546875" bestFit="1" customWidth="1"/>
    <col min="18" max="18" width="20.33203125" bestFit="1" customWidth="1"/>
    <col min="19" max="19" width="32.33203125" bestFit="1" customWidth="1"/>
    <col min="20" max="20" width="9.21875" bestFit="1" customWidth="1"/>
    <col min="22" max="22" width="41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190</v>
      </c>
      <c r="T1" t="s">
        <v>220</v>
      </c>
    </row>
    <row r="2" spans="1:23" hidden="1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  <c r="S2" t="str">
        <f>IF(R2="Every 3 Months","Quarterly",R2)</f>
        <v>Fortnightly</v>
      </c>
      <c r="T2" cm="1">
        <f t="array" ref="T2">_xlfn.SWITCH(S2,"Annually",6,"Bi-Weekly",2,"Fortnightly",3,"Monthly",4,"Quarterly",5,"Weekly",1)</f>
        <v>3</v>
      </c>
      <c r="V2" t="s">
        <v>218</v>
      </c>
      <c r="W2" s="8">
        <f>AVERAGE(F2:F3901)</f>
        <v>59.764358974358977</v>
      </c>
    </row>
    <row r="3" spans="1:23" hidden="1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  <c r="S3" t="str">
        <f t="shared" ref="S3:S66" si="0">IF(R3="Every 3 Months","Quarterly",R3)</f>
        <v>Fortnightly</v>
      </c>
      <c r="T3" cm="1">
        <f t="array" ref="T3">_xlfn.SWITCH(S3,"Annually",6,"Bi-Weekly",2,"Fortnightly",3,"Monthly",4,"Quarterly",5,"Weekly",1)</f>
        <v>3</v>
      </c>
      <c r="V3" t="s">
        <v>219</v>
      </c>
      <c r="W3">
        <f>MEDIAN(T2:T3901)</f>
        <v>4</v>
      </c>
    </row>
    <row r="4" spans="1:23" hidden="1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  <c r="S4" t="str">
        <f t="shared" si="0"/>
        <v>Weekly</v>
      </c>
      <c r="T4" cm="1">
        <f t="array" ref="T4">_xlfn.SWITCH(S4,"Annually",6,"Bi-Weekly",2,"Fortnightly",3,"Monthly",4,"Quarterly",5,"Weekly",1)</f>
        <v>1</v>
      </c>
      <c r="V4" s="3"/>
    </row>
    <row r="5" spans="1:23" hidden="1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  <c r="S5" t="str">
        <f t="shared" si="0"/>
        <v>Weekly</v>
      </c>
      <c r="T5" cm="1">
        <f t="array" ref="T5">_xlfn.SWITCH(S5,"Annually",6,"Bi-Weekly",2,"Fortnightly",3,"Monthly",4,"Quarterly",5,"Weekly",1)</f>
        <v>1</v>
      </c>
      <c r="V5" s="3"/>
    </row>
    <row r="6" spans="1:23" hidden="1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  <c r="S6" t="str">
        <f t="shared" si="0"/>
        <v>Annually</v>
      </c>
      <c r="T6" cm="1">
        <f t="array" ref="T6">_xlfn.SWITCH(S6,"Annually",6,"Bi-Weekly",2,"Fortnightly",3,"Monthly",4,"Quarterly",5,"Weekly",1)</f>
        <v>6</v>
      </c>
      <c r="V6" s="3"/>
    </row>
    <row r="7" spans="1:23" hidden="1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  <c r="S7" t="str">
        <f t="shared" si="0"/>
        <v>Weekly</v>
      </c>
      <c r="T7" cm="1">
        <f t="array" ref="T7">_xlfn.SWITCH(S7,"Annually",6,"Bi-Weekly",2,"Fortnightly",3,"Monthly",4,"Quarterly",5,"Weekly",1)</f>
        <v>1</v>
      </c>
      <c r="V7" s="3"/>
    </row>
    <row r="8" spans="1:23" hidden="1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  <c r="S8" t="str">
        <f t="shared" si="0"/>
        <v>Quarterly</v>
      </c>
      <c r="T8" cm="1">
        <f t="array" ref="T8">_xlfn.SWITCH(S8,"Annually",6,"Bi-Weekly",2,"Fortnightly",3,"Monthly",4,"Quarterly",5,"Weekly",1)</f>
        <v>5</v>
      </c>
    </row>
    <row r="9" spans="1:23" hidden="1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  <c r="S9" t="str">
        <f t="shared" si="0"/>
        <v>Weekly</v>
      </c>
      <c r="T9" cm="1">
        <f t="array" ref="T9">_xlfn.SWITCH(S9,"Annually",6,"Bi-Weekly",2,"Fortnightly",3,"Monthly",4,"Quarterly",5,"Weekly",1)</f>
        <v>1</v>
      </c>
    </row>
    <row r="10" spans="1:23" hidden="1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  <c r="S10" t="str">
        <f t="shared" si="0"/>
        <v>Annually</v>
      </c>
      <c r="T10" cm="1">
        <f t="array" ref="T10">_xlfn.SWITCH(S10,"Annually",6,"Bi-Weekly",2,"Fortnightly",3,"Monthly",4,"Quarterly",5,"Weekly",1)</f>
        <v>6</v>
      </c>
    </row>
    <row r="11" spans="1:23" hidden="1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  <c r="S11" t="str">
        <f t="shared" si="0"/>
        <v>Quarterly</v>
      </c>
      <c r="T11" cm="1">
        <f t="array" ref="T11">_xlfn.SWITCH(S11,"Annually",6,"Bi-Weekly",2,"Fortnightly",3,"Monthly",4,"Quarterly",5,"Weekly",1)</f>
        <v>5</v>
      </c>
    </row>
    <row r="12" spans="1:23" hidden="1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  <c r="S12" t="str">
        <f t="shared" si="0"/>
        <v>Bi-Weekly</v>
      </c>
      <c r="T12" cm="1">
        <f t="array" ref="T12">_xlfn.SWITCH(S12,"Annually",6,"Bi-Weekly",2,"Fortnightly",3,"Monthly",4,"Quarterly",5,"Weekly",1)</f>
        <v>2</v>
      </c>
    </row>
    <row r="13" spans="1:23" hidden="1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  <c r="S13" t="str">
        <f t="shared" si="0"/>
        <v>Fortnightly</v>
      </c>
      <c r="T13" cm="1">
        <f t="array" ref="T13">_xlfn.SWITCH(S13,"Annually",6,"Bi-Weekly",2,"Fortnightly",3,"Monthly",4,"Quarterly",5,"Weekly",1)</f>
        <v>3</v>
      </c>
    </row>
    <row r="14" spans="1:23" hidden="1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  <c r="S14" t="str">
        <f t="shared" si="0"/>
        <v>Fortnightly</v>
      </c>
      <c r="T14" cm="1">
        <f t="array" ref="T14">_xlfn.SWITCH(S14,"Annually",6,"Bi-Weekly",2,"Fortnightly",3,"Monthly",4,"Quarterly",5,"Weekly",1)</f>
        <v>3</v>
      </c>
    </row>
    <row r="15" spans="1:23" hidden="1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  <c r="S15" t="str">
        <f t="shared" si="0"/>
        <v>Weekly</v>
      </c>
      <c r="T15" cm="1">
        <f t="array" ref="T15">_xlfn.SWITCH(S15,"Annually",6,"Bi-Weekly",2,"Fortnightly",3,"Monthly",4,"Quarterly",5,"Weekly",1)</f>
        <v>1</v>
      </c>
    </row>
    <row r="16" spans="1:23" hidden="1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  <c r="S16" t="str">
        <f t="shared" si="0"/>
        <v>Weekly</v>
      </c>
      <c r="T16" cm="1">
        <f t="array" ref="T16">_xlfn.SWITCH(S16,"Annually",6,"Bi-Weekly",2,"Fortnightly",3,"Monthly",4,"Quarterly",5,"Weekly",1)</f>
        <v>1</v>
      </c>
    </row>
    <row r="17" spans="1:20" hidden="1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  <c r="S17" t="str">
        <f t="shared" si="0"/>
        <v>Monthly</v>
      </c>
      <c r="T17" cm="1">
        <f t="array" ref="T17">_xlfn.SWITCH(S17,"Annually",6,"Bi-Weekly",2,"Fortnightly",3,"Monthly",4,"Quarterly",5,"Weekly",1)</f>
        <v>4</v>
      </c>
    </row>
    <row r="18" spans="1:20" hidden="1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  <c r="S18" t="str">
        <f t="shared" si="0"/>
        <v>Bi-Weekly</v>
      </c>
      <c r="T18" cm="1">
        <f t="array" ref="T18">_xlfn.SWITCH(S18,"Annually",6,"Bi-Weekly",2,"Fortnightly",3,"Monthly",4,"Quarterly",5,"Weekly",1)</f>
        <v>2</v>
      </c>
    </row>
    <row r="19" spans="1:20" hidden="1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  <c r="S19" t="str">
        <f t="shared" si="0"/>
        <v>Quarterly</v>
      </c>
      <c r="T19" cm="1">
        <f t="array" ref="T19">_xlfn.SWITCH(S19,"Annually",6,"Bi-Weekly",2,"Fortnightly",3,"Monthly",4,"Quarterly",5,"Weekly",1)</f>
        <v>5</v>
      </c>
    </row>
    <row r="20" spans="1:20" hidden="1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  <c r="S20" t="str">
        <f t="shared" si="0"/>
        <v>Weekly</v>
      </c>
      <c r="T20" cm="1">
        <f t="array" ref="T20">_xlfn.SWITCH(S20,"Annually",6,"Bi-Weekly",2,"Fortnightly",3,"Monthly",4,"Quarterly",5,"Weekly",1)</f>
        <v>1</v>
      </c>
    </row>
    <row r="21" spans="1:20" hidden="1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  <c r="S21" t="str">
        <f t="shared" si="0"/>
        <v>Bi-Weekly</v>
      </c>
      <c r="T21" cm="1">
        <f t="array" ref="T21">_xlfn.SWITCH(S21,"Annually",6,"Bi-Weekly",2,"Fortnightly",3,"Monthly",4,"Quarterly",5,"Weekly",1)</f>
        <v>2</v>
      </c>
    </row>
    <row r="22" spans="1:20" hidden="1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  <c r="S22" t="str">
        <f t="shared" si="0"/>
        <v>Quarterly</v>
      </c>
      <c r="T22" cm="1">
        <f t="array" ref="T22">_xlfn.SWITCH(S22,"Annually",6,"Bi-Weekly",2,"Fortnightly",3,"Monthly",4,"Quarterly",5,"Weekly",1)</f>
        <v>5</v>
      </c>
    </row>
    <row r="23" spans="1:20" hidden="1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  <c r="S23" t="str">
        <f t="shared" si="0"/>
        <v>Quarterly</v>
      </c>
      <c r="T23" cm="1">
        <f t="array" ref="T23">_xlfn.SWITCH(S23,"Annually",6,"Bi-Weekly",2,"Fortnightly",3,"Monthly",4,"Quarterly",5,"Weekly",1)</f>
        <v>5</v>
      </c>
    </row>
    <row r="24" spans="1:20" hidden="1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  <c r="S24" t="str">
        <f t="shared" si="0"/>
        <v>Annually</v>
      </c>
      <c r="T24" cm="1">
        <f t="array" ref="T24">_xlfn.SWITCH(S24,"Annually",6,"Bi-Weekly",2,"Fortnightly",3,"Monthly",4,"Quarterly",5,"Weekly",1)</f>
        <v>6</v>
      </c>
    </row>
    <row r="25" spans="1:20" hidden="1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  <c r="S25" t="str">
        <f t="shared" si="0"/>
        <v>Weekly</v>
      </c>
      <c r="T25" cm="1">
        <f t="array" ref="T25">_xlfn.SWITCH(S25,"Annually",6,"Bi-Weekly",2,"Fortnightly",3,"Monthly",4,"Quarterly",5,"Weekly",1)</f>
        <v>1</v>
      </c>
    </row>
    <row r="26" spans="1:20" hidden="1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  <c r="S26" t="str">
        <f t="shared" si="0"/>
        <v>Weekly</v>
      </c>
      <c r="T26" cm="1">
        <f t="array" ref="T26">_xlfn.SWITCH(S26,"Annually",6,"Bi-Weekly",2,"Fortnightly",3,"Monthly",4,"Quarterly",5,"Weekly",1)</f>
        <v>1</v>
      </c>
    </row>
    <row r="27" spans="1:20" hidden="1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  <c r="S27" t="str">
        <f t="shared" si="0"/>
        <v>Annually</v>
      </c>
      <c r="T27" cm="1">
        <f t="array" ref="T27">_xlfn.SWITCH(S27,"Annually",6,"Bi-Weekly",2,"Fortnightly",3,"Monthly",4,"Quarterly",5,"Weekly",1)</f>
        <v>6</v>
      </c>
    </row>
    <row r="28" spans="1:20" hidden="1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  <c r="S28" t="str">
        <f t="shared" si="0"/>
        <v>Annually</v>
      </c>
      <c r="T28" cm="1">
        <f t="array" ref="T28">_xlfn.SWITCH(S28,"Annually",6,"Bi-Weekly",2,"Fortnightly",3,"Monthly",4,"Quarterly",5,"Weekly",1)</f>
        <v>6</v>
      </c>
    </row>
    <row r="29" spans="1:20" hidden="1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  <c r="S29" t="str">
        <f t="shared" si="0"/>
        <v>Quarterly</v>
      </c>
      <c r="T29" cm="1">
        <f t="array" ref="T29">_xlfn.SWITCH(S29,"Annually",6,"Bi-Weekly",2,"Fortnightly",3,"Monthly",4,"Quarterly",5,"Weekly",1)</f>
        <v>5</v>
      </c>
    </row>
    <row r="30" spans="1:20" hidden="1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  <c r="S30" t="str">
        <f t="shared" si="0"/>
        <v>Quarterly</v>
      </c>
      <c r="T30" cm="1">
        <f t="array" ref="T30">_xlfn.SWITCH(S30,"Annually",6,"Bi-Weekly",2,"Fortnightly",3,"Monthly",4,"Quarterly",5,"Weekly",1)</f>
        <v>5</v>
      </c>
    </row>
    <row r="31" spans="1:20" hidden="1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  <c r="S31" t="str">
        <f t="shared" si="0"/>
        <v>Weekly</v>
      </c>
      <c r="T31" cm="1">
        <f t="array" ref="T31">_xlfn.SWITCH(S31,"Annually",6,"Bi-Weekly",2,"Fortnightly",3,"Monthly",4,"Quarterly",5,"Weekly",1)</f>
        <v>1</v>
      </c>
    </row>
    <row r="32" spans="1:20" hidden="1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  <c r="S32" t="str">
        <f t="shared" si="0"/>
        <v>Monthly</v>
      </c>
      <c r="T32" cm="1">
        <f t="array" ref="T32">_xlfn.SWITCH(S32,"Annually",6,"Bi-Weekly",2,"Fortnightly",3,"Monthly",4,"Quarterly",5,"Weekly",1)</f>
        <v>4</v>
      </c>
    </row>
    <row r="33" spans="1:20" hidden="1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  <c r="S33" t="str">
        <f t="shared" si="0"/>
        <v>Monthly</v>
      </c>
      <c r="T33" cm="1">
        <f t="array" ref="T33">_xlfn.SWITCH(S33,"Annually",6,"Bi-Weekly",2,"Fortnightly",3,"Monthly",4,"Quarterly",5,"Weekly",1)</f>
        <v>4</v>
      </c>
    </row>
    <row r="34" spans="1:20" hidden="1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  <c r="S34" t="str">
        <f t="shared" si="0"/>
        <v>Annually</v>
      </c>
      <c r="T34" cm="1">
        <f t="array" ref="T34">_xlfn.SWITCH(S34,"Annually",6,"Bi-Weekly",2,"Fortnightly",3,"Monthly",4,"Quarterly",5,"Weekly",1)</f>
        <v>6</v>
      </c>
    </row>
    <row r="35" spans="1:20" hidden="1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  <c r="S35" t="str">
        <f t="shared" si="0"/>
        <v>Quarterly</v>
      </c>
      <c r="T35" cm="1">
        <f t="array" ref="T35">_xlfn.SWITCH(S35,"Annually",6,"Bi-Weekly",2,"Fortnightly",3,"Monthly",4,"Quarterly",5,"Weekly",1)</f>
        <v>5</v>
      </c>
    </row>
    <row r="36" spans="1:20" hidden="1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  <c r="S36" t="str">
        <f t="shared" si="0"/>
        <v>Quarterly</v>
      </c>
      <c r="T36" cm="1">
        <f t="array" ref="T36">_xlfn.SWITCH(S36,"Annually",6,"Bi-Weekly",2,"Fortnightly",3,"Monthly",4,"Quarterly",5,"Weekly",1)</f>
        <v>5</v>
      </c>
    </row>
    <row r="37" spans="1:20" hidden="1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  <c r="S37" t="str">
        <f t="shared" si="0"/>
        <v>Bi-Weekly</v>
      </c>
      <c r="T37" cm="1">
        <f t="array" ref="T37">_xlfn.SWITCH(S37,"Annually",6,"Bi-Weekly",2,"Fortnightly",3,"Monthly",4,"Quarterly",5,"Weekly",1)</f>
        <v>2</v>
      </c>
    </row>
    <row r="38" spans="1:20" hidden="1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  <c r="S38" t="str">
        <f t="shared" si="0"/>
        <v>Fortnightly</v>
      </c>
      <c r="T38" cm="1">
        <f t="array" ref="T38">_xlfn.SWITCH(S38,"Annually",6,"Bi-Weekly",2,"Fortnightly",3,"Monthly",4,"Quarterly",5,"Weekly",1)</f>
        <v>3</v>
      </c>
    </row>
    <row r="39" spans="1:20" hidden="1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  <c r="S39" t="str">
        <f t="shared" si="0"/>
        <v>Weekly</v>
      </c>
      <c r="T39" cm="1">
        <f t="array" ref="T39">_xlfn.SWITCH(S39,"Annually",6,"Bi-Weekly",2,"Fortnightly",3,"Monthly",4,"Quarterly",5,"Weekly",1)</f>
        <v>1</v>
      </c>
    </row>
    <row r="40" spans="1:20" hidden="1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  <c r="S40" t="str">
        <f t="shared" si="0"/>
        <v>Quarterly</v>
      </c>
      <c r="T40" cm="1">
        <f t="array" ref="T40">_xlfn.SWITCH(S40,"Annually",6,"Bi-Weekly",2,"Fortnightly",3,"Monthly",4,"Quarterly",5,"Weekly",1)</f>
        <v>5</v>
      </c>
    </row>
    <row r="41" spans="1:20" hidden="1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  <c r="S41" t="str">
        <f t="shared" si="0"/>
        <v>Monthly</v>
      </c>
      <c r="T41" cm="1">
        <f t="array" ref="T41">_xlfn.SWITCH(S41,"Annually",6,"Bi-Weekly",2,"Fortnightly",3,"Monthly",4,"Quarterly",5,"Weekly",1)</f>
        <v>4</v>
      </c>
    </row>
    <row r="42" spans="1:20" hidden="1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  <c r="S42" t="str">
        <f t="shared" si="0"/>
        <v>Quarterly</v>
      </c>
      <c r="T42" cm="1">
        <f t="array" ref="T42">_xlfn.SWITCH(S42,"Annually",6,"Bi-Weekly",2,"Fortnightly",3,"Monthly",4,"Quarterly",5,"Weekly",1)</f>
        <v>5</v>
      </c>
    </row>
    <row r="43" spans="1:20" hidden="1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  <c r="S43" t="str">
        <f t="shared" si="0"/>
        <v>Annually</v>
      </c>
      <c r="T43" cm="1">
        <f t="array" ref="T43">_xlfn.SWITCH(S43,"Annually",6,"Bi-Weekly",2,"Fortnightly",3,"Monthly",4,"Quarterly",5,"Weekly",1)</f>
        <v>6</v>
      </c>
    </row>
    <row r="44" spans="1:20" hidden="1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  <c r="S44" t="str">
        <f t="shared" si="0"/>
        <v>Annually</v>
      </c>
      <c r="T44" cm="1">
        <f t="array" ref="T44">_xlfn.SWITCH(S44,"Annually",6,"Bi-Weekly",2,"Fortnightly",3,"Monthly",4,"Quarterly",5,"Weekly",1)</f>
        <v>6</v>
      </c>
    </row>
    <row r="45" spans="1:20" hidden="1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  <c r="S45" t="str">
        <f t="shared" si="0"/>
        <v>Fortnightly</v>
      </c>
      <c r="T45" cm="1">
        <f t="array" ref="T45">_xlfn.SWITCH(S45,"Annually",6,"Bi-Weekly",2,"Fortnightly",3,"Monthly",4,"Quarterly",5,"Weekly",1)</f>
        <v>3</v>
      </c>
    </row>
    <row r="46" spans="1:20" hidden="1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  <c r="S46" t="str">
        <f t="shared" si="0"/>
        <v>Weekly</v>
      </c>
      <c r="T46" cm="1">
        <f t="array" ref="T46">_xlfn.SWITCH(S46,"Annually",6,"Bi-Weekly",2,"Fortnightly",3,"Monthly",4,"Quarterly",5,"Weekly",1)</f>
        <v>1</v>
      </c>
    </row>
    <row r="47" spans="1:20" hidden="1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  <c r="S47" t="str">
        <f t="shared" si="0"/>
        <v>Annually</v>
      </c>
      <c r="T47" cm="1">
        <f t="array" ref="T47">_xlfn.SWITCH(S47,"Annually",6,"Bi-Weekly",2,"Fortnightly",3,"Monthly",4,"Quarterly",5,"Weekly",1)</f>
        <v>6</v>
      </c>
    </row>
    <row r="48" spans="1:20" hidden="1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  <c r="S48" t="str">
        <f t="shared" si="0"/>
        <v>Quarterly</v>
      </c>
      <c r="T48" cm="1">
        <f t="array" ref="T48">_xlfn.SWITCH(S48,"Annually",6,"Bi-Weekly",2,"Fortnightly",3,"Monthly",4,"Quarterly",5,"Weekly",1)</f>
        <v>5</v>
      </c>
    </row>
    <row r="49" spans="1:20" hidden="1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  <c r="S49" t="str">
        <f t="shared" si="0"/>
        <v>Weekly</v>
      </c>
      <c r="T49" cm="1">
        <f t="array" ref="T49">_xlfn.SWITCH(S49,"Annually",6,"Bi-Weekly",2,"Fortnightly",3,"Monthly",4,"Quarterly",5,"Weekly",1)</f>
        <v>1</v>
      </c>
    </row>
    <row r="50" spans="1:20" hidden="1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  <c r="S50" t="str">
        <f t="shared" si="0"/>
        <v>Monthly</v>
      </c>
      <c r="T50" cm="1">
        <f t="array" ref="T50">_xlfn.SWITCH(S50,"Annually",6,"Bi-Weekly",2,"Fortnightly",3,"Monthly",4,"Quarterly",5,"Weekly",1)</f>
        <v>4</v>
      </c>
    </row>
    <row r="51" spans="1:20" hidden="1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  <c r="S51" t="str">
        <f t="shared" si="0"/>
        <v>Bi-Weekly</v>
      </c>
      <c r="T51" cm="1">
        <f t="array" ref="T51">_xlfn.SWITCH(S51,"Annually",6,"Bi-Weekly",2,"Fortnightly",3,"Monthly",4,"Quarterly",5,"Weekly",1)</f>
        <v>2</v>
      </c>
    </row>
    <row r="52" spans="1:20" hidden="1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  <c r="S52" t="str">
        <f t="shared" si="0"/>
        <v>Bi-Weekly</v>
      </c>
      <c r="T52" cm="1">
        <f t="array" ref="T52">_xlfn.SWITCH(S52,"Annually",6,"Bi-Weekly",2,"Fortnightly",3,"Monthly",4,"Quarterly",5,"Weekly",1)</f>
        <v>2</v>
      </c>
    </row>
    <row r="53" spans="1:20" hidden="1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  <c r="S53" t="str">
        <f t="shared" si="0"/>
        <v>Quarterly</v>
      </c>
      <c r="T53" cm="1">
        <f t="array" ref="T53">_xlfn.SWITCH(S53,"Annually",6,"Bi-Weekly",2,"Fortnightly",3,"Monthly",4,"Quarterly",5,"Weekly",1)</f>
        <v>5</v>
      </c>
    </row>
    <row r="54" spans="1:20" hidden="1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  <c r="S54" t="str">
        <f t="shared" si="0"/>
        <v>Weekly</v>
      </c>
      <c r="T54" cm="1">
        <f t="array" ref="T54">_xlfn.SWITCH(S54,"Annually",6,"Bi-Weekly",2,"Fortnightly",3,"Monthly",4,"Quarterly",5,"Weekly",1)</f>
        <v>1</v>
      </c>
    </row>
    <row r="55" spans="1:20" hidden="1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  <c r="S55" t="str">
        <f t="shared" si="0"/>
        <v>Weekly</v>
      </c>
      <c r="T55" cm="1">
        <f t="array" ref="T55">_xlfn.SWITCH(S55,"Annually",6,"Bi-Weekly",2,"Fortnightly",3,"Monthly",4,"Quarterly",5,"Weekly",1)</f>
        <v>1</v>
      </c>
    </row>
    <row r="56" spans="1:20" hidden="1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  <c r="S56" t="str">
        <f t="shared" si="0"/>
        <v>Bi-Weekly</v>
      </c>
      <c r="T56" cm="1">
        <f t="array" ref="T56">_xlfn.SWITCH(S56,"Annually",6,"Bi-Weekly",2,"Fortnightly",3,"Monthly",4,"Quarterly",5,"Weekly",1)</f>
        <v>2</v>
      </c>
    </row>
    <row r="57" spans="1:20" hidden="1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  <c r="S57" t="str">
        <f t="shared" si="0"/>
        <v>Annually</v>
      </c>
      <c r="T57" cm="1">
        <f t="array" ref="T57">_xlfn.SWITCH(S57,"Annually",6,"Bi-Weekly",2,"Fortnightly",3,"Monthly",4,"Quarterly",5,"Weekly",1)</f>
        <v>6</v>
      </c>
    </row>
    <row r="58" spans="1:20" hidden="1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  <c r="S58" t="str">
        <f t="shared" si="0"/>
        <v>Weekly</v>
      </c>
      <c r="T58" cm="1">
        <f t="array" ref="T58">_xlfn.SWITCH(S58,"Annually",6,"Bi-Weekly",2,"Fortnightly",3,"Monthly",4,"Quarterly",5,"Weekly",1)</f>
        <v>1</v>
      </c>
    </row>
    <row r="59" spans="1:20" hidden="1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  <c r="S59" t="str">
        <f t="shared" si="0"/>
        <v>Fortnightly</v>
      </c>
      <c r="T59" cm="1">
        <f t="array" ref="T59">_xlfn.SWITCH(S59,"Annually",6,"Bi-Weekly",2,"Fortnightly",3,"Monthly",4,"Quarterly",5,"Weekly",1)</f>
        <v>3</v>
      </c>
    </row>
    <row r="60" spans="1:20" hidden="1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  <c r="S60" t="str">
        <f t="shared" si="0"/>
        <v>Monthly</v>
      </c>
      <c r="T60" cm="1">
        <f t="array" ref="T60">_xlfn.SWITCH(S60,"Annually",6,"Bi-Weekly",2,"Fortnightly",3,"Monthly",4,"Quarterly",5,"Weekly",1)</f>
        <v>4</v>
      </c>
    </row>
    <row r="61" spans="1:20" hidden="1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  <c r="S61" t="str">
        <f t="shared" si="0"/>
        <v>Weekly</v>
      </c>
      <c r="T61" cm="1">
        <f t="array" ref="T61">_xlfn.SWITCH(S61,"Annually",6,"Bi-Weekly",2,"Fortnightly",3,"Monthly",4,"Quarterly",5,"Weekly",1)</f>
        <v>1</v>
      </c>
    </row>
    <row r="62" spans="1:20" hidden="1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  <c r="S62" t="str">
        <f t="shared" si="0"/>
        <v>Weekly</v>
      </c>
      <c r="T62" cm="1">
        <f t="array" ref="T62">_xlfn.SWITCH(S62,"Annually",6,"Bi-Weekly",2,"Fortnightly",3,"Monthly",4,"Quarterly",5,"Weekly",1)</f>
        <v>1</v>
      </c>
    </row>
    <row r="63" spans="1:20" hidden="1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  <c r="S63" t="str">
        <f t="shared" si="0"/>
        <v>Quarterly</v>
      </c>
      <c r="T63" cm="1">
        <f t="array" ref="T63">_xlfn.SWITCH(S63,"Annually",6,"Bi-Weekly",2,"Fortnightly",3,"Monthly",4,"Quarterly",5,"Weekly",1)</f>
        <v>5</v>
      </c>
    </row>
    <row r="64" spans="1:20" hidden="1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  <c r="S64" t="str">
        <f t="shared" si="0"/>
        <v>Fortnightly</v>
      </c>
      <c r="T64" cm="1">
        <f t="array" ref="T64">_xlfn.SWITCH(S64,"Annually",6,"Bi-Weekly",2,"Fortnightly",3,"Monthly",4,"Quarterly",5,"Weekly",1)</f>
        <v>3</v>
      </c>
    </row>
    <row r="65" spans="1:20" hidden="1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  <c r="S65" t="str">
        <f t="shared" si="0"/>
        <v>Weekly</v>
      </c>
      <c r="T65" cm="1">
        <f t="array" ref="T65">_xlfn.SWITCH(S65,"Annually",6,"Bi-Weekly",2,"Fortnightly",3,"Monthly",4,"Quarterly",5,"Weekly",1)</f>
        <v>1</v>
      </c>
    </row>
    <row r="66" spans="1:20" hidden="1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  <c r="S66" t="str">
        <f t="shared" si="0"/>
        <v>Fortnightly</v>
      </c>
      <c r="T66" cm="1">
        <f t="array" ref="T66">_xlfn.SWITCH(S66,"Annually",6,"Bi-Weekly",2,"Fortnightly",3,"Monthly",4,"Quarterly",5,"Weekly",1)</f>
        <v>3</v>
      </c>
    </row>
    <row r="67" spans="1:20" hidden="1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  <c r="S67" t="str">
        <f t="shared" ref="S67:S130" si="1">IF(R67="Every 3 Months","Quarterly",R67)</f>
        <v>Quarterly</v>
      </c>
      <c r="T67" cm="1">
        <f t="array" ref="T67">_xlfn.SWITCH(S67,"Annually",6,"Bi-Weekly",2,"Fortnightly",3,"Monthly",4,"Quarterly",5,"Weekly",1)</f>
        <v>5</v>
      </c>
    </row>
    <row r="68" spans="1:20" hidden="1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  <c r="S68" t="str">
        <f t="shared" si="1"/>
        <v>Quarterly</v>
      </c>
      <c r="T68" cm="1">
        <f t="array" ref="T68">_xlfn.SWITCH(S68,"Annually",6,"Bi-Weekly",2,"Fortnightly",3,"Monthly",4,"Quarterly",5,"Weekly",1)</f>
        <v>5</v>
      </c>
    </row>
    <row r="69" spans="1:20" hidden="1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  <c r="S69" t="str">
        <f t="shared" si="1"/>
        <v>Monthly</v>
      </c>
      <c r="T69" cm="1">
        <f t="array" ref="T69">_xlfn.SWITCH(S69,"Annually",6,"Bi-Weekly",2,"Fortnightly",3,"Monthly",4,"Quarterly",5,"Weekly",1)</f>
        <v>4</v>
      </c>
    </row>
    <row r="70" spans="1:20" hidden="1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  <c r="S70" t="str">
        <f t="shared" si="1"/>
        <v>Quarterly</v>
      </c>
      <c r="T70" cm="1">
        <f t="array" ref="T70">_xlfn.SWITCH(S70,"Annually",6,"Bi-Weekly",2,"Fortnightly",3,"Monthly",4,"Quarterly",5,"Weekly",1)</f>
        <v>5</v>
      </c>
    </row>
    <row r="71" spans="1:20" hidden="1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  <c r="S71" t="str">
        <f t="shared" si="1"/>
        <v>Weekly</v>
      </c>
      <c r="T71" cm="1">
        <f t="array" ref="T71">_xlfn.SWITCH(S71,"Annually",6,"Bi-Weekly",2,"Fortnightly",3,"Monthly",4,"Quarterly",5,"Weekly",1)</f>
        <v>1</v>
      </c>
    </row>
    <row r="72" spans="1:20" hidden="1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  <c r="S72" t="str">
        <f t="shared" si="1"/>
        <v>Quarterly</v>
      </c>
      <c r="T72" cm="1">
        <f t="array" ref="T72">_xlfn.SWITCH(S72,"Annually",6,"Bi-Weekly",2,"Fortnightly",3,"Monthly",4,"Quarterly",5,"Weekly",1)</f>
        <v>5</v>
      </c>
    </row>
    <row r="73" spans="1:20" hidden="1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  <c r="S73" t="str">
        <f t="shared" si="1"/>
        <v>Annually</v>
      </c>
      <c r="T73" cm="1">
        <f t="array" ref="T73">_xlfn.SWITCH(S73,"Annually",6,"Bi-Weekly",2,"Fortnightly",3,"Monthly",4,"Quarterly",5,"Weekly",1)</f>
        <v>6</v>
      </c>
    </row>
    <row r="74" spans="1:20" hidden="1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  <c r="S74" t="str">
        <f t="shared" si="1"/>
        <v>Quarterly</v>
      </c>
      <c r="T74" cm="1">
        <f t="array" ref="T74">_xlfn.SWITCH(S74,"Annually",6,"Bi-Weekly",2,"Fortnightly",3,"Monthly",4,"Quarterly",5,"Weekly",1)</f>
        <v>5</v>
      </c>
    </row>
    <row r="75" spans="1:20" hidden="1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  <c r="S75" t="str">
        <f t="shared" si="1"/>
        <v>Bi-Weekly</v>
      </c>
      <c r="T75" cm="1">
        <f t="array" ref="T75">_xlfn.SWITCH(S75,"Annually",6,"Bi-Weekly",2,"Fortnightly",3,"Monthly",4,"Quarterly",5,"Weekly",1)</f>
        <v>2</v>
      </c>
    </row>
    <row r="76" spans="1:20" hidden="1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  <c r="S76" t="str">
        <f t="shared" si="1"/>
        <v>Monthly</v>
      </c>
      <c r="T76" cm="1">
        <f t="array" ref="T76">_xlfn.SWITCH(S76,"Annually",6,"Bi-Weekly",2,"Fortnightly",3,"Monthly",4,"Quarterly",5,"Weekly",1)</f>
        <v>4</v>
      </c>
    </row>
    <row r="77" spans="1:20" hidden="1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  <c r="S77" t="str">
        <f t="shared" si="1"/>
        <v>Annually</v>
      </c>
      <c r="T77" cm="1">
        <f t="array" ref="T77">_xlfn.SWITCH(S77,"Annually",6,"Bi-Weekly",2,"Fortnightly",3,"Monthly",4,"Quarterly",5,"Weekly",1)</f>
        <v>6</v>
      </c>
    </row>
    <row r="78" spans="1:20" hidden="1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  <c r="S78" t="str">
        <f t="shared" si="1"/>
        <v>Monthly</v>
      </c>
      <c r="T78" cm="1">
        <f t="array" ref="T78">_xlfn.SWITCH(S78,"Annually",6,"Bi-Weekly",2,"Fortnightly",3,"Monthly",4,"Quarterly",5,"Weekly",1)</f>
        <v>4</v>
      </c>
    </row>
    <row r="79" spans="1:20" hidden="1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  <c r="S79" t="str">
        <f t="shared" si="1"/>
        <v>Fortnightly</v>
      </c>
      <c r="T79" cm="1">
        <f t="array" ref="T79">_xlfn.SWITCH(S79,"Annually",6,"Bi-Weekly",2,"Fortnightly",3,"Monthly",4,"Quarterly",5,"Weekly",1)</f>
        <v>3</v>
      </c>
    </row>
    <row r="80" spans="1:20" hidden="1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  <c r="S80" t="str">
        <f t="shared" si="1"/>
        <v>Fortnightly</v>
      </c>
      <c r="T80" cm="1">
        <f t="array" ref="T80">_xlfn.SWITCH(S80,"Annually",6,"Bi-Weekly",2,"Fortnightly",3,"Monthly",4,"Quarterly",5,"Weekly",1)</f>
        <v>3</v>
      </c>
    </row>
    <row r="81" spans="1:20" hidden="1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  <c r="S81" t="str">
        <f t="shared" si="1"/>
        <v>Quarterly</v>
      </c>
      <c r="T81" cm="1">
        <f t="array" ref="T81">_xlfn.SWITCH(S81,"Annually",6,"Bi-Weekly",2,"Fortnightly",3,"Monthly",4,"Quarterly",5,"Weekly",1)</f>
        <v>5</v>
      </c>
    </row>
    <row r="82" spans="1:20" hidden="1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  <c r="S82" t="str">
        <f t="shared" si="1"/>
        <v>Quarterly</v>
      </c>
      <c r="T82" cm="1">
        <f t="array" ref="T82">_xlfn.SWITCH(S82,"Annually",6,"Bi-Weekly",2,"Fortnightly",3,"Monthly",4,"Quarterly",5,"Weekly",1)</f>
        <v>5</v>
      </c>
    </row>
    <row r="83" spans="1:20" hidden="1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  <c r="S83" t="str">
        <f t="shared" si="1"/>
        <v>Quarterly</v>
      </c>
      <c r="T83" cm="1">
        <f t="array" ref="T83">_xlfn.SWITCH(S83,"Annually",6,"Bi-Weekly",2,"Fortnightly",3,"Monthly",4,"Quarterly",5,"Weekly",1)</f>
        <v>5</v>
      </c>
    </row>
    <row r="84" spans="1:20" hidden="1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  <c r="S84" t="str">
        <f t="shared" si="1"/>
        <v>Quarterly</v>
      </c>
      <c r="T84" cm="1">
        <f t="array" ref="T84">_xlfn.SWITCH(S84,"Annually",6,"Bi-Weekly",2,"Fortnightly",3,"Monthly",4,"Quarterly",5,"Weekly",1)</f>
        <v>5</v>
      </c>
    </row>
    <row r="85" spans="1:20" hidden="1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  <c r="S85" t="str">
        <f t="shared" si="1"/>
        <v>Weekly</v>
      </c>
      <c r="T85" cm="1">
        <f t="array" ref="T85">_xlfn.SWITCH(S85,"Annually",6,"Bi-Weekly",2,"Fortnightly",3,"Monthly",4,"Quarterly",5,"Weekly",1)</f>
        <v>1</v>
      </c>
    </row>
    <row r="86" spans="1:20" hidden="1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  <c r="S86" t="str">
        <f t="shared" si="1"/>
        <v>Quarterly</v>
      </c>
      <c r="T86" cm="1">
        <f t="array" ref="T86">_xlfn.SWITCH(S86,"Annually",6,"Bi-Weekly",2,"Fortnightly",3,"Monthly",4,"Quarterly",5,"Weekly",1)</f>
        <v>5</v>
      </c>
    </row>
    <row r="87" spans="1:20" hidden="1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  <c r="S87" t="str">
        <f t="shared" si="1"/>
        <v>Bi-Weekly</v>
      </c>
      <c r="T87" cm="1">
        <f t="array" ref="T87">_xlfn.SWITCH(S87,"Annually",6,"Bi-Weekly",2,"Fortnightly",3,"Monthly",4,"Quarterly",5,"Weekly",1)</f>
        <v>2</v>
      </c>
    </row>
    <row r="88" spans="1:20" hidden="1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  <c r="S88" t="str">
        <f t="shared" si="1"/>
        <v>Bi-Weekly</v>
      </c>
      <c r="T88" cm="1">
        <f t="array" ref="T88">_xlfn.SWITCH(S88,"Annually",6,"Bi-Weekly",2,"Fortnightly",3,"Monthly",4,"Quarterly",5,"Weekly",1)</f>
        <v>2</v>
      </c>
    </row>
    <row r="89" spans="1:20" hidden="1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  <c r="S89" t="str">
        <f t="shared" si="1"/>
        <v>Fortnightly</v>
      </c>
      <c r="T89" cm="1">
        <f t="array" ref="T89">_xlfn.SWITCH(S89,"Annually",6,"Bi-Weekly",2,"Fortnightly",3,"Monthly",4,"Quarterly",5,"Weekly",1)</f>
        <v>3</v>
      </c>
    </row>
    <row r="90" spans="1:20" hidden="1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  <c r="S90" t="str">
        <f t="shared" si="1"/>
        <v>Monthly</v>
      </c>
      <c r="T90" cm="1">
        <f t="array" ref="T90">_xlfn.SWITCH(S90,"Annually",6,"Bi-Weekly",2,"Fortnightly",3,"Monthly",4,"Quarterly",5,"Weekly",1)</f>
        <v>4</v>
      </c>
    </row>
    <row r="91" spans="1:20" hidden="1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  <c r="S91" t="str">
        <f t="shared" si="1"/>
        <v>Quarterly</v>
      </c>
      <c r="T91" cm="1">
        <f t="array" ref="T91">_xlfn.SWITCH(S91,"Annually",6,"Bi-Weekly",2,"Fortnightly",3,"Monthly",4,"Quarterly",5,"Weekly",1)</f>
        <v>5</v>
      </c>
    </row>
    <row r="92" spans="1:20" hidden="1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  <c r="S92" t="str">
        <f t="shared" si="1"/>
        <v>Monthly</v>
      </c>
      <c r="T92" cm="1">
        <f t="array" ref="T92">_xlfn.SWITCH(S92,"Annually",6,"Bi-Weekly",2,"Fortnightly",3,"Monthly",4,"Quarterly",5,"Weekly",1)</f>
        <v>4</v>
      </c>
    </row>
    <row r="93" spans="1:20" hidden="1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  <c r="S93" t="str">
        <f t="shared" si="1"/>
        <v>Quarterly</v>
      </c>
      <c r="T93" cm="1">
        <f t="array" ref="T93">_xlfn.SWITCH(S93,"Annually",6,"Bi-Weekly",2,"Fortnightly",3,"Monthly",4,"Quarterly",5,"Weekly",1)</f>
        <v>5</v>
      </c>
    </row>
    <row r="94" spans="1:20" hidden="1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  <c r="S94" t="str">
        <f t="shared" si="1"/>
        <v>Quarterly</v>
      </c>
      <c r="T94" cm="1">
        <f t="array" ref="T94">_xlfn.SWITCH(S94,"Annually",6,"Bi-Weekly",2,"Fortnightly",3,"Monthly",4,"Quarterly",5,"Weekly",1)</f>
        <v>5</v>
      </c>
    </row>
    <row r="95" spans="1:20" hidden="1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  <c r="S95" t="str">
        <f t="shared" si="1"/>
        <v>Weekly</v>
      </c>
      <c r="T95" cm="1">
        <f t="array" ref="T95">_xlfn.SWITCH(S95,"Annually",6,"Bi-Weekly",2,"Fortnightly",3,"Monthly",4,"Quarterly",5,"Weekly",1)</f>
        <v>1</v>
      </c>
    </row>
    <row r="96" spans="1:20" hidden="1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  <c r="S96" t="str">
        <f t="shared" si="1"/>
        <v>Weekly</v>
      </c>
      <c r="T96" cm="1">
        <f t="array" ref="T96">_xlfn.SWITCH(S96,"Annually",6,"Bi-Weekly",2,"Fortnightly",3,"Monthly",4,"Quarterly",5,"Weekly",1)</f>
        <v>1</v>
      </c>
    </row>
    <row r="97" spans="1:20" hidden="1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  <c r="S97" t="str">
        <f t="shared" si="1"/>
        <v>Monthly</v>
      </c>
      <c r="T97" cm="1">
        <f t="array" ref="T97">_xlfn.SWITCH(S97,"Annually",6,"Bi-Weekly",2,"Fortnightly",3,"Monthly",4,"Quarterly",5,"Weekly",1)</f>
        <v>4</v>
      </c>
    </row>
    <row r="98" spans="1:20" hidden="1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  <c r="S98" t="str">
        <f t="shared" si="1"/>
        <v>Quarterly</v>
      </c>
      <c r="T98" cm="1">
        <f t="array" ref="T98">_xlfn.SWITCH(S98,"Annually",6,"Bi-Weekly",2,"Fortnightly",3,"Monthly",4,"Quarterly",5,"Weekly",1)</f>
        <v>5</v>
      </c>
    </row>
    <row r="99" spans="1:20" hidden="1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  <c r="S99" t="str">
        <f t="shared" si="1"/>
        <v>Annually</v>
      </c>
      <c r="T99" cm="1">
        <f t="array" ref="T99">_xlfn.SWITCH(S99,"Annually",6,"Bi-Weekly",2,"Fortnightly",3,"Monthly",4,"Quarterly",5,"Weekly",1)</f>
        <v>6</v>
      </c>
    </row>
    <row r="100" spans="1:20" hidden="1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  <c r="S100" t="str">
        <f t="shared" si="1"/>
        <v>Annually</v>
      </c>
      <c r="T100" cm="1">
        <f t="array" ref="T100">_xlfn.SWITCH(S100,"Annually",6,"Bi-Weekly",2,"Fortnightly",3,"Monthly",4,"Quarterly",5,"Weekly",1)</f>
        <v>6</v>
      </c>
    </row>
    <row r="101" spans="1:20" hidden="1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  <c r="S101" t="str">
        <f t="shared" si="1"/>
        <v>Quarterly</v>
      </c>
      <c r="T101" cm="1">
        <f t="array" ref="T101">_xlfn.SWITCH(S101,"Annually",6,"Bi-Weekly",2,"Fortnightly",3,"Monthly",4,"Quarterly",5,"Weekly",1)</f>
        <v>5</v>
      </c>
    </row>
    <row r="102" spans="1:20" hidden="1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  <c r="S102" t="str">
        <f t="shared" si="1"/>
        <v>Fortnightly</v>
      </c>
      <c r="T102" cm="1">
        <f t="array" ref="T102">_xlfn.SWITCH(S102,"Annually",6,"Bi-Weekly",2,"Fortnightly",3,"Monthly",4,"Quarterly",5,"Weekly",1)</f>
        <v>3</v>
      </c>
    </row>
    <row r="103" spans="1:20" hidden="1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  <c r="S103" t="str">
        <f t="shared" si="1"/>
        <v>Bi-Weekly</v>
      </c>
      <c r="T103" cm="1">
        <f t="array" ref="T103">_xlfn.SWITCH(S103,"Annually",6,"Bi-Weekly",2,"Fortnightly",3,"Monthly",4,"Quarterly",5,"Weekly",1)</f>
        <v>2</v>
      </c>
    </row>
    <row r="104" spans="1:20" hidden="1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  <c r="S104" t="str">
        <f t="shared" si="1"/>
        <v>Quarterly</v>
      </c>
      <c r="T104" cm="1">
        <f t="array" ref="T104">_xlfn.SWITCH(S104,"Annually",6,"Bi-Weekly",2,"Fortnightly",3,"Monthly",4,"Quarterly",5,"Weekly",1)</f>
        <v>5</v>
      </c>
    </row>
    <row r="105" spans="1:20" hidden="1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  <c r="S105" t="str">
        <f t="shared" si="1"/>
        <v>Bi-Weekly</v>
      </c>
      <c r="T105" cm="1">
        <f t="array" ref="T105">_xlfn.SWITCH(S105,"Annually",6,"Bi-Weekly",2,"Fortnightly",3,"Monthly",4,"Quarterly",5,"Weekly",1)</f>
        <v>2</v>
      </c>
    </row>
    <row r="106" spans="1:20" hidden="1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  <c r="S106" t="str">
        <f t="shared" si="1"/>
        <v>Monthly</v>
      </c>
      <c r="T106" cm="1">
        <f t="array" ref="T106">_xlfn.SWITCH(S106,"Annually",6,"Bi-Weekly",2,"Fortnightly",3,"Monthly",4,"Quarterly",5,"Weekly",1)</f>
        <v>4</v>
      </c>
    </row>
    <row r="107" spans="1:20" hidden="1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  <c r="S107" t="str">
        <f t="shared" si="1"/>
        <v>Annually</v>
      </c>
      <c r="T107" cm="1">
        <f t="array" ref="T107">_xlfn.SWITCH(S107,"Annually",6,"Bi-Weekly",2,"Fortnightly",3,"Monthly",4,"Quarterly",5,"Weekly",1)</f>
        <v>6</v>
      </c>
    </row>
    <row r="108" spans="1:20" hidden="1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  <c r="S108" t="str">
        <f t="shared" si="1"/>
        <v>Monthly</v>
      </c>
      <c r="T108" cm="1">
        <f t="array" ref="T108">_xlfn.SWITCH(S108,"Annually",6,"Bi-Weekly",2,"Fortnightly",3,"Monthly",4,"Quarterly",5,"Weekly",1)</f>
        <v>4</v>
      </c>
    </row>
    <row r="109" spans="1:20" hidden="1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  <c r="S109" t="str">
        <f t="shared" si="1"/>
        <v>Fortnightly</v>
      </c>
      <c r="T109" cm="1">
        <f t="array" ref="T109">_xlfn.SWITCH(S109,"Annually",6,"Bi-Weekly",2,"Fortnightly",3,"Monthly",4,"Quarterly",5,"Weekly",1)</f>
        <v>3</v>
      </c>
    </row>
    <row r="110" spans="1:20" hidden="1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  <c r="S110" t="str">
        <f t="shared" si="1"/>
        <v>Bi-Weekly</v>
      </c>
      <c r="T110" cm="1">
        <f t="array" ref="T110">_xlfn.SWITCH(S110,"Annually",6,"Bi-Weekly",2,"Fortnightly",3,"Monthly",4,"Quarterly",5,"Weekly",1)</f>
        <v>2</v>
      </c>
    </row>
    <row r="111" spans="1:20" hidden="1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  <c r="S111" t="str">
        <f t="shared" si="1"/>
        <v>Fortnightly</v>
      </c>
      <c r="T111" cm="1">
        <f t="array" ref="T111">_xlfn.SWITCH(S111,"Annually",6,"Bi-Weekly",2,"Fortnightly",3,"Monthly",4,"Quarterly",5,"Weekly",1)</f>
        <v>3</v>
      </c>
    </row>
    <row r="112" spans="1:20" hidden="1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  <c r="S112" t="str">
        <f t="shared" si="1"/>
        <v>Fortnightly</v>
      </c>
      <c r="T112" cm="1">
        <f t="array" ref="T112">_xlfn.SWITCH(S112,"Annually",6,"Bi-Weekly",2,"Fortnightly",3,"Monthly",4,"Quarterly",5,"Weekly",1)</f>
        <v>3</v>
      </c>
    </row>
    <row r="113" spans="1:20" hidden="1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  <c r="S113" t="str">
        <f t="shared" si="1"/>
        <v>Annually</v>
      </c>
      <c r="T113" cm="1">
        <f t="array" ref="T113">_xlfn.SWITCH(S113,"Annually",6,"Bi-Weekly",2,"Fortnightly",3,"Monthly",4,"Quarterly",5,"Weekly",1)</f>
        <v>6</v>
      </c>
    </row>
    <row r="114" spans="1:20" hidden="1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  <c r="S114" t="str">
        <f t="shared" si="1"/>
        <v>Bi-Weekly</v>
      </c>
      <c r="T114" cm="1">
        <f t="array" ref="T114">_xlfn.SWITCH(S114,"Annually",6,"Bi-Weekly",2,"Fortnightly",3,"Monthly",4,"Quarterly",5,"Weekly",1)</f>
        <v>2</v>
      </c>
    </row>
    <row r="115" spans="1:20" hidden="1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  <c r="S115" t="str">
        <f t="shared" si="1"/>
        <v>Quarterly</v>
      </c>
      <c r="T115" cm="1">
        <f t="array" ref="T115">_xlfn.SWITCH(S115,"Annually",6,"Bi-Weekly",2,"Fortnightly",3,"Monthly",4,"Quarterly",5,"Weekly",1)</f>
        <v>5</v>
      </c>
    </row>
    <row r="116" spans="1:20" hidden="1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  <c r="S116" t="str">
        <f t="shared" si="1"/>
        <v>Weekly</v>
      </c>
      <c r="T116" cm="1">
        <f t="array" ref="T116">_xlfn.SWITCH(S116,"Annually",6,"Bi-Weekly",2,"Fortnightly",3,"Monthly",4,"Quarterly",5,"Weekly",1)</f>
        <v>1</v>
      </c>
    </row>
    <row r="117" spans="1:20" hidden="1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  <c r="S117" t="str">
        <f t="shared" si="1"/>
        <v>Quarterly</v>
      </c>
      <c r="T117" cm="1">
        <f t="array" ref="T117">_xlfn.SWITCH(S117,"Annually",6,"Bi-Weekly",2,"Fortnightly",3,"Monthly",4,"Quarterly",5,"Weekly",1)</f>
        <v>5</v>
      </c>
    </row>
    <row r="118" spans="1:20" hidden="1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  <c r="S118" t="str">
        <f t="shared" si="1"/>
        <v>Annually</v>
      </c>
      <c r="T118" cm="1">
        <f t="array" ref="T118">_xlfn.SWITCH(S118,"Annually",6,"Bi-Weekly",2,"Fortnightly",3,"Monthly",4,"Quarterly",5,"Weekly",1)</f>
        <v>6</v>
      </c>
    </row>
    <row r="119" spans="1:20" hidden="1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  <c r="S119" t="str">
        <f t="shared" si="1"/>
        <v>Fortnightly</v>
      </c>
      <c r="T119" cm="1">
        <f t="array" ref="T119">_xlfn.SWITCH(S119,"Annually",6,"Bi-Weekly",2,"Fortnightly",3,"Monthly",4,"Quarterly",5,"Weekly",1)</f>
        <v>3</v>
      </c>
    </row>
    <row r="120" spans="1:20" hidden="1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  <c r="S120" t="str">
        <f t="shared" si="1"/>
        <v>Bi-Weekly</v>
      </c>
      <c r="T120" cm="1">
        <f t="array" ref="T120">_xlfn.SWITCH(S120,"Annually",6,"Bi-Weekly",2,"Fortnightly",3,"Monthly",4,"Quarterly",5,"Weekly",1)</f>
        <v>2</v>
      </c>
    </row>
    <row r="121" spans="1:20" hidden="1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  <c r="S121" t="str">
        <f t="shared" si="1"/>
        <v>Annually</v>
      </c>
      <c r="T121" cm="1">
        <f t="array" ref="T121">_xlfn.SWITCH(S121,"Annually",6,"Bi-Weekly",2,"Fortnightly",3,"Monthly",4,"Quarterly",5,"Weekly",1)</f>
        <v>6</v>
      </c>
    </row>
    <row r="122" spans="1:20" hidden="1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  <c r="S122" t="str">
        <f t="shared" si="1"/>
        <v>Annually</v>
      </c>
      <c r="T122" cm="1">
        <f t="array" ref="T122">_xlfn.SWITCH(S122,"Annually",6,"Bi-Weekly",2,"Fortnightly",3,"Monthly",4,"Quarterly",5,"Weekly",1)</f>
        <v>6</v>
      </c>
    </row>
    <row r="123" spans="1:20" hidden="1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  <c r="S123" t="str">
        <f t="shared" si="1"/>
        <v>Fortnightly</v>
      </c>
      <c r="T123" cm="1">
        <f t="array" ref="T123">_xlfn.SWITCH(S123,"Annually",6,"Bi-Weekly",2,"Fortnightly",3,"Monthly",4,"Quarterly",5,"Weekly",1)</f>
        <v>3</v>
      </c>
    </row>
    <row r="124" spans="1:20" hidden="1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  <c r="S124" t="str">
        <f t="shared" si="1"/>
        <v>Fortnightly</v>
      </c>
      <c r="T124" cm="1">
        <f t="array" ref="T124">_xlfn.SWITCH(S124,"Annually",6,"Bi-Weekly",2,"Fortnightly",3,"Monthly",4,"Quarterly",5,"Weekly",1)</f>
        <v>3</v>
      </c>
    </row>
    <row r="125" spans="1:20" hidden="1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  <c r="S125" t="str">
        <f t="shared" si="1"/>
        <v>Weekly</v>
      </c>
      <c r="T125" cm="1">
        <f t="array" ref="T125">_xlfn.SWITCH(S125,"Annually",6,"Bi-Weekly",2,"Fortnightly",3,"Monthly",4,"Quarterly",5,"Weekly",1)</f>
        <v>1</v>
      </c>
    </row>
    <row r="126" spans="1:20" hidden="1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  <c r="S126" t="str">
        <f t="shared" si="1"/>
        <v>Annually</v>
      </c>
      <c r="T126" cm="1">
        <f t="array" ref="T126">_xlfn.SWITCH(S126,"Annually",6,"Bi-Weekly",2,"Fortnightly",3,"Monthly",4,"Quarterly",5,"Weekly",1)</f>
        <v>6</v>
      </c>
    </row>
    <row r="127" spans="1:20" hidden="1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  <c r="S127" t="str">
        <f t="shared" si="1"/>
        <v>Quarterly</v>
      </c>
      <c r="T127" cm="1">
        <f t="array" ref="T127">_xlfn.SWITCH(S127,"Annually",6,"Bi-Weekly",2,"Fortnightly",3,"Monthly",4,"Quarterly",5,"Weekly",1)</f>
        <v>5</v>
      </c>
    </row>
    <row r="128" spans="1:20" hidden="1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  <c r="S128" t="str">
        <f t="shared" si="1"/>
        <v>Quarterly</v>
      </c>
      <c r="T128" cm="1">
        <f t="array" ref="T128">_xlfn.SWITCH(S128,"Annually",6,"Bi-Weekly",2,"Fortnightly",3,"Monthly",4,"Quarterly",5,"Weekly",1)</f>
        <v>5</v>
      </c>
    </row>
    <row r="129" spans="1:20" hidden="1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  <c r="S129" t="str">
        <f t="shared" si="1"/>
        <v>Weekly</v>
      </c>
      <c r="T129" cm="1">
        <f t="array" ref="T129">_xlfn.SWITCH(S129,"Annually",6,"Bi-Weekly",2,"Fortnightly",3,"Monthly",4,"Quarterly",5,"Weekly",1)</f>
        <v>1</v>
      </c>
    </row>
    <row r="130" spans="1:20" hidden="1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  <c r="S130" t="str">
        <f t="shared" si="1"/>
        <v>Fortnightly</v>
      </c>
      <c r="T130" cm="1">
        <f t="array" ref="T130">_xlfn.SWITCH(S130,"Annually",6,"Bi-Weekly",2,"Fortnightly",3,"Monthly",4,"Quarterly",5,"Weekly",1)</f>
        <v>3</v>
      </c>
    </row>
    <row r="131" spans="1:20" hidden="1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  <c r="S131" t="str">
        <f t="shared" ref="S131:S194" si="2">IF(R131="Every 3 Months","Quarterly",R131)</f>
        <v>Bi-Weekly</v>
      </c>
      <c r="T131" cm="1">
        <f t="array" ref="T131">_xlfn.SWITCH(S131,"Annually",6,"Bi-Weekly",2,"Fortnightly",3,"Monthly",4,"Quarterly",5,"Weekly",1)</f>
        <v>2</v>
      </c>
    </row>
    <row r="132" spans="1:20" hidden="1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  <c r="S132" t="str">
        <f t="shared" si="2"/>
        <v>Fortnightly</v>
      </c>
      <c r="T132" cm="1">
        <f t="array" ref="T132">_xlfn.SWITCH(S132,"Annually",6,"Bi-Weekly",2,"Fortnightly",3,"Monthly",4,"Quarterly",5,"Weekly",1)</f>
        <v>3</v>
      </c>
    </row>
    <row r="133" spans="1:20" hidden="1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  <c r="S133" t="str">
        <f t="shared" si="2"/>
        <v>Weekly</v>
      </c>
      <c r="T133" cm="1">
        <f t="array" ref="T133">_xlfn.SWITCH(S133,"Annually",6,"Bi-Weekly",2,"Fortnightly",3,"Monthly",4,"Quarterly",5,"Weekly",1)</f>
        <v>1</v>
      </c>
    </row>
    <row r="134" spans="1:20" hidden="1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  <c r="S134" t="str">
        <f t="shared" si="2"/>
        <v>Weekly</v>
      </c>
      <c r="T134" cm="1">
        <f t="array" ref="T134">_xlfn.SWITCH(S134,"Annually",6,"Bi-Weekly",2,"Fortnightly",3,"Monthly",4,"Quarterly",5,"Weekly",1)</f>
        <v>1</v>
      </c>
    </row>
    <row r="135" spans="1:20" hidden="1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  <c r="S135" t="str">
        <f t="shared" si="2"/>
        <v>Annually</v>
      </c>
      <c r="T135" cm="1">
        <f t="array" ref="T135">_xlfn.SWITCH(S135,"Annually",6,"Bi-Weekly",2,"Fortnightly",3,"Monthly",4,"Quarterly",5,"Weekly",1)</f>
        <v>6</v>
      </c>
    </row>
    <row r="136" spans="1:20" hidden="1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  <c r="S136" t="str">
        <f t="shared" si="2"/>
        <v>Monthly</v>
      </c>
      <c r="T136" cm="1">
        <f t="array" ref="T136">_xlfn.SWITCH(S136,"Annually",6,"Bi-Weekly",2,"Fortnightly",3,"Monthly",4,"Quarterly",5,"Weekly",1)</f>
        <v>4</v>
      </c>
    </row>
    <row r="137" spans="1:20" hidden="1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  <c r="S137" t="str">
        <f t="shared" si="2"/>
        <v>Quarterly</v>
      </c>
      <c r="T137" cm="1">
        <f t="array" ref="T137">_xlfn.SWITCH(S137,"Annually",6,"Bi-Weekly",2,"Fortnightly",3,"Monthly",4,"Quarterly",5,"Weekly",1)</f>
        <v>5</v>
      </c>
    </row>
    <row r="138" spans="1:20" hidden="1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  <c r="S138" t="str">
        <f t="shared" si="2"/>
        <v>Quarterly</v>
      </c>
      <c r="T138" cm="1">
        <f t="array" ref="T138">_xlfn.SWITCH(S138,"Annually",6,"Bi-Weekly",2,"Fortnightly",3,"Monthly",4,"Quarterly",5,"Weekly",1)</f>
        <v>5</v>
      </c>
    </row>
    <row r="139" spans="1:20" hidden="1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  <c r="S139" t="str">
        <f t="shared" si="2"/>
        <v>Weekly</v>
      </c>
      <c r="T139" cm="1">
        <f t="array" ref="T139">_xlfn.SWITCH(S139,"Annually",6,"Bi-Weekly",2,"Fortnightly",3,"Monthly",4,"Quarterly",5,"Weekly",1)</f>
        <v>1</v>
      </c>
    </row>
    <row r="140" spans="1:20" hidden="1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  <c r="S140" t="str">
        <f t="shared" si="2"/>
        <v>Weekly</v>
      </c>
      <c r="T140" cm="1">
        <f t="array" ref="T140">_xlfn.SWITCH(S140,"Annually",6,"Bi-Weekly",2,"Fortnightly",3,"Monthly",4,"Quarterly",5,"Weekly",1)</f>
        <v>1</v>
      </c>
    </row>
    <row r="141" spans="1:20" hidden="1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  <c r="S141" t="str">
        <f t="shared" si="2"/>
        <v>Annually</v>
      </c>
      <c r="T141" cm="1">
        <f t="array" ref="T141">_xlfn.SWITCH(S141,"Annually",6,"Bi-Weekly",2,"Fortnightly",3,"Monthly",4,"Quarterly",5,"Weekly",1)</f>
        <v>6</v>
      </c>
    </row>
    <row r="142" spans="1:20" hidden="1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  <c r="S142" t="str">
        <f t="shared" si="2"/>
        <v>Weekly</v>
      </c>
      <c r="T142" cm="1">
        <f t="array" ref="T142">_xlfn.SWITCH(S142,"Annually",6,"Bi-Weekly",2,"Fortnightly",3,"Monthly",4,"Quarterly",5,"Weekly",1)</f>
        <v>1</v>
      </c>
    </row>
    <row r="143" spans="1:20" hidden="1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  <c r="S143" t="str">
        <f t="shared" si="2"/>
        <v>Weekly</v>
      </c>
      <c r="T143" cm="1">
        <f t="array" ref="T143">_xlfn.SWITCH(S143,"Annually",6,"Bi-Weekly",2,"Fortnightly",3,"Monthly",4,"Quarterly",5,"Weekly",1)</f>
        <v>1</v>
      </c>
    </row>
    <row r="144" spans="1:20" hidden="1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  <c r="S144" t="str">
        <f t="shared" si="2"/>
        <v>Fortnightly</v>
      </c>
      <c r="T144" cm="1">
        <f t="array" ref="T144">_xlfn.SWITCH(S144,"Annually",6,"Bi-Weekly",2,"Fortnightly",3,"Monthly",4,"Quarterly",5,"Weekly",1)</f>
        <v>3</v>
      </c>
    </row>
    <row r="145" spans="1:20" hidden="1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  <c r="S145" t="str">
        <f t="shared" si="2"/>
        <v>Quarterly</v>
      </c>
      <c r="T145" cm="1">
        <f t="array" ref="T145">_xlfn.SWITCH(S145,"Annually",6,"Bi-Weekly",2,"Fortnightly",3,"Monthly",4,"Quarterly",5,"Weekly",1)</f>
        <v>5</v>
      </c>
    </row>
    <row r="146" spans="1:20" hidden="1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  <c r="S146" t="str">
        <f t="shared" si="2"/>
        <v>Monthly</v>
      </c>
      <c r="T146" cm="1">
        <f t="array" ref="T146">_xlfn.SWITCH(S146,"Annually",6,"Bi-Weekly",2,"Fortnightly",3,"Monthly",4,"Quarterly",5,"Weekly",1)</f>
        <v>4</v>
      </c>
    </row>
    <row r="147" spans="1:20" hidden="1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  <c r="S147" t="str">
        <f t="shared" si="2"/>
        <v>Quarterly</v>
      </c>
      <c r="T147" cm="1">
        <f t="array" ref="T147">_xlfn.SWITCH(S147,"Annually",6,"Bi-Weekly",2,"Fortnightly",3,"Monthly",4,"Quarterly",5,"Weekly",1)</f>
        <v>5</v>
      </c>
    </row>
    <row r="148" spans="1:20" hidden="1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  <c r="S148" t="str">
        <f t="shared" si="2"/>
        <v>Fortnightly</v>
      </c>
      <c r="T148" cm="1">
        <f t="array" ref="T148">_xlfn.SWITCH(S148,"Annually",6,"Bi-Weekly",2,"Fortnightly",3,"Monthly",4,"Quarterly",5,"Weekly",1)</f>
        <v>3</v>
      </c>
    </row>
    <row r="149" spans="1:20" hidden="1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  <c r="S149" t="str">
        <f t="shared" si="2"/>
        <v>Fortnightly</v>
      </c>
      <c r="T149" cm="1">
        <f t="array" ref="T149">_xlfn.SWITCH(S149,"Annually",6,"Bi-Weekly",2,"Fortnightly",3,"Monthly",4,"Quarterly",5,"Weekly",1)</f>
        <v>3</v>
      </c>
    </row>
    <row r="150" spans="1:20" hidden="1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  <c r="S150" t="str">
        <f t="shared" si="2"/>
        <v>Annually</v>
      </c>
      <c r="T150" cm="1">
        <f t="array" ref="T150">_xlfn.SWITCH(S150,"Annually",6,"Bi-Weekly",2,"Fortnightly",3,"Monthly",4,"Quarterly",5,"Weekly",1)</f>
        <v>6</v>
      </c>
    </row>
    <row r="151" spans="1:20" hidden="1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  <c r="S151" t="str">
        <f t="shared" si="2"/>
        <v>Monthly</v>
      </c>
      <c r="T151" cm="1">
        <f t="array" ref="T151">_xlfn.SWITCH(S151,"Annually",6,"Bi-Weekly",2,"Fortnightly",3,"Monthly",4,"Quarterly",5,"Weekly",1)</f>
        <v>4</v>
      </c>
    </row>
    <row r="152" spans="1:20" hidden="1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  <c r="S152" t="str">
        <f t="shared" si="2"/>
        <v>Quarterly</v>
      </c>
      <c r="T152" cm="1">
        <f t="array" ref="T152">_xlfn.SWITCH(S152,"Annually",6,"Bi-Weekly",2,"Fortnightly",3,"Monthly",4,"Quarterly",5,"Weekly",1)</f>
        <v>5</v>
      </c>
    </row>
    <row r="153" spans="1:20" hidden="1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  <c r="S153" t="str">
        <f t="shared" si="2"/>
        <v>Annually</v>
      </c>
      <c r="T153" cm="1">
        <f t="array" ref="T153">_xlfn.SWITCH(S153,"Annually",6,"Bi-Weekly",2,"Fortnightly",3,"Monthly",4,"Quarterly",5,"Weekly",1)</f>
        <v>6</v>
      </c>
    </row>
    <row r="154" spans="1:20" hidden="1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  <c r="S154" t="str">
        <f t="shared" si="2"/>
        <v>Annually</v>
      </c>
      <c r="T154" cm="1">
        <f t="array" ref="T154">_xlfn.SWITCH(S154,"Annually",6,"Bi-Weekly",2,"Fortnightly",3,"Monthly",4,"Quarterly",5,"Weekly",1)</f>
        <v>6</v>
      </c>
    </row>
    <row r="155" spans="1:20" hidden="1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  <c r="S155" t="str">
        <f t="shared" si="2"/>
        <v>Annually</v>
      </c>
      <c r="T155" cm="1">
        <f t="array" ref="T155">_xlfn.SWITCH(S155,"Annually",6,"Bi-Weekly",2,"Fortnightly",3,"Monthly",4,"Quarterly",5,"Weekly",1)</f>
        <v>6</v>
      </c>
    </row>
    <row r="156" spans="1:20" hidden="1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  <c r="S156" t="str">
        <f t="shared" si="2"/>
        <v>Quarterly</v>
      </c>
      <c r="T156" cm="1">
        <f t="array" ref="T156">_xlfn.SWITCH(S156,"Annually",6,"Bi-Weekly",2,"Fortnightly",3,"Monthly",4,"Quarterly",5,"Weekly",1)</f>
        <v>5</v>
      </c>
    </row>
    <row r="157" spans="1:20" hidden="1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  <c r="S157" t="str">
        <f t="shared" si="2"/>
        <v>Quarterly</v>
      </c>
      <c r="T157" cm="1">
        <f t="array" ref="T157">_xlfn.SWITCH(S157,"Annually",6,"Bi-Weekly",2,"Fortnightly",3,"Monthly",4,"Quarterly",5,"Weekly",1)</f>
        <v>5</v>
      </c>
    </row>
    <row r="158" spans="1:20" hidden="1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  <c r="S158" t="str">
        <f t="shared" si="2"/>
        <v>Annually</v>
      </c>
      <c r="T158" cm="1">
        <f t="array" ref="T158">_xlfn.SWITCH(S158,"Annually",6,"Bi-Weekly",2,"Fortnightly",3,"Monthly",4,"Quarterly",5,"Weekly",1)</f>
        <v>6</v>
      </c>
    </row>
    <row r="159" spans="1:20" hidden="1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  <c r="S159" t="str">
        <f t="shared" si="2"/>
        <v>Fortnightly</v>
      </c>
      <c r="T159" cm="1">
        <f t="array" ref="T159">_xlfn.SWITCH(S159,"Annually",6,"Bi-Weekly",2,"Fortnightly",3,"Monthly",4,"Quarterly",5,"Weekly",1)</f>
        <v>3</v>
      </c>
    </row>
    <row r="160" spans="1:20" hidden="1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  <c r="S160" t="str">
        <f t="shared" si="2"/>
        <v>Monthly</v>
      </c>
      <c r="T160" cm="1">
        <f t="array" ref="T160">_xlfn.SWITCH(S160,"Annually",6,"Bi-Weekly",2,"Fortnightly",3,"Monthly",4,"Quarterly",5,"Weekly",1)</f>
        <v>4</v>
      </c>
    </row>
    <row r="161" spans="1:20" hidden="1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  <c r="S161" t="str">
        <f t="shared" si="2"/>
        <v>Quarterly</v>
      </c>
      <c r="T161" cm="1">
        <f t="array" ref="T161">_xlfn.SWITCH(S161,"Annually",6,"Bi-Weekly",2,"Fortnightly",3,"Monthly",4,"Quarterly",5,"Weekly",1)</f>
        <v>5</v>
      </c>
    </row>
    <row r="162" spans="1:20" hidden="1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  <c r="S162" t="str">
        <f t="shared" si="2"/>
        <v>Monthly</v>
      </c>
      <c r="T162" cm="1">
        <f t="array" ref="T162">_xlfn.SWITCH(S162,"Annually",6,"Bi-Weekly",2,"Fortnightly",3,"Monthly",4,"Quarterly",5,"Weekly",1)</f>
        <v>4</v>
      </c>
    </row>
    <row r="163" spans="1:20" hidden="1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  <c r="S163" t="str">
        <f t="shared" si="2"/>
        <v>Fortnightly</v>
      </c>
      <c r="T163" cm="1">
        <f t="array" ref="T163">_xlfn.SWITCH(S163,"Annually",6,"Bi-Weekly",2,"Fortnightly",3,"Monthly",4,"Quarterly",5,"Weekly",1)</f>
        <v>3</v>
      </c>
    </row>
    <row r="164" spans="1:20" hidden="1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  <c r="S164" t="str">
        <f t="shared" si="2"/>
        <v>Bi-Weekly</v>
      </c>
      <c r="T164" cm="1">
        <f t="array" ref="T164">_xlfn.SWITCH(S164,"Annually",6,"Bi-Weekly",2,"Fortnightly",3,"Monthly",4,"Quarterly",5,"Weekly",1)</f>
        <v>2</v>
      </c>
    </row>
    <row r="165" spans="1:20" hidden="1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  <c r="S165" t="str">
        <f t="shared" si="2"/>
        <v>Weekly</v>
      </c>
      <c r="T165" cm="1">
        <f t="array" ref="T165">_xlfn.SWITCH(S165,"Annually",6,"Bi-Weekly",2,"Fortnightly",3,"Monthly",4,"Quarterly",5,"Weekly",1)</f>
        <v>1</v>
      </c>
    </row>
    <row r="166" spans="1:20" hidden="1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  <c r="S166" t="str">
        <f t="shared" si="2"/>
        <v>Fortnightly</v>
      </c>
      <c r="T166" cm="1">
        <f t="array" ref="T166">_xlfn.SWITCH(S166,"Annually",6,"Bi-Weekly",2,"Fortnightly",3,"Monthly",4,"Quarterly",5,"Weekly",1)</f>
        <v>3</v>
      </c>
    </row>
    <row r="167" spans="1:20" hidden="1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  <c r="S167" t="str">
        <f t="shared" si="2"/>
        <v>Monthly</v>
      </c>
      <c r="T167" cm="1">
        <f t="array" ref="T167">_xlfn.SWITCH(S167,"Annually",6,"Bi-Weekly",2,"Fortnightly",3,"Monthly",4,"Quarterly",5,"Weekly",1)</f>
        <v>4</v>
      </c>
    </row>
    <row r="168" spans="1:20" hidden="1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  <c r="S168" t="str">
        <f t="shared" si="2"/>
        <v>Monthly</v>
      </c>
      <c r="T168" cm="1">
        <f t="array" ref="T168">_xlfn.SWITCH(S168,"Annually",6,"Bi-Weekly",2,"Fortnightly",3,"Monthly",4,"Quarterly",5,"Weekly",1)</f>
        <v>4</v>
      </c>
    </row>
    <row r="169" spans="1:20" hidden="1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  <c r="S169" t="str">
        <f t="shared" si="2"/>
        <v>Quarterly</v>
      </c>
      <c r="T169" cm="1">
        <f t="array" ref="T169">_xlfn.SWITCH(S169,"Annually",6,"Bi-Weekly",2,"Fortnightly",3,"Monthly",4,"Quarterly",5,"Weekly",1)</f>
        <v>5</v>
      </c>
    </row>
    <row r="170" spans="1:20" hidden="1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  <c r="S170" t="str">
        <f t="shared" si="2"/>
        <v>Fortnightly</v>
      </c>
      <c r="T170" cm="1">
        <f t="array" ref="T170">_xlfn.SWITCH(S170,"Annually",6,"Bi-Weekly",2,"Fortnightly",3,"Monthly",4,"Quarterly",5,"Weekly",1)</f>
        <v>3</v>
      </c>
    </row>
    <row r="171" spans="1:20" hidden="1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  <c r="S171" t="str">
        <f t="shared" si="2"/>
        <v>Quarterly</v>
      </c>
      <c r="T171" cm="1">
        <f t="array" ref="T171">_xlfn.SWITCH(S171,"Annually",6,"Bi-Weekly",2,"Fortnightly",3,"Monthly",4,"Quarterly",5,"Weekly",1)</f>
        <v>5</v>
      </c>
    </row>
    <row r="172" spans="1:20" hidden="1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  <c r="S172" t="str">
        <f t="shared" si="2"/>
        <v>Bi-Weekly</v>
      </c>
      <c r="T172" cm="1">
        <f t="array" ref="T172">_xlfn.SWITCH(S172,"Annually",6,"Bi-Weekly",2,"Fortnightly",3,"Monthly",4,"Quarterly",5,"Weekly",1)</f>
        <v>2</v>
      </c>
    </row>
    <row r="173" spans="1:20" hidden="1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  <c r="S173" t="str">
        <f t="shared" si="2"/>
        <v>Weekly</v>
      </c>
      <c r="T173" cm="1">
        <f t="array" ref="T173">_xlfn.SWITCH(S173,"Annually",6,"Bi-Weekly",2,"Fortnightly",3,"Monthly",4,"Quarterly",5,"Weekly",1)</f>
        <v>1</v>
      </c>
    </row>
    <row r="174" spans="1:20" hidden="1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  <c r="S174" t="str">
        <f t="shared" si="2"/>
        <v>Bi-Weekly</v>
      </c>
      <c r="T174" cm="1">
        <f t="array" ref="T174">_xlfn.SWITCH(S174,"Annually",6,"Bi-Weekly",2,"Fortnightly",3,"Monthly",4,"Quarterly",5,"Weekly",1)</f>
        <v>2</v>
      </c>
    </row>
    <row r="175" spans="1:20" hidden="1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  <c r="S175" t="str">
        <f t="shared" si="2"/>
        <v>Annually</v>
      </c>
      <c r="T175" cm="1">
        <f t="array" ref="T175">_xlfn.SWITCH(S175,"Annually",6,"Bi-Weekly",2,"Fortnightly",3,"Monthly",4,"Quarterly",5,"Weekly",1)</f>
        <v>6</v>
      </c>
    </row>
    <row r="176" spans="1:20" hidden="1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  <c r="S176" t="str">
        <f t="shared" si="2"/>
        <v>Annually</v>
      </c>
      <c r="T176" cm="1">
        <f t="array" ref="T176">_xlfn.SWITCH(S176,"Annually",6,"Bi-Weekly",2,"Fortnightly",3,"Monthly",4,"Quarterly",5,"Weekly",1)</f>
        <v>6</v>
      </c>
    </row>
    <row r="177" spans="1:20" hidden="1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  <c r="S177" t="str">
        <f t="shared" si="2"/>
        <v>Annually</v>
      </c>
      <c r="T177" cm="1">
        <f t="array" ref="T177">_xlfn.SWITCH(S177,"Annually",6,"Bi-Weekly",2,"Fortnightly",3,"Monthly",4,"Quarterly",5,"Weekly",1)</f>
        <v>6</v>
      </c>
    </row>
    <row r="178" spans="1:20" hidden="1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  <c r="S178" t="str">
        <f t="shared" si="2"/>
        <v>Quarterly</v>
      </c>
      <c r="T178" cm="1">
        <f t="array" ref="T178">_xlfn.SWITCH(S178,"Annually",6,"Bi-Weekly",2,"Fortnightly",3,"Monthly",4,"Quarterly",5,"Weekly",1)</f>
        <v>5</v>
      </c>
    </row>
    <row r="179" spans="1:20" hidden="1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  <c r="S179" t="str">
        <f t="shared" si="2"/>
        <v>Monthly</v>
      </c>
      <c r="T179" cm="1">
        <f t="array" ref="T179">_xlfn.SWITCH(S179,"Annually",6,"Bi-Weekly",2,"Fortnightly",3,"Monthly",4,"Quarterly",5,"Weekly",1)</f>
        <v>4</v>
      </c>
    </row>
    <row r="180" spans="1:20" hidden="1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  <c r="S180" t="str">
        <f t="shared" si="2"/>
        <v>Quarterly</v>
      </c>
      <c r="T180" cm="1">
        <f t="array" ref="T180">_xlfn.SWITCH(S180,"Annually",6,"Bi-Weekly",2,"Fortnightly",3,"Monthly",4,"Quarterly",5,"Weekly",1)</f>
        <v>5</v>
      </c>
    </row>
    <row r="181" spans="1:20" hidden="1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  <c r="S181" t="str">
        <f t="shared" si="2"/>
        <v>Fortnightly</v>
      </c>
      <c r="T181" cm="1">
        <f t="array" ref="T181">_xlfn.SWITCH(S181,"Annually",6,"Bi-Weekly",2,"Fortnightly",3,"Monthly",4,"Quarterly",5,"Weekly",1)</f>
        <v>3</v>
      </c>
    </row>
    <row r="182" spans="1:20" hidden="1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  <c r="S182" t="str">
        <f t="shared" si="2"/>
        <v>Fortnightly</v>
      </c>
      <c r="T182" cm="1">
        <f t="array" ref="T182">_xlfn.SWITCH(S182,"Annually",6,"Bi-Weekly",2,"Fortnightly",3,"Monthly",4,"Quarterly",5,"Weekly",1)</f>
        <v>3</v>
      </c>
    </row>
    <row r="183" spans="1:20" hidden="1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  <c r="S183" t="str">
        <f t="shared" si="2"/>
        <v>Weekly</v>
      </c>
      <c r="T183" cm="1">
        <f t="array" ref="T183">_xlfn.SWITCH(S183,"Annually",6,"Bi-Weekly",2,"Fortnightly",3,"Monthly",4,"Quarterly",5,"Weekly",1)</f>
        <v>1</v>
      </c>
    </row>
    <row r="184" spans="1:20" hidden="1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  <c r="S184" t="str">
        <f t="shared" si="2"/>
        <v>Annually</v>
      </c>
      <c r="T184" cm="1">
        <f t="array" ref="T184">_xlfn.SWITCH(S184,"Annually",6,"Bi-Weekly",2,"Fortnightly",3,"Monthly",4,"Quarterly",5,"Weekly",1)</f>
        <v>6</v>
      </c>
    </row>
    <row r="185" spans="1:20" hidden="1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  <c r="S185" t="str">
        <f t="shared" si="2"/>
        <v>Weekly</v>
      </c>
      <c r="T185" cm="1">
        <f t="array" ref="T185">_xlfn.SWITCH(S185,"Annually",6,"Bi-Weekly",2,"Fortnightly",3,"Monthly",4,"Quarterly",5,"Weekly",1)</f>
        <v>1</v>
      </c>
    </row>
    <row r="186" spans="1:20" hidden="1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  <c r="S186" t="str">
        <f t="shared" si="2"/>
        <v>Fortnightly</v>
      </c>
      <c r="T186" cm="1">
        <f t="array" ref="T186">_xlfn.SWITCH(S186,"Annually",6,"Bi-Weekly",2,"Fortnightly",3,"Monthly",4,"Quarterly",5,"Weekly",1)</f>
        <v>3</v>
      </c>
    </row>
    <row r="187" spans="1:20" hidden="1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  <c r="S187" t="str">
        <f t="shared" si="2"/>
        <v>Fortnightly</v>
      </c>
      <c r="T187" cm="1">
        <f t="array" ref="T187">_xlfn.SWITCH(S187,"Annually",6,"Bi-Weekly",2,"Fortnightly",3,"Monthly",4,"Quarterly",5,"Weekly",1)</f>
        <v>3</v>
      </c>
    </row>
    <row r="188" spans="1:20" hidden="1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  <c r="S188" t="str">
        <f t="shared" si="2"/>
        <v>Annually</v>
      </c>
      <c r="T188" cm="1">
        <f t="array" ref="T188">_xlfn.SWITCH(S188,"Annually",6,"Bi-Weekly",2,"Fortnightly",3,"Monthly",4,"Quarterly",5,"Weekly",1)</f>
        <v>6</v>
      </c>
    </row>
    <row r="189" spans="1:20" hidden="1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  <c r="S189" t="str">
        <f t="shared" si="2"/>
        <v>Bi-Weekly</v>
      </c>
      <c r="T189" cm="1">
        <f t="array" ref="T189">_xlfn.SWITCH(S189,"Annually",6,"Bi-Weekly",2,"Fortnightly",3,"Monthly",4,"Quarterly",5,"Weekly",1)</f>
        <v>2</v>
      </c>
    </row>
    <row r="190" spans="1:20" hidden="1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  <c r="S190" t="str">
        <f t="shared" si="2"/>
        <v>Bi-Weekly</v>
      </c>
      <c r="T190" cm="1">
        <f t="array" ref="T190">_xlfn.SWITCH(S190,"Annually",6,"Bi-Weekly",2,"Fortnightly",3,"Monthly",4,"Quarterly",5,"Weekly",1)</f>
        <v>2</v>
      </c>
    </row>
    <row r="191" spans="1:20" hidden="1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  <c r="S191" t="str">
        <f t="shared" si="2"/>
        <v>Weekly</v>
      </c>
      <c r="T191" cm="1">
        <f t="array" ref="T191">_xlfn.SWITCH(S191,"Annually",6,"Bi-Weekly",2,"Fortnightly",3,"Monthly",4,"Quarterly",5,"Weekly",1)</f>
        <v>1</v>
      </c>
    </row>
    <row r="192" spans="1:20" hidden="1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  <c r="S192" t="str">
        <f t="shared" si="2"/>
        <v>Quarterly</v>
      </c>
      <c r="T192" cm="1">
        <f t="array" ref="T192">_xlfn.SWITCH(S192,"Annually",6,"Bi-Weekly",2,"Fortnightly",3,"Monthly",4,"Quarterly",5,"Weekly",1)</f>
        <v>5</v>
      </c>
    </row>
    <row r="193" spans="1:20" hidden="1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  <c r="S193" t="str">
        <f t="shared" si="2"/>
        <v>Quarterly</v>
      </c>
      <c r="T193" cm="1">
        <f t="array" ref="T193">_xlfn.SWITCH(S193,"Annually",6,"Bi-Weekly",2,"Fortnightly",3,"Monthly",4,"Quarterly",5,"Weekly",1)</f>
        <v>5</v>
      </c>
    </row>
    <row r="194" spans="1:20" hidden="1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  <c r="S194" t="str">
        <f t="shared" si="2"/>
        <v>Bi-Weekly</v>
      </c>
      <c r="T194" cm="1">
        <f t="array" ref="T194">_xlfn.SWITCH(S194,"Annually",6,"Bi-Weekly",2,"Fortnightly",3,"Monthly",4,"Quarterly",5,"Weekly",1)</f>
        <v>2</v>
      </c>
    </row>
    <row r="195" spans="1:20" hidden="1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  <c r="S195" t="str">
        <f t="shared" ref="S195:S258" si="3">IF(R195="Every 3 Months","Quarterly",R195)</f>
        <v>Annually</v>
      </c>
      <c r="T195" cm="1">
        <f t="array" ref="T195">_xlfn.SWITCH(S195,"Annually",6,"Bi-Weekly",2,"Fortnightly",3,"Monthly",4,"Quarterly",5,"Weekly",1)</f>
        <v>6</v>
      </c>
    </row>
    <row r="196" spans="1:20" hidden="1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  <c r="S196" t="str">
        <f t="shared" si="3"/>
        <v>Quarterly</v>
      </c>
      <c r="T196" cm="1">
        <f t="array" ref="T196">_xlfn.SWITCH(S196,"Annually",6,"Bi-Weekly",2,"Fortnightly",3,"Monthly",4,"Quarterly",5,"Weekly",1)</f>
        <v>5</v>
      </c>
    </row>
    <row r="197" spans="1:20" hidden="1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  <c r="S197" t="str">
        <f t="shared" si="3"/>
        <v>Monthly</v>
      </c>
      <c r="T197" cm="1">
        <f t="array" ref="T197">_xlfn.SWITCH(S197,"Annually",6,"Bi-Weekly",2,"Fortnightly",3,"Monthly",4,"Quarterly",5,"Weekly",1)</f>
        <v>4</v>
      </c>
    </row>
    <row r="198" spans="1:20" hidden="1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  <c r="S198" t="str">
        <f t="shared" si="3"/>
        <v>Fortnightly</v>
      </c>
      <c r="T198" cm="1">
        <f t="array" ref="T198">_xlfn.SWITCH(S198,"Annually",6,"Bi-Weekly",2,"Fortnightly",3,"Monthly",4,"Quarterly",5,"Weekly",1)</f>
        <v>3</v>
      </c>
    </row>
    <row r="199" spans="1:20" hidden="1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  <c r="S199" t="str">
        <f t="shared" si="3"/>
        <v>Monthly</v>
      </c>
      <c r="T199" cm="1">
        <f t="array" ref="T199">_xlfn.SWITCH(S199,"Annually",6,"Bi-Weekly",2,"Fortnightly",3,"Monthly",4,"Quarterly",5,"Weekly",1)</f>
        <v>4</v>
      </c>
    </row>
    <row r="200" spans="1:20" hidden="1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  <c r="S200" t="str">
        <f t="shared" si="3"/>
        <v>Fortnightly</v>
      </c>
      <c r="T200" cm="1">
        <f t="array" ref="T200">_xlfn.SWITCH(S200,"Annually",6,"Bi-Weekly",2,"Fortnightly",3,"Monthly",4,"Quarterly",5,"Weekly",1)</f>
        <v>3</v>
      </c>
    </row>
    <row r="201" spans="1:20" hidden="1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  <c r="S201" t="str">
        <f t="shared" si="3"/>
        <v>Weekly</v>
      </c>
      <c r="T201" cm="1">
        <f t="array" ref="T201">_xlfn.SWITCH(S201,"Annually",6,"Bi-Weekly",2,"Fortnightly",3,"Monthly",4,"Quarterly",5,"Weekly",1)</f>
        <v>1</v>
      </c>
    </row>
    <row r="202" spans="1:20" hidden="1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  <c r="S202" t="str">
        <f t="shared" si="3"/>
        <v>Monthly</v>
      </c>
      <c r="T202" cm="1">
        <f t="array" ref="T202">_xlfn.SWITCH(S202,"Annually",6,"Bi-Weekly",2,"Fortnightly",3,"Monthly",4,"Quarterly",5,"Weekly",1)</f>
        <v>4</v>
      </c>
    </row>
    <row r="203" spans="1:20" hidden="1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  <c r="S203" t="str">
        <f t="shared" si="3"/>
        <v>Annually</v>
      </c>
      <c r="T203" cm="1">
        <f t="array" ref="T203">_xlfn.SWITCH(S203,"Annually",6,"Bi-Weekly",2,"Fortnightly",3,"Monthly",4,"Quarterly",5,"Weekly",1)</f>
        <v>6</v>
      </c>
    </row>
    <row r="204" spans="1:20" hidden="1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  <c r="S204" t="str">
        <f t="shared" si="3"/>
        <v>Annually</v>
      </c>
      <c r="T204" cm="1">
        <f t="array" ref="T204">_xlfn.SWITCH(S204,"Annually",6,"Bi-Weekly",2,"Fortnightly",3,"Monthly",4,"Quarterly",5,"Weekly",1)</f>
        <v>6</v>
      </c>
    </row>
    <row r="205" spans="1:20" hidden="1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  <c r="S205" t="str">
        <f t="shared" si="3"/>
        <v>Weekly</v>
      </c>
      <c r="T205" cm="1">
        <f t="array" ref="T205">_xlfn.SWITCH(S205,"Annually",6,"Bi-Weekly",2,"Fortnightly",3,"Monthly",4,"Quarterly",5,"Weekly",1)</f>
        <v>1</v>
      </c>
    </row>
    <row r="206" spans="1:20" hidden="1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  <c r="S206" t="str">
        <f t="shared" si="3"/>
        <v>Bi-Weekly</v>
      </c>
      <c r="T206" cm="1">
        <f t="array" ref="T206">_xlfn.SWITCH(S206,"Annually",6,"Bi-Weekly",2,"Fortnightly",3,"Monthly",4,"Quarterly",5,"Weekly",1)</f>
        <v>2</v>
      </c>
    </row>
    <row r="207" spans="1:20" hidden="1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  <c r="S207" t="str">
        <f t="shared" si="3"/>
        <v>Weekly</v>
      </c>
      <c r="T207" cm="1">
        <f t="array" ref="T207">_xlfn.SWITCH(S207,"Annually",6,"Bi-Weekly",2,"Fortnightly",3,"Monthly",4,"Quarterly",5,"Weekly",1)</f>
        <v>1</v>
      </c>
    </row>
    <row r="208" spans="1:20" hidden="1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  <c r="S208" t="str">
        <f t="shared" si="3"/>
        <v>Fortnightly</v>
      </c>
      <c r="T208" cm="1">
        <f t="array" ref="T208">_xlfn.SWITCH(S208,"Annually",6,"Bi-Weekly",2,"Fortnightly",3,"Monthly",4,"Quarterly",5,"Weekly",1)</f>
        <v>3</v>
      </c>
    </row>
    <row r="209" spans="1:20" hidden="1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  <c r="S209" t="str">
        <f t="shared" si="3"/>
        <v>Bi-Weekly</v>
      </c>
      <c r="T209" cm="1">
        <f t="array" ref="T209">_xlfn.SWITCH(S209,"Annually",6,"Bi-Weekly",2,"Fortnightly",3,"Monthly",4,"Quarterly",5,"Weekly",1)</f>
        <v>2</v>
      </c>
    </row>
    <row r="210" spans="1:20" hidden="1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  <c r="S210" t="str">
        <f t="shared" si="3"/>
        <v>Monthly</v>
      </c>
      <c r="T210" cm="1">
        <f t="array" ref="T210">_xlfn.SWITCH(S210,"Annually",6,"Bi-Weekly",2,"Fortnightly",3,"Monthly",4,"Quarterly",5,"Weekly",1)</f>
        <v>4</v>
      </c>
    </row>
    <row r="211" spans="1:20" hidden="1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  <c r="S211" t="str">
        <f t="shared" si="3"/>
        <v>Quarterly</v>
      </c>
      <c r="T211" cm="1">
        <f t="array" ref="T211">_xlfn.SWITCH(S211,"Annually",6,"Bi-Weekly",2,"Fortnightly",3,"Monthly",4,"Quarterly",5,"Weekly",1)</f>
        <v>5</v>
      </c>
    </row>
    <row r="212" spans="1:20" hidden="1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  <c r="S212" t="str">
        <f t="shared" si="3"/>
        <v>Fortnightly</v>
      </c>
      <c r="T212" cm="1">
        <f t="array" ref="T212">_xlfn.SWITCH(S212,"Annually",6,"Bi-Weekly",2,"Fortnightly",3,"Monthly",4,"Quarterly",5,"Weekly",1)</f>
        <v>3</v>
      </c>
    </row>
    <row r="213" spans="1:20" hidden="1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  <c r="S213" t="str">
        <f t="shared" si="3"/>
        <v>Fortnightly</v>
      </c>
      <c r="T213" cm="1">
        <f t="array" ref="T213">_xlfn.SWITCH(S213,"Annually",6,"Bi-Weekly",2,"Fortnightly",3,"Monthly",4,"Quarterly",5,"Weekly",1)</f>
        <v>3</v>
      </c>
    </row>
    <row r="214" spans="1:20" hidden="1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  <c r="S214" t="str">
        <f t="shared" si="3"/>
        <v>Annually</v>
      </c>
      <c r="T214" cm="1">
        <f t="array" ref="T214">_xlfn.SWITCH(S214,"Annually",6,"Bi-Weekly",2,"Fortnightly",3,"Monthly",4,"Quarterly",5,"Weekly",1)</f>
        <v>6</v>
      </c>
    </row>
    <row r="215" spans="1:20" hidden="1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  <c r="S215" t="str">
        <f t="shared" si="3"/>
        <v>Quarterly</v>
      </c>
      <c r="T215" cm="1">
        <f t="array" ref="T215">_xlfn.SWITCH(S215,"Annually",6,"Bi-Weekly",2,"Fortnightly",3,"Monthly",4,"Quarterly",5,"Weekly",1)</f>
        <v>5</v>
      </c>
    </row>
    <row r="216" spans="1:20" hidden="1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  <c r="S216" t="str">
        <f t="shared" si="3"/>
        <v>Quarterly</v>
      </c>
      <c r="T216" cm="1">
        <f t="array" ref="T216">_xlfn.SWITCH(S216,"Annually",6,"Bi-Weekly",2,"Fortnightly",3,"Monthly",4,"Quarterly",5,"Weekly",1)</f>
        <v>5</v>
      </c>
    </row>
    <row r="217" spans="1:20" hidden="1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  <c r="S217" t="str">
        <f t="shared" si="3"/>
        <v>Bi-Weekly</v>
      </c>
      <c r="T217" cm="1">
        <f t="array" ref="T217">_xlfn.SWITCH(S217,"Annually",6,"Bi-Weekly",2,"Fortnightly",3,"Monthly",4,"Quarterly",5,"Weekly",1)</f>
        <v>2</v>
      </c>
    </row>
    <row r="218" spans="1:20" hidden="1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  <c r="S218" t="str">
        <f t="shared" si="3"/>
        <v>Weekly</v>
      </c>
      <c r="T218" cm="1">
        <f t="array" ref="T218">_xlfn.SWITCH(S218,"Annually",6,"Bi-Weekly",2,"Fortnightly",3,"Monthly",4,"Quarterly",5,"Weekly",1)</f>
        <v>1</v>
      </c>
    </row>
    <row r="219" spans="1:20" hidden="1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  <c r="S219" t="str">
        <f t="shared" si="3"/>
        <v>Annually</v>
      </c>
      <c r="T219" cm="1">
        <f t="array" ref="T219">_xlfn.SWITCH(S219,"Annually",6,"Bi-Weekly",2,"Fortnightly",3,"Monthly",4,"Quarterly",5,"Weekly",1)</f>
        <v>6</v>
      </c>
    </row>
    <row r="220" spans="1:20" hidden="1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  <c r="S220" t="str">
        <f t="shared" si="3"/>
        <v>Quarterly</v>
      </c>
      <c r="T220" cm="1">
        <f t="array" ref="T220">_xlfn.SWITCH(S220,"Annually",6,"Bi-Weekly",2,"Fortnightly",3,"Monthly",4,"Quarterly",5,"Weekly",1)</f>
        <v>5</v>
      </c>
    </row>
    <row r="221" spans="1:20" hidden="1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  <c r="S221" t="str">
        <f t="shared" si="3"/>
        <v>Fortnightly</v>
      </c>
      <c r="T221" cm="1">
        <f t="array" ref="T221">_xlfn.SWITCH(S221,"Annually",6,"Bi-Weekly",2,"Fortnightly",3,"Monthly",4,"Quarterly",5,"Weekly",1)</f>
        <v>3</v>
      </c>
    </row>
    <row r="222" spans="1:20" hidden="1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  <c r="S222" t="str">
        <f t="shared" si="3"/>
        <v>Fortnightly</v>
      </c>
      <c r="T222" cm="1">
        <f t="array" ref="T222">_xlfn.SWITCH(S222,"Annually",6,"Bi-Weekly",2,"Fortnightly",3,"Monthly",4,"Quarterly",5,"Weekly",1)</f>
        <v>3</v>
      </c>
    </row>
    <row r="223" spans="1:20" hidden="1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  <c r="S223" t="str">
        <f t="shared" si="3"/>
        <v>Quarterly</v>
      </c>
      <c r="T223" cm="1">
        <f t="array" ref="T223">_xlfn.SWITCH(S223,"Annually",6,"Bi-Weekly",2,"Fortnightly",3,"Monthly",4,"Quarterly",5,"Weekly",1)</f>
        <v>5</v>
      </c>
    </row>
    <row r="224" spans="1:20" hidden="1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  <c r="S224" t="str">
        <f t="shared" si="3"/>
        <v>Fortnightly</v>
      </c>
      <c r="T224" cm="1">
        <f t="array" ref="T224">_xlfn.SWITCH(S224,"Annually",6,"Bi-Weekly",2,"Fortnightly",3,"Monthly",4,"Quarterly",5,"Weekly",1)</f>
        <v>3</v>
      </c>
    </row>
    <row r="225" spans="1:20" hidden="1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  <c r="S225" t="str">
        <f t="shared" si="3"/>
        <v>Annually</v>
      </c>
      <c r="T225" cm="1">
        <f t="array" ref="T225">_xlfn.SWITCH(S225,"Annually",6,"Bi-Weekly",2,"Fortnightly",3,"Monthly",4,"Quarterly",5,"Weekly",1)</f>
        <v>6</v>
      </c>
    </row>
    <row r="226" spans="1:20" hidden="1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  <c r="S226" t="str">
        <f t="shared" si="3"/>
        <v>Quarterly</v>
      </c>
      <c r="T226" cm="1">
        <f t="array" ref="T226">_xlfn.SWITCH(S226,"Annually",6,"Bi-Weekly",2,"Fortnightly",3,"Monthly",4,"Quarterly",5,"Weekly",1)</f>
        <v>5</v>
      </c>
    </row>
    <row r="227" spans="1:20" hidden="1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  <c r="S227" t="str">
        <f t="shared" si="3"/>
        <v>Annually</v>
      </c>
      <c r="T227" cm="1">
        <f t="array" ref="T227">_xlfn.SWITCH(S227,"Annually",6,"Bi-Weekly",2,"Fortnightly",3,"Monthly",4,"Quarterly",5,"Weekly",1)</f>
        <v>6</v>
      </c>
    </row>
    <row r="228" spans="1:20" hidden="1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  <c r="S228" t="str">
        <f t="shared" si="3"/>
        <v>Monthly</v>
      </c>
      <c r="T228" cm="1">
        <f t="array" ref="T228">_xlfn.SWITCH(S228,"Annually",6,"Bi-Weekly",2,"Fortnightly",3,"Monthly",4,"Quarterly",5,"Weekly",1)</f>
        <v>4</v>
      </c>
    </row>
    <row r="229" spans="1:20" hidden="1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  <c r="S229" t="str">
        <f t="shared" si="3"/>
        <v>Fortnightly</v>
      </c>
      <c r="T229" cm="1">
        <f t="array" ref="T229">_xlfn.SWITCH(S229,"Annually",6,"Bi-Weekly",2,"Fortnightly",3,"Monthly",4,"Quarterly",5,"Weekly",1)</f>
        <v>3</v>
      </c>
    </row>
    <row r="230" spans="1:20" hidden="1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  <c r="S230" t="str">
        <f t="shared" si="3"/>
        <v>Annually</v>
      </c>
      <c r="T230" cm="1">
        <f t="array" ref="T230">_xlfn.SWITCH(S230,"Annually",6,"Bi-Weekly",2,"Fortnightly",3,"Monthly",4,"Quarterly",5,"Weekly",1)</f>
        <v>6</v>
      </c>
    </row>
    <row r="231" spans="1:20" hidden="1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  <c r="S231" t="str">
        <f t="shared" si="3"/>
        <v>Quarterly</v>
      </c>
      <c r="T231" cm="1">
        <f t="array" ref="T231">_xlfn.SWITCH(S231,"Annually",6,"Bi-Weekly",2,"Fortnightly",3,"Monthly",4,"Quarterly",5,"Weekly",1)</f>
        <v>5</v>
      </c>
    </row>
    <row r="232" spans="1:20" hidden="1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  <c r="S232" t="str">
        <f t="shared" si="3"/>
        <v>Annually</v>
      </c>
      <c r="T232" cm="1">
        <f t="array" ref="T232">_xlfn.SWITCH(S232,"Annually",6,"Bi-Weekly",2,"Fortnightly",3,"Monthly",4,"Quarterly",5,"Weekly",1)</f>
        <v>6</v>
      </c>
    </row>
    <row r="233" spans="1:20" hidden="1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  <c r="S233" t="str">
        <f t="shared" si="3"/>
        <v>Quarterly</v>
      </c>
      <c r="T233" cm="1">
        <f t="array" ref="T233">_xlfn.SWITCH(S233,"Annually",6,"Bi-Weekly",2,"Fortnightly",3,"Monthly",4,"Quarterly",5,"Weekly",1)</f>
        <v>5</v>
      </c>
    </row>
    <row r="234" spans="1:20" hidden="1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  <c r="S234" t="str">
        <f t="shared" si="3"/>
        <v>Bi-Weekly</v>
      </c>
      <c r="T234" cm="1">
        <f t="array" ref="T234">_xlfn.SWITCH(S234,"Annually",6,"Bi-Weekly",2,"Fortnightly",3,"Monthly",4,"Quarterly",5,"Weekly",1)</f>
        <v>2</v>
      </c>
    </row>
    <row r="235" spans="1:20" hidden="1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  <c r="S235" t="str">
        <f t="shared" si="3"/>
        <v>Quarterly</v>
      </c>
      <c r="T235" cm="1">
        <f t="array" ref="T235">_xlfn.SWITCH(S235,"Annually",6,"Bi-Weekly",2,"Fortnightly",3,"Monthly",4,"Quarterly",5,"Weekly",1)</f>
        <v>5</v>
      </c>
    </row>
    <row r="236" spans="1:20" hidden="1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  <c r="S236" t="str">
        <f t="shared" si="3"/>
        <v>Weekly</v>
      </c>
      <c r="T236" cm="1">
        <f t="array" ref="T236">_xlfn.SWITCH(S236,"Annually",6,"Bi-Weekly",2,"Fortnightly",3,"Monthly",4,"Quarterly",5,"Weekly",1)</f>
        <v>1</v>
      </c>
    </row>
    <row r="237" spans="1:20" hidden="1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  <c r="S237" t="str">
        <f t="shared" si="3"/>
        <v>Quarterly</v>
      </c>
      <c r="T237" cm="1">
        <f t="array" ref="T237">_xlfn.SWITCH(S237,"Annually",6,"Bi-Weekly",2,"Fortnightly",3,"Monthly",4,"Quarterly",5,"Weekly",1)</f>
        <v>5</v>
      </c>
    </row>
    <row r="238" spans="1:20" hidden="1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  <c r="S238" t="str">
        <f t="shared" si="3"/>
        <v>Fortnightly</v>
      </c>
      <c r="T238" cm="1">
        <f t="array" ref="T238">_xlfn.SWITCH(S238,"Annually",6,"Bi-Weekly",2,"Fortnightly",3,"Monthly",4,"Quarterly",5,"Weekly",1)</f>
        <v>3</v>
      </c>
    </row>
    <row r="239" spans="1:20" hidden="1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  <c r="S239" t="str">
        <f t="shared" si="3"/>
        <v>Fortnightly</v>
      </c>
      <c r="T239" cm="1">
        <f t="array" ref="T239">_xlfn.SWITCH(S239,"Annually",6,"Bi-Weekly",2,"Fortnightly",3,"Monthly",4,"Quarterly",5,"Weekly",1)</f>
        <v>3</v>
      </c>
    </row>
    <row r="240" spans="1:20" hidden="1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  <c r="S240" t="str">
        <f t="shared" si="3"/>
        <v>Annually</v>
      </c>
      <c r="T240" cm="1">
        <f t="array" ref="T240">_xlfn.SWITCH(S240,"Annually",6,"Bi-Weekly",2,"Fortnightly",3,"Monthly",4,"Quarterly",5,"Weekly",1)</f>
        <v>6</v>
      </c>
    </row>
    <row r="241" spans="1:20" hidden="1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  <c r="S241" t="str">
        <f t="shared" si="3"/>
        <v>Bi-Weekly</v>
      </c>
      <c r="T241" cm="1">
        <f t="array" ref="T241">_xlfn.SWITCH(S241,"Annually",6,"Bi-Weekly",2,"Fortnightly",3,"Monthly",4,"Quarterly",5,"Weekly",1)</f>
        <v>2</v>
      </c>
    </row>
    <row r="242" spans="1:20" hidden="1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  <c r="S242" t="str">
        <f t="shared" si="3"/>
        <v>Fortnightly</v>
      </c>
      <c r="T242" cm="1">
        <f t="array" ref="T242">_xlfn.SWITCH(S242,"Annually",6,"Bi-Weekly",2,"Fortnightly",3,"Monthly",4,"Quarterly",5,"Weekly",1)</f>
        <v>3</v>
      </c>
    </row>
    <row r="243" spans="1:20" hidden="1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  <c r="S243" t="str">
        <f t="shared" si="3"/>
        <v>Bi-Weekly</v>
      </c>
      <c r="T243" cm="1">
        <f t="array" ref="T243">_xlfn.SWITCH(S243,"Annually",6,"Bi-Weekly",2,"Fortnightly",3,"Monthly",4,"Quarterly",5,"Weekly",1)</f>
        <v>2</v>
      </c>
    </row>
    <row r="244" spans="1:20" hidden="1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  <c r="S244" t="str">
        <f t="shared" si="3"/>
        <v>Quarterly</v>
      </c>
      <c r="T244" cm="1">
        <f t="array" ref="T244">_xlfn.SWITCH(S244,"Annually",6,"Bi-Weekly",2,"Fortnightly",3,"Monthly",4,"Quarterly",5,"Weekly",1)</f>
        <v>5</v>
      </c>
    </row>
    <row r="245" spans="1:20" hidden="1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  <c r="S245" t="str">
        <f t="shared" si="3"/>
        <v>Monthly</v>
      </c>
      <c r="T245" cm="1">
        <f t="array" ref="T245">_xlfn.SWITCH(S245,"Annually",6,"Bi-Weekly",2,"Fortnightly",3,"Monthly",4,"Quarterly",5,"Weekly",1)</f>
        <v>4</v>
      </c>
    </row>
    <row r="246" spans="1:20" hidden="1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  <c r="S246" t="str">
        <f t="shared" si="3"/>
        <v>Weekly</v>
      </c>
      <c r="T246" cm="1">
        <f t="array" ref="T246">_xlfn.SWITCH(S246,"Annually",6,"Bi-Weekly",2,"Fortnightly",3,"Monthly",4,"Quarterly",5,"Weekly",1)</f>
        <v>1</v>
      </c>
    </row>
    <row r="247" spans="1:20" hidden="1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  <c r="S247" t="str">
        <f t="shared" si="3"/>
        <v>Fortnightly</v>
      </c>
      <c r="T247" cm="1">
        <f t="array" ref="T247">_xlfn.SWITCH(S247,"Annually",6,"Bi-Weekly",2,"Fortnightly",3,"Monthly",4,"Quarterly",5,"Weekly",1)</f>
        <v>3</v>
      </c>
    </row>
    <row r="248" spans="1:20" hidden="1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  <c r="S248" t="str">
        <f t="shared" si="3"/>
        <v>Bi-Weekly</v>
      </c>
      <c r="T248" cm="1">
        <f t="array" ref="T248">_xlfn.SWITCH(S248,"Annually",6,"Bi-Weekly",2,"Fortnightly",3,"Monthly",4,"Quarterly",5,"Weekly",1)</f>
        <v>2</v>
      </c>
    </row>
    <row r="249" spans="1:20" hidden="1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  <c r="S249" t="str">
        <f t="shared" si="3"/>
        <v>Weekly</v>
      </c>
      <c r="T249" cm="1">
        <f t="array" ref="T249">_xlfn.SWITCH(S249,"Annually",6,"Bi-Weekly",2,"Fortnightly",3,"Monthly",4,"Quarterly",5,"Weekly",1)</f>
        <v>1</v>
      </c>
    </row>
    <row r="250" spans="1:20" hidden="1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  <c r="S250" t="str">
        <f t="shared" si="3"/>
        <v>Weekly</v>
      </c>
      <c r="T250" cm="1">
        <f t="array" ref="T250">_xlfn.SWITCH(S250,"Annually",6,"Bi-Weekly",2,"Fortnightly",3,"Monthly",4,"Quarterly",5,"Weekly",1)</f>
        <v>1</v>
      </c>
    </row>
    <row r="251" spans="1:20" hidden="1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  <c r="S251" t="str">
        <f t="shared" si="3"/>
        <v>Annually</v>
      </c>
      <c r="T251" cm="1">
        <f t="array" ref="T251">_xlfn.SWITCH(S251,"Annually",6,"Bi-Weekly",2,"Fortnightly",3,"Monthly",4,"Quarterly",5,"Weekly",1)</f>
        <v>6</v>
      </c>
    </row>
    <row r="252" spans="1:20" hidden="1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  <c r="S252" t="str">
        <f t="shared" si="3"/>
        <v>Weekly</v>
      </c>
      <c r="T252" cm="1">
        <f t="array" ref="T252">_xlfn.SWITCH(S252,"Annually",6,"Bi-Weekly",2,"Fortnightly",3,"Monthly",4,"Quarterly",5,"Weekly",1)</f>
        <v>1</v>
      </c>
    </row>
    <row r="253" spans="1:20" hidden="1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  <c r="S253" t="str">
        <f t="shared" si="3"/>
        <v>Annually</v>
      </c>
      <c r="T253" cm="1">
        <f t="array" ref="T253">_xlfn.SWITCH(S253,"Annually",6,"Bi-Weekly",2,"Fortnightly",3,"Monthly",4,"Quarterly",5,"Weekly",1)</f>
        <v>6</v>
      </c>
    </row>
    <row r="254" spans="1:20" hidden="1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  <c r="S254" t="str">
        <f t="shared" si="3"/>
        <v>Fortnightly</v>
      </c>
      <c r="T254" cm="1">
        <f t="array" ref="T254">_xlfn.SWITCH(S254,"Annually",6,"Bi-Weekly",2,"Fortnightly",3,"Monthly",4,"Quarterly",5,"Weekly",1)</f>
        <v>3</v>
      </c>
    </row>
    <row r="255" spans="1:20" hidden="1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  <c r="S255" t="str">
        <f t="shared" si="3"/>
        <v>Bi-Weekly</v>
      </c>
      <c r="T255" cm="1">
        <f t="array" ref="T255">_xlfn.SWITCH(S255,"Annually",6,"Bi-Weekly",2,"Fortnightly",3,"Monthly",4,"Quarterly",5,"Weekly",1)</f>
        <v>2</v>
      </c>
    </row>
    <row r="256" spans="1:20" hidden="1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  <c r="S256" t="str">
        <f t="shared" si="3"/>
        <v>Bi-Weekly</v>
      </c>
      <c r="T256" cm="1">
        <f t="array" ref="T256">_xlfn.SWITCH(S256,"Annually",6,"Bi-Weekly",2,"Fortnightly",3,"Monthly",4,"Quarterly",5,"Weekly",1)</f>
        <v>2</v>
      </c>
    </row>
    <row r="257" spans="1:20" hidden="1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  <c r="S257" t="str">
        <f t="shared" si="3"/>
        <v>Annually</v>
      </c>
      <c r="T257" cm="1">
        <f t="array" ref="T257">_xlfn.SWITCH(S257,"Annually",6,"Bi-Weekly",2,"Fortnightly",3,"Monthly",4,"Quarterly",5,"Weekly",1)</f>
        <v>6</v>
      </c>
    </row>
    <row r="258" spans="1:20" hidden="1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  <c r="S258" t="str">
        <f t="shared" si="3"/>
        <v>Quarterly</v>
      </c>
      <c r="T258" cm="1">
        <f t="array" ref="T258">_xlfn.SWITCH(S258,"Annually",6,"Bi-Weekly",2,"Fortnightly",3,"Monthly",4,"Quarterly",5,"Weekly",1)</f>
        <v>5</v>
      </c>
    </row>
    <row r="259" spans="1:20" hidden="1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  <c r="S259" t="str">
        <f t="shared" ref="S259:S322" si="4">IF(R259="Every 3 Months","Quarterly",R259)</f>
        <v>Quarterly</v>
      </c>
      <c r="T259" cm="1">
        <f t="array" ref="T259">_xlfn.SWITCH(S259,"Annually",6,"Bi-Weekly",2,"Fortnightly",3,"Monthly",4,"Quarterly",5,"Weekly",1)</f>
        <v>5</v>
      </c>
    </row>
    <row r="260" spans="1:20" hidden="1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  <c r="S260" t="str">
        <f t="shared" si="4"/>
        <v>Quarterly</v>
      </c>
      <c r="T260" cm="1">
        <f t="array" ref="T260">_xlfn.SWITCH(S260,"Annually",6,"Bi-Weekly",2,"Fortnightly",3,"Monthly",4,"Quarterly",5,"Weekly",1)</f>
        <v>5</v>
      </c>
    </row>
    <row r="261" spans="1:20" hidden="1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  <c r="S261" t="str">
        <f t="shared" si="4"/>
        <v>Annually</v>
      </c>
      <c r="T261" cm="1">
        <f t="array" ref="T261">_xlfn.SWITCH(S261,"Annually",6,"Bi-Weekly",2,"Fortnightly",3,"Monthly",4,"Quarterly",5,"Weekly",1)</f>
        <v>6</v>
      </c>
    </row>
    <row r="262" spans="1:20" hidden="1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  <c r="S262" t="str">
        <f t="shared" si="4"/>
        <v>Quarterly</v>
      </c>
      <c r="T262" cm="1">
        <f t="array" ref="T262">_xlfn.SWITCH(S262,"Annually",6,"Bi-Weekly",2,"Fortnightly",3,"Monthly",4,"Quarterly",5,"Weekly",1)</f>
        <v>5</v>
      </c>
    </row>
    <row r="263" spans="1:20" hidden="1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  <c r="S263" t="str">
        <f t="shared" si="4"/>
        <v>Annually</v>
      </c>
      <c r="T263" cm="1">
        <f t="array" ref="T263">_xlfn.SWITCH(S263,"Annually",6,"Bi-Weekly",2,"Fortnightly",3,"Monthly",4,"Quarterly",5,"Weekly",1)</f>
        <v>6</v>
      </c>
    </row>
    <row r="264" spans="1:20" hidden="1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  <c r="S264" t="str">
        <f t="shared" si="4"/>
        <v>Annually</v>
      </c>
      <c r="T264" cm="1">
        <f t="array" ref="T264">_xlfn.SWITCH(S264,"Annually",6,"Bi-Weekly",2,"Fortnightly",3,"Monthly",4,"Quarterly",5,"Weekly",1)</f>
        <v>6</v>
      </c>
    </row>
    <row r="265" spans="1:20" hidden="1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  <c r="S265" t="str">
        <f t="shared" si="4"/>
        <v>Monthly</v>
      </c>
      <c r="T265" cm="1">
        <f t="array" ref="T265">_xlfn.SWITCH(S265,"Annually",6,"Bi-Weekly",2,"Fortnightly",3,"Monthly",4,"Quarterly",5,"Weekly",1)</f>
        <v>4</v>
      </c>
    </row>
    <row r="266" spans="1:20" hidden="1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  <c r="S266" t="str">
        <f t="shared" si="4"/>
        <v>Annually</v>
      </c>
      <c r="T266" cm="1">
        <f t="array" ref="T266">_xlfn.SWITCH(S266,"Annually",6,"Bi-Weekly",2,"Fortnightly",3,"Monthly",4,"Quarterly",5,"Weekly",1)</f>
        <v>6</v>
      </c>
    </row>
    <row r="267" spans="1:20" hidden="1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  <c r="S267" t="str">
        <f t="shared" si="4"/>
        <v>Bi-Weekly</v>
      </c>
      <c r="T267" cm="1">
        <f t="array" ref="T267">_xlfn.SWITCH(S267,"Annually",6,"Bi-Weekly",2,"Fortnightly",3,"Monthly",4,"Quarterly",5,"Weekly",1)</f>
        <v>2</v>
      </c>
    </row>
    <row r="268" spans="1:20" hidden="1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  <c r="S268" t="str">
        <f t="shared" si="4"/>
        <v>Weekly</v>
      </c>
      <c r="T268" cm="1">
        <f t="array" ref="T268">_xlfn.SWITCH(S268,"Annually",6,"Bi-Weekly",2,"Fortnightly",3,"Monthly",4,"Quarterly",5,"Weekly",1)</f>
        <v>1</v>
      </c>
    </row>
    <row r="269" spans="1:20" hidden="1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  <c r="S269" t="str">
        <f t="shared" si="4"/>
        <v>Annually</v>
      </c>
      <c r="T269" cm="1">
        <f t="array" ref="T269">_xlfn.SWITCH(S269,"Annually",6,"Bi-Weekly",2,"Fortnightly",3,"Monthly",4,"Quarterly",5,"Weekly",1)</f>
        <v>6</v>
      </c>
    </row>
    <row r="270" spans="1:20" hidden="1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  <c r="S270" t="str">
        <f t="shared" si="4"/>
        <v>Monthly</v>
      </c>
      <c r="T270" cm="1">
        <f t="array" ref="T270">_xlfn.SWITCH(S270,"Annually",6,"Bi-Weekly",2,"Fortnightly",3,"Monthly",4,"Quarterly",5,"Weekly",1)</f>
        <v>4</v>
      </c>
    </row>
    <row r="271" spans="1:20" hidden="1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  <c r="S271" t="str">
        <f t="shared" si="4"/>
        <v>Bi-Weekly</v>
      </c>
      <c r="T271" cm="1">
        <f t="array" ref="T271">_xlfn.SWITCH(S271,"Annually",6,"Bi-Weekly",2,"Fortnightly",3,"Monthly",4,"Quarterly",5,"Weekly",1)</f>
        <v>2</v>
      </c>
    </row>
    <row r="272" spans="1:20" hidden="1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  <c r="S272" t="str">
        <f t="shared" si="4"/>
        <v>Annually</v>
      </c>
      <c r="T272" cm="1">
        <f t="array" ref="T272">_xlfn.SWITCH(S272,"Annually",6,"Bi-Weekly",2,"Fortnightly",3,"Monthly",4,"Quarterly",5,"Weekly",1)</f>
        <v>6</v>
      </c>
    </row>
    <row r="273" spans="1:20" hidden="1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  <c r="S273" t="str">
        <f t="shared" si="4"/>
        <v>Fortnightly</v>
      </c>
      <c r="T273" cm="1">
        <f t="array" ref="T273">_xlfn.SWITCH(S273,"Annually",6,"Bi-Weekly",2,"Fortnightly",3,"Monthly",4,"Quarterly",5,"Weekly",1)</f>
        <v>3</v>
      </c>
    </row>
    <row r="274" spans="1:20" hidden="1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  <c r="S274" t="str">
        <f t="shared" si="4"/>
        <v>Bi-Weekly</v>
      </c>
      <c r="T274" cm="1">
        <f t="array" ref="T274">_xlfn.SWITCH(S274,"Annually",6,"Bi-Weekly",2,"Fortnightly",3,"Monthly",4,"Quarterly",5,"Weekly",1)</f>
        <v>2</v>
      </c>
    </row>
    <row r="275" spans="1:20" hidden="1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  <c r="S275" t="str">
        <f t="shared" si="4"/>
        <v>Quarterly</v>
      </c>
      <c r="T275" cm="1">
        <f t="array" ref="T275">_xlfn.SWITCH(S275,"Annually",6,"Bi-Weekly",2,"Fortnightly",3,"Monthly",4,"Quarterly",5,"Weekly",1)</f>
        <v>5</v>
      </c>
    </row>
    <row r="276" spans="1:20" hidden="1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  <c r="S276" t="str">
        <f t="shared" si="4"/>
        <v>Bi-Weekly</v>
      </c>
      <c r="T276" cm="1">
        <f t="array" ref="T276">_xlfn.SWITCH(S276,"Annually",6,"Bi-Weekly",2,"Fortnightly",3,"Monthly",4,"Quarterly",5,"Weekly",1)</f>
        <v>2</v>
      </c>
    </row>
    <row r="277" spans="1:20" hidden="1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  <c r="S277" t="str">
        <f t="shared" si="4"/>
        <v>Weekly</v>
      </c>
      <c r="T277" cm="1">
        <f t="array" ref="T277">_xlfn.SWITCH(S277,"Annually",6,"Bi-Weekly",2,"Fortnightly",3,"Monthly",4,"Quarterly",5,"Weekly",1)</f>
        <v>1</v>
      </c>
    </row>
    <row r="278" spans="1:20" hidden="1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  <c r="S278" t="str">
        <f t="shared" si="4"/>
        <v>Fortnightly</v>
      </c>
      <c r="T278" cm="1">
        <f t="array" ref="T278">_xlfn.SWITCH(S278,"Annually",6,"Bi-Weekly",2,"Fortnightly",3,"Monthly",4,"Quarterly",5,"Weekly",1)</f>
        <v>3</v>
      </c>
    </row>
    <row r="279" spans="1:20" hidden="1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  <c r="S279" t="str">
        <f t="shared" si="4"/>
        <v>Bi-Weekly</v>
      </c>
      <c r="T279" cm="1">
        <f t="array" ref="T279">_xlfn.SWITCH(S279,"Annually",6,"Bi-Weekly",2,"Fortnightly",3,"Monthly",4,"Quarterly",5,"Weekly",1)</f>
        <v>2</v>
      </c>
    </row>
    <row r="280" spans="1:20" hidden="1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  <c r="S280" t="str">
        <f t="shared" si="4"/>
        <v>Annually</v>
      </c>
      <c r="T280" cm="1">
        <f t="array" ref="T280">_xlfn.SWITCH(S280,"Annually",6,"Bi-Weekly",2,"Fortnightly",3,"Monthly",4,"Quarterly",5,"Weekly",1)</f>
        <v>6</v>
      </c>
    </row>
    <row r="281" spans="1:20" hidden="1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  <c r="S281" t="str">
        <f t="shared" si="4"/>
        <v>Monthly</v>
      </c>
      <c r="T281" cm="1">
        <f t="array" ref="T281">_xlfn.SWITCH(S281,"Annually",6,"Bi-Weekly",2,"Fortnightly",3,"Monthly",4,"Quarterly",5,"Weekly",1)</f>
        <v>4</v>
      </c>
    </row>
    <row r="282" spans="1:20" hidden="1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  <c r="S282" t="str">
        <f t="shared" si="4"/>
        <v>Bi-Weekly</v>
      </c>
      <c r="T282" cm="1">
        <f t="array" ref="T282">_xlfn.SWITCH(S282,"Annually",6,"Bi-Weekly",2,"Fortnightly",3,"Monthly",4,"Quarterly",5,"Weekly",1)</f>
        <v>2</v>
      </c>
    </row>
    <row r="283" spans="1:20" hidden="1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  <c r="S283" t="str">
        <f t="shared" si="4"/>
        <v>Bi-Weekly</v>
      </c>
      <c r="T283" cm="1">
        <f t="array" ref="T283">_xlfn.SWITCH(S283,"Annually",6,"Bi-Weekly",2,"Fortnightly",3,"Monthly",4,"Quarterly",5,"Weekly",1)</f>
        <v>2</v>
      </c>
    </row>
    <row r="284" spans="1:20" hidden="1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  <c r="S284" t="str">
        <f t="shared" si="4"/>
        <v>Monthly</v>
      </c>
      <c r="T284" cm="1">
        <f t="array" ref="T284">_xlfn.SWITCH(S284,"Annually",6,"Bi-Weekly",2,"Fortnightly",3,"Monthly",4,"Quarterly",5,"Weekly",1)</f>
        <v>4</v>
      </c>
    </row>
    <row r="285" spans="1:20" hidden="1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  <c r="S285" t="str">
        <f t="shared" si="4"/>
        <v>Annually</v>
      </c>
      <c r="T285" cm="1">
        <f t="array" ref="T285">_xlfn.SWITCH(S285,"Annually",6,"Bi-Weekly",2,"Fortnightly",3,"Monthly",4,"Quarterly",5,"Weekly",1)</f>
        <v>6</v>
      </c>
    </row>
    <row r="286" spans="1:20" hidden="1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  <c r="S286" t="str">
        <f t="shared" si="4"/>
        <v>Quarterly</v>
      </c>
      <c r="T286" cm="1">
        <f t="array" ref="T286">_xlfn.SWITCH(S286,"Annually",6,"Bi-Weekly",2,"Fortnightly",3,"Monthly",4,"Quarterly",5,"Weekly",1)</f>
        <v>5</v>
      </c>
    </row>
    <row r="287" spans="1:20" hidden="1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  <c r="S287" t="str">
        <f t="shared" si="4"/>
        <v>Bi-Weekly</v>
      </c>
      <c r="T287" cm="1">
        <f t="array" ref="T287">_xlfn.SWITCH(S287,"Annually",6,"Bi-Weekly",2,"Fortnightly",3,"Monthly",4,"Quarterly",5,"Weekly",1)</f>
        <v>2</v>
      </c>
    </row>
    <row r="288" spans="1:20" hidden="1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  <c r="S288" t="str">
        <f t="shared" si="4"/>
        <v>Annually</v>
      </c>
      <c r="T288" cm="1">
        <f t="array" ref="T288">_xlfn.SWITCH(S288,"Annually",6,"Bi-Weekly",2,"Fortnightly",3,"Monthly",4,"Quarterly",5,"Weekly",1)</f>
        <v>6</v>
      </c>
    </row>
    <row r="289" spans="1:20" hidden="1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  <c r="S289" t="str">
        <f t="shared" si="4"/>
        <v>Fortnightly</v>
      </c>
      <c r="T289" cm="1">
        <f t="array" ref="T289">_xlfn.SWITCH(S289,"Annually",6,"Bi-Weekly",2,"Fortnightly",3,"Monthly",4,"Quarterly",5,"Weekly",1)</f>
        <v>3</v>
      </c>
    </row>
    <row r="290" spans="1:20" hidden="1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  <c r="S290" t="str">
        <f t="shared" si="4"/>
        <v>Bi-Weekly</v>
      </c>
      <c r="T290" cm="1">
        <f t="array" ref="T290">_xlfn.SWITCH(S290,"Annually",6,"Bi-Weekly",2,"Fortnightly",3,"Monthly",4,"Quarterly",5,"Weekly",1)</f>
        <v>2</v>
      </c>
    </row>
    <row r="291" spans="1:20" hidden="1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  <c r="S291" t="str">
        <f t="shared" si="4"/>
        <v>Monthly</v>
      </c>
      <c r="T291" cm="1">
        <f t="array" ref="T291">_xlfn.SWITCH(S291,"Annually",6,"Bi-Weekly",2,"Fortnightly",3,"Monthly",4,"Quarterly",5,"Weekly",1)</f>
        <v>4</v>
      </c>
    </row>
    <row r="292" spans="1:20" hidden="1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  <c r="S292" t="str">
        <f t="shared" si="4"/>
        <v>Weekly</v>
      </c>
      <c r="T292" cm="1">
        <f t="array" ref="T292">_xlfn.SWITCH(S292,"Annually",6,"Bi-Weekly",2,"Fortnightly",3,"Monthly",4,"Quarterly",5,"Weekly",1)</f>
        <v>1</v>
      </c>
    </row>
    <row r="293" spans="1:20" hidden="1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  <c r="S293" t="str">
        <f t="shared" si="4"/>
        <v>Monthly</v>
      </c>
      <c r="T293" cm="1">
        <f t="array" ref="T293">_xlfn.SWITCH(S293,"Annually",6,"Bi-Weekly",2,"Fortnightly",3,"Monthly",4,"Quarterly",5,"Weekly",1)</f>
        <v>4</v>
      </c>
    </row>
    <row r="294" spans="1:20" hidden="1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  <c r="S294" t="str">
        <f t="shared" si="4"/>
        <v>Quarterly</v>
      </c>
      <c r="T294" cm="1">
        <f t="array" ref="T294">_xlfn.SWITCH(S294,"Annually",6,"Bi-Weekly",2,"Fortnightly",3,"Monthly",4,"Quarterly",5,"Weekly",1)</f>
        <v>5</v>
      </c>
    </row>
    <row r="295" spans="1:20" hidden="1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  <c r="S295" t="str">
        <f t="shared" si="4"/>
        <v>Annually</v>
      </c>
      <c r="T295" cm="1">
        <f t="array" ref="T295">_xlfn.SWITCH(S295,"Annually",6,"Bi-Weekly",2,"Fortnightly",3,"Monthly",4,"Quarterly",5,"Weekly",1)</f>
        <v>6</v>
      </c>
    </row>
    <row r="296" spans="1:20" hidden="1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  <c r="S296" t="str">
        <f t="shared" si="4"/>
        <v>Quarterly</v>
      </c>
      <c r="T296" cm="1">
        <f t="array" ref="T296">_xlfn.SWITCH(S296,"Annually",6,"Bi-Weekly",2,"Fortnightly",3,"Monthly",4,"Quarterly",5,"Weekly",1)</f>
        <v>5</v>
      </c>
    </row>
    <row r="297" spans="1:20" hidden="1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  <c r="S297" t="str">
        <f t="shared" si="4"/>
        <v>Quarterly</v>
      </c>
      <c r="T297" cm="1">
        <f t="array" ref="T297">_xlfn.SWITCH(S297,"Annually",6,"Bi-Weekly",2,"Fortnightly",3,"Monthly",4,"Quarterly",5,"Weekly",1)</f>
        <v>5</v>
      </c>
    </row>
    <row r="298" spans="1:20" hidden="1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  <c r="S298" t="str">
        <f t="shared" si="4"/>
        <v>Weekly</v>
      </c>
      <c r="T298" cm="1">
        <f t="array" ref="T298">_xlfn.SWITCH(S298,"Annually",6,"Bi-Weekly",2,"Fortnightly",3,"Monthly",4,"Quarterly",5,"Weekly",1)</f>
        <v>1</v>
      </c>
    </row>
    <row r="299" spans="1:20" hidden="1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  <c r="S299" t="str">
        <f t="shared" si="4"/>
        <v>Bi-Weekly</v>
      </c>
      <c r="T299" cm="1">
        <f t="array" ref="T299">_xlfn.SWITCH(S299,"Annually",6,"Bi-Weekly",2,"Fortnightly",3,"Monthly",4,"Quarterly",5,"Weekly",1)</f>
        <v>2</v>
      </c>
    </row>
    <row r="300" spans="1:20" hidden="1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  <c r="S300" t="str">
        <f t="shared" si="4"/>
        <v>Quarterly</v>
      </c>
      <c r="T300" cm="1">
        <f t="array" ref="T300">_xlfn.SWITCH(S300,"Annually",6,"Bi-Weekly",2,"Fortnightly",3,"Monthly",4,"Quarterly",5,"Weekly",1)</f>
        <v>5</v>
      </c>
    </row>
    <row r="301" spans="1:20" hidden="1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  <c r="S301" t="str">
        <f t="shared" si="4"/>
        <v>Fortnightly</v>
      </c>
      <c r="T301" cm="1">
        <f t="array" ref="T301">_xlfn.SWITCH(S301,"Annually",6,"Bi-Weekly",2,"Fortnightly",3,"Monthly",4,"Quarterly",5,"Weekly",1)</f>
        <v>3</v>
      </c>
    </row>
    <row r="302" spans="1:20" hidden="1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  <c r="S302" t="str">
        <f t="shared" si="4"/>
        <v>Weekly</v>
      </c>
      <c r="T302" cm="1">
        <f t="array" ref="T302">_xlfn.SWITCH(S302,"Annually",6,"Bi-Weekly",2,"Fortnightly",3,"Monthly",4,"Quarterly",5,"Weekly",1)</f>
        <v>1</v>
      </c>
    </row>
    <row r="303" spans="1:20" hidden="1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  <c r="S303" t="str">
        <f t="shared" si="4"/>
        <v>Quarterly</v>
      </c>
      <c r="T303" cm="1">
        <f t="array" ref="T303">_xlfn.SWITCH(S303,"Annually",6,"Bi-Weekly",2,"Fortnightly",3,"Monthly",4,"Quarterly",5,"Weekly",1)</f>
        <v>5</v>
      </c>
    </row>
    <row r="304" spans="1:20" hidden="1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  <c r="S304" t="str">
        <f t="shared" si="4"/>
        <v>Quarterly</v>
      </c>
      <c r="T304" cm="1">
        <f t="array" ref="T304">_xlfn.SWITCH(S304,"Annually",6,"Bi-Weekly",2,"Fortnightly",3,"Monthly",4,"Quarterly",5,"Weekly",1)</f>
        <v>5</v>
      </c>
    </row>
    <row r="305" spans="1:20" hidden="1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  <c r="S305" t="str">
        <f t="shared" si="4"/>
        <v>Weekly</v>
      </c>
      <c r="T305" cm="1">
        <f t="array" ref="T305">_xlfn.SWITCH(S305,"Annually",6,"Bi-Weekly",2,"Fortnightly",3,"Monthly",4,"Quarterly",5,"Weekly",1)</f>
        <v>1</v>
      </c>
    </row>
    <row r="306" spans="1:20" hidden="1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  <c r="S306" t="str">
        <f t="shared" si="4"/>
        <v>Bi-Weekly</v>
      </c>
      <c r="T306" cm="1">
        <f t="array" ref="T306">_xlfn.SWITCH(S306,"Annually",6,"Bi-Weekly",2,"Fortnightly",3,"Monthly",4,"Quarterly",5,"Weekly",1)</f>
        <v>2</v>
      </c>
    </row>
    <row r="307" spans="1:20" hidden="1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  <c r="S307" t="str">
        <f t="shared" si="4"/>
        <v>Annually</v>
      </c>
      <c r="T307" cm="1">
        <f t="array" ref="T307">_xlfn.SWITCH(S307,"Annually",6,"Bi-Weekly",2,"Fortnightly",3,"Monthly",4,"Quarterly",5,"Weekly",1)</f>
        <v>6</v>
      </c>
    </row>
    <row r="308" spans="1:20" hidden="1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  <c r="S308" t="str">
        <f t="shared" si="4"/>
        <v>Annually</v>
      </c>
      <c r="T308" cm="1">
        <f t="array" ref="T308">_xlfn.SWITCH(S308,"Annually",6,"Bi-Weekly",2,"Fortnightly",3,"Monthly",4,"Quarterly",5,"Weekly",1)</f>
        <v>6</v>
      </c>
    </row>
    <row r="309" spans="1:20" hidden="1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  <c r="S309" t="str">
        <f t="shared" si="4"/>
        <v>Quarterly</v>
      </c>
      <c r="T309" cm="1">
        <f t="array" ref="T309">_xlfn.SWITCH(S309,"Annually",6,"Bi-Weekly",2,"Fortnightly",3,"Monthly",4,"Quarterly",5,"Weekly",1)</f>
        <v>5</v>
      </c>
    </row>
    <row r="310" spans="1:20" hidden="1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  <c r="S310" t="str">
        <f t="shared" si="4"/>
        <v>Bi-Weekly</v>
      </c>
      <c r="T310" cm="1">
        <f t="array" ref="T310">_xlfn.SWITCH(S310,"Annually",6,"Bi-Weekly",2,"Fortnightly",3,"Monthly",4,"Quarterly",5,"Weekly",1)</f>
        <v>2</v>
      </c>
    </row>
    <row r="311" spans="1:20" hidden="1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  <c r="S311" t="str">
        <f t="shared" si="4"/>
        <v>Fortnightly</v>
      </c>
      <c r="T311" cm="1">
        <f t="array" ref="T311">_xlfn.SWITCH(S311,"Annually",6,"Bi-Weekly",2,"Fortnightly",3,"Monthly",4,"Quarterly",5,"Weekly",1)</f>
        <v>3</v>
      </c>
    </row>
    <row r="312" spans="1:20" hidden="1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  <c r="S312" t="str">
        <f t="shared" si="4"/>
        <v>Fortnightly</v>
      </c>
      <c r="T312" cm="1">
        <f t="array" ref="T312">_xlfn.SWITCH(S312,"Annually",6,"Bi-Weekly",2,"Fortnightly",3,"Monthly",4,"Quarterly",5,"Weekly",1)</f>
        <v>3</v>
      </c>
    </row>
    <row r="313" spans="1:20" hidden="1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  <c r="S313" t="str">
        <f t="shared" si="4"/>
        <v>Monthly</v>
      </c>
      <c r="T313" cm="1">
        <f t="array" ref="T313">_xlfn.SWITCH(S313,"Annually",6,"Bi-Weekly",2,"Fortnightly",3,"Monthly",4,"Quarterly",5,"Weekly",1)</f>
        <v>4</v>
      </c>
    </row>
    <row r="314" spans="1:20" hidden="1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  <c r="S314" t="str">
        <f t="shared" si="4"/>
        <v>Annually</v>
      </c>
      <c r="T314" cm="1">
        <f t="array" ref="T314">_xlfn.SWITCH(S314,"Annually",6,"Bi-Weekly",2,"Fortnightly",3,"Monthly",4,"Quarterly",5,"Weekly",1)</f>
        <v>6</v>
      </c>
    </row>
    <row r="315" spans="1:20" hidden="1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  <c r="S315" t="str">
        <f t="shared" si="4"/>
        <v>Quarterly</v>
      </c>
      <c r="T315" cm="1">
        <f t="array" ref="T315">_xlfn.SWITCH(S315,"Annually",6,"Bi-Weekly",2,"Fortnightly",3,"Monthly",4,"Quarterly",5,"Weekly",1)</f>
        <v>5</v>
      </c>
    </row>
    <row r="316" spans="1:20" hidden="1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  <c r="S316" t="str">
        <f t="shared" si="4"/>
        <v>Quarterly</v>
      </c>
      <c r="T316" cm="1">
        <f t="array" ref="T316">_xlfn.SWITCH(S316,"Annually",6,"Bi-Weekly",2,"Fortnightly",3,"Monthly",4,"Quarterly",5,"Weekly",1)</f>
        <v>5</v>
      </c>
    </row>
    <row r="317" spans="1:20" hidden="1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  <c r="S317" t="str">
        <f t="shared" si="4"/>
        <v>Annually</v>
      </c>
      <c r="T317" cm="1">
        <f t="array" ref="T317">_xlfn.SWITCH(S317,"Annually",6,"Bi-Weekly",2,"Fortnightly",3,"Monthly",4,"Quarterly",5,"Weekly",1)</f>
        <v>6</v>
      </c>
    </row>
    <row r="318" spans="1:20" hidden="1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  <c r="S318" t="str">
        <f t="shared" si="4"/>
        <v>Monthly</v>
      </c>
      <c r="T318" cm="1">
        <f t="array" ref="T318">_xlfn.SWITCH(S318,"Annually",6,"Bi-Weekly",2,"Fortnightly",3,"Monthly",4,"Quarterly",5,"Weekly",1)</f>
        <v>4</v>
      </c>
    </row>
    <row r="319" spans="1:20" hidden="1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  <c r="S319" t="str">
        <f t="shared" si="4"/>
        <v>Quarterly</v>
      </c>
      <c r="T319" cm="1">
        <f t="array" ref="T319">_xlfn.SWITCH(S319,"Annually",6,"Bi-Weekly",2,"Fortnightly",3,"Monthly",4,"Quarterly",5,"Weekly",1)</f>
        <v>5</v>
      </c>
    </row>
    <row r="320" spans="1:20" hidden="1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  <c r="S320" t="str">
        <f t="shared" si="4"/>
        <v>Annually</v>
      </c>
      <c r="T320" cm="1">
        <f t="array" ref="T320">_xlfn.SWITCH(S320,"Annually",6,"Bi-Weekly",2,"Fortnightly",3,"Monthly",4,"Quarterly",5,"Weekly",1)</f>
        <v>6</v>
      </c>
    </row>
    <row r="321" spans="1:20" hidden="1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  <c r="S321" t="str">
        <f t="shared" si="4"/>
        <v>Quarterly</v>
      </c>
      <c r="T321" cm="1">
        <f t="array" ref="T321">_xlfn.SWITCH(S321,"Annually",6,"Bi-Weekly",2,"Fortnightly",3,"Monthly",4,"Quarterly",5,"Weekly",1)</f>
        <v>5</v>
      </c>
    </row>
    <row r="322" spans="1:20" hidden="1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  <c r="S322" t="str">
        <f t="shared" si="4"/>
        <v>Quarterly</v>
      </c>
      <c r="T322" cm="1">
        <f t="array" ref="T322">_xlfn.SWITCH(S322,"Annually",6,"Bi-Weekly",2,"Fortnightly",3,"Monthly",4,"Quarterly",5,"Weekly",1)</f>
        <v>5</v>
      </c>
    </row>
    <row r="323" spans="1:20" hidden="1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  <c r="S323" t="str">
        <f t="shared" ref="S323:S386" si="5">IF(R323="Every 3 Months","Quarterly",R323)</f>
        <v>Quarterly</v>
      </c>
      <c r="T323" cm="1">
        <f t="array" ref="T323">_xlfn.SWITCH(S323,"Annually",6,"Bi-Weekly",2,"Fortnightly",3,"Monthly",4,"Quarterly",5,"Weekly",1)</f>
        <v>5</v>
      </c>
    </row>
    <row r="324" spans="1:20" hidden="1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  <c r="S324" t="str">
        <f t="shared" si="5"/>
        <v>Monthly</v>
      </c>
      <c r="T324" cm="1">
        <f t="array" ref="T324">_xlfn.SWITCH(S324,"Annually",6,"Bi-Weekly",2,"Fortnightly",3,"Monthly",4,"Quarterly",5,"Weekly",1)</f>
        <v>4</v>
      </c>
    </row>
    <row r="325" spans="1:20" hidden="1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  <c r="S325" t="str">
        <f t="shared" si="5"/>
        <v>Bi-Weekly</v>
      </c>
      <c r="T325" cm="1">
        <f t="array" ref="T325">_xlfn.SWITCH(S325,"Annually",6,"Bi-Weekly",2,"Fortnightly",3,"Monthly",4,"Quarterly",5,"Weekly",1)</f>
        <v>2</v>
      </c>
    </row>
    <row r="326" spans="1:20" hidden="1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  <c r="S326" t="str">
        <f t="shared" si="5"/>
        <v>Quarterly</v>
      </c>
      <c r="T326" cm="1">
        <f t="array" ref="T326">_xlfn.SWITCH(S326,"Annually",6,"Bi-Weekly",2,"Fortnightly",3,"Monthly",4,"Quarterly",5,"Weekly",1)</f>
        <v>5</v>
      </c>
    </row>
    <row r="327" spans="1:20" hidden="1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  <c r="S327" t="str">
        <f t="shared" si="5"/>
        <v>Annually</v>
      </c>
      <c r="T327" cm="1">
        <f t="array" ref="T327">_xlfn.SWITCH(S327,"Annually",6,"Bi-Weekly",2,"Fortnightly",3,"Monthly",4,"Quarterly",5,"Weekly",1)</f>
        <v>6</v>
      </c>
    </row>
    <row r="328" spans="1:20" hidden="1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  <c r="S328" t="str">
        <f t="shared" si="5"/>
        <v>Weekly</v>
      </c>
      <c r="T328" cm="1">
        <f t="array" ref="T328">_xlfn.SWITCH(S328,"Annually",6,"Bi-Weekly",2,"Fortnightly",3,"Monthly",4,"Quarterly",5,"Weekly",1)</f>
        <v>1</v>
      </c>
    </row>
    <row r="329" spans="1:20" hidden="1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  <c r="S329" t="str">
        <f t="shared" si="5"/>
        <v>Weekly</v>
      </c>
      <c r="T329" cm="1">
        <f t="array" ref="T329">_xlfn.SWITCH(S329,"Annually",6,"Bi-Weekly",2,"Fortnightly",3,"Monthly",4,"Quarterly",5,"Weekly",1)</f>
        <v>1</v>
      </c>
    </row>
    <row r="330" spans="1:20" hidden="1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  <c r="S330" t="str">
        <f t="shared" si="5"/>
        <v>Weekly</v>
      </c>
      <c r="T330" cm="1">
        <f t="array" ref="T330">_xlfn.SWITCH(S330,"Annually",6,"Bi-Weekly",2,"Fortnightly",3,"Monthly",4,"Quarterly",5,"Weekly",1)</f>
        <v>1</v>
      </c>
    </row>
    <row r="331" spans="1:20" hidden="1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  <c r="S331" t="str">
        <f t="shared" si="5"/>
        <v>Monthly</v>
      </c>
      <c r="T331" cm="1">
        <f t="array" ref="T331">_xlfn.SWITCH(S331,"Annually",6,"Bi-Weekly",2,"Fortnightly",3,"Monthly",4,"Quarterly",5,"Weekly",1)</f>
        <v>4</v>
      </c>
    </row>
    <row r="332" spans="1:20" hidden="1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  <c r="S332" t="str">
        <f t="shared" si="5"/>
        <v>Bi-Weekly</v>
      </c>
      <c r="T332" cm="1">
        <f t="array" ref="T332">_xlfn.SWITCH(S332,"Annually",6,"Bi-Weekly",2,"Fortnightly",3,"Monthly",4,"Quarterly",5,"Weekly",1)</f>
        <v>2</v>
      </c>
    </row>
    <row r="333" spans="1:20" hidden="1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  <c r="S333" t="str">
        <f t="shared" si="5"/>
        <v>Quarterly</v>
      </c>
      <c r="T333" cm="1">
        <f t="array" ref="T333">_xlfn.SWITCH(S333,"Annually",6,"Bi-Weekly",2,"Fortnightly",3,"Monthly",4,"Quarterly",5,"Weekly",1)</f>
        <v>5</v>
      </c>
    </row>
    <row r="334" spans="1:20" hidden="1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  <c r="S334" t="str">
        <f t="shared" si="5"/>
        <v>Monthly</v>
      </c>
      <c r="T334" cm="1">
        <f t="array" ref="T334">_xlfn.SWITCH(S334,"Annually",6,"Bi-Weekly",2,"Fortnightly",3,"Monthly",4,"Quarterly",5,"Weekly",1)</f>
        <v>4</v>
      </c>
    </row>
    <row r="335" spans="1:20" hidden="1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  <c r="S335" t="str">
        <f t="shared" si="5"/>
        <v>Bi-Weekly</v>
      </c>
      <c r="T335" cm="1">
        <f t="array" ref="T335">_xlfn.SWITCH(S335,"Annually",6,"Bi-Weekly",2,"Fortnightly",3,"Monthly",4,"Quarterly",5,"Weekly",1)</f>
        <v>2</v>
      </c>
    </row>
    <row r="336" spans="1:20" hidden="1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  <c r="S336" t="str">
        <f t="shared" si="5"/>
        <v>Annually</v>
      </c>
      <c r="T336" cm="1">
        <f t="array" ref="T336">_xlfn.SWITCH(S336,"Annually",6,"Bi-Weekly",2,"Fortnightly",3,"Monthly",4,"Quarterly",5,"Weekly",1)</f>
        <v>6</v>
      </c>
    </row>
    <row r="337" spans="1:20" hidden="1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  <c r="S337" t="str">
        <f t="shared" si="5"/>
        <v>Quarterly</v>
      </c>
      <c r="T337" cm="1">
        <f t="array" ref="T337">_xlfn.SWITCH(S337,"Annually",6,"Bi-Weekly",2,"Fortnightly",3,"Monthly",4,"Quarterly",5,"Weekly",1)</f>
        <v>5</v>
      </c>
    </row>
    <row r="338" spans="1:20" hidden="1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  <c r="S338" t="str">
        <f t="shared" si="5"/>
        <v>Annually</v>
      </c>
      <c r="T338" cm="1">
        <f t="array" ref="T338">_xlfn.SWITCH(S338,"Annually",6,"Bi-Weekly",2,"Fortnightly",3,"Monthly",4,"Quarterly",5,"Weekly",1)</f>
        <v>6</v>
      </c>
    </row>
    <row r="339" spans="1:20" hidden="1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  <c r="S339" t="str">
        <f t="shared" si="5"/>
        <v>Annually</v>
      </c>
      <c r="T339" cm="1">
        <f t="array" ref="T339">_xlfn.SWITCH(S339,"Annually",6,"Bi-Weekly",2,"Fortnightly",3,"Monthly",4,"Quarterly",5,"Weekly",1)</f>
        <v>6</v>
      </c>
    </row>
    <row r="340" spans="1:20" hidden="1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  <c r="S340" t="str">
        <f t="shared" si="5"/>
        <v>Weekly</v>
      </c>
      <c r="T340" cm="1">
        <f t="array" ref="T340">_xlfn.SWITCH(S340,"Annually",6,"Bi-Weekly",2,"Fortnightly",3,"Monthly",4,"Quarterly",5,"Weekly",1)</f>
        <v>1</v>
      </c>
    </row>
    <row r="341" spans="1:20" hidden="1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  <c r="S341" t="str">
        <f t="shared" si="5"/>
        <v>Quarterly</v>
      </c>
      <c r="T341" cm="1">
        <f t="array" ref="T341">_xlfn.SWITCH(S341,"Annually",6,"Bi-Weekly",2,"Fortnightly",3,"Monthly",4,"Quarterly",5,"Weekly",1)</f>
        <v>5</v>
      </c>
    </row>
    <row r="342" spans="1:20" hidden="1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  <c r="S342" t="str">
        <f t="shared" si="5"/>
        <v>Quarterly</v>
      </c>
      <c r="T342" cm="1">
        <f t="array" ref="T342">_xlfn.SWITCH(S342,"Annually",6,"Bi-Weekly",2,"Fortnightly",3,"Monthly",4,"Quarterly",5,"Weekly",1)</f>
        <v>5</v>
      </c>
    </row>
    <row r="343" spans="1:20" hidden="1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  <c r="S343" t="str">
        <f t="shared" si="5"/>
        <v>Bi-Weekly</v>
      </c>
      <c r="T343" cm="1">
        <f t="array" ref="T343">_xlfn.SWITCH(S343,"Annually",6,"Bi-Weekly",2,"Fortnightly",3,"Monthly",4,"Quarterly",5,"Weekly",1)</f>
        <v>2</v>
      </c>
    </row>
    <row r="344" spans="1:20" hidden="1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  <c r="S344" t="str">
        <f t="shared" si="5"/>
        <v>Quarterly</v>
      </c>
      <c r="T344" cm="1">
        <f t="array" ref="T344">_xlfn.SWITCH(S344,"Annually",6,"Bi-Weekly",2,"Fortnightly",3,"Monthly",4,"Quarterly",5,"Weekly",1)</f>
        <v>5</v>
      </c>
    </row>
    <row r="345" spans="1:20" hidden="1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  <c r="S345" t="str">
        <f t="shared" si="5"/>
        <v>Monthly</v>
      </c>
      <c r="T345" cm="1">
        <f t="array" ref="T345">_xlfn.SWITCH(S345,"Annually",6,"Bi-Weekly",2,"Fortnightly",3,"Monthly",4,"Quarterly",5,"Weekly",1)</f>
        <v>4</v>
      </c>
    </row>
    <row r="346" spans="1:20" hidden="1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  <c r="S346" t="str">
        <f t="shared" si="5"/>
        <v>Monthly</v>
      </c>
      <c r="T346" cm="1">
        <f t="array" ref="T346">_xlfn.SWITCH(S346,"Annually",6,"Bi-Weekly",2,"Fortnightly",3,"Monthly",4,"Quarterly",5,"Weekly",1)</f>
        <v>4</v>
      </c>
    </row>
    <row r="347" spans="1:20" hidden="1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  <c r="S347" t="str">
        <f t="shared" si="5"/>
        <v>Annually</v>
      </c>
      <c r="T347" cm="1">
        <f t="array" ref="T347">_xlfn.SWITCH(S347,"Annually",6,"Bi-Weekly",2,"Fortnightly",3,"Monthly",4,"Quarterly",5,"Weekly",1)</f>
        <v>6</v>
      </c>
    </row>
    <row r="348" spans="1:20" hidden="1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  <c r="S348" t="str">
        <f t="shared" si="5"/>
        <v>Weekly</v>
      </c>
      <c r="T348" cm="1">
        <f t="array" ref="T348">_xlfn.SWITCH(S348,"Annually",6,"Bi-Weekly",2,"Fortnightly",3,"Monthly",4,"Quarterly",5,"Weekly",1)</f>
        <v>1</v>
      </c>
    </row>
    <row r="349" spans="1:20" hidden="1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  <c r="S349" t="str">
        <f t="shared" si="5"/>
        <v>Fortnightly</v>
      </c>
      <c r="T349" cm="1">
        <f t="array" ref="T349">_xlfn.SWITCH(S349,"Annually",6,"Bi-Weekly",2,"Fortnightly",3,"Monthly",4,"Quarterly",5,"Weekly",1)</f>
        <v>3</v>
      </c>
    </row>
    <row r="350" spans="1:20" hidden="1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  <c r="S350" t="str">
        <f t="shared" si="5"/>
        <v>Fortnightly</v>
      </c>
      <c r="T350" cm="1">
        <f t="array" ref="T350">_xlfn.SWITCH(S350,"Annually",6,"Bi-Weekly",2,"Fortnightly",3,"Monthly",4,"Quarterly",5,"Weekly",1)</f>
        <v>3</v>
      </c>
    </row>
    <row r="351" spans="1:20" hidden="1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  <c r="S351" t="str">
        <f t="shared" si="5"/>
        <v>Bi-Weekly</v>
      </c>
      <c r="T351" cm="1">
        <f t="array" ref="T351">_xlfn.SWITCH(S351,"Annually",6,"Bi-Weekly",2,"Fortnightly",3,"Monthly",4,"Quarterly",5,"Weekly",1)</f>
        <v>2</v>
      </c>
    </row>
    <row r="352" spans="1:20" hidden="1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  <c r="S352" t="str">
        <f t="shared" si="5"/>
        <v>Fortnightly</v>
      </c>
      <c r="T352" cm="1">
        <f t="array" ref="T352">_xlfn.SWITCH(S352,"Annually",6,"Bi-Weekly",2,"Fortnightly",3,"Monthly",4,"Quarterly",5,"Weekly",1)</f>
        <v>3</v>
      </c>
    </row>
    <row r="353" spans="1:20" hidden="1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  <c r="S353" t="str">
        <f t="shared" si="5"/>
        <v>Bi-Weekly</v>
      </c>
      <c r="T353" cm="1">
        <f t="array" ref="T353">_xlfn.SWITCH(S353,"Annually",6,"Bi-Weekly",2,"Fortnightly",3,"Monthly",4,"Quarterly",5,"Weekly",1)</f>
        <v>2</v>
      </c>
    </row>
    <row r="354" spans="1:20" hidden="1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  <c r="S354" t="str">
        <f t="shared" si="5"/>
        <v>Quarterly</v>
      </c>
      <c r="T354" cm="1">
        <f t="array" ref="T354">_xlfn.SWITCH(S354,"Annually",6,"Bi-Weekly",2,"Fortnightly",3,"Monthly",4,"Quarterly",5,"Weekly",1)</f>
        <v>5</v>
      </c>
    </row>
    <row r="355" spans="1:20" hidden="1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  <c r="S355" t="str">
        <f t="shared" si="5"/>
        <v>Monthly</v>
      </c>
      <c r="T355" cm="1">
        <f t="array" ref="T355">_xlfn.SWITCH(S355,"Annually",6,"Bi-Weekly",2,"Fortnightly",3,"Monthly",4,"Quarterly",5,"Weekly",1)</f>
        <v>4</v>
      </c>
    </row>
    <row r="356" spans="1:20" hidden="1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  <c r="S356" t="str">
        <f t="shared" si="5"/>
        <v>Weekly</v>
      </c>
      <c r="T356" cm="1">
        <f t="array" ref="T356">_xlfn.SWITCH(S356,"Annually",6,"Bi-Weekly",2,"Fortnightly",3,"Monthly",4,"Quarterly",5,"Weekly",1)</f>
        <v>1</v>
      </c>
    </row>
    <row r="357" spans="1:20" hidden="1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  <c r="S357" t="str">
        <f t="shared" si="5"/>
        <v>Quarterly</v>
      </c>
      <c r="T357" cm="1">
        <f t="array" ref="T357">_xlfn.SWITCH(S357,"Annually",6,"Bi-Weekly",2,"Fortnightly",3,"Monthly",4,"Quarterly",5,"Weekly",1)</f>
        <v>5</v>
      </c>
    </row>
    <row r="358" spans="1:20" hidden="1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  <c r="S358" t="str">
        <f t="shared" si="5"/>
        <v>Weekly</v>
      </c>
      <c r="T358" cm="1">
        <f t="array" ref="T358">_xlfn.SWITCH(S358,"Annually",6,"Bi-Weekly",2,"Fortnightly",3,"Monthly",4,"Quarterly",5,"Weekly",1)</f>
        <v>1</v>
      </c>
    </row>
    <row r="359" spans="1:20" hidden="1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  <c r="S359" t="str">
        <f t="shared" si="5"/>
        <v>Bi-Weekly</v>
      </c>
      <c r="T359" cm="1">
        <f t="array" ref="T359">_xlfn.SWITCH(S359,"Annually",6,"Bi-Weekly",2,"Fortnightly",3,"Monthly",4,"Quarterly",5,"Weekly",1)</f>
        <v>2</v>
      </c>
    </row>
    <row r="360" spans="1:20" hidden="1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  <c r="S360" t="str">
        <f t="shared" si="5"/>
        <v>Quarterly</v>
      </c>
      <c r="T360" cm="1">
        <f t="array" ref="T360">_xlfn.SWITCH(S360,"Annually",6,"Bi-Weekly",2,"Fortnightly",3,"Monthly",4,"Quarterly",5,"Weekly",1)</f>
        <v>5</v>
      </c>
    </row>
    <row r="361" spans="1:20" hidden="1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  <c r="S361" t="str">
        <f t="shared" si="5"/>
        <v>Quarterly</v>
      </c>
      <c r="T361" cm="1">
        <f t="array" ref="T361">_xlfn.SWITCH(S361,"Annually",6,"Bi-Weekly",2,"Fortnightly",3,"Monthly",4,"Quarterly",5,"Weekly",1)</f>
        <v>5</v>
      </c>
    </row>
    <row r="362" spans="1:20" hidden="1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  <c r="S362" t="str">
        <f t="shared" si="5"/>
        <v>Fortnightly</v>
      </c>
      <c r="T362" cm="1">
        <f t="array" ref="T362">_xlfn.SWITCH(S362,"Annually",6,"Bi-Weekly",2,"Fortnightly",3,"Monthly",4,"Quarterly",5,"Weekly",1)</f>
        <v>3</v>
      </c>
    </row>
    <row r="363" spans="1:20" hidden="1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  <c r="S363" t="str">
        <f t="shared" si="5"/>
        <v>Annually</v>
      </c>
      <c r="T363" cm="1">
        <f t="array" ref="T363">_xlfn.SWITCH(S363,"Annually",6,"Bi-Weekly",2,"Fortnightly",3,"Monthly",4,"Quarterly",5,"Weekly",1)</f>
        <v>6</v>
      </c>
    </row>
    <row r="364" spans="1:20" hidden="1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  <c r="S364" t="str">
        <f t="shared" si="5"/>
        <v>Fortnightly</v>
      </c>
      <c r="T364" cm="1">
        <f t="array" ref="T364">_xlfn.SWITCH(S364,"Annually",6,"Bi-Weekly",2,"Fortnightly",3,"Monthly",4,"Quarterly",5,"Weekly",1)</f>
        <v>3</v>
      </c>
    </row>
    <row r="365" spans="1:20" hidden="1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  <c r="S365" t="str">
        <f t="shared" si="5"/>
        <v>Fortnightly</v>
      </c>
      <c r="T365" cm="1">
        <f t="array" ref="T365">_xlfn.SWITCH(S365,"Annually",6,"Bi-Weekly",2,"Fortnightly",3,"Monthly",4,"Quarterly",5,"Weekly",1)</f>
        <v>3</v>
      </c>
    </row>
    <row r="366" spans="1:20" hidden="1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  <c r="S366" t="str">
        <f t="shared" si="5"/>
        <v>Quarterly</v>
      </c>
      <c r="T366" cm="1">
        <f t="array" ref="T366">_xlfn.SWITCH(S366,"Annually",6,"Bi-Weekly",2,"Fortnightly",3,"Monthly",4,"Quarterly",5,"Weekly",1)</f>
        <v>5</v>
      </c>
    </row>
    <row r="367" spans="1:20" hidden="1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  <c r="S367" t="str">
        <f t="shared" si="5"/>
        <v>Quarterly</v>
      </c>
      <c r="T367" cm="1">
        <f t="array" ref="T367">_xlfn.SWITCH(S367,"Annually",6,"Bi-Weekly",2,"Fortnightly",3,"Monthly",4,"Quarterly",5,"Weekly",1)</f>
        <v>5</v>
      </c>
    </row>
    <row r="368" spans="1:20" hidden="1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  <c r="S368" t="str">
        <f t="shared" si="5"/>
        <v>Fortnightly</v>
      </c>
      <c r="T368" cm="1">
        <f t="array" ref="T368">_xlfn.SWITCH(S368,"Annually",6,"Bi-Weekly",2,"Fortnightly",3,"Monthly",4,"Quarterly",5,"Weekly",1)</f>
        <v>3</v>
      </c>
    </row>
    <row r="369" spans="1:20" hidden="1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  <c r="S369" t="str">
        <f t="shared" si="5"/>
        <v>Monthly</v>
      </c>
      <c r="T369" cm="1">
        <f t="array" ref="T369">_xlfn.SWITCH(S369,"Annually",6,"Bi-Weekly",2,"Fortnightly",3,"Monthly",4,"Quarterly",5,"Weekly",1)</f>
        <v>4</v>
      </c>
    </row>
    <row r="370" spans="1:20" hidden="1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  <c r="S370" t="str">
        <f t="shared" si="5"/>
        <v>Monthly</v>
      </c>
      <c r="T370" cm="1">
        <f t="array" ref="T370">_xlfn.SWITCH(S370,"Annually",6,"Bi-Weekly",2,"Fortnightly",3,"Monthly",4,"Quarterly",5,"Weekly",1)</f>
        <v>4</v>
      </c>
    </row>
    <row r="371" spans="1:20" hidden="1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  <c r="S371" t="str">
        <f t="shared" si="5"/>
        <v>Quarterly</v>
      </c>
      <c r="T371" cm="1">
        <f t="array" ref="T371">_xlfn.SWITCH(S371,"Annually",6,"Bi-Weekly",2,"Fortnightly",3,"Monthly",4,"Quarterly",5,"Weekly",1)</f>
        <v>5</v>
      </c>
    </row>
    <row r="372" spans="1:20" hidden="1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  <c r="S372" t="str">
        <f t="shared" si="5"/>
        <v>Weekly</v>
      </c>
      <c r="T372" cm="1">
        <f t="array" ref="T372">_xlfn.SWITCH(S372,"Annually",6,"Bi-Weekly",2,"Fortnightly",3,"Monthly",4,"Quarterly",5,"Weekly",1)</f>
        <v>1</v>
      </c>
    </row>
    <row r="373" spans="1:20" hidden="1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  <c r="S373" t="str">
        <f t="shared" si="5"/>
        <v>Monthly</v>
      </c>
      <c r="T373" cm="1">
        <f t="array" ref="T373">_xlfn.SWITCH(S373,"Annually",6,"Bi-Weekly",2,"Fortnightly",3,"Monthly",4,"Quarterly",5,"Weekly",1)</f>
        <v>4</v>
      </c>
    </row>
    <row r="374" spans="1:20" hidden="1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  <c r="S374" t="str">
        <f t="shared" si="5"/>
        <v>Weekly</v>
      </c>
      <c r="T374" cm="1">
        <f t="array" ref="T374">_xlfn.SWITCH(S374,"Annually",6,"Bi-Weekly",2,"Fortnightly",3,"Monthly",4,"Quarterly",5,"Weekly",1)</f>
        <v>1</v>
      </c>
    </row>
    <row r="375" spans="1:20" hidden="1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  <c r="S375" t="str">
        <f t="shared" si="5"/>
        <v>Bi-Weekly</v>
      </c>
      <c r="T375" cm="1">
        <f t="array" ref="T375">_xlfn.SWITCH(S375,"Annually",6,"Bi-Weekly",2,"Fortnightly",3,"Monthly",4,"Quarterly",5,"Weekly",1)</f>
        <v>2</v>
      </c>
    </row>
    <row r="376" spans="1:20" hidden="1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  <c r="S376" t="str">
        <f t="shared" si="5"/>
        <v>Monthly</v>
      </c>
      <c r="T376" cm="1">
        <f t="array" ref="T376">_xlfn.SWITCH(S376,"Annually",6,"Bi-Weekly",2,"Fortnightly",3,"Monthly",4,"Quarterly",5,"Weekly",1)</f>
        <v>4</v>
      </c>
    </row>
    <row r="377" spans="1:20" hidden="1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  <c r="S377" t="str">
        <f t="shared" si="5"/>
        <v>Quarterly</v>
      </c>
      <c r="T377" cm="1">
        <f t="array" ref="T377">_xlfn.SWITCH(S377,"Annually",6,"Bi-Weekly",2,"Fortnightly",3,"Monthly",4,"Quarterly",5,"Weekly",1)</f>
        <v>5</v>
      </c>
    </row>
    <row r="378" spans="1:20" hidden="1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  <c r="S378" t="str">
        <f t="shared" si="5"/>
        <v>Bi-Weekly</v>
      </c>
      <c r="T378" cm="1">
        <f t="array" ref="T378">_xlfn.SWITCH(S378,"Annually",6,"Bi-Weekly",2,"Fortnightly",3,"Monthly",4,"Quarterly",5,"Weekly",1)</f>
        <v>2</v>
      </c>
    </row>
    <row r="379" spans="1:20" hidden="1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  <c r="S379" t="str">
        <f t="shared" si="5"/>
        <v>Quarterly</v>
      </c>
      <c r="T379" cm="1">
        <f t="array" ref="T379">_xlfn.SWITCH(S379,"Annually",6,"Bi-Weekly",2,"Fortnightly",3,"Monthly",4,"Quarterly",5,"Weekly",1)</f>
        <v>5</v>
      </c>
    </row>
    <row r="380" spans="1:20" hidden="1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  <c r="S380" t="str">
        <f t="shared" si="5"/>
        <v>Monthly</v>
      </c>
      <c r="T380" cm="1">
        <f t="array" ref="T380">_xlfn.SWITCH(S380,"Annually",6,"Bi-Weekly",2,"Fortnightly",3,"Monthly",4,"Quarterly",5,"Weekly",1)</f>
        <v>4</v>
      </c>
    </row>
    <row r="381" spans="1:20" hidden="1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  <c r="S381" t="str">
        <f t="shared" si="5"/>
        <v>Bi-Weekly</v>
      </c>
      <c r="T381" cm="1">
        <f t="array" ref="T381">_xlfn.SWITCH(S381,"Annually",6,"Bi-Weekly",2,"Fortnightly",3,"Monthly",4,"Quarterly",5,"Weekly",1)</f>
        <v>2</v>
      </c>
    </row>
    <row r="382" spans="1:20" hidden="1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  <c r="S382" t="str">
        <f t="shared" si="5"/>
        <v>Weekly</v>
      </c>
      <c r="T382" cm="1">
        <f t="array" ref="T382">_xlfn.SWITCH(S382,"Annually",6,"Bi-Weekly",2,"Fortnightly",3,"Monthly",4,"Quarterly",5,"Weekly",1)</f>
        <v>1</v>
      </c>
    </row>
    <row r="383" spans="1:20" hidden="1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  <c r="S383" t="str">
        <f t="shared" si="5"/>
        <v>Quarterly</v>
      </c>
      <c r="T383" cm="1">
        <f t="array" ref="T383">_xlfn.SWITCH(S383,"Annually",6,"Bi-Weekly",2,"Fortnightly",3,"Monthly",4,"Quarterly",5,"Weekly",1)</f>
        <v>5</v>
      </c>
    </row>
    <row r="384" spans="1:20" hidden="1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  <c r="S384" t="str">
        <f t="shared" si="5"/>
        <v>Quarterly</v>
      </c>
      <c r="T384" cm="1">
        <f t="array" ref="T384">_xlfn.SWITCH(S384,"Annually",6,"Bi-Weekly",2,"Fortnightly",3,"Monthly",4,"Quarterly",5,"Weekly",1)</f>
        <v>5</v>
      </c>
    </row>
    <row r="385" spans="1:20" hidden="1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  <c r="S385" t="str">
        <f t="shared" si="5"/>
        <v>Quarterly</v>
      </c>
      <c r="T385" cm="1">
        <f t="array" ref="T385">_xlfn.SWITCH(S385,"Annually",6,"Bi-Weekly",2,"Fortnightly",3,"Monthly",4,"Quarterly",5,"Weekly",1)</f>
        <v>5</v>
      </c>
    </row>
    <row r="386" spans="1:20" hidden="1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  <c r="S386" t="str">
        <f t="shared" si="5"/>
        <v>Annually</v>
      </c>
      <c r="T386" cm="1">
        <f t="array" ref="T386">_xlfn.SWITCH(S386,"Annually",6,"Bi-Weekly",2,"Fortnightly",3,"Monthly",4,"Quarterly",5,"Weekly",1)</f>
        <v>6</v>
      </c>
    </row>
    <row r="387" spans="1:20" hidden="1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  <c r="S387" t="str">
        <f t="shared" ref="S387:S450" si="6">IF(R387="Every 3 Months","Quarterly",R387)</f>
        <v>Bi-Weekly</v>
      </c>
      <c r="T387" cm="1">
        <f t="array" ref="T387">_xlfn.SWITCH(S387,"Annually",6,"Bi-Weekly",2,"Fortnightly",3,"Monthly",4,"Quarterly",5,"Weekly",1)</f>
        <v>2</v>
      </c>
    </row>
    <row r="388" spans="1:20" hidden="1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  <c r="S388" t="str">
        <f t="shared" si="6"/>
        <v>Quarterly</v>
      </c>
      <c r="T388" cm="1">
        <f t="array" ref="T388">_xlfn.SWITCH(S388,"Annually",6,"Bi-Weekly",2,"Fortnightly",3,"Monthly",4,"Quarterly",5,"Weekly",1)</f>
        <v>5</v>
      </c>
    </row>
    <row r="389" spans="1:20" hidden="1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  <c r="S389" t="str">
        <f t="shared" si="6"/>
        <v>Fortnightly</v>
      </c>
      <c r="T389" cm="1">
        <f t="array" ref="T389">_xlfn.SWITCH(S389,"Annually",6,"Bi-Weekly",2,"Fortnightly",3,"Monthly",4,"Quarterly",5,"Weekly",1)</f>
        <v>3</v>
      </c>
    </row>
    <row r="390" spans="1:20" hidden="1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  <c r="S390" t="str">
        <f t="shared" si="6"/>
        <v>Quarterly</v>
      </c>
      <c r="T390" cm="1">
        <f t="array" ref="T390">_xlfn.SWITCH(S390,"Annually",6,"Bi-Weekly",2,"Fortnightly",3,"Monthly",4,"Quarterly",5,"Weekly",1)</f>
        <v>5</v>
      </c>
    </row>
    <row r="391" spans="1:20" hidden="1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  <c r="S391" t="str">
        <f t="shared" si="6"/>
        <v>Monthly</v>
      </c>
      <c r="T391" cm="1">
        <f t="array" ref="T391">_xlfn.SWITCH(S391,"Annually",6,"Bi-Weekly",2,"Fortnightly",3,"Monthly",4,"Quarterly",5,"Weekly",1)</f>
        <v>4</v>
      </c>
    </row>
    <row r="392" spans="1:20" hidden="1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  <c r="S392" t="str">
        <f t="shared" si="6"/>
        <v>Annually</v>
      </c>
      <c r="T392" cm="1">
        <f t="array" ref="T392">_xlfn.SWITCH(S392,"Annually",6,"Bi-Weekly",2,"Fortnightly",3,"Monthly",4,"Quarterly",5,"Weekly",1)</f>
        <v>6</v>
      </c>
    </row>
    <row r="393" spans="1:20" hidden="1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  <c r="S393" t="str">
        <f t="shared" si="6"/>
        <v>Fortnightly</v>
      </c>
      <c r="T393" cm="1">
        <f t="array" ref="T393">_xlfn.SWITCH(S393,"Annually",6,"Bi-Weekly",2,"Fortnightly",3,"Monthly",4,"Quarterly",5,"Weekly",1)</f>
        <v>3</v>
      </c>
    </row>
    <row r="394" spans="1:20" hidden="1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  <c r="S394" t="str">
        <f t="shared" si="6"/>
        <v>Annually</v>
      </c>
      <c r="T394" cm="1">
        <f t="array" ref="T394">_xlfn.SWITCH(S394,"Annually",6,"Bi-Weekly",2,"Fortnightly",3,"Monthly",4,"Quarterly",5,"Weekly",1)</f>
        <v>6</v>
      </c>
    </row>
    <row r="395" spans="1:20" hidden="1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  <c r="S395" t="str">
        <f t="shared" si="6"/>
        <v>Fortnightly</v>
      </c>
      <c r="T395" cm="1">
        <f t="array" ref="T395">_xlfn.SWITCH(S395,"Annually",6,"Bi-Weekly",2,"Fortnightly",3,"Monthly",4,"Quarterly",5,"Weekly",1)</f>
        <v>3</v>
      </c>
    </row>
    <row r="396" spans="1:20" hidden="1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  <c r="S396" t="str">
        <f t="shared" si="6"/>
        <v>Bi-Weekly</v>
      </c>
      <c r="T396" cm="1">
        <f t="array" ref="T396">_xlfn.SWITCH(S396,"Annually",6,"Bi-Weekly",2,"Fortnightly",3,"Monthly",4,"Quarterly",5,"Weekly",1)</f>
        <v>2</v>
      </c>
    </row>
    <row r="397" spans="1:20" hidden="1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  <c r="S397" t="str">
        <f t="shared" si="6"/>
        <v>Annually</v>
      </c>
      <c r="T397" cm="1">
        <f t="array" ref="T397">_xlfn.SWITCH(S397,"Annually",6,"Bi-Weekly",2,"Fortnightly",3,"Monthly",4,"Quarterly",5,"Weekly",1)</f>
        <v>6</v>
      </c>
    </row>
    <row r="398" spans="1:20" hidden="1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  <c r="S398" t="str">
        <f t="shared" si="6"/>
        <v>Annually</v>
      </c>
      <c r="T398" cm="1">
        <f t="array" ref="T398">_xlfn.SWITCH(S398,"Annually",6,"Bi-Weekly",2,"Fortnightly",3,"Monthly",4,"Quarterly",5,"Weekly",1)</f>
        <v>6</v>
      </c>
    </row>
    <row r="399" spans="1:20" hidden="1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  <c r="S399" t="str">
        <f t="shared" si="6"/>
        <v>Annually</v>
      </c>
      <c r="T399" cm="1">
        <f t="array" ref="T399">_xlfn.SWITCH(S399,"Annually",6,"Bi-Weekly",2,"Fortnightly",3,"Monthly",4,"Quarterly",5,"Weekly",1)</f>
        <v>6</v>
      </c>
    </row>
    <row r="400" spans="1:20" hidden="1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  <c r="S400" t="str">
        <f t="shared" si="6"/>
        <v>Quarterly</v>
      </c>
      <c r="T400" cm="1">
        <f t="array" ref="T400">_xlfn.SWITCH(S400,"Annually",6,"Bi-Weekly",2,"Fortnightly",3,"Monthly",4,"Quarterly",5,"Weekly",1)</f>
        <v>5</v>
      </c>
    </row>
    <row r="401" spans="1:20" hidden="1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  <c r="S401" t="str">
        <f t="shared" si="6"/>
        <v>Monthly</v>
      </c>
      <c r="T401" cm="1">
        <f t="array" ref="T401">_xlfn.SWITCH(S401,"Annually",6,"Bi-Weekly",2,"Fortnightly",3,"Monthly",4,"Quarterly",5,"Weekly",1)</f>
        <v>4</v>
      </c>
    </row>
    <row r="402" spans="1:20" hidden="1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  <c r="S402" t="str">
        <f t="shared" si="6"/>
        <v>Fortnightly</v>
      </c>
      <c r="T402" cm="1">
        <f t="array" ref="T402">_xlfn.SWITCH(S402,"Annually",6,"Bi-Weekly",2,"Fortnightly",3,"Monthly",4,"Quarterly",5,"Weekly",1)</f>
        <v>3</v>
      </c>
    </row>
    <row r="403" spans="1:20" hidden="1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  <c r="S403" t="str">
        <f t="shared" si="6"/>
        <v>Quarterly</v>
      </c>
      <c r="T403" cm="1">
        <f t="array" ref="T403">_xlfn.SWITCH(S403,"Annually",6,"Bi-Weekly",2,"Fortnightly",3,"Monthly",4,"Quarterly",5,"Weekly",1)</f>
        <v>5</v>
      </c>
    </row>
    <row r="404" spans="1:20" hidden="1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  <c r="S404" t="str">
        <f t="shared" si="6"/>
        <v>Monthly</v>
      </c>
      <c r="T404" cm="1">
        <f t="array" ref="T404">_xlfn.SWITCH(S404,"Annually",6,"Bi-Weekly",2,"Fortnightly",3,"Monthly",4,"Quarterly",5,"Weekly",1)</f>
        <v>4</v>
      </c>
    </row>
    <row r="405" spans="1:20" hidden="1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  <c r="S405" t="str">
        <f t="shared" si="6"/>
        <v>Annually</v>
      </c>
      <c r="T405" cm="1">
        <f t="array" ref="T405">_xlfn.SWITCH(S405,"Annually",6,"Bi-Weekly",2,"Fortnightly",3,"Monthly",4,"Quarterly",5,"Weekly",1)</f>
        <v>6</v>
      </c>
    </row>
    <row r="406" spans="1:20" hidden="1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  <c r="S406" t="str">
        <f t="shared" si="6"/>
        <v>Monthly</v>
      </c>
      <c r="T406" cm="1">
        <f t="array" ref="T406">_xlfn.SWITCH(S406,"Annually",6,"Bi-Weekly",2,"Fortnightly",3,"Monthly",4,"Quarterly",5,"Weekly",1)</f>
        <v>4</v>
      </c>
    </row>
    <row r="407" spans="1:20" hidden="1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  <c r="S407" t="str">
        <f t="shared" si="6"/>
        <v>Annually</v>
      </c>
      <c r="T407" cm="1">
        <f t="array" ref="T407">_xlfn.SWITCH(S407,"Annually",6,"Bi-Weekly",2,"Fortnightly",3,"Monthly",4,"Quarterly",5,"Weekly",1)</f>
        <v>6</v>
      </c>
    </row>
    <row r="408" spans="1:20" hidden="1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  <c r="S408" t="str">
        <f t="shared" si="6"/>
        <v>Monthly</v>
      </c>
      <c r="T408" cm="1">
        <f t="array" ref="T408">_xlfn.SWITCH(S408,"Annually",6,"Bi-Weekly",2,"Fortnightly",3,"Monthly",4,"Quarterly",5,"Weekly",1)</f>
        <v>4</v>
      </c>
    </row>
    <row r="409" spans="1:20" hidden="1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  <c r="S409" t="str">
        <f t="shared" si="6"/>
        <v>Bi-Weekly</v>
      </c>
      <c r="T409" cm="1">
        <f t="array" ref="T409">_xlfn.SWITCH(S409,"Annually",6,"Bi-Weekly",2,"Fortnightly",3,"Monthly",4,"Quarterly",5,"Weekly",1)</f>
        <v>2</v>
      </c>
    </row>
    <row r="410" spans="1:20" hidden="1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  <c r="S410" t="str">
        <f t="shared" si="6"/>
        <v>Fortnightly</v>
      </c>
      <c r="T410" cm="1">
        <f t="array" ref="T410">_xlfn.SWITCH(S410,"Annually",6,"Bi-Weekly",2,"Fortnightly",3,"Monthly",4,"Quarterly",5,"Weekly",1)</f>
        <v>3</v>
      </c>
    </row>
    <row r="411" spans="1:20" hidden="1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  <c r="S411" t="str">
        <f t="shared" si="6"/>
        <v>Monthly</v>
      </c>
      <c r="T411" cm="1">
        <f t="array" ref="T411">_xlfn.SWITCH(S411,"Annually",6,"Bi-Weekly",2,"Fortnightly",3,"Monthly",4,"Quarterly",5,"Weekly",1)</f>
        <v>4</v>
      </c>
    </row>
    <row r="412" spans="1:20" hidden="1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  <c r="S412" t="str">
        <f t="shared" si="6"/>
        <v>Quarterly</v>
      </c>
      <c r="T412" cm="1">
        <f t="array" ref="T412">_xlfn.SWITCH(S412,"Annually",6,"Bi-Weekly",2,"Fortnightly",3,"Monthly",4,"Quarterly",5,"Weekly",1)</f>
        <v>5</v>
      </c>
    </row>
    <row r="413" spans="1:20" hidden="1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  <c r="S413" t="str">
        <f t="shared" si="6"/>
        <v>Annually</v>
      </c>
      <c r="T413" cm="1">
        <f t="array" ref="T413">_xlfn.SWITCH(S413,"Annually",6,"Bi-Weekly",2,"Fortnightly",3,"Monthly",4,"Quarterly",5,"Weekly",1)</f>
        <v>6</v>
      </c>
    </row>
    <row r="414" spans="1:20" hidden="1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  <c r="S414" t="str">
        <f t="shared" si="6"/>
        <v>Weekly</v>
      </c>
      <c r="T414" cm="1">
        <f t="array" ref="T414">_xlfn.SWITCH(S414,"Annually",6,"Bi-Weekly",2,"Fortnightly",3,"Monthly",4,"Quarterly",5,"Weekly",1)</f>
        <v>1</v>
      </c>
    </row>
    <row r="415" spans="1:20" hidden="1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  <c r="S415" t="str">
        <f t="shared" si="6"/>
        <v>Monthly</v>
      </c>
      <c r="T415" cm="1">
        <f t="array" ref="T415">_xlfn.SWITCH(S415,"Annually",6,"Bi-Weekly",2,"Fortnightly",3,"Monthly",4,"Quarterly",5,"Weekly",1)</f>
        <v>4</v>
      </c>
    </row>
    <row r="416" spans="1:20" hidden="1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  <c r="S416" t="str">
        <f t="shared" si="6"/>
        <v>Weekly</v>
      </c>
      <c r="T416" cm="1">
        <f t="array" ref="T416">_xlfn.SWITCH(S416,"Annually",6,"Bi-Weekly",2,"Fortnightly",3,"Monthly",4,"Quarterly",5,"Weekly",1)</f>
        <v>1</v>
      </c>
    </row>
    <row r="417" spans="1:20" hidden="1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  <c r="S417" t="str">
        <f t="shared" si="6"/>
        <v>Monthly</v>
      </c>
      <c r="T417" cm="1">
        <f t="array" ref="T417">_xlfn.SWITCH(S417,"Annually",6,"Bi-Weekly",2,"Fortnightly",3,"Monthly",4,"Quarterly",5,"Weekly",1)</f>
        <v>4</v>
      </c>
    </row>
    <row r="418" spans="1:20" hidden="1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  <c r="S418" t="str">
        <f t="shared" si="6"/>
        <v>Fortnightly</v>
      </c>
      <c r="T418" cm="1">
        <f t="array" ref="T418">_xlfn.SWITCH(S418,"Annually",6,"Bi-Weekly",2,"Fortnightly",3,"Monthly",4,"Quarterly",5,"Weekly",1)</f>
        <v>3</v>
      </c>
    </row>
    <row r="419" spans="1:20" hidden="1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  <c r="S419" t="str">
        <f t="shared" si="6"/>
        <v>Quarterly</v>
      </c>
      <c r="T419" cm="1">
        <f t="array" ref="T419">_xlfn.SWITCH(S419,"Annually",6,"Bi-Weekly",2,"Fortnightly",3,"Monthly",4,"Quarterly",5,"Weekly",1)</f>
        <v>5</v>
      </c>
    </row>
    <row r="420" spans="1:20" hidden="1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  <c r="S420" t="str">
        <f t="shared" si="6"/>
        <v>Bi-Weekly</v>
      </c>
      <c r="T420" cm="1">
        <f t="array" ref="T420">_xlfn.SWITCH(S420,"Annually",6,"Bi-Weekly",2,"Fortnightly",3,"Monthly",4,"Quarterly",5,"Weekly",1)</f>
        <v>2</v>
      </c>
    </row>
    <row r="421" spans="1:20" hidden="1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  <c r="S421" t="str">
        <f t="shared" si="6"/>
        <v>Quarterly</v>
      </c>
      <c r="T421" cm="1">
        <f t="array" ref="T421">_xlfn.SWITCH(S421,"Annually",6,"Bi-Weekly",2,"Fortnightly",3,"Monthly",4,"Quarterly",5,"Weekly",1)</f>
        <v>5</v>
      </c>
    </row>
    <row r="422" spans="1:20" hidden="1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  <c r="S422" t="str">
        <f t="shared" si="6"/>
        <v>Bi-Weekly</v>
      </c>
      <c r="T422" cm="1">
        <f t="array" ref="T422">_xlfn.SWITCH(S422,"Annually",6,"Bi-Weekly",2,"Fortnightly",3,"Monthly",4,"Quarterly",5,"Weekly",1)</f>
        <v>2</v>
      </c>
    </row>
    <row r="423" spans="1:20" hidden="1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  <c r="S423" t="str">
        <f t="shared" si="6"/>
        <v>Bi-Weekly</v>
      </c>
      <c r="T423" cm="1">
        <f t="array" ref="T423">_xlfn.SWITCH(S423,"Annually",6,"Bi-Weekly",2,"Fortnightly",3,"Monthly",4,"Quarterly",5,"Weekly",1)</f>
        <v>2</v>
      </c>
    </row>
    <row r="424" spans="1:20" hidden="1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  <c r="S424" t="str">
        <f t="shared" si="6"/>
        <v>Annually</v>
      </c>
      <c r="T424" cm="1">
        <f t="array" ref="T424">_xlfn.SWITCH(S424,"Annually",6,"Bi-Weekly",2,"Fortnightly",3,"Monthly",4,"Quarterly",5,"Weekly",1)</f>
        <v>6</v>
      </c>
    </row>
    <row r="425" spans="1:20" hidden="1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  <c r="S425" t="str">
        <f t="shared" si="6"/>
        <v>Bi-Weekly</v>
      </c>
      <c r="T425" cm="1">
        <f t="array" ref="T425">_xlfn.SWITCH(S425,"Annually",6,"Bi-Weekly",2,"Fortnightly",3,"Monthly",4,"Quarterly",5,"Weekly",1)</f>
        <v>2</v>
      </c>
    </row>
    <row r="426" spans="1:20" hidden="1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  <c r="S426" t="str">
        <f t="shared" si="6"/>
        <v>Fortnightly</v>
      </c>
      <c r="T426" cm="1">
        <f t="array" ref="T426">_xlfn.SWITCH(S426,"Annually",6,"Bi-Weekly",2,"Fortnightly",3,"Monthly",4,"Quarterly",5,"Weekly",1)</f>
        <v>3</v>
      </c>
    </row>
    <row r="427" spans="1:20" hidden="1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  <c r="S427" t="str">
        <f t="shared" si="6"/>
        <v>Quarterly</v>
      </c>
      <c r="T427" cm="1">
        <f t="array" ref="T427">_xlfn.SWITCH(S427,"Annually",6,"Bi-Weekly",2,"Fortnightly",3,"Monthly",4,"Quarterly",5,"Weekly",1)</f>
        <v>5</v>
      </c>
    </row>
    <row r="428" spans="1:20" hidden="1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  <c r="S428" t="str">
        <f t="shared" si="6"/>
        <v>Quarterly</v>
      </c>
      <c r="T428" cm="1">
        <f t="array" ref="T428">_xlfn.SWITCH(S428,"Annually",6,"Bi-Weekly",2,"Fortnightly",3,"Monthly",4,"Quarterly",5,"Weekly",1)</f>
        <v>5</v>
      </c>
    </row>
    <row r="429" spans="1:20" hidden="1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  <c r="S429" t="str">
        <f t="shared" si="6"/>
        <v>Quarterly</v>
      </c>
      <c r="T429" cm="1">
        <f t="array" ref="T429">_xlfn.SWITCH(S429,"Annually",6,"Bi-Weekly",2,"Fortnightly",3,"Monthly",4,"Quarterly",5,"Weekly",1)</f>
        <v>5</v>
      </c>
    </row>
    <row r="430" spans="1:20" hidden="1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  <c r="S430" t="str">
        <f t="shared" si="6"/>
        <v>Fortnightly</v>
      </c>
      <c r="T430" cm="1">
        <f t="array" ref="T430">_xlfn.SWITCH(S430,"Annually",6,"Bi-Weekly",2,"Fortnightly",3,"Monthly",4,"Quarterly",5,"Weekly",1)</f>
        <v>3</v>
      </c>
    </row>
    <row r="431" spans="1:20" hidden="1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  <c r="S431" t="str">
        <f t="shared" si="6"/>
        <v>Fortnightly</v>
      </c>
      <c r="T431" cm="1">
        <f t="array" ref="T431">_xlfn.SWITCH(S431,"Annually",6,"Bi-Weekly",2,"Fortnightly",3,"Monthly",4,"Quarterly",5,"Weekly",1)</f>
        <v>3</v>
      </c>
    </row>
    <row r="432" spans="1:20" hidden="1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  <c r="S432" t="str">
        <f t="shared" si="6"/>
        <v>Annually</v>
      </c>
      <c r="T432" cm="1">
        <f t="array" ref="T432">_xlfn.SWITCH(S432,"Annually",6,"Bi-Weekly",2,"Fortnightly",3,"Monthly",4,"Quarterly",5,"Weekly",1)</f>
        <v>6</v>
      </c>
    </row>
    <row r="433" spans="1:20" hidden="1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  <c r="S433" t="str">
        <f t="shared" si="6"/>
        <v>Fortnightly</v>
      </c>
      <c r="T433" cm="1">
        <f t="array" ref="T433">_xlfn.SWITCH(S433,"Annually",6,"Bi-Weekly",2,"Fortnightly",3,"Monthly",4,"Quarterly",5,"Weekly",1)</f>
        <v>3</v>
      </c>
    </row>
    <row r="434" spans="1:20" hidden="1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  <c r="S434" t="str">
        <f t="shared" si="6"/>
        <v>Weekly</v>
      </c>
      <c r="T434" cm="1">
        <f t="array" ref="T434">_xlfn.SWITCH(S434,"Annually",6,"Bi-Weekly",2,"Fortnightly",3,"Monthly",4,"Quarterly",5,"Weekly",1)</f>
        <v>1</v>
      </c>
    </row>
    <row r="435" spans="1:20" hidden="1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  <c r="S435" t="str">
        <f t="shared" si="6"/>
        <v>Fortnightly</v>
      </c>
      <c r="T435" cm="1">
        <f t="array" ref="T435">_xlfn.SWITCH(S435,"Annually",6,"Bi-Weekly",2,"Fortnightly",3,"Monthly",4,"Quarterly",5,"Weekly",1)</f>
        <v>3</v>
      </c>
    </row>
    <row r="436" spans="1:20" hidden="1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  <c r="S436" t="str">
        <f t="shared" si="6"/>
        <v>Quarterly</v>
      </c>
      <c r="T436" cm="1">
        <f t="array" ref="T436">_xlfn.SWITCH(S436,"Annually",6,"Bi-Weekly",2,"Fortnightly",3,"Monthly",4,"Quarterly",5,"Weekly",1)</f>
        <v>5</v>
      </c>
    </row>
    <row r="437" spans="1:20" hidden="1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  <c r="S437" t="str">
        <f t="shared" si="6"/>
        <v>Monthly</v>
      </c>
      <c r="T437" cm="1">
        <f t="array" ref="T437">_xlfn.SWITCH(S437,"Annually",6,"Bi-Weekly",2,"Fortnightly",3,"Monthly",4,"Quarterly",5,"Weekly",1)</f>
        <v>4</v>
      </c>
    </row>
    <row r="438" spans="1:20" hidden="1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  <c r="S438" t="str">
        <f t="shared" si="6"/>
        <v>Weekly</v>
      </c>
      <c r="T438" cm="1">
        <f t="array" ref="T438">_xlfn.SWITCH(S438,"Annually",6,"Bi-Weekly",2,"Fortnightly",3,"Monthly",4,"Quarterly",5,"Weekly",1)</f>
        <v>1</v>
      </c>
    </row>
    <row r="439" spans="1:20" hidden="1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  <c r="S439" t="str">
        <f t="shared" si="6"/>
        <v>Annually</v>
      </c>
      <c r="T439" cm="1">
        <f t="array" ref="T439">_xlfn.SWITCH(S439,"Annually",6,"Bi-Weekly",2,"Fortnightly",3,"Monthly",4,"Quarterly",5,"Weekly",1)</f>
        <v>6</v>
      </c>
    </row>
    <row r="440" spans="1:20" hidden="1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  <c r="S440" t="str">
        <f t="shared" si="6"/>
        <v>Fortnightly</v>
      </c>
      <c r="T440" cm="1">
        <f t="array" ref="T440">_xlfn.SWITCH(S440,"Annually",6,"Bi-Weekly",2,"Fortnightly",3,"Monthly",4,"Quarterly",5,"Weekly",1)</f>
        <v>3</v>
      </c>
    </row>
    <row r="441" spans="1:20" hidden="1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  <c r="S441" t="str">
        <f t="shared" si="6"/>
        <v>Monthly</v>
      </c>
      <c r="T441" cm="1">
        <f t="array" ref="T441">_xlfn.SWITCH(S441,"Annually",6,"Bi-Weekly",2,"Fortnightly",3,"Monthly",4,"Quarterly",5,"Weekly",1)</f>
        <v>4</v>
      </c>
    </row>
    <row r="442" spans="1:20" hidden="1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  <c r="S442" t="str">
        <f t="shared" si="6"/>
        <v>Fortnightly</v>
      </c>
      <c r="T442" cm="1">
        <f t="array" ref="T442">_xlfn.SWITCH(S442,"Annually",6,"Bi-Weekly",2,"Fortnightly",3,"Monthly",4,"Quarterly",5,"Weekly",1)</f>
        <v>3</v>
      </c>
    </row>
    <row r="443" spans="1:20" hidden="1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  <c r="S443" t="str">
        <f t="shared" si="6"/>
        <v>Annually</v>
      </c>
      <c r="T443" cm="1">
        <f t="array" ref="T443">_xlfn.SWITCH(S443,"Annually",6,"Bi-Weekly",2,"Fortnightly",3,"Monthly",4,"Quarterly",5,"Weekly",1)</f>
        <v>6</v>
      </c>
    </row>
    <row r="444" spans="1:20" hidden="1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  <c r="S444" t="str">
        <f t="shared" si="6"/>
        <v>Quarterly</v>
      </c>
      <c r="T444" cm="1">
        <f t="array" ref="T444">_xlfn.SWITCH(S444,"Annually",6,"Bi-Weekly",2,"Fortnightly",3,"Monthly",4,"Quarterly",5,"Weekly",1)</f>
        <v>5</v>
      </c>
    </row>
    <row r="445" spans="1:20" hidden="1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  <c r="S445" t="str">
        <f t="shared" si="6"/>
        <v>Annually</v>
      </c>
      <c r="T445" cm="1">
        <f t="array" ref="T445">_xlfn.SWITCH(S445,"Annually",6,"Bi-Weekly",2,"Fortnightly",3,"Monthly",4,"Quarterly",5,"Weekly",1)</f>
        <v>6</v>
      </c>
    </row>
    <row r="446" spans="1:20" hidden="1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  <c r="S446" t="str">
        <f t="shared" si="6"/>
        <v>Annually</v>
      </c>
      <c r="T446" cm="1">
        <f t="array" ref="T446">_xlfn.SWITCH(S446,"Annually",6,"Bi-Weekly",2,"Fortnightly",3,"Monthly",4,"Quarterly",5,"Weekly",1)</f>
        <v>6</v>
      </c>
    </row>
    <row r="447" spans="1:20" hidden="1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  <c r="S447" t="str">
        <f t="shared" si="6"/>
        <v>Annually</v>
      </c>
      <c r="T447" cm="1">
        <f t="array" ref="T447">_xlfn.SWITCH(S447,"Annually",6,"Bi-Weekly",2,"Fortnightly",3,"Monthly",4,"Quarterly",5,"Weekly",1)</f>
        <v>6</v>
      </c>
    </row>
    <row r="448" spans="1:20" hidden="1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  <c r="S448" t="str">
        <f t="shared" si="6"/>
        <v>Monthly</v>
      </c>
      <c r="T448" cm="1">
        <f t="array" ref="T448">_xlfn.SWITCH(S448,"Annually",6,"Bi-Weekly",2,"Fortnightly",3,"Monthly",4,"Quarterly",5,"Weekly",1)</f>
        <v>4</v>
      </c>
    </row>
    <row r="449" spans="1:20" hidden="1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  <c r="S449" t="str">
        <f t="shared" si="6"/>
        <v>Quarterly</v>
      </c>
      <c r="T449" cm="1">
        <f t="array" ref="T449">_xlfn.SWITCH(S449,"Annually",6,"Bi-Weekly",2,"Fortnightly",3,"Monthly",4,"Quarterly",5,"Weekly",1)</f>
        <v>5</v>
      </c>
    </row>
    <row r="450" spans="1:20" hidden="1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  <c r="S450" t="str">
        <f t="shared" si="6"/>
        <v>Fortnightly</v>
      </c>
      <c r="T450" cm="1">
        <f t="array" ref="T450">_xlfn.SWITCH(S450,"Annually",6,"Bi-Weekly",2,"Fortnightly",3,"Monthly",4,"Quarterly",5,"Weekly",1)</f>
        <v>3</v>
      </c>
    </row>
    <row r="451" spans="1:20" hidden="1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  <c r="S451" t="str">
        <f t="shared" ref="S451:S514" si="7">IF(R451="Every 3 Months","Quarterly",R451)</f>
        <v>Monthly</v>
      </c>
      <c r="T451" cm="1">
        <f t="array" ref="T451">_xlfn.SWITCH(S451,"Annually",6,"Bi-Weekly",2,"Fortnightly",3,"Monthly",4,"Quarterly",5,"Weekly",1)</f>
        <v>4</v>
      </c>
    </row>
    <row r="452" spans="1:20" hidden="1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  <c r="S452" t="str">
        <f t="shared" si="7"/>
        <v>Monthly</v>
      </c>
      <c r="T452" cm="1">
        <f t="array" ref="T452">_xlfn.SWITCH(S452,"Annually",6,"Bi-Weekly",2,"Fortnightly",3,"Monthly",4,"Quarterly",5,"Weekly",1)</f>
        <v>4</v>
      </c>
    </row>
    <row r="453" spans="1:20" hidden="1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  <c r="S453" t="str">
        <f t="shared" si="7"/>
        <v>Fortnightly</v>
      </c>
      <c r="T453" cm="1">
        <f t="array" ref="T453">_xlfn.SWITCH(S453,"Annually",6,"Bi-Weekly",2,"Fortnightly",3,"Monthly",4,"Quarterly",5,"Weekly",1)</f>
        <v>3</v>
      </c>
    </row>
    <row r="454" spans="1:20" hidden="1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  <c r="S454" t="str">
        <f t="shared" si="7"/>
        <v>Fortnightly</v>
      </c>
      <c r="T454" cm="1">
        <f t="array" ref="T454">_xlfn.SWITCH(S454,"Annually",6,"Bi-Weekly",2,"Fortnightly",3,"Monthly",4,"Quarterly",5,"Weekly",1)</f>
        <v>3</v>
      </c>
    </row>
    <row r="455" spans="1:20" hidden="1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  <c r="S455" t="str">
        <f t="shared" si="7"/>
        <v>Weekly</v>
      </c>
      <c r="T455" cm="1">
        <f t="array" ref="T455">_xlfn.SWITCH(S455,"Annually",6,"Bi-Weekly",2,"Fortnightly",3,"Monthly",4,"Quarterly",5,"Weekly",1)</f>
        <v>1</v>
      </c>
    </row>
    <row r="456" spans="1:20" hidden="1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  <c r="S456" t="str">
        <f t="shared" si="7"/>
        <v>Bi-Weekly</v>
      </c>
      <c r="T456" cm="1">
        <f t="array" ref="T456">_xlfn.SWITCH(S456,"Annually",6,"Bi-Weekly",2,"Fortnightly",3,"Monthly",4,"Quarterly",5,"Weekly",1)</f>
        <v>2</v>
      </c>
    </row>
    <row r="457" spans="1:20" hidden="1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  <c r="S457" t="str">
        <f t="shared" si="7"/>
        <v>Fortnightly</v>
      </c>
      <c r="T457" cm="1">
        <f t="array" ref="T457">_xlfn.SWITCH(S457,"Annually",6,"Bi-Weekly",2,"Fortnightly",3,"Monthly",4,"Quarterly",5,"Weekly",1)</f>
        <v>3</v>
      </c>
    </row>
    <row r="458" spans="1:20" hidden="1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  <c r="S458" t="str">
        <f t="shared" si="7"/>
        <v>Quarterly</v>
      </c>
      <c r="T458" cm="1">
        <f t="array" ref="T458">_xlfn.SWITCH(S458,"Annually",6,"Bi-Weekly",2,"Fortnightly",3,"Monthly",4,"Quarterly",5,"Weekly",1)</f>
        <v>5</v>
      </c>
    </row>
    <row r="459" spans="1:20" hidden="1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  <c r="S459" t="str">
        <f t="shared" si="7"/>
        <v>Quarterly</v>
      </c>
      <c r="T459" cm="1">
        <f t="array" ref="T459">_xlfn.SWITCH(S459,"Annually",6,"Bi-Weekly",2,"Fortnightly",3,"Monthly",4,"Quarterly",5,"Weekly",1)</f>
        <v>5</v>
      </c>
    </row>
    <row r="460" spans="1:20" hidden="1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  <c r="S460" t="str">
        <f t="shared" si="7"/>
        <v>Monthly</v>
      </c>
      <c r="T460" cm="1">
        <f t="array" ref="T460">_xlfn.SWITCH(S460,"Annually",6,"Bi-Weekly",2,"Fortnightly",3,"Monthly",4,"Quarterly",5,"Weekly",1)</f>
        <v>4</v>
      </c>
    </row>
    <row r="461" spans="1:20" hidden="1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  <c r="S461" t="str">
        <f t="shared" si="7"/>
        <v>Fortnightly</v>
      </c>
      <c r="T461" cm="1">
        <f t="array" ref="T461">_xlfn.SWITCH(S461,"Annually",6,"Bi-Weekly",2,"Fortnightly",3,"Monthly",4,"Quarterly",5,"Weekly",1)</f>
        <v>3</v>
      </c>
    </row>
    <row r="462" spans="1:20" hidden="1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  <c r="S462" t="str">
        <f t="shared" si="7"/>
        <v>Weekly</v>
      </c>
      <c r="T462" cm="1">
        <f t="array" ref="T462">_xlfn.SWITCH(S462,"Annually",6,"Bi-Weekly",2,"Fortnightly",3,"Monthly",4,"Quarterly",5,"Weekly",1)</f>
        <v>1</v>
      </c>
    </row>
    <row r="463" spans="1:20" hidden="1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  <c r="S463" t="str">
        <f t="shared" si="7"/>
        <v>Weekly</v>
      </c>
      <c r="T463" cm="1">
        <f t="array" ref="T463">_xlfn.SWITCH(S463,"Annually",6,"Bi-Weekly",2,"Fortnightly",3,"Monthly",4,"Quarterly",5,"Weekly",1)</f>
        <v>1</v>
      </c>
    </row>
    <row r="464" spans="1:20" hidden="1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  <c r="S464" t="str">
        <f t="shared" si="7"/>
        <v>Quarterly</v>
      </c>
      <c r="T464" cm="1">
        <f t="array" ref="T464">_xlfn.SWITCH(S464,"Annually",6,"Bi-Weekly",2,"Fortnightly",3,"Monthly",4,"Quarterly",5,"Weekly",1)</f>
        <v>5</v>
      </c>
    </row>
    <row r="465" spans="1:20" hidden="1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  <c r="S465" t="str">
        <f t="shared" si="7"/>
        <v>Weekly</v>
      </c>
      <c r="T465" cm="1">
        <f t="array" ref="T465">_xlfn.SWITCH(S465,"Annually",6,"Bi-Weekly",2,"Fortnightly",3,"Monthly",4,"Quarterly",5,"Weekly",1)</f>
        <v>1</v>
      </c>
    </row>
    <row r="466" spans="1:20" hidden="1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  <c r="S466" t="str">
        <f t="shared" si="7"/>
        <v>Monthly</v>
      </c>
      <c r="T466" cm="1">
        <f t="array" ref="T466">_xlfn.SWITCH(S466,"Annually",6,"Bi-Weekly",2,"Fortnightly",3,"Monthly",4,"Quarterly",5,"Weekly",1)</f>
        <v>4</v>
      </c>
    </row>
    <row r="467" spans="1:20" hidden="1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  <c r="S467" t="str">
        <f t="shared" si="7"/>
        <v>Quarterly</v>
      </c>
      <c r="T467" cm="1">
        <f t="array" ref="T467">_xlfn.SWITCH(S467,"Annually",6,"Bi-Weekly",2,"Fortnightly",3,"Monthly",4,"Quarterly",5,"Weekly",1)</f>
        <v>5</v>
      </c>
    </row>
    <row r="468" spans="1:20" hidden="1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  <c r="S468" t="str">
        <f t="shared" si="7"/>
        <v>Weekly</v>
      </c>
      <c r="T468" cm="1">
        <f t="array" ref="T468">_xlfn.SWITCH(S468,"Annually",6,"Bi-Weekly",2,"Fortnightly",3,"Monthly",4,"Quarterly",5,"Weekly",1)</f>
        <v>1</v>
      </c>
    </row>
    <row r="469" spans="1:20" hidden="1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  <c r="S469" t="str">
        <f t="shared" si="7"/>
        <v>Quarterly</v>
      </c>
      <c r="T469" cm="1">
        <f t="array" ref="T469">_xlfn.SWITCH(S469,"Annually",6,"Bi-Weekly",2,"Fortnightly",3,"Monthly",4,"Quarterly",5,"Weekly",1)</f>
        <v>5</v>
      </c>
    </row>
    <row r="470" spans="1:20" hidden="1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  <c r="S470" t="str">
        <f t="shared" si="7"/>
        <v>Quarterly</v>
      </c>
      <c r="T470" cm="1">
        <f t="array" ref="T470">_xlfn.SWITCH(S470,"Annually",6,"Bi-Weekly",2,"Fortnightly",3,"Monthly",4,"Quarterly",5,"Weekly",1)</f>
        <v>5</v>
      </c>
    </row>
    <row r="471" spans="1:20" hidden="1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  <c r="S471" t="str">
        <f t="shared" si="7"/>
        <v>Bi-Weekly</v>
      </c>
      <c r="T471" cm="1">
        <f t="array" ref="T471">_xlfn.SWITCH(S471,"Annually",6,"Bi-Weekly",2,"Fortnightly",3,"Monthly",4,"Quarterly",5,"Weekly",1)</f>
        <v>2</v>
      </c>
    </row>
    <row r="472" spans="1:20" hidden="1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  <c r="S472" t="str">
        <f t="shared" si="7"/>
        <v>Quarterly</v>
      </c>
      <c r="T472" cm="1">
        <f t="array" ref="T472">_xlfn.SWITCH(S472,"Annually",6,"Bi-Weekly",2,"Fortnightly",3,"Monthly",4,"Quarterly",5,"Weekly",1)</f>
        <v>5</v>
      </c>
    </row>
    <row r="473" spans="1:20" hidden="1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  <c r="S473" t="str">
        <f t="shared" si="7"/>
        <v>Quarterly</v>
      </c>
      <c r="T473" cm="1">
        <f t="array" ref="T473">_xlfn.SWITCH(S473,"Annually",6,"Bi-Weekly",2,"Fortnightly",3,"Monthly",4,"Quarterly",5,"Weekly",1)</f>
        <v>5</v>
      </c>
    </row>
    <row r="474" spans="1:20" hidden="1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  <c r="S474" t="str">
        <f t="shared" si="7"/>
        <v>Quarterly</v>
      </c>
      <c r="T474" cm="1">
        <f t="array" ref="T474">_xlfn.SWITCH(S474,"Annually",6,"Bi-Weekly",2,"Fortnightly",3,"Monthly",4,"Quarterly",5,"Weekly",1)</f>
        <v>5</v>
      </c>
    </row>
    <row r="475" spans="1:20" hidden="1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  <c r="S475" t="str">
        <f t="shared" si="7"/>
        <v>Quarterly</v>
      </c>
      <c r="T475" cm="1">
        <f t="array" ref="T475">_xlfn.SWITCH(S475,"Annually",6,"Bi-Weekly",2,"Fortnightly",3,"Monthly",4,"Quarterly",5,"Weekly",1)</f>
        <v>5</v>
      </c>
    </row>
    <row r="476" spans="1:20" hidden="1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  <c r="S476" t="str">
        <f t="shared" si="7"/>
        <v>Quarterly</v>
      </c>
      <c r="T476" cm="1">
        <f t="array" ref="T476">_xlfn.SWITCH(S476,"Annually",6,"Bi-Weekly",2,"Fortnightly",3,"Monthly",4,"Quarterly",5,"Weekly",1)</f>
        <v>5</v>
      </c>
    </row>
    <row r="477" spans="1:20" hidden="1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  <c r="S477" t="str">
        <f t="shared" si="7"/>
        <v>Annually</v>
      </c>
      <c r="T477" cm="1">
        <f t="array" ref="T477">_xlfn.SWITCH(S477,"Annually",6,"Bi-Weekly",2,"Fortnightly",3,"Monthly",4,"Quarterly",5,"Weekly",1)</f>
        <v>6</v>
      </c>
    </row>
    <row r="478" spans="1:20" hidden="1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  <c r="S478" t="str">
        <f t="shared" si="7"/>
        <v>Fortnightly</v>
      </c>
      <c r="T478" cm="1">
        <f t="array" ref="T478">_xlfn.SWITCH(S478,"Annually",6,"Bi-Weekly",2,"Fortnightly",3,"Monthly",4,"Quarterly",5,"Weekly",1)</f>
        <v>3</v>
      </c>
    </row>
    <row r="479" spans="1:20" hidden="1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  <c r="S479" t="str">
        <f t="shared" si="7"/>
        <v>Weekly</v>
      </c>
      <c r="T479" cm="1">
        <f t="array" ref="T479">_xlfn.SWITCH(S479,"Annually",6,"Bi-Weekly",2,"Fortnightly",3,"Monthly",4,"Quarterly",5,"Weekly",1)</f>
        <v>1</v>
      </c>
    </row>
    <row r="480" spans="1:20" hidden="1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  <c r="S480" t="str">
        <f t="shared" si="7"/>
        <v>Annually</v>
      </c>
      <c r="T480" cm="1">
        <f t="array" ref="T480">_xlfn.SWITCH(S480,"Annually",6,"Bi-Weekly",2,"Fortnightly",3,"Monthly",4,"Quarterly",5,"Weekly",1)</f>
        <v>6</v>
      </c>
    </row>
    <row r="481" spans="1:20" hidden="1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  <c r="S481" t="str">
        <f t="shared" si="7"/>
        <v>Monthly</v>
      </c>
      <c r="T481" cm="1">
        <f t="array" ref="T481">_xlfn.SWITCH(S481,"Annually",6,"Bi-Weekly",2,"Fortnightly",3,"Monthly",4,"Quarterly",5,"Weekly",1)</f>
        <v>4</v>
      </c>
    </row>
    <row r="482" spans="1:20" hidden="1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  <c r="S482" t="str">
        <f t="shared" si="7"/>
        <v>Bi-Weekly</v>
      </c>
      <c r="T482" cm="1">
        <f t="array" ref="T482">_xlfn.SWITCH(S482,"Annually",6,"Bi-Weekly",2,"Fortnightly",3,"Monthly",4,"Quarterly",5,"Weekly",1)</f>
        <v>2</v>
      </c>
    </row>
    <row r="483" spans="1:20" hidden="1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  <c r="S483" t="str">
        <f t="shared" si="7"/>
        <v>Fortnightly</v>
      </c>
      <c r="T483" cm="1">
        <f t="array" ref="T483">_xlfn.SWITCH(S483,"Annually",6,"Bi-Weekly",2,"Fortnightly",3,"Monthly",4,"Quarterly",5,"Weekly",1)</f>
        <v>3</v>
      </c>
    </row>
    <row r="484" spans="1:20" hidden="1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  <c r="S484" t="str">
        <f t="shared" si="7"/>
        <v>Annually</v>
      </c>
      <c r="T484" cm="1">
        <f t="array" ref="T484">_xlfn.SWITCH(S484,"Annually",6,"Bi-Weekly",2,"Fortnightly",3,"Monthly",4,"Quarterly",5,"Weekly",1)</f>
        <v>6</v>
      </c>
    </row>
    <row r="485" spans="1:20" hidden="1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  <c r="S485" t="str">
        <f t="shared" si="7"/>
        <v>Weekly</v>
      </c>
      <c r="T485" cm="1">
        <f t="array" ref="T485">_xlfn.SWITCH(S485,"Annually",6,"Bi-Weekly",2,"Fortnightly",3,"Monthly",4,"Quarterly",5,"Weekly",1)</f>
        <v>1</v>
      </c>
    </row>
    <row r="486" spans="1:20" hidden="1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  <c r="S486" t="str">
        <f t="shared" si="7"/>
        <v>Quarterly</v>
      </c>
      <c r="T486" cm="1">
        <f t="array" ref="T486">_xlfn.SWITCH(S486,"Annually",6,"Bi-Weekly",2,"Fortnightly",3,"Monthly",4,"Quarterly",5,"Weekly",1)</f>
        <v>5</v>
      </c>
    </row>
    <row r="487" spans="1:20" hidden="1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  <c r="S487" t="str">
        <f t="shared" si="7"/>
        <v>Fortnightly</v>
      </c>
      <c r="T487" cm="1">
        <f t="array" ref="T487">_xlfn.SWITCH(S487,"Annually",6,"Bi-Weekly",2,"Fortnightly",3,"Monthly",4,"Quarterly",5,"Weekly",1)</f>
        <v>3</v>
      </c>
    </row>
    <row r="488" spans="1:20" hidden="1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  <c r="S488" t="str">
        <f t="shared" si="7"/>
        <v>Quarterly</v>
      </c>
      <c r="T488" cm="1">
        <f t="array" ref="T488">_xlfn.SWITCH(S488,"Annually",6,"Bi-Weekly",2,"Fortnightly",3,"Monthly",4,"Quarterly",5,"Weekly",1)</f>
        <v>5</v>
      </c>
    </row>
    <row r="489" spans="1:20" hidden="1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  <c r="S489" t="str">
        <f t="shared" si="7"/>
        <v>Quarterly</v>
      </c>
      <c r="T489" cm="1">
        <f t="array" ref="T489">_xlfn.SWITCH(S489,"Annually",6,"Bi-Weekly",2,"Fortnightly",3,"Monthly",4,"Quarterly",5,"Weekly",1)</f>
        <v>5</v>
      </c>
    </row>
    <row r="490" spans="1:20" hidden="1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  <c r="S490" t="str">
        <f t="shared" si="7"/>
        <v>Weekly</v>
      </c>
      <c r="T490" cm="1">
        <f t="array" ref="T490">_xlfn.SWITCH(S490,"Annually",6,"Bi-Weekly",2,"Fortnightly",3,"Monthly",4,"Quarterly",5,"Weekly",1)</f>
        <v>1</v>
      </c>
    </row>
    <row r="491" spans="1:20" hidden="1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  <c r="S491" t="str">
        <f t="shared" si="7"/>
        <v>Annually</v>
      </c>
      <c r="T491" cm="1">
        <f t="array" ref="T491">_xlfn.SWITCH(S491,"Annually",6,"Bi-Weekly",2,"Fortnightly",3,"Monthly",4,"Quarterly",5,"Weekly",1)</f>
        <v>6</v>
      </c>
    </row>
    <row r="492" spans="1:20" hidden="1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  <c r="S492" t="str">
        <f t="shared" si="7"/>
        <v>Monthly</v>
      </c>
      <c r="T492" cm="1">
        <f t="array" ref="T492">_xlfn.SWITCH(S492,"Annually",6,"Bi-Weekly",2,"Fortnightly",3,"Monthly",4,"Quarterly",5,"Weekly",1)</f>
        <v>4</v>
      </c>
    </row>
    <row r="493" spans="1:20" hidden="1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  <c r="S493" t="str">
        <f t="shared" si="7"/>
        <v>Bi-Weekly</v>
      </c>
      <c r="T493" cm="1">
        <f t="array" ref="T493">_xlfn.SWITCH(S493,"Annually",6,"Bi-Weekly",2,"Fortnightly",3,"Monthly",4,"Quarterly",5,"Weekly",1)</f>
        <v>2</v>
      </c>
    </row>
    <row r="494" spans="1:20" hidden="1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  <c r="S494" t="str">
        <f t="shared" si="7"/>
        <v>Weekly</v>
      </c>
      <c r="T494" cm="1">
        <f t="array" ref="T494">_xlfn.SWITCH(S494,"Annually",6,"Bi-Weekly",2,"Fortnightly",3,"Monthly",4,"Quarterly",5,"Weekly",1)</f>
        <v>1</v>
      </c>
    </row>
    <row r="495" spans="1:20" hidden="1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  <c r="S495" t="str">
        <f t="shared" si="7"/>
        <v>Bi-Weekly</v>
      </c>
      <c r="T495" cm="1">
        <f t="array" ref="T495">_xlfn.SWITCH(S495,"Annually",6,"Bi-Weekly",2,"Fortnightly",3,"Monthly",4,"Quarterly",5,"Weekly",1)</f>
        <v>2</v>
      </c>
    </row>
    <row r="496" spans="1:20" hidden="1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  <c r="S496" t="str">
        <f t="shared" si="7"/>
        <v>Weekly</v>
      </c>
      <c r="T496" cm="1">
        <f t="array" ref="T496">_xlfn.SWITCH(S496,"Annually",6,"Bi-Weekly",2,"Fortnightly",3,"Monthly",4,"Quarterly",5,"Weekly",1)</f>
        <v>1</v>
      </c>
    </row>
    <row r="497" spans="1:20" hidden="1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  <c r="S497" t="str">
        <f t="shared" si="7"/>
        <v>Fortnightly</v>
      </c>
      <c r="T497" cm="1">
        <f t="array" ref="T497">_xlfn.SWITCH(S497,"Annually",6,"Bi-Weekly",2,"Fortnightly",3,"Monthly",4,"Quarterly",5,"Weekly",1)</f>
        <v>3</v>
      </c>
    </row>
    <row r="498" spans="1:20" hidden="1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  <c r="S498" t="str">
        <f t="shared" si="7"/>
        <v>Fortnightly</v>
      </c>
      <c r="T498" cm="1">
        <f t="array" ref="T498">_xlfn.SWITCH(S498,"Annually",6,"Bi-Weekly",2,"Fortnightly",3,"Monthly",4,"Quarterly",5,"Weekly",1)</f>
        <v>3</v>
      </c>
    </row>
    <row r="499" spans="1:20" hidden="1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  <c r="S499" t="str">
        <f t="shared" si="7"/>
        <v>Weekly</v>
      </c>
      <c r="T499" cm="1">
        <f t="array" ref="T499">_xlfn.SWITCH(S499,"Annually",6,"Bi-Weekly",2,"Fortnightly",3,"Monthly",4,"Quarterly",5,"Weekly",1)</f>
        <v>1</v>
      </c>
    </row>
    <row r="500" spans="1:20" hidden="1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  <c r="S500" t="str">
        <f t="shared" si="7"/>
        <v>Monthly</v>
      </c>
      <c r="T500" cm="1">
        <f t="array" ref="T500">_xlfn.SWITCH(S500,"Annually",6,"Bi-Weekly",2,"Fortnightly",3,"Monthly",4,"Quarterly",5,"Weekly",1)</f>
        <v>4</v>
      </c>
    </row>
    <row r="501" spans="1:20" hidden="1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  <c r="S501" t="str">
        <f t="shared" si="7"/>
        <v>Monthly</v>
      </c>
      <c r="T501" cm="1">
        <f t="array" ref="T501">_xlfn.SWITCH(S501,"Annually",6,"Bi-Weekly",2,"Fortnightly",3,"Monthly",4,"Quarterly",5,"Weekly",1)</f>
        <v>4</v>
      </c>
    </row>
    <row r="502" spans="1:20" hidden="1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  <c r="S502" t="str">
        <f t="shared" si="7"/>
        <v>Quarterly</v>
      </c>
      <c r="T502" cm="1">
        <f t="array" ref="T502">_xlfn.SWITCH(S502,"Annually",6,"Bi-Weekly",2,"Fortnightly",3,"Monthly",4,"Quarterly",5,"Weekly",1)</f>
        <v>5</v>
      </c>
    </row>
    <row r="503" spans="1:20" hidden="1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  <c r="S503" t="str">
        <f t="shared" si="7"/>
        <v>Annually</v>
      </c>
      <c r="T503" cm="1">
        <f t="array" ref="T503">_xlfn.SWITCH(S503,"Annually",6,"Bi-Weekly",2,"Fortnightly",3,"Monthly",4,"Quarterly",5,"Weekly",1)</f>
        <v>6</v>
      </c>
    </row>
    <row r="504" spans="1:20" hidden="1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  <c r="S504" t="str">
        <f t="shared" si="7"/>
        <v>Fortnightly</v>
      </c>
      <c r="T504" cm="1">
        <f t="array" ref="T504">_xlfn.SWITCH(S504,"Annually",6,"Bi-Weekly",2,"Fortnightly",3,"Monthly",4,"Quarterly",5,"Weekly",1)</f>
        <v>3</v>
      </c>
    </row>
    <row r="505" spans="1:20" hidden="1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  <c r="S505" t="str">
        <f t="shared" si="7"/>
        <v>Quarterly</v>
      </c>
      <c r="T505" cm="1">
        <f t="array" ref="T505">_xlfn.SWITCH(S505,"Annually",6,"Bi-Weekly",2,"Fortnightly",3,"Monthly",4,"Quarterly",5,"Weekly",1)</f>
        <v>5</v>
      </c>
    </row>
    <row r="506" spans="1:20" hidden="1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  <c r="S506" t="str">
        <f t="shared" si="7"/>
        <v>Annually</v>
      </c>
      <c r="T506" cm="1">
        <f t="array" ref="T506">_xlfn.SWITCH(S506,"Annually",6,"Bi-Weekly",2,"Fortnightly",3,"Monthly",4,"Quarterly",5,"Weekly",1)</f>
        <v>6</v>
      </c>
    </row>
    <row r="507" spans="1:20" hidden="1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  <c r="S507" t="str">
        <f t="shared" si="7"/>
        <v>Bi-Weekly</v>
      </c>
      <c r="T507" cm="1">
        <f t="array" ref="T507">_xlfn.SWITCH(S507,"Annually",6,"Bi-Weekly",2,"Fortnightly",3,"Monthly",4,"Quarterly",5,"Weekly",1)</f>
        <v>2</v>
      </c>
    </row>
    <row r="508" spans="1:20" hidden="1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  <c r="S508" t="str">
        <f t="shared" si="7"/>
        <v>Annually</v>
      </c>
      <c r="T508" cm="1">
        <f t="array" ref="T508">_xlfn.SWITCH(S508,"Annually",6,"Bi-Weekly",2,"Fortnightly",3,"Monthly",4,"Quarterly",5,"Weekly",1)</f>
        <v>6</v>
      </c>
    </row>
    <row r="509" spans="1:20" hidden="1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  <c r="S509" t="str">
        <f t="shared" si="7"/>
        <v>Fortnightly</v>
      </c>
      <c r="T509" cm="1">
        <f t="array" ref="T509">_xlfn.SWITCH(S509,"Annually",6,"Bi-Weekly",2,"Fortnightly",3,"Monthly",4,"Quarterly",5,"Weekly",1)</f>
        <v>3</v>
      </c>
    </row>
    <row r="510" spans="1:20" hidden="1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  <c r="S510" t="str">
        <f t="shared" si="7"/>
        <v>Quarterly</v>
      </c>
      <c r="T510" cm="1">
        <f t="array" ref="T510">_xlfn.SWITCH(S510,"Annually",6,"Bi-Weekly",2,"Fortnightly",3,"Monthly",4,"Quarterly",5,"Weekly",1)</f>
        <v>5</v>
      </c>
    </row>
    <row r="511" spans="1:20" hidden="1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  <c r="S511" t="str">
        <f t="shared" si="7"/>
        <v>Weekly</v>
      </c>
      <c r="T511" cm="1">
        <f t="array" ref="T511">_xlfn.SWITCH(S511,"Annually",6,"Bi-Weekly",2,"Fortnightly",3,"Monthly",4,"Quarterly",5,"Weekly",1)</f>
        <v>1</v>
      </c>
    </row>
    <row r="512" spans="1:20" hidden="1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  <c r="S512" t="str">
        <f t="shared" si="7"/>
        <v>Annually</v>
      </c>
      <c r="T512" cm="1">
        <f t="array" ref="T512">_xlfn.SWITCH(S512,"Annually",6,"Bi-Weekly",2,"Fortnightly",3,"Monthly",4,"Quarterly",5,"Weekly",1)</f>
        <v>6</v>
      </c>
    </row>
    <row r="513" spans="1:20" hidden="1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  <c r="S513" t="str">
        <f t="shared" si="7"/>
        <v>Annually</v>
      </c>
      <c r="T513" cm="1">
        <f t="array" ref="T513">_xlfn.SWITCH(S513,"Annually",6,"Bi-Weekly",2,"Fortnightly",3,"Monthly",4,"Quarterly",5,"Weekly",1)</f>
        <v>6</v>
      </c>
    </row>
    <row r="514" spans="1:20" hidden="1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  <c r="S514" t="str">
        <f t="shared" si="7"/>
        <v>Monthly</v>
      </c>
      <c r="T514" cm="1">
        <f t="array" ref="T514">_xlfn.SWITCH(S514,"Annually",6,"Bi-Weekly",2,"Fortnightly",3,"Monthly",4,"Quarterly",5,"Weekly",1)</f>
        <v>4</v>
      </c>
    </row>
    <row r="515" spans="1:20" hidden="1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  <c r="S515" t="str">
        <f t="shared" ref="S515:S578" si="8">IF(R515="Every 3 Months","Quarterly",R515)</f>
        <v>Annually</v>
      </c>
      <c r="T515" cm="1">
        <f t="array" ref="T515">_xlfn.SWITCH(S515,"Annually",6,"Bi-Weekly",2,"Fortnightly",3,"Monthly",4,"Quarterly",5,"Weekly",1)</f>
        <v>6</v>
      </c>
    </row>
    <row r="516" spans="1:20" hidden="1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  <c r="S516" t="str">
        <f t="shared" si="8"/>
        <v>Quarterly</v>
      </c>
      <c r="T516" cm="1">
        <f t="array" ref="T516">_xlfn.SWITCH(S516,"Annually",6,"Bi-Weekly",2,"Fortnightly",3,"Monthly",4,"Quarterly",5,"Weekly",1)</f>
        <v>5</v>
      </c>
    </row>
    <row r="517" spans="1:20" hidden="1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  <c r="S517" t="str">
        <f t="shared" si="8"/>
        <v>Monthly</v>
      </c>
      <c r="T517" cm="1">
        <f t="array" ref="T517">_xlfn.SWITCH(S517,"Annually",6,"Bi-Weekly",2,"Fortnightly",3,"Monthly",4,"Quarterly",5,"Weekly",1)</f>
        <v>4</v>
      </c>
    </row>
    <row r="518" spans="1:20" hidden="1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  <c r="S518" t="str">
        <f t="shared" si="8"/>
        <v>Bi-Weekly</v>
      </c>
      <c r="T518" cm="1">
        <f t="array" ref="T518">_xlfn.SWITCH(S518,"Annually",6,"Bi-Weekly",2,"Fortnightly",3,"Monthly",4,"Quarterly",5,"Weekly",1)</f>
        <v>2</v>
      </c>
    </row>
    <row r="519" spans="1:20" hidden="1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  <c r="S519" t="str">
        <f t="shared" si="8"/>
        <v>Quarterly</v>
      </c>
      <c r="T519" cm="1">
        <f t="array" ref="T519">_xlfn.SWITCH(S519,"Annually",6,"Bi-Weekly",2,"Fortnightly",3,"Monthly",4,"Quarterly",5,"Weekly",1)</f>
        <v>5</v>
      </c>
    </row>
    <row r="520" spans="1:20" hidden="1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  <c r="S520" t="str">
        <f t="shared" si="8"/>
        <v>Quarterly</v>
      </c>
      <c r="T520" cm="1">
        <f t="array" ref="T520">_xlfn.SWITCH(S520,"Annually",6,"Bi-Weekly",2,"Fortnightly",3,"Monthly",4,"Quarterly",5,"Weekly",1)</f>
        <v>5</v>
      </c>
    </row>
    <row r="521" spans="1:20" hidden="1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  <c r="S521" t="str">
        <f t="shared" si="8"/>
        <v>Quarterly</v>
      </c>
      <c r="T521" cm="1">
        <f t="array" ref="T521">_xlfn.SWITCH(S521,"Annually",6,"Bi-Weekly",2,"Fortnightly",3,"Monthly",4,"Quarterly",5,"Weekly",1)</f>
        <v>5</v>
      </c>
    </row>
    <row r="522" spans="1:20" hidden="1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  <c r="S522" t="str">
        <f t="shared" si="8"/>
        <v>Quarterly</v>
      </c>
      <c r="T522" cm="1">
        <f t="array" ref="T522">_xlfn.SWITCH(S522,"Annually",6,"Bi-Weekly",2,"Fortnightly",3,"Monthly",4,"Quarterly",5,"Weekly",1)</f>
        <v>5</v>
      </c>
    </row>
    <row r="523" spans="1:20" hidden="1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  <c r="S523" t="str">
        <f t="shared" si="8"/>
        <v>Annually</v>
      </c>
      <c r="T523" cm="1">
        <f t="array" ref="T523">_xlfn.SWITCH(S523,"Annually",6,"Bi-Weekly",2,"Fortnightly",3,"Monthly",4,"Quarterly",5,"Weekly",1)</f>
        <v>6</v>
      </c>
    </row>
    <row r="524" spans="1:20" hidden="1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  <c r="S524" t="str">
        <f t="shared" si="8"/>
        <v>Quarterly</v>
      </c>
      <c r="T524" cm="1">
        <f t="array" ref="T524">_xlfn.SWITCH(S524,"Annually",6,"Bi-Weekly",2,"Fortnightly",3,"Monthly",4,"Quarterly",5,"Weekly",1)</f>
        <v>5</v>
      </c>
    </row>
    <row r="525" spans="1:20" hidden="1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  <c r="S525" t="str">
        <f t="shared" si="8"/>
        <v>Quarterly</v>
      </c>
      <c r="T525" cm="1">
        <f t="array" ref="T525">_xlfn.SWITCH(S525,"Annually",6,"Bi-Weekly",2,"Fortnightly",3,"Monthly",4,"Quarterly",5,"Weekly",1)</f>
        <v>5</v>
      </c>
    </row>
    <row r="526" spans="1:20" hidden="1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  <c r="S526" t="str">
        <f t="shared" si="8"/>
        <v>Annually</v>
      </c>
      <c r="T526" cm="1">
        <f t="array" ref="T526">_xlfn.SWITCH(S526,"Annually",6,"Bi-Weekly",2,"Fortnightly",3,"Monthly",4,"Quarterly",5,"Weekly",1)</f>
        <v>6</v>
      </c>
    </row>
    <row r="527" spans="1:20" hidden="1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  <c r="S527" t="str">
        <f t="shared" si="8"/>
        <v>Monthly</v>
      </c>
      <c r="T527" cm="1">
        <f t="array" ref="T527">_xlfn.SWITCH(S527,"Annually",6,"Bi-Weekly",2,"Fortnightly",3,"Monthly",4,"Quarterly",5,"Weekly",1)</f>
        <v>4</v>
      </c>
    </row>
    <row r="528" spans="1:20" hidden="1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  <c r="S528" t="str">
        <f t="shared" si="8"/>
        <v>Monthly</v>
      </c>
      <c r="T528" cm="1">
        <f t="array" ref="T528">_xlfn.SWITCH(S528,"Annually",6,"Bi-Weekly",2,"Fortnightly",3,"Monthly",4,"Quarterly",5,"Weekly",1)</f>
        <v>4</v>
      </c>
    </row>
    <row r="529" spans="1:20" hidden="1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  <c r="S529" t="str">
        <f t="shared" si="8"/>
        <v>Quarterly</v>
      </c>
      <c r="T529" cm="1">
        <f t="array" ref="T529">_xlfn.SWITCH(S529,"Annually",6,"Bi-Weekly",2,"Fortnightly",3,"Monthly",4,"Quarterly",5,"Weekly",1)</f>
        <v>5</v>
      </c>
    </row>
    <row r="530" spans="1:20" hidden="1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  <c r="S530" t="str">
        <f t="shared" si="8"/>
        <v>Annually</v>
      </c>
      <c r="T530" cm="1">
        <f t="array" ref="T530">_xlfn.SWITCH(S530,"Annually",6,"Bi-Weekly",2,"Fortnightly",3,"Monthly",4,"Quarterly",5,"Weekly",1)</f>
        <v>6</v>
      </c>
    </row>
    <row r="531" spans="1:20" hidden="1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  <c r="S531" t="str">
        <f t="shared" si="8"/>
        <v>Monthly</v>
      </c>
      <c r="T531" cm="1">
        <f t="array" ref="T531">_xlfn.SWITCH(S531,"Annually",6,"Bi-Weekly",2,"Fortnightly",3,"Monthly",4,"Quarterly",5,"Weekly",1)</f>
        <v>4</v>
      </c>
    </row>
    <row r="532" spans="1:20" hidden="1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  <c r="S532" t="str">
        <f t="shared" si="8"/>
        <v>Bi-Weekly</v>
      </c>
      <c r="T532" cm="1">
        <f t="array" ref="T532">_xlfn.SWITCH(S532,"Annually",6,"Bi-Weekly",2,"Fortnightly",3,"Monthly",4,"Quarterly",5,"Weekly",1)</f>
        <v>2</v>
      </c>
    </row>
    <row r="533" spans="1:20" hidden="1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  <c r="S533" t="str">
        <f t="shared" si="8"/>
        <v>Weekly</v>
      </c>
      <c r="T533" cm="1">
        <f t="array" ref="T533">_xlfn.SWITCH(S533,"Annually",6,"Bi-Weekly",2,"Fortnightly",3,"Monthly",4,"Quarterly",5,"Weekly",1)</f>
        <v>1</v>
      </c>
    </row>
    <row r="534" spans="1:20" hidden="1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  <c r="S534" t="str">
        <f t="shared" si="8"/>
        <v>Quarterly</v>
      </c>
      <c r="T534" cm="1">
        <f t="array" ref="T534">_xlfn.SWITCH(S534,"Annually",6,"Bi-Weekly",2,"Fortnightly",3,"Monthly",4,"Quarterly",5,"Weekly",1)</f>
        <v>5</v>
      </c>
    </row>
    <row r="535" spans="1:20" hidden="1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  <c r="S535" t="str">
        <f t="shared" si="8"/>
        <v>Weekly</v>
      </c>
      <c r="T535" cm="1">
        <f t="array" ref="T535">_xlfn.SWITCH(S535,"Annually",6,"Bi-Weekly",2,"Fortnightly",3,"Monthly",4,"Quarterly",5,"Weekly",1)</f>
        <v>1</v>
      </c>
    </row>
    <row r="536" spans="1:20" hidden="1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  <c r="S536" t="str">
        <f t="shared" si="8"/>
        <v>Quarterly</v>
      </c>
      <c r="T536" cm="1">
        <f t="array" ref="T536">_xlfn.SWITCH(S536,"Annually",6,"Bi-Weekly",2,"Fortnightly",3,"Monthly",4,"Quarterly",5,"Weekly",1)</f>
        <v>5</v>
      </c>
    </row>
    <row r="537" spans="1:20" hidden="1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  <c r="S537" t="str">
        <f t="shared" si="8"/>
        <v>Weekly</v>
      </c>
      <c r="T537" cm="1">
        <f t="array" ref="T537">_xlfn.SWITCH(S537,"Annually",6,"Bi-Weekly",2,"Fortnightly",3,"Monthly",4,"Quarterly",5,"Weekly",1)</f>
        <v>1</v>
      </c>
    </row>
    <row r="538" spans="1:20" hidden="1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  <c r="S538" t="str">
        <f t="shared" si="8"/>
        <v>Quarterly</v>
      </c>
      <c r="T538" cm="1">
        <f t="array" ref="T538">_xlfn.SWITCH(S538,"Annually",6,"Bi-Weekly",2,"Fortnightly",3,"Monthly",4,"Quarterly",5,"Weekly",1)</f>
        <v>5</v>
      </c>
    </row>
    <row r="539" spans="1:20" hidden="1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  <c r="S539" t="str">
        <f t="shared" si="8"/>
        <v>Annually</v>
      </c>
      <c r="T539" cm="1">
        <f t="array" ref="T539">_xlfn.SWITCH(S539,"Annually",6,"Bi-Weekly",2,"Fortnightly",3,"Monthly",4,"Quarterly",5,"Weekly",1)</f>
        <v>6</v>
      </c>
    </row>
    <row r="540" spans="1:20" hidden="1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  <c r="S540" t="str">
        <f t="shared" si="8"/>
        <v>Weekly</v>
      </c>
      <c r="T540" cm="1">
        <f t="array" ref="T540">_xlfn.SWITCH(S540,"Annually",6,"Bi-Weekly",2,"Fortnightly",3,"Monthly",4,"Quarterly",5,"Weekly",1)</f>
        <v>1</v>
      </c>
    </row>
    <row r="541" spans="1:20" hidden="1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  <c r="S541" t="str">
        <f t="shared" si="8"/>
        <v>Weekly</v>
      </c>
      <c r="T541" cm="1">
        <f t="array" ref="T541">_xlfn.SWITCH(S541,"Annually",6,"Bi-Weekly",2,"Fortnightly",3,"Monthly",4,"Quarterly",5,"Weekly",1)</f>
        <v>1</v>
      </c>
    </row>
    <row r="542" spans="1:20" hidden="1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  <c r="S542" t="str">
        <f t="shared" si="8"/>
        <v>Quarterly</v>
      </c>
      <c r="T542" cm="1">
        <f t="array" ref="T542">_xlfn.SWITCH(S542,"Annually",6,"Bi-Weekly",2,"Fortnightly",3,"Monthly",4,"Quarterly",5,"Weekly",1)</f>
        <v>5</v>
      </c>
    </row>
    <row r="543" spans="1:20" hidden="1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  <c r="S543" t="str">
        <f t="shared" si="8"/>
        <v>Bi-Weekly</v>
      </c>
      <c r="T543" cm="1">
        <f t="array" ref="T543">_xlfn.SWITCH(S543,"Annually",6,"Bi-Weekly",2,"Fortnightly",3,"Monthly",4,"Quarterly",5,"Weekly",1)</f>
        <v>2</v>
      </c>
    </row>
    <row r="544" spans="1:20" hidden="1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  <c r="S544" t="str">
        <f t="shared" si="8"/>
        <v>Bi-Weekly</v>
      </c>
      <c r="T544" cm="1">
        <f t="array" ref="T544">_xlfn.SWITCH(S544,"Annually",6,"Bi-Weekly",2,"Fortnightly",3,"Monthly",4,"Quarterly",5,"Weekly",1)</f>
        <v>2</v>
      </c>
    </row>
    <row r="545" spans="1:20" hidden="1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  <c r="S545" t="str">
        <f t="shared" si="8"/>
        <v>Monthly</v>
      </c>
      <c r="T545" cm="1">
        <f t="array" ref="T545">_xlfn.SWITCH(S545,"Annually",6,"Bi-Weekly",2,"Fortnightly",3,"Monthly",4,"Quarterly",5,"Weekly",1)</f>
        <v>4</v>
      </c>
    </row>
    <row r="546" spans="1:20" hidden="1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  <c r="S546" t="str">
        <f t="shared" si="8"/>
        <v>Quarterly</v>
      </c>
      <c r="T546" cm="1">
        <f t="array" ref="T546">_xlfn.SWITCH(S546,"Annually",6,"Bi-Weekly",2,"Fortnightly",3,"Monthly",4,"Quarterly",5,"Weekly",1)</f>
        <v>5</v>
      </c>
    </row>
    <row r="547" spans="1:20" hidden="1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  <c r="S547" t="str">
        <f t="shared" si="8"/>
        <v>Annually</v>
      </c>
      <c r="T547" cm="1">
        <f t="array" ref="T547">_xlfn.SWITCH(S547,"Annually",6,"Bi-Weekly",2,"Fortnightly",3,"Monthly",4,"Quarterly",5,"Weekly",1)</f>
        <v>6</v>
      </c>
    </row>
    <row r="548" spans="1:20" hidden="1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  <c r="S548" t="str">
        <f t="shared" si="8"/>
        <v>Bi-Weekly</v>
      </c>
      <c r="T548" cm="1">
        <f t="array" ref="T548">_xlfn.SWITCH(S548,"Annually",6,"Bi-Weekly",2,"Fortnightly",3,"Monthly",4,"Quarterly",5,"Weekly",1)</f>
        <v>2</v>
      </c>
    </row>
    <row r="549" spans="1:20" hidden="1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  <c r="S549" t="str">
        <f t="shared" si="8"/>
        <v>Weekly</v>
      </c>
      <c r="T549" cm="1">
        <f t="array" ref="T549">_xlfn.SWITCH(S549,"Annually",6,"Bi-Weekly",2,"Fortnightly",3,"Monthly",4,"Quarterly",5,"Weekly",1)</f>
        <v>1</v>
      </c>
    </row>
    <row r="550" spans="1:20" hidden="1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  <c r="S550" t="str">
        <f t="shared" si="8"/>
        <v>Quarterly</v>
      </c>
      <c r="T550" cm="1">
        <f t="array" ref="T550">_xlfn.SWITCH(S550,"Annually",6,"Bi-Weekly",2,"Fortnightly",3,"Monthly",4,"Quarterly",5,"Weekly",1)</f>
        <v>5</v>
      </c>
    </row>
    <row r="551" spans="1:20" hidden="1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  <c r="S551" t="str">
        <f t="shared" si="8"/>
        <v>Bi-Weekly</v>
      </c>
      <c r="T551" cm="1">
        <f t="array" ref="T551">_xlfn.SWITCH(S551,"Annually",6,"Bi-Weekly",2,"Fortnightly",3,"Monthly",4,"Quarterly",5,"Weekly",1)</f>
        <v>2</v>
      </c>
    </row>
    <row r="552" spans="1:20" hidden="1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  <c r="S552" t="str">
        <f t="shared" si="8"/>
        <v>Weekly</v>
      </c>
      <c r="T552" cm="1">
        <f t="array" ref="T552">_xlfn.SWITCH(S552,"Annually",6,"Bi-Weekly",2,"Fortnightly",3,"Monthly",4,"Quarterly",5,"Weekly",1)</f>
        <v>1</v>
      </c>
    </row>
    <row r="553" spans="1:20" hidden="1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  <c r="S553" t="str">
        <f t="shared" si="8"/>
        <v>Bi-Weekly</v>
      </c>
      <c r="T553" cm="1">
        <f t="array" ref="T553">_xlfn.SWITCH(S553,"Annually",6,"Bi-Weekly",2,"Fortnightly",3,"Monthly",4,"Quarterly",5,"Weekly",1)</f>
        <v>2</v>
      </c>
    </row>
    <row r="554" spans="1:20" hidden="1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  <c r="S554" t="str">
        <f t="shared" si="8"/>
        <v>Weekly</v>
      </c>
      <c r="T554" cm="1">
        <f t="array" ref="T554">_xlfn.SWITCH(S554,"Annually",6,"Bi-Weekly",2,"Fortnightly",3,"Monthly",4,"Quarterly",5,"Weekly",1)</f>
        <v>1</v>
      </c>
    </row>
    <row r="555" spans="1:20" hidden="1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  <c r="S555" t="str">
        <f t="shared" si="8"/>
        <v>Quarterly</v>
      </c>
      <c r="T555" cm="1">
        <f t="array" ref="T555">_xlfn.SWITCH(S555,"Annually",6,"Bi-Weekly",2,"Fortnightly",3,"Monthly",4,"Quarterly",5,"Weekly",1)</f>
        <v>5</v>
      </c>
    </row>
    <row r="556" spans="1:20" hidden="1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  <c r="S556" t="str">
        <f t="shared" si="8"/>
        <v>Weekly</v>
      </c>
      <c r="T556" cm="1">
        <f t="array" ref="T556">_xlfn.SWITCH(S556,"Annually",6,"Bi-Weekly",2,"Fortnightly",3,"Monthly",4,"Quarterly",5,"Weekly",1)</f>
        <v>1</v>
      </c>
    </row>
    <row r="557" spans="1:20" hidden="1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  <c r="S557" t="str">
        <f t="shared" si="8"/>
        <v>Annually</v>
      </c>
      <c r="T557" cm="1">
        <f t="array" ref="T557">_xlfn.SWITCH(S557,"Annually",6,"Bi-Weekly",2,"Fortnightly",3,"Monthly",4,"Quarterly",5,"Weekly",1)</f>
        <v>6</v>
      </c>
    </row>
    <row r="558" spans="1:20" hidden="1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  <c r="S558" t="str">
        <f t="shared" si="8"/>
        <v>Fortnightly</v>
      </c>
      <c r="T558" cm="1">
        <f t="array" ref="T558">_xlfn.SWITCH(S558,"Annually",6,"Bi-Weekly",2,"Fortnightly",3,"Monthly",4,"Quarterly",5,"Weekly",1)</f>
        <v>3</v>
      </c>
    </row>
    <row r="559" spans="1:20" hidden="1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  <c r="S559" t="str">
        <f t="shared" si="8"/>
        <v>Weekly</v>
      </c>
      <c r="T559" cm="1">
        <f t="array" ref="T559">_xlfn.SWITCH(S559,"Annually",6,"Bi-Weekly",2,"Fortnightly",3,"Monthly",4,"Quarterly",5,"Weekly",1)</f>
        <v>1</v>
      </c>
    </row>
    <row r="560" spans="1:20" hidden="1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  <c r="S560" t="str">
        <f t="shared" si="8"/>
        <v>Quarterly</v>
      </c>
      <c r="T560" cm="1">
        <f t="array" ref="T560">_xlfn.SWITCH(S560,"Annually",6,"Bi-Weekly",2,"Fortnightly",3,"Monthly",4,"Quarterly",5,"Weekly",1)</f>
        <v>5</v>
      </c>
    </row>
    <row r="561" spans="1:20" hidden="1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  <c r="S561" t="str">
        <f t="shared" si="8"/>
        <v>Monthly</v>
      </c>
      <c r="T561" cm="1">
        <f t="array" ref="T561">_xlfn.SWITCH(S561,"Annually",6,"Bi-Weekly",2,"Fortnightly",3,"Monthly",4,"Quarterly",5,"Weekly",1)</f>
        <v>4</v>
      </c>
    </row>
    <row r="562" spans="1:20" hidden="1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  <c r="S562" t="str">
        <f t="shared" si="8"/>
        <v>Annually</v>
      </c>
      <c r="T562" cm="1">
        <f t="array" ref="T562">_xlfn.SWITCH(S562,"Annually",6,"Bi-Weekly",2,"Fortnightly",3,"Monthly",4,"Quarterly",5,"Weekly",1)</f>
        <v>6</v>
      </c>
    </row>
    <row r="563" spans="1:20" hidden="1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  <c r="S563" t="str">
        <f t="shared" si="8"/>
        <v>Fortnightly</v>
      </c>
      <c r="T563" cm="1">
        <f t="array" ref="T563">_xlfn.SWITCH(S563,"Annually",6,"Bi-Weekly",2,"Fortnightly",3,"Monthly",4,"Quarterly",5,"Weekly",1)</f>
        <v>3</v>
      </c>
    </row>
    <row r="564" spans="1:20" hidden="1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  <c r="S564" t="str">
        <f t="shared" si="8"/>
        <v>Annually</v>
      </c>
      <c r="T564" cm="1">
        <f t="array" ref="T564">_xlfn.SWITCH(S564,"Annually",6,"Bi-Weekly",2,"Fortnightly",3,"Monthly",4,"Quarterly",5,"Weekly",1)</f>
        <v>6</v>
      </c>
    </row>
    <row r="565" spans="1:20" hidden="1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  <c r="S565" t="str">
        <f t="shared" si="8"/>
        <v>Quarterly</v>
      </c>
      <c r="T565" cm="1">
        <f t="array" ref="T565">_xlfn.SWITCH(S565,"Annually",6,"Bi-Weekly",2,"Fortnightly",3,"Monthly",4,"Quarterly",5,"Weekly",1)</f>
        <v>5</v>
      </c>
    </row>
    <row r="566" spans="1:20" hidden="1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  <c r="S566" t="str">
        <f t="shared" si="8"/>
        <v>Weekly</v>
      </c>
      <c r="T566" cm="1">
        <f t="array" ref="T566">_xlfn.SWITCH(S566,"Annually",6,"Bi-Weekly",2,"Fortnightly",3,"Monthly",4,"Quarterly",5,"Weekly",1)</f>
        <v>1</v>
      </c>
    </row>
    <row r="567" spans="1:20" hidden="1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  <c r="S567" t="str">
        <f t="shared" si="8"/>
        <v>Weekly</v>
      </c>
      <c r="T567" cm="1">
        <f t="array" ref="T567">_xlfn.SWITCH(S567,"Annually",6,"Bi-Weekly",2,"Fortnightly",3,"Monthly",4,"Quarterly",5,"Weekly",1)</f>
        <v>1</v>
      </c>
    </row>
    <row r="568" spans="1:20" hidden="1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  <c r="S568" t="str">
        <f t="shared" si="8"/>
        <v>Fortnightly</v>
      </c>
      <c r="T568" cm="1">
        <f t="array" ref="T568">_xlfn.SWITCH(S568,"Annually",6,"Bi-Weekly",2,"Fortnightly",3,"Monthly",4,"Quarterly",5,"Weekly",1)</f>
        <v>3</v>
      </c>
    </row>
    <row r="569" spans="1:20" hidden="1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  <c r="S569" t="str">
        <f t="shared" si="8"/>
        <v>Fortnightly</v>
      </c>
      <c r="T569" cm="1">
        <f t="array" ref="T569">_xlfn.SWITCH(S569,"Annually",6,"Bi-Weekly",2,"Fortnightly",3,"Monthly",4,"Quarterly",5,"Weekly",1)</f>
        <v>3</v>
      </c>
    </row>
    <row r="570" spans="1:20" hidden="1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  <c r="S570" t="str">
        <f t="shared" si="8"/>
        <v>Monthly</v>
      </c>
      <c r="T570" cm="1">
        <f t="array" ref="T570">_xlfn.SWITCH(S570,"Annually",6,"Bi-Weekly",2,"Fortnightly",3,"Monthly",4,"Quarterly",5,"Weekly",1)</f>
        <v>4</v>
      </c>
    </row>
    <row r="571" spans="1:20" hidden="1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  <c r="S571" t="str">
        <f t="shared" si="8"/>
        <v>Quarterly</v>
      </c>
      <c r="T571" cm="1">
        <f t="array" ref="T571">_xlfn.SWITCH(S571,"Annually",6,"Bi-Weekly",2,"Fortnightly",3,"Monthly",4,"Quarterly",5,"Weekly",1)</f>
        <v>5</v>
      </c>
    </row>
    <row r="572" spans="1:20" hidden="1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  <c r="S572" t="str">
        <f t="shared" si="8"/>
        <v>Annually</v>
      </c>
      <c r="T572" cm="1">
        <f t="array" ref="T572">_xlfn.SWITCH(S572,"Annually",6,"Bi-Weekly",2,"Fortnightly",3,"Monthly",4,"Quarterly",5,"Weekly",1)</f>
        <v>6</v>
      </c>
    </row>
    <row r="573" spans="1:20" hidden="1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  <c r="S573" t="str">
        <f t="shared" si="8"/>
        <v>Weekly</v>
      </c>
      <c r="T573" cm="1">
        <f t="array" ref="T573">_xlfn.SWITCH(S573,"Annually",6,"Bi-Weekly",2,"Fortnightly",3,"Monthly",4,"Quarterly",5,"Weekly",1)</f>
        <v>1</v>
      </c>
    </row>
    <row r="574" spans="1:20" hidden="1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  <c r="S574" t="str">
        <f t="shared" si="8"/>
        <v>Annually</v>
      </c>
      <c r="T574" cm="1">
        <f t="array" ref="T574">_xlfn.SWITCH(S574,"Annually",6,"Bi-Weekly",2,"Fortnightly",3,"Monthly",4,"Quarterly",5,"Weekly",1)</f>
        <v>6</v>
      </c>
    </row>
    <row r="575" spans="1:20" hidden="1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  <c r="S575" t="str">
        <f t="shared" si="8"/>
        <v>Bi-Weekly</v>
      </c>
      <c r="T575" cm="1">
        <f t="array" ref="T575">_xlfn.SWITCH(S575,"Annually",6,"Bi-Weekly",2,"Fortnightly",3,"Monthly",4,"Quarterly",5,"Weekly",1)</f>
        <v>2</v>
      </c>
    </row>
    <row r="576" spans="1:20" hidden="1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  <c r="S576" t="str">
        <f t="shared" si="8"/>
        <v>Bi-Weekly</v>
      </c>
      <c r="T576" cm="1">
        <f t="array" ref="T576">_xlfn.SWITCH(S576,"Annually",6,"Bi-Weekly",2,"Fortnightly",3,"Monthly",4,"Quarterly",5,"Weekly",1)</f>
        <v>2</v>
      </c>
    </row>
    <row r="577" spans="1:20" hidden="1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  <c r="S577" t="str">
        <f t="shared" si="8"/>
        <v>Monthly</v>
      </c>
      <c r="T577" cm="1">
        <f t="array" ref="T577">_xlfn.SWITCH(S577,"Annually",6,"Bi-Weekly",2,"Fortnightly",3,"Monthly",4,"Quarterly",5,"Weekly",1)</f>
        <v>4</v>
      </c>
    </row>
    <row r="578" spans="1:20" hidden="1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  <c r="S578" t="str">
        <f t="shared" si="8"/>
        <v>Quarterly</v>
      </c>
      <c r="T578" cm="1">
        <f t="array" ref="T578">_xlfn.SWITCH(S578,"Annually",6,"Bi-Weekly",2,"Fortnightly",3,"Monthly",4,"Quarterly",5,"Weekly",1)</f>
        <v>5</v>
      </c>
    </row>
    <row r="579" spans="1:20" hidden="1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  <c r="S579" t="str">
        <f t="shared" ref="S579:S642" si="9">IF(R579="Every 3 Months","Quarterly",R579)</f>
        <v>Annually</v>
      </c>
      <c r="T579" cm="1">
        <f t="array" ref="T579">_xlfn.SWITCH(S579,"Annually",6,"Bi-Weekly",2,"Fortnightly",3,"Monthly",4,"Quarterly",5,"Weekly",1)</f>
        <v>6</v>
      </c>
    </row>
    <row r="580" spans="1:20" hidden="1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  <c r="S580" t="str">
        <f t="shared" si="9"/>
        <v>Fortnightly</v>
      </c>
      <c r="T580" cm="1">
        <f t="array" ref="T580">_xlfn.SWITCH(S580,"Annually",6,"Bi-Weekly",2,"Fortnightly",3,"Monthly",4,"Quarterly",5,"Weekly",1)</f>
        <v>3</v>
      </c>
    </row>
    <row r="581" spans="1:20" hidden="1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  <c r="S581" t="str">
        <f t="shared" si="9"/>
        <v>Annually</v>
      </c>
      <c r="T581" cm="1">
        <f t="array" ref="T581">_xlfn.SWITCH(S581,"Annually",6,"Bi-Weekly",2,"Fortnightly",3,"Monthly",4,"Quarterly",5,"Weekly",1)</f>
        <v>6</v>
      </c>
    </row>
    <row r="582" spans="1:20" hidden="1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  <c r="S582" t="str">
        <f t="shared" si="9"/>
        <v>Weekly</v>
      </c>
      <c r="T582" cm="1">
        <f t="array" ref="T582">_xlfn.SWITCH(S582,"Annually",6,"Bi-Weekly",2,"Fortnightly",3,"Monthly",4,"Quarterly",5,"Weekly",1)</f>
        <v>1</v>
      </c>
    </row>
    <row r="583" spans="1:20" hidden="1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  <c r="S583" t="str">
        <f t="shared" si="9"/>
        <v>Quarterly</v>
      </c>
      <c r="T583" cm="1">
        <f t="array" ref="T583">_xlfn.SWITCH(S583,"Annually",6,"Bi-Weekly",2,"Fortnightly",3,"Monthly",4,"Quarterly",5,"Weekly",1)</f>
        <v>5</v>
      </c>
    </row>
    <row r="584" spans="1:20" hidden="1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  <c r="S584" t="str">
        <f t="shared" si="9"/>
        <v>Quarterly</v>
      </c>
      <c r="T584" cm="1">
        <f t="array" ref="T584">_xlfn.SWITCH(S584,"Annually",6,"Bi-Weekly",2,"Fortnightly",3,"Monthly",4,"Quarterly",5,"Weekly",1)</f>
        <v>5</v>
      </c>
    </row>
    <row r="585" spans="1:20" hidden="1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  <c r="S585" t="str">
        <f t="shared" si="9"/>
        <v>Monthly</v>
      </c>
      <c r="T585" cm="1">
        <f t="array" ref="T585">_xlfn.SWITCH(S585,"Annually",6,"Bi-Weekly",2,"Fortnightly",3,"Monthly",4,"Quarterly",5,"Weekly",1)</f>
        <v>4</v>
      </c>
    </row>
    <row r="586" spans="1:20" hidden="1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  <c r="S586" t="str">
        <f t="shared" si="9"/>
        <v>Monthly</v>
      </c>
      <c r="T586" cm="1">
        <f t="array" ref="T586">_xlfn.SWITCH(S586,"Annually",6,"Bi-Weekly",2,"Fortnightly",3,"Monthly",4,"Quarterly",5,"Weekly",1)</f>
        <v>4</v>
      </c>
    </row>
    <row r="587" spans="1:20" hidden="1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  <c r="S587" t="str">
        <f t="shared" si="9"/>
        <v>Quarterly</v>
      </c>
      <c r="T587" cm="1">
        <f t="array" ref="T587">_xlfn.SWITCH(S587,"Annually",6,"Bi-Weekly",2,"Fortnightly",3,"Monthly",4,"Quarterly",5,"Weekly",1)</f>
        <v>5</v>
      </c>
    </row>
    <row r="588" spans="1:20" hidden="1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  <c r="S588" t="str">
        <f t="shared" si="9"/>
        <v>Annually</v>
      </c>
      <c r="T588" cm="1">
        <f t="array" ref="T588">_xlfn.SWITCH(S588,"Annually",6,"Bi-Weekly",2,"Fortnightly",3,"Monthly",4,"Quarterly",5,"Weekly",1)</f>
        <v>6</v>
      </c>
    </row>
    <row r="589" spans="1:20" hidden="1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  <c r="S589" t="str">
        <f t="shared" si="9"/>
        <v>Quarterly</v>
      </c>
      <c r="T589" cm="1">
        <f t="array" ref="T589">_xlfn.SWITCH(S589,"Annually",6,"Bi-Weekly",2,"Fortnightly",3,"Monthly",4,"Quarterly",5,"Weekly",1)</f>
        <v>5</v>
      </c>
    </row>
    <row r="590" spans="1:20" hidden="1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  <c r="S590" t="str">
        <f t="shared" si="9"/>
        <v>Quarterly</v>
      </c>
      <c r="T590" cm="1">
        <f t="array" ref="T590">_xlfn.SWITCH(S590,"Annually",6,"Bi-Weekly",2,"Fortnightly",3,"Monthly",4,"Quarterly",5,"Weekly",1)</f>
        <v>5</v>
      </c>
    </row>
    <row r="591" spans="1:20" hidden="1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  <c r="S591" t="str">
        <f t="shared" si="9"/>
        <v>Annually</v>
      </c>
      <c r="T591" cm="1">
        <f t="array" ref="T591">_xlfn.SWITCH(S591,"Annually",6,"Bi-Weekly",2,"Fortnightly",3,"Monthly",4,"Quarterly",5,"Weekly",1)</f>
        <v>6</v>
      </c>
    </row>
    <row r="592" spans="1:20" hidden="1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  <c r="S592" t="str">
        <f t="shared" si="9"/>
        <v>Fortnightly</v>
      </c>
      <c r="T592" cm="1">
        <f t="array" ref="T592">_xlfn.SWITCH(S592,"Annually",6,"Bi-Weekly",2,"Fortnightly",3,"Monthly",4,"Quarterly",5,"Weekly",1)</f>
        <v>3</v>
      </c>
    </row>
    <row r="593" spans="1:20" hidden="1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  <c r="S593" t="str">
        <f t="shared" si="9"/>
        <v>Bi-Weekly</v>
      </c>
      <c r="T593" cm="1">
        <f t="array" ref="T593">_xlfn.SWITCH(S593,"Annually",6,"Bi-Weekly",2,"Fortnightly",3,"Monthly",4,"Quarterly",5,"Weekly",1)</f>
        <v>2</v>
      </c>
    </row>
    <row r="594" spans="1:20" hidden="1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  <c r="S594" t="str">
        <f t="shared" si="9"/>
        <v>Quarterly</v>
      </c>
      <c r="T594" cm="1">
        <f t="array" ref="T594">_xlfn.SWITCH(S594,"Annually",6,"Bi-Weekly",2,"Fortnightly",3,"Monthly",4,"Quarterly",5,"Weekly",1)</f>
        <v>5</v>
      </c>
    </row>
    <row r="595" spans="1:20" hidden="1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  <c r="S595" t="str">
        <f t="shared" si="9"/>
        <v>Quarterly</v>
      </c>
      <c r="T595" cm="1">
        <f t="array" ref="T595">_xlfn.SWITCH(S595,"Annually",6,"Bi-Weekly",2,"Fortnightly",3,"Monthly",4,"Quarterly",5,"Weekly",1)</f>
        <v>5</v>
      </c>
    </row>
    <row r="596" spans="1:20" hidden="1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  <c r="S596" t="str">
        <f t="shared" si="9"/>
        <v>Monthly</v>
      </c>
      <c r="T596" cm="1">
        <f t="array" ref="T596">_xlfn.SWITCH(S596,"Annually",6,"Bi-Weekly",2,"Fortnightly",3,"Monthly",4,"Quarterly",5,"Weekly",1)</f>
        <v>4</v>
      </c>
    </row>
    <row r="597" spans="1:20" hidden="1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  <c r="S597" t="str">
        <f t="shared" si="9"/>
        <v>Quarterly</v>
      </c>
      <c r="T597" cm="1">
        <f t="array" ref="T597">_xlfn.SWITCH(S597,"Annually",6,"Bi-Weekly",2,"Fortnightly",3,"Monthly",4,"Quarterly",5,"Weekly",1)</f>
        <v>5</v>
      </c>
    </row>
    <row r="598" spans="1:20" hidden="1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  <c r="S598" t="str">
        <f t="shared" si="9"/>
        <v>Annually</v>
      </c>
      <c r="T598" cm="1">
        <f t="array" ref="T598">_xlfn.SWITCH(S598,"Annually",6,"Bi-Weekly",2,"Fortnightly",3,"Monthly",4,"Quarterly",5,"Weekly",1)</f>
        <v>6</v>
      </c>
    </row>
    <row r="599" spans="1:20" hidden="1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  <c r="S599" t="str">
        <f t="shared" si="9"/>
        <v>Fortnightly</v>
      </c>
      <c r="T599" cm="1">
        <f t="array" ref="T599">_xlfn.SWITCH(S599,"Annually",6,"Bi-Weekly",2,"Fortnightly",3,"Monthly",4,"Quarterly",5,"Weekly",1)</f>
        <v>3</v>
      </c>
    </row>
    <row r="600" spans="1:20" hidden="1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  <c r="S600" t="str">
        <f t="shared" si="9"/>
        <v>Quarterly</v>
      </c>
      <c r="T600" cm="1">
        <f t="array" ref="T600">_xlfn.SWITCH(S600,"Annually",6,"Bi-Weekly",2,"Fortnightly",3,"Monthly",4,"Quarterly",5,"Weekly",1)</f>
        <v>5</v>
      </c>
    </row>
    <row r="601" spans="1:20" hidden="1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  <c r="S601" t="str">
        <f t="shared" si="9"/>
        <v>Quarterly</v>
      </c>
      <c r="T601" cm="1">
        <f t="array" ref="T601">_xlfn.SWITCH(S601,"Annually",6,"Bi-Weekly",2,"Fortnightly",3,"Monthly",4,"Quarterly",5,"Weekly",1)</f>
        <v>5</v>
      </c>
    </row>
    <row r="602" spans="1:20" hidden="1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  <c r="S602" t="str">
        <f t="shared" si="9"/>
        <v>Monthly</v>
      </c>
      <c r="T602" cm="1">
        <f t="array" ref="T602">_xlfn.SWITCH(S602,"Annually",6,"Bi-Weekly",2,"Fortnightly",3,"Monthly",4,"Quarterly",5,"Weekly",1)</f>
        <v>4</v>
      </c>
    </row>
    <row r="603" spans="1:20" hidden="1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  <c r="S603" t="str">
        <f t="shared" si="9"/>
        <v>Fortnightly</v>
      </c>
      <c r="T603" cm="1">
        <f t="array" ref="T603">_xlfn.SWITCH(S603,"Annually",6,"Bi-Weekly",2,"Fortnightly",3,"Monthly",4,"Quarterly",5,"Weekly",1)</f>
        <v>3</v>
      </c>
    </row>
    <row r="604" spans="1:20" hidden="1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  <c r="S604" t="str">
        <f t="shared" si="9"/>
        <v>Quarterly</v>
      </c>
      <c r="T604" cm="1">
        <f t="array" ref="T604">_xlfn.SWITCH(S604,"Annually",6,"Bi-Weekly",2,"Fortnightly",3,"Monthly",4,"Quarterly",5,"Weekly",1)</f>
        <v>5</v>
      </c>
    </row>
    <row r="605" spans="1:20" hidden="1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  <c r="S605" t="str">
        <f t="shared" si="9"/>
        <v>Quarterly</v>
      </c>
      <c r="T605" cm="1">
        <f t="array" ref="T605">_xlfn.SWITCH(S605,"Annually",6,"Bi-Weekly",2,"Fortnightly",3,"Monthly",4,"Quarterly",5,"Weekly",1)</f>
        <v>5</v>
      </c>
    </row>
    <row r="606" spans="1:20" hidden="1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  <c r="S606" t="str">
        <f t="shared" si="9"/>
        <v>Quarterly</v>
      </c>
      <c r="T606" cm="1">
        <f t="array" ref="T606">_xlfn.SWITCH(S606,"Annually",6,"Bi-Weekly",2,"Fortnightly",3,"Monthly",4,"Quarterly",5,"Weekly",1)</f>
        <v>5</v>
      </c>
    </row>
    <row r="607" spans="1:20" hidden="1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  <c r="S607" t="str">
        <f t="shared" si="9"/>
        <v>Weekly</v>
      </c>
      <c r="T607" cm="1">
        <f t="array" ref="T607">_xlfn.SWITCH(S607,"Annually",6,"Bi-Weekly",2,"Fortnightly",3,"Monthly",4,"Quarterly",5,"Weekly",1)</f>
        <v>1</v>
      </c>
    </row>
    <row r="608" spans="1:20" hidden="1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  <c r="S608" t="str">
        <f t="shared" si="9"/>
        <v>Monthly</v>
      </c>
      <c r="T608" cm="1">
        <f t="array" ref="T608">_xlfn.SWITCH(S608,"Annually",6,"Bi-Weekly",2,"Fortnightly",3,"Monthly",4,"Quarterly",5,"Weekly",1)</f>
        <v>4</v>
      </c>
    </row>
    <row r="609" spans="1:20" hidden="1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  <c r="S609" t="str">
        <f t="shared" si="9"/>
        <v>Monthly</v>
      </c>
      <c r="T609" cm="1">
        <f t="array" ref="T609">_xlfn.SWITCH(S609,"Annually",6,"Bi-Weekly",2,"Fortnightly",3,"Monthly",4,"Quarterly",5,"Weekly",1)</f>
        <v>4</v>
      </c>
    </row>
    <row r="610" spans="1:20" hidden="1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  <c r="S610" t="str">
        <f t="shared" si="9"/>
        <v>Quarterly</v>
      </c>
      <c r="T610" cm="1">
        <f t="array" ref="T610">_xlfn.SWITCH(S610,"Annually",6,"Bi-Weekly",2,"Fortnightly",3,"Monthly",4,"Quarterly",5,"Weekly",1)</f>
        <v>5</v>
      </c>
    </row>
    <row r="611" spans="1:20" hidden="1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  <c r="S611" t="str">
        <f t="shared" si="9"/>
        <v>Fortnightly</v>
      </c>
      <c r="T611" cm="1">
        <f t="array" ref="T611">_xlfn.SWITCH(S611,"Annually",6,"Bi-Weekly",2,"Fortnightly",3,"Monthly",4,"Quarterly",5,"Weekly",1)</f>
        <v>3</v>
      </c>
    </row>
    <row r="612" spans="1:20" hidden="1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  <c r="S612" t="str">
        <f t="shared" si="9"/>
        <v>Quarterly</v>
      </c>
      <c r="T612" cm="1">
        <f t="array" ref="T612">_xlfn.SWITCH(S612,"Annually",6,"Bi-Weekly",2,"Fortnightly",3,"Monthly",4,"Quarterly",5,"Weekly",1)</f>
        <v>5</v>
      </c>
    </row>
    <row r="613" spans="1:20" hidden="1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  <c r="S613" t="str">
        <f t="shared" si="9"/>
        <v>Monthly</v>
      </c>
      <c r="T613" cm="1">
        <f t="array" ref="T613">_xlfn.SWITCH(S613,"Annually",6,"Bi-Weekly",2,"Fortnightly",3,"Monthly",4,"Quarterly",5,"Weekly",1)</f>
        <v>4</v>
      </c>
    </row>
    <row r="614" spans="1:20" hidden="1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  <c r="S614" t="str">
        <f t="shared" si="9"/>
        <v>Quarterly</v>
      </c>
      <c r="T614" cm="1">
        <f t="array" ref="T614">_xlfn.SWITCH(S614,"Annually",6,"Bi-Weekly",2,"Fortnightly",3,"Monthly",4,"Quarterly",5,"Weekly",1)</f>
        <v>5</v>
      </c>
    </row>
    <row r="615" spans="1:20" hidden="1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  <c r="S615" t="str">
        <f t="shared" si="9"/>
        <v>Bi-Weekly</v>
      </c>
      <c r="T615" cm="1">
        <f t="array" ref="T615">_xlfn.SWITCH(S615,"Annually",6,"Bi-Weekly",2,"Fortnightly",3,"Monthly",4,"Quarterly",5,"Weekly",1)</f>
        <v>2</v>
      </c>
    </row>
    <row r="616" spans="1:20" hidden="1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  <c r="S616" t="str">
        <f t="shared" si="9"/>
        <v>Bi-Weekly</v>
      </c>
      <c r="T616" cm="1">
        <f t="array" ref="T616">_xlfn.SWITCH(S616,"Annually",6,"Bi-Weekly",2,"Fortnightly",3,"Monthly",4,"Quarterly",5,"Weekly",1)</f>
        <v>2</v>
      </c>
    </row>
    <row r="617" spans="1:20" hidden="1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  <c r="S617" t="str">
        <f t="shared" si="9"/>
        <v>Annually</v>
      </c>
      <c r="T617" cm="1">
        <f t="array" ref="T617">_xlfn.SWITCH(S617,"Annually",6,"Bi-Weekly",2,"Fortnightly",3,"Monthly",4,"Quarterly",5,"Weekly",1)</f>
        <v>6</v>
      </c>
    </row>
    <row r="618" spans="1:20" hidden="1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  <c r="S618" t="str">
        <f t="shared" si="9"/>
        <v>Quarterly</v>
      </c>
      <c r="T618" cm="1">
        <f t="array" ref="T618">_xlfn.SWITCH(S618,"Annually",6,"Bi-Weekly",2,"Fortnightly",3,"Monthly",4,"Quarterly",5,"Weekly",1)</f>
        <v>5</v>
      </c>
    </row>
    <row r="619" spans="1:20" hidden="1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  <c r="S619" t="str">
        <f t="shared" si="9"/>
        <v>Quarterly</v>
      </c>
      <c r="T619" cm="1">
        <f t="array" ref="T619">_xlfn.SWITCH(S619,"Annually",6,"Bi-Weekly",2,"Fortnightly",3,"Monthly",4,"Quarterly",5,"Weekly",1)</f>
        <v>5</v>
      </c>
    </row>
    <row r="620" spans="1:20" hidden="1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  <c r="S620" t="str">
        <f t="shared" si="9"/>
        <v>Bi-Weekly</v>
      </c>
      <c r="T620" cm="1">
        <f t="array" ref="T620">_xlfn.SWITCH(S620,"Annually",6,"Bi-Weekly",2,"Fortnightly",3,"Monthly",4,"Quarterly",5,"Weekly",1)</f>
        <v>2</v>
      </c>
    </row>
    <row r="621" spans="1:20" hidden="1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  <c r="S621" t="str">
        <f t="shared" si="9"/>
        <v>Quarterly</v>
      </c>
      <c r="T621" cm="1">
        <f t="array" ref="T621">_xlfn.SWITCH(S621,"Annually",6,"Bi-Weekly",2,"Fortnightly",3,"Monthly",4,"Quarterly",5,"Weekly",1)</f>
        <v>5</v>
      </c>
    </row>
    <row r="622" spans="1:20" hidden="1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  <c r="S622" t="str">
        <f t="shared" si="9"/>
        <v>Quarterly</v>
      </c>
      <c r="T622" cm="1">
        <f t="array" ref="T622">_xlfn.SWITCH(S622,"Annually",6,"Bi-Weekly",2,"Fortnightly",3,"Monthly",4,"Quarterly",5,"Weekly",1)</f>
        <v>5</v>
      </c>
    </row>
    <row r="623" spans="1:20" hidden="1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  <c r="S623" t="str">
        <f t="shared" si="9"/>
        <v>Weekly</v>
      </c>
      <c r="T623" cm="1">
        <f t="array" ref="T623">_xlfn.SWITCH(S623,"Annually",6,"Bi-Weekly",2,"Fortnightly",3,"Monthly",4,"Quarterly",5,"Weekly",1)</f>
        <v>1</v>
      </c>
    </row>
    <row r="624" spans="1:20" hidden="1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  <c r="S624" t="str">
        <f t="shared" si="9"/>
        <v>Fortnightly</v>
      </c>
      <c r="T624" cm="1">
        <f t="array" ref="T624">_xlfn.SWITCH(S624,"Annually",6,"Bi-Weekly",2,"Fortnightly",3,"Monthly",4,"Quarterly",5,"Weekly",1)</f>
        <v>3</v>
      </c>
    </row>
    <row r="625" spans="1:20" hidden="1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  <c r="S625" t="str">
        <f t="shared" si="9"/>
        <v>Bi-Weekly</v>
      </c>
      <c r="T625" cm="1">
        <f t="array" ref="T625">_xlfn.SWITCH(S625,"Annually",6,"Bi-Weekly",2,"Fortnightly",3,"Monthly",4,"Quarterly",5,"Weekly",1)</f>
        <v>2</v>
      </c>
    </row>
    <row r="626" spans="1:20" hidden="1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  <c r="S626" t="str">
        <f t="shared" si="9"/>
        <v>Annually</v>
      </c>
      <c r="T626" cm="1">
        <f t="array" ref="T626">_xlfn.SWITCH(S626,"Annually",6,"Bi-Weekly",2,"Fortnightly",3,"Monthly",4,"Quarterly",5,"Weekly",1)</f>
        <v>6</v>
      </c>
    </row>
    <row r="627" spans="1:20" hidden="1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  <c r="S627" t="str">
        <f t="shared" si="9"/>
        <v>Weekly</v>
      </c>
      <c r="T627" cm="1">
        <f t="array" ref="T627">_xlfn.SWITCH(S627,"Annually",6,"Bi-Weekly",2,"Fortnightly",3,"Monthly",4,"Quarterly",5,"Weekly",1)</f>
        <v>1</v>
      </c>
    </row>
    <row r="628" spans="1:20" hidden="1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  <c r="S628" t="str">
        <f t="shared" si="9"/>
        <v>Annually</v>
      </c>
      <c r="T628" cm="1">
        <f t="array" ref="T628">_xlfn.SWITCH(S628,"Annually",6,"Bi-Weekly",2,"Fortnightly",3,"Monthly",4,"Quarterly",5,"Weekly",1)</f>
        <v>6</v>
      </c>
    </row>
    <row r="629" spans="1:20" hidden="1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  <c r="S629" t="str">
        <f t="shared" si="9"/>
        <v>Monthly</v>
      </c>
      <c r="T629" cm="1">
        <f t="array" ref="T629">_xlfn.SWITCH(S629,"Annually",6,"Bi-Weekly",2,"Fortnightly",3,"Monthly",4,"Quarterly",5,"Weekly",1)</f>
        <v>4</v>
      </c>
    </row>
    <row r="630" spans="1:20" hidden="1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  <c r="S630" t="str">
        <f t="shared" si="9"/>
        <v>Monthly</v>
      </c>
      <c r="T630" cm="1">
        <f t="array" ref="T630">_xlfn.SWITCH(S630,"Annually",6,"Bi-Weekly",2,"Fortnightly",3,"Monthly",4,"Quarterly",5,"Weekly",1)</f>
        <v>4</v>
      </c>
    </row>
    <row r="631" spans="1:20" hidden="1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  <c r="S631" t="str">
        <f t="shared" si="9"/>
        <v>Annually</v>
      </c>
      <c r="T631" cm="1">
        <f t="array" ref="T631">_xlfn.SWITCH(S631,"Annually",6,"Bi-Weekly",2,"Fortnightly",3,"Monthly",4,"Quarterly",5,"Weekly",1)</f>
        <v>6</v>
      </c>
    </row>
    <row r="632" spans="1:20" hidden="1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  <c r="S632" t="str">
        <f t="shared" si="9"/>
        <v>Annually</v>
      </c>
      <c r="T632" cm="1">
        <f t="array" ref="T632">_xlfn.SWITCH(S632,"Annually",6,"Bi-Weekly",2,"Fortnightly",3,"Monthly",4,"Quarterly",5,"Weekly",1)</f>
        <v>6</v>
      </c>
    </row>
    <row r="633" spans="1:20" hidden="1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  <c r="S633" t="str">
        <f t="shared" si="9"/>
        <v>Fortnightly</v>
      </c>
      <c r="T633" cm="1">
        <f t="array" ref="T633">_xlfn.SWITCH(S633,"Annually",6,"Bi-Weekly",2,"Fortnightly",3,"Monthly",4,"Quarterly",5,"Weekly",1)</f>
        <v>3</v>
      </c>
    </row>
    <row r="634" spans="1:20" hidden="1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  <c r="S634" t="str">
        <f t="shared" si="9"/>
        <v>Fortnightly</v>
      </c>
      <c r="T634" cm="1">
        <f t="array" ref="T634">_xlfn.SWITCH(S634,"Annually",6,"Bi-Weekly",2,"Fortnightly",3,"Monthly",4,"Quarterly",5,"Weekly",1)</f>
        <v>3</v>
      </c>
    </row>
    <row r="635" spans="1:20" hidden="1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  <c r="S635" t="str">
        <f t="shared" si="9"/>
        <v>Quarterly</v>
      </c>
      <c r="T635" cm="1">
        <f t="array" ref="T635">_xlfn.SWITCH(S635,"Annually",6,"Bi-Weekly",2,"Fortnightly",3,"Monthly",4,"Quarterly",5,"Weekly",1)</f>
        <v>5</v>
      </c>
    </row>
    <row r="636" spans="1:20" hidden="1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  <c r="S636" t="str">
        <f t="shared" si="9"/>
        <v>Weekly</v>
      </c>
      <c r="T636" cm="1">
        <f t="array" ref="T636">_xlfn.SWITCH(S636,"Annually",6,"Bi-Weekly",2,"Fortnightly",3,"Monthly",4,"Quarterly",5,"Weekly",1)</f>
        <v>1</v>
      </c>
    </row>
    <row r="637" spans="1:20" hidden="1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  <c r="S637" t="str">
        <f t="shared" si="9"/>
        <v>Quarterly</v>
      </c>
      <c r="T637" cm="1">
        <f t="array" ref="T637">_xlfn.SWITCH(S637,"Annually",6,"Bi-Weekly",2,"Fortnightly",3,"Monthly",4,"Quarterly",5,"Weekly",1)</f>
        <v>5</v>
      </c>
    </row>
    <row r="638" spans="1:20" hidden="1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  <c r="S638" t="str">
        <f t="shared" si="9"/>
        <v>Quarterly</v>
      </c>
      <c r="T638" cm="1">
        <f t="array" ref="T638">_xlfn.SWITCH(S638,"Annually",6,"Bi-Weekly",2,"Fortnightly",3,"Monthly",4,"Quarterly",5,"Weekly",1)</f>
        <v>5</v>
      </c>
    </row>
    <row r="639" spans="1:20" hidden="1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  <c r="S639" t="str">
        <f t="shared" si="9"/>
        <v>Fortnightly</v>
      </c>
      <c r="T639" cm="1">
        <f t="array" ref="T639">_xlfn.SWITCH(S639,"Annually",6,"Bi-Weekly",2,"Fortnightly",3,"Monthly",4,"Quarterly",5,"Weekly",1)</f>
        <v>3</v>
      </c>
    </row>
    <row r="640" spans="1:20" hidden="1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  <c r="S640" t="str">
        <f t="shared" si="9"/>
        <v>Monthly</v>
      </c>
      <c r="T640" cm="1">
        <f t="array" ref="T640">_xlfn.SWITCH(S640,"Annually",6,"Bi-Weekly",2,"Fortnightly",3,"Monthly",4,"Quarterly",5,"Weekly",1)</f>
        <v>4</v>
      </c>
    </row>
    <row r="641" spans="1:20" hidden="1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  <c r="S641" t="str">
        <f t="shared" si="9"/>
        <v>Annually</v>
      </c>
      <c r="T641" cm="1">
        <f t="array" ref="T641">_xlfn.SWITCH(S641,"Annually",6,"Bi-Weekly",2,"Fortnightly",3,"Monthly",4,"Quarterly",5,"Weekly",1)</f>
        <v>6</v>
      </c>
    </row>
    <row r="642" spans="1:20" hidden="1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  <c r="S642" t="str">
        <f t="shared" si="9"/>
        <v>Fortnightly</v>
      </c>
      <c r="T642" cm="1">
        <f t="array" ref="T642">_xlfn.SWITCH(S642,"Annually",6,"Bi-Weekly",2,"Fortnightly",3,"Monthly",4,"Quarterly",5,"Weekly",1)</f>
        <v>3</v>
      </c>
    </row>
    <row r="643" spans="1:20" hidden="1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  <c r="S643" t="str">
        <f t="shared" ref="S643:S706" si="10">IF(R643="Every 3 Months","Quarterly",R643)</f>
        <v>Quarterly</v>
      </c>
      <c r="T643" cm="1">
        <f t="array" ref="T643">_xlfn.SWITCH(S643,"Annually",6,"Bi-Weekly",2,"Fortnightly",3,"Monthly",4,"Quarterly",5,"Weekly",1)</f>
        <v>5</v>
      </c>
    </row>
    <row r="644" spans="1:20" hidden="1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  <c r="S644" t="str">
        <f t="shared" si="10"/>
        <v>Bi-Weekly</v>
      </c>
      <c r="T644" cm="1">
        <f t="array" ref="T644">_xlfn.SWITCH(S644,"Annually",6,"Bi-Weekly",2,"Fortnightly",3,"Monthly",4,"Quarterly",5,"Weekly",1)</f>
        <v>2</v>
      </c>
    </row>
    <row r="645" spans="1:20" hidden="1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  <c r="S645" t="str">
        <f t="shared" si="10"/>
        <v>Quarterly</v>
      </c>
      <c r="T645" cm="1">
        <f t="array" ref="T645">_xlfn.SWITCH(S645,"Annually",6,"Bi-Weekly",2,"Fortnightly",3,"Monthly",4,"Quarterly",5,"Weekly",1)</f>
        <v>5</v>
      </c>
    </row>
    <row r="646" spans="1:20" hidden="1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  <c r="S646" t="str">
        <f t="shared" si="10"/>
        <v>Weekly</v>
      </c>
      <c r="T646" cm="1">
        <f t="array" ref="T646">_xlfn.SWITCH(S646,"Annually",6,"Bi-Weekly",2,"Fortnightly",3,"Monthly",4,"Quarterly",5,"Weekly",1)</f>
        <v>1</v>
      </c>
    </row>
    <row r="647" spans="1:20" hidden="1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  <c r="S647" t="str">
        <f t="shared" si="10"/>
        <v>Bi-Weekly</v>
      </c>
      <c r="T647" cm="1">
        <f t="array" ref="T647">_xlfn.SWITCH(S647,"Annually",6,"Bi-Weekly",2,"Fortnightly",3,"Monthly",4,"Quarterly",5,"Weekly",1)</f>
        <v>2</v>
      </c>
    </row>
    <row r="648" spans="1:20" hidden="1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  <c r="S648" t="str">
        <f t="shared" si="10"/>
        <v>Bi-Weekly</v>
      </c>
      <c r="T648" cm="1">
        <f t="array" ref="T648">_xlfn.SWITCH(S648,"Annually",6,"Bi-Weekly",2,"Fortnightly",3,"Monthly",4,"Quarterly",5,"Weekly",1)</f>
        <v>2</v>
      </c>
    </row>
    <row r="649" spans="1:20" hidden="1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  <c r="S649" t="str">
        <f t="shared" si="10"/>
        <v>Fortnightly</v>
      </c>
      <c r="T649" cm="1">
        <f t="array" ref="T649">_xlfn.SWITCH(S649,"Annually",6,"Bi-Weekly",2,"Fortnightly",3,"Monthly",4,"Quarterly",5,"Weekly",1)</f>
        <v>3</v>
      </c>
    </row>
    <row r="650" spans="1:20" hidden="1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  <c r="S650" t="str">
        <f t="shared" si="10"/>
        <v>Weekly</v>
      </c>
      <c r="T650" cm="1">
        <f t="array" ref="T650">_xlfn.SWITCH(S650,"Annually",6,"Bi-Weekly",2,"Fortnightly",3,"Monthly",4,"Quarterly",5,"Weekly",1)</f>
        <v>1</v>
      </c>
    </row>
    <row r="651" spans="1:20" hidden="1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  <c r="S651" t="str">
        <f t="shared" si="10"/>
        <v>Quarterly</v>
      </c>
      <c r="T651" cm="1">
        <f t="array" ref="T651">_xlfn.SWITCH(S651,"Annually",6,"Bi-Weekly",2,"Fortnightly",3,"Monthly",4,"Quarterly",5,"Weekly",1)</f>
        <v>5</v>
      </c>
    </row>
    <row r="652" spans="1:20" hidden="1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  <c r="S652" t="str">
        <f t="shared" si="10"/>
        <v>Annually</v>
      </c>
      <c r="T652" cm="1">
        <f t="array" ref="T652">_xlfn.SWITCH(S652,"Annually",6,"Bi-Weekly",2,"Fortnightly",3,"Monthly",4,"Quarterly",5,"Weekly",1)</f>
        <v>6</v>
      </c>
    </row>
    <row r="653" spans="1:20" hidden="1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  <c r="S653" t="str">
        <f t="shared" si="10"/>
        <v>Fortnightly</v>
      </c>
      <c r="T653" cm="1">
        <f t="array" ref="T653">_xlfn.SWITCH(S653,"Annually",6,"Bi-Weekly",2,"Fortnightly",3,"Monthly",4,"Quarterly",5,"Weekly",1)</f>
        <v>3</v>
      </c>
    </row>
    <row r="654" spans="1:20" hidden="1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  <c r="S654" t="str">
        <f t="shared" si="10"/>
        <v>Weekly</v>
      </c>
      <c r="T654" cm="1">
        <f t="array" ref="T654">_xlfn.SWITCH(S654,"Annually",6,"Bi-Weekly",2,"Fortnightly",3,"Monthly",4,"Quarterly",5,"Weekly",1)</f>
        <v>1</v>
      </c>
    </row>
    <row r="655" spans="1:20" hidden="1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  <c r="S655" t="str">
        <f t="shared" si="10"/>
        <v>Fortnightly</v>
      </c>
      <c r="T655" cm="1">
        <f t="array" ref="T655">_xlfn.SWITCH(S655,"Annually",6,"Bi-Weekly",2,"Fortnightly",3,"Monthly",4,"Quarterly",5,"Weekly",1)</f>
        <v>3</v>
      </c>
    </row>
    <row r="656" spans="1:20" hidden="1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  <c r="S656" t="str">
        <f t="shared" si="10"/>
        <v>Annually</v>
      </c>
      <c r="T656" cm="1">
        <f t="array" ref="T656">_xlfn.SWITCH(S656,"Annually",6,"Bi-Weekly",2,"Fortnightly",3,"Monthly",4,"Quarterly",5,"Weekly",1)</f>
        <v>6</v>
      </c>
    </row>
    <row r="657" spans="1:20" hidden="1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  <c r="S657" t="str">
        <f t="shared" si="10"/>
        <v>Monthly</v>
      </c>
      <c r="T657" cm="1">
        <f t="array" ref="T657">_xlfn.SWITCH(S657,"Annually",6,"Bi-Weekly",2,"Fortnightly",3,"Monthly",4,"Quarterly",5,"Weekly",1)</f>
        <v>4</v>
      </c>
    </row>
    <row r="658" spans="1:20" hidden="1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  <c r="S658" t="str">
        <f t="shared" si="10"/>
        <v>Quarterly</v>
      </c>
      <c r="T658" cm="1">
        <f t="array" ref="T658">_xlfn.SWITCH(S658,"Annually",6,"Bi-Weekly",2,"Fortnightly",3,"Monthly",4,"Quarterly",5,"Weekly",1)</f>
        <v>5</v>
      </c>
    </row>
    <row r="659" spans="1:20" hidden="1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  <c r="S659" t="str">
        <f t="shared" si="10"/>
        <v>Quarterly</v>
      </c>
      <c r="T659" cm="1">
        <f t="array" ref="T659">_xlfn.SWITCH(S659,"Annually",6,"Bi-Weekly",2,"Fortnightly",3,"Monthly",4,"Quarterly",5,"Weekly",1)</f>
        <v>5</v>
      </c>
    </row>
    <row r="660" spans="1:20" hidden="1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  <c r="S660" t="str">
        <f t="shared" si="10"/>
        <v>Weekly</v>
      </c>
      <c r="T660" cm="1">
        <f t="array" ref="T660">_xlfn.SWITCH(S660,"Annually",6,"Bi-Weekly",2,"Fortnightly",3,"Monthly",4,"Quarterly",5,"Weekly",1)</f>
        <v>1</v>
      </c>
    </row>
    <row r="661" spans="1:20" hidden="1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  <c r="S661" t="str">
        <f t="shared" si="10"/>
        <v>Weekly</v>
      </c>
      <c r="T661" cm="1">
        <f t="array" ref="T661">_xlfn.SWITCH(S661,"Annually",6,"Bi-Weekly",2,"Fortnightly",3,"Monthly",4,"Quarterly",5,"Weekly",1)</f>
        <v>1</v>
      </c>
    </row>
    <row r="662" spans="1:20" hidden="1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  <c r="S662" t="str">
        <f t="shared" si="10"/>
        <v>Quarterly</v>
      </c>
      <c r="T662" cm="1">
        <f t="array" ref="T662">_xlfn.SWITCH(S662,"Annually",6,"Bi-Weekly",2,"Fortnightly",3,"Monthly",4,"Quarterly",5,"Weekly",1)</f>
        <v>5</v>
      </c>
    </row>
    <row r="663" spans="1:20" hidden="1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  <c r="S663" t="str">
        <f t="shared" si="10"/>
        <v>Quarterly</v>
      </c>
      <c r="T663" cm="1">
        <f t="array" ref="T663">_xlfn.SWITCH(S663,"Annually",6,"Bi-Weekly",2,"Fortnightly",3,"Monthly",4,"Quarterly",5,"Weekly",1)</f>
        <v>5</v>
      </c>
    </row>
    <row r="664" spans="1:20" hidden="1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  <c r="S664" t="str">
        <f t="shared" si="10"/>
        <v>Bi-Weekly</v>
      </c>
      <c r="T664" cm="1">
        <f t="array" ref="T664">_xlfn.SWITCH(S664,"Annually",6,"Bi-Weekly",2,"Fortnightly",3,"Monthly",4,"Quarterly",5,"Weekly",1)</f>
        <v>2</v>
      </c>
    </row>
    <row r="665" spans="1:20" hidden="1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  <c r="S665" t="str">
        <f t="shared" si="10"/>
        <v>Monthly</v>
      </c>
      <c r="T665" cm="1">
        <f t="array" ref="T665">_xlfn.SWITCH(S665,"Annually",6,"Bi-Weekly",2,"Fortnightly",3,"Monthly",4,"Quarterly",5,"Weekly",1)</f>
        <v>4</v>
      </c>
    </row>
    <row r="666" spans="1:20" hidden="1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  <c r="S666" t="str">
        <f t="shared" si="10"/>
        <v>Bi-Weekly</v>
      </c>
      <c r="T666" cm="1">
        <f t="array" ref="T666">_xlfn.SWITCH(S666,"Annually",6,"Bi-Weekly",2,"Fortnightly",3,"Monthly",4,"Quarterly",5,"Weekly",1)</f>
        <v>2</v>
      </c>
    </row>
    <row r="667" spans="1:20" hidden="1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  <c r="S667" t="str">
        <f t="shared" si="10"/>
        <v>Annually</v>
      </c>
      <c r="T667" cm="1">
        <f t="array" ref="T667">_xlfn.SWITCH(S667,"Annually",6,"Bi-Weekly",2,"Fortnightly",3,"Monthly",4,"Quarterly",5,"Weekly",1)</f>
        <v>6</v>
      </c>
    </row>
    <row r="668" spans="1:20" hidden="1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  <c r="S668" t="str">
        <f t="shared" si="10"/>
        <v>Quarterly</v>
      </c>
      <c r="T668" cm="1">
        <f t="array" ref="T668">_xlfn.SWITCH(S668,"Annually",6,"Bi-Weekly",2,"Fortnightly",3,"Monthly",4,"Quarterly",5,"Weekly",1)</f>
        <v>5</v>
      </c>
    </row>
    <row r="669" spans="1:20" hidden="1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  <c r="S669" t="str">
        <f t="shared" si="10"/>
        <v>Quarterly</v>
      </c>
      <c r="T669" cm="1">
        <f t="array" ref="T669">_xlfn.SWITCH(S669,"Annually",6,"Bi-Weekly",2,"Fortnightly",3,"Monthly",4,"Quarterly",5,"Weekly",1)</f>
        <v>5</v>
      </c>
    </row>
    <row r="670" spans="1:20" hidden="1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  <c r="S670" t="str">
        <f t="shared" si="10"/>
        <v>Monthly</v>
      </c>
      <c r="T670" cm="1">
        <f t="array" ref="T670">_xlfn.SWITCH(S670,"Annually",6,"Bi-Weekly",2,"Fortnightly",3,"Monthly",4,"Quarterly",5,"Weekly",1)</f>
        <v>4</v>
      </c>
    </row>
    <row r="671" spans="1:20" hidden="1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  <c r="S671" t="str">
        <f t="shared" si="10"/>
        <v>Bi-Weekly</v>
      </c>
      <c r="T671" cm="1">
        <f t="array" ref="T671">_xlfn.SWITCH(S671,"Annually",6,"Bi-Weekly",2,"Fortnightly",3,"Monthly",4,"Quarterly",5,"Weekly",1)</f>
        <v>2</v>
      </c>
    </row>
    <row r="672" spans="1:20" hidden="1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  <c r="S672" t="str">
        <f t="shared" si="10"/>
        <v>Bi-Weekly</v>
      </c>
      <c r="T672" cm="1">
        <f t="array" ref="T672">_xlfn.SWITCH(S672,"Annually",6,"Bi-Weekly",2,"Fortnightly",3,"Monthly",4,"Quarterly",5,"Weekly",1)</f>
        <v>2</v>
      </c>
    </row>
    <row r="673" spans="1:20" hidden="1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  <c r="S673" t="str">
        <f t="shared" si="10"/>
        <v>Weekly</v>
      </c>
      <c r="T673" cm="1">
        <f t="array" ref="T673">_xlfn.SWITCH(S673,"Annually",6,"Bi-Weekly",2,"Fortnightly",3,"Monthly",4,"Quarterly",5,"Weekly",1)</f>
        <v>1</v>
      </c>
    </row>
    <row r="674" spans="1:20" hidden="1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  <c r="S674" t="str">
        <f t="shared" si="10"/>
        <v>Quarterly</v>
      </c>
      <c r="T674" cm="1">
        <f t="array" ref="T674">_xlfn.SWITCH(S674,"Annually",6,"Bi-Weekly",2,"Fortnightly",3,"Monthly",4,"Quarterly",5,"Weekly",1)</f>
        <v>5</v>
      </c>
    </row>
    <row r="675" spans="1:20" hidden="1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  <c r="S675" t="str">
        <f t="shared" si="10"/>
        <v>Bi-Weekly</v>
      </c>
      <c r="T675" cm="1">
        <f t="array" ref="T675">_xlfn.SWITCH(S675,"Annually",6,"Bi-Weekly",2,"Fortnightly",3,"Monthly",4,"Quarterly",5,"Weekly",1)</f>
        <v>2</v>
      </c>
    </row>
    <row r="676" spans="1:20" hidden="1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  <c r="S676" t="str">
        <f t="shared" si="10"/>
        <v>Annually</v>
      </c>
      <c r="T676" cm="1">
        <f t="array" ref="T676">_xlfn.SWITCH(S676,"Annually",6,"Bi-Weekly",2,"Fortnightly",3,"Monthly",4,"Quarterly",5,"Weekly",1)</f>
        <v>6</v>
      </c>
    </row>
    <row r="677" spans="1:20" hidden="1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  <c r="S677" t="str">
        <f t="shared" si="10"/>
        <v>Annually</v>
      </c>
      <c r="T677" cm="1">
        <f t="array" ref="T677">_xlfn.SWITCH(S677,"Annually",6,"Bi-Weekly",2,"Fortnightly",3,"Monthly",4,"Quarterly",5,"Weekly",1)</f>
        <v>6</v>
      </c>
    </row>
    <row r="678" spans="1:20" hidden="1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  <c r="S678" t="str">
        <f t="shared" si="10"/>
        <v>Bi-Weekly</v>
      </c>
      <c r="T678" cm="1">
        <f t="array" ref="T678">_xlfn.SWITCH(S678,"Annually",6,"Bi-Weekly",2,"Fortnightly",3,"Monthly",4,"Quarterly",5,"Weekly",1)</f>
        <v>2</v>
      </c>
    </row>
    <row r="679" spans="1:20" hidden="1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  <c r="S679" t="str">
        <f t="shared" si="10"/>
        <v>Annually</v>
      </c>
      <c r="T679" cm="1">
        <f t="array" ref="T679">_xlfn.SWITCH(S679,"Annually",6,"Bi-Weekly",2,"Fortnightly",3,"Monthly",4,"Quarterly",5,"Weekly",1)</f>
        <v>6</v>
      </c>
    </row>
    <row r="680" spans="1:20" hidden="1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  <c r="S680" t="str">
        <f t="shared" si="10"/>
        <v>Quarterly</v>
      </c>
      <c r="T680" cm="1">
        <f t="array" ref="T680">_xlfn.SWITCH(S680,"Annually",6,"Bi-Weekly",2,"Fortnightly",3,"Monthly",4,"Quarterly",5,"Weekly",1)</f>
        <v>5</v>
      </c>
    </row>
    <row r="681" spans="1:20" hidden="1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  <c r="S681" t="str">
        <f t="shared" si="10"/>
        <v>Fortnightly</v>
      </c>
      <c r="T681" cm="1">
        <f t="array" ref="T681">_xlfn.SWITCH(S681,"Annually",6,"Bi-Weekly",2,"Fortnightly",3,"Monthly",4,"Quarterly",5,"Weekly",1)</f>
        <v>3</v>
      </c>
    </row>
    <row r="682" spans="1:20" hidden="1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  <c r="S682" t="str">
        <f t="shared" si="10"/>
        <v>Annually</v>
      </c>
      <c r="T682" cm="1">
        <f t="array" ref="T682">_xlfn.SWITCH(S682,"Annually",6,"Bi-Weekly",2,"Fortnightly",3,"Monthly",4,"Quarterly",5,"Weekly",1)</f>
        <v>6</v>
      </c>
    </row>
    <row r="683" spans="1:20" hidden="1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  <c r="S683" t="str">
        <f t="shared" si="10"/>
        <v>Quarterly</v>
      </c>
      <c r="T683" cm="1">
        <f t="array" ref="T683">_xlfn.SWITCH(S683,"Annually",6,"Bi-Weekly",2,"Fortnightly",3,"Monthly",4,"Quarterly",5,"Weekly",1)</f>
        <v>5</v>
      </c>
    </row>
    <row r="684" spans="1:20" hidden="1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  <c r="S684" t="str">
        <f t="shared" si="10"/>
        <v>Bi-Weekly</v>
      </c>
      <c r="T684" cm="1">
        <f t="array" ref="T684">_xlfn.SWITCH(S684,"Annually",6,"Bi-Weekly",2,"Fortnightly",3,"Monthly",4,"Quarterly",5,"Weekly",1)</f>
        <v>2</v>
      </c>
    </row>
    <row r="685" spans="1:20" hidden="1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  <c r="S685" t="str">
        <f t="shared" si="10"/>
        <v>Monthly</v>
      </c>
      <c r="T685" cm="1">
        <f t="array" ref="T685">_xlfn.SWITCH(S685,"Annually",6,"Bi-Weekly",2,"Fortnightly",3,"Monthly",4,"Quarterly",5,"Weekly",1)</f>
        <v>4</v>
      </c>
    </row>
    <row r="686" spans="1:20" hidden="1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  <c r="S686" t="str">
        <f t="shared" si="10"/>
        <v>Monthly</v>
      </c>
      <c r="T686" cm="1">
        <f t="array" ref="T686">_xlfn.SWITCH(S686,"Annually",6,"Bi-Weekly",2,"Fortnightly",3,"Monthly",4,"Quarterly",5,"Weekly",1)</f>
        <v>4</v>
      </c>
    </row>
    <row r="687" spans="1:20" hidden="1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  <c r="S687" t="str">
        <f t="shared" si="10"/>
        <v>Fortnightly</v>
      </c>
      <c r="T687" cm="1">
        <f t="array" ref="T687">_xlfn.SWITCH(S687,"Annually",6,"Bi-Weekly",2,"Fortnightly",3,"Monthly",4,"Quarterly",5,"Weekly",1)</f>
        <v>3</v>
      </c>
    </row>
    <row r="688" spans="1:20" hidden="1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  <c r="S688" t="str">
        <f t="shared" si="10"/>
        <v>Fortnightly</v>
      </c>
      <c r="T688" cm="1">
        <f t="array" ref="T688">_xlfn.SWITCH(S688,"Annually",6,"Bi-Weekly",2,"Fortnightly",3,"Monthly",4,"Quarterly",5,"Weekly",1)</f>
        <v>3</v>
      </c>
    </row>
    <row r="689" spans="1:20" hidden="1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  <c r="S689" t="str">
        <f t="shared" si="10"/>
        <v>Quarterly</v>
      </c>
      <c r="T689" cm="1">
        <f t="array" ref="T689">_xlfn.SWITCH(S689,"Annually",6,"Bi-Weekly",2,"Fortnightly",3,"Monthly",4,"Quarterly",5,"Weekly",1)</f>
        <v>5</v>
      </c>
    </row>
    <row r="690" spans="1:20" hidden="1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  <c r="S690" t="str">
        <f t="shared" si="10"/>
        <v>Monthly</v>
      </c>
      <c r="T690" cm="1">
        <f t="array" ref="T690">_xlfn.SWITCH(S690,"Annually",6,"Bi-Weekly",2,"Fortnightly",3,"Monthly",4,"Quarterly",5,"Weekly",1)</f>
        <v>4</v>
      </c>
    </row>
    <row r="691" spans="1:20" hidden="1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  <c r="S691" t="str">
        <f t="shared" si="10"/>
        <v>Quarterly</v>
      </c>
      <c r="T691" cm="1">
        <f t="array" ref="T691">_xlfn.SWITCH(S691,"Annually",6,"Bi-Weekly",2,"Fortnightly",3,"Monthly",4,"Quarterly",5,"Weekly",1)</f>
        <v>5</v>
      </c>
    </row>
    <row r="692" spans="1:20" hidden="1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  <c r="S692" t="str">
        <f t="shared" si="10"/>
        <v>Weekly</v>
      </c>
      <c r="T692" cm="1">
        <f t="array" ref="T692">_xlfn.SWITCH(S692,"Annually",6,"Bi-Weekly",2,"Fortnightly",3,"Monthly",4,"Quarterly",5,"Weekly",1)</f>
        <v>1</v>
      </c>
    </row>
    <row r="693" spans="1:20" hidden="1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  <c r="S693" t="str">
        <f t="shared" si="10"/>
        <v>Bi-Weekly</v>
      </c>
      <c r="T693" cm="1">
        <f t="array" ref="T693">_xlfn.SWITCH(S693,"Annually",6,"Bi-Weekly",2,"Fortnightly",3,"Monthly",4,"Quarterly",5,"Weekly",1)</f>
        <v>2</v>
      </c>
    </row>
    <row r="694" spans="1:20" hidden="1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  <c r="S694" t="str">
        <f t="shared" si="10"/>
        <v>Quarterly</v>
      </c>
      <c r="T694" cm="1">
        <f t="array" ref="T694">_xlfn.SWITCH(S694,"Annually",6,"Bi-Weekly",2,"Fortnightly",3,"Monthly",4,"Quarterly",5,"Weekly",1)</f>
        <v>5</v>
      </c>
    </row>
    <row r="695" spans="1:20" hidden="1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  <c r="S695" t="str">
        <f t="shared" si="10"/>
        <v>Quarterly</v>
      </c>
      <c r="T695" cm="1">
        <f t="array" ref="T695">_xlfn.SWITCH(S695,"Annually",6,"Bi-Weekly",2,"Fortnightly",3,"Monthly",4,"Quarterly",5,"Weekly",1)</f>
        <v>5</v>
      </c>
    </row>
    <row r="696" spans="1:20" hidden="1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  <c r="S696" t="str">
        <f t="shared" si="10"/>
        <v>Quarterly</v>
      </c>
      <c r="T696" cm="1">
        <f t="array" ref="T696">_xlfn.SWITCH(S696,"Annually",6,"Bi-Weekly",2,"Fortnightly",3,"Monthly",4,"Quarterly",5,"Weekly",1)</f>
        <v>5</v>
      </c>
    </row>
    <row r="697" spans="1:20" hidden="1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  <c r="S697" t="str">
        <f t="shared" si="10"/>
        <v>Quarterly</v>
      </c>
      <c r="T697" cm="1">
        <f t="array" ref="T697">_xlfn.SWITCH(S697,"Annually",6,"Bi-Weekly",2,"Fortnightly",3,"Monthly",4,"Quarterly",5,"Weekly",1)</f>
        <v>5</v>
      </c>
    </row>
    <row r="698" spans="1:20" hidden="1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  <c r="S698" t="str">
        <f t="shared" si="10"/>
        <v>Monthly</v>
      </c>
      <c r="T698" cm="1">
        <f t="array" ref="T698">_xlfn.SWITCH(S698,"Annually",6,"Bi-Weekly",2,"Fortnightly",3,"Monthly",4,"Quarterly",5,"Weekly",1)</f>
        <v>4</v>
      </c>
    </row>
    <row r="699" spans="1:20" hidden="1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  <c r="S699" t="str">
        <f t="shared" si="10"/>
        <v>Quarterly</v>
      </c>
      <c r="T699" cm="1">
        <f t="array" ref="T699">_xlfn.SWITCH(S699,"Annually",6,"Bi-Weekly",2,"Fortnightly",3,"Monthly",4,"Quarterly",5,"Weekly",1)</f>
        <v>5</v>
      </c>
    </row>
    <row r="700" spans="1:20" hidden="1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  <c r="S700" t="str">
        <f t="shared" si="10"/>
        <v>Weekly</v>
      </c>
      <c r="T700" cm="1">
        <f t="array" ref="T700">_xlfn.SWITCH(S700,"Annually",6,"Bi-Weekly",2,"Fortnightly",3,"Monthly",4,"Quarterly",5,"Weekly",1)</f>
        <v>1</v>
      </c>
    </row>
    <row r="701" spans="1:20" hidden="1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  <c r="S701" t="str">
        <f t="shared" si="10"/>
        <v>Weekly</v>
      </c>
      <c r="T701" cm="1">
        <f t="array" ref="T701">_xlfn.SWITCH(S701,"Annually",6,"Bi-Weekly",2,"Fortnightly",3,"Monthly",4,"Quarterly",5,"Weekly",1)</f>
        <v>1</v>
      </c>
    </row>
    <row r="702" spans="1:20" hidden="1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  <c r="S702" t="str">
        <f t="shared" si="10"/>
        <v>Monthly</v>
      </c>
      <c r="T702" cm="1">
        <f t="array" ref="T702">_xlfn.SWITCH(S702,"Annually",6,"Bi-Weekly",2,"Fortnightly",3,"Monthly",4,"Quarterly",5,"Weekly",1)</f>
        <v>4</v>
      </c>
    </row>
    <row r="703" spans="1:20" hidden="1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  <c r="S703" t="str">
        <f t="shared" si="10"/>
        <v>Quarterly</v>
      </c>
      <c r="T703" cm="1">
        <f t="array" ref="T703">_xlfn.SWITCH(S703,"Annually",6,"Bi-Weekly",2,"Fortnightly",3,"Monthly",4,"Quarterly",5,"Weekly",1)</f>
        <v>5</v>
      </c>
    </row>
    <row r="704" spans="1:20" hidden="1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  <c r="S704" t="str">
        <f t="shared" si="10"/>
        <v>Weekly</v>
      </c>
      <c r="T704" cm="1">
        <f t="array" ref="T704">_xlfn.SWITCH(S704,"Annually",6,"Bi-Weekly",2,"Fortnightly",3,"Monthly",4,"Quarterly",5,"Weekly",1)</f>
        <v>1</v>
      </c>
    </row>
    <row r="705" spans="1:20" hidden="1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  <c r="S705" t="str">
        <f t="shared" si="10"/>
        <v>Weekly</v>
      </c>
      <c r="T705" cm="1">
        <f t="array" ref="T705">_xlfn.SWITCH(S705,"Annually",6,"Bi-Weekly",2,"Fortnightly",3,"Monthly",4,"Quarterly",5,"Weekly",1)</f>
        <v>1</v>
      </c>
    </row>
    <row r="706" spans="1:20" hidden="1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  <c r="S706" t="str">
        <f t="shared" si="10"/>
        <v>Annually</v>
      </c>
      <c r="T706" cm="1">
        <f t="array" ref="T706">_xlfn.SWITCH(S706,"Annually",6,"Bi-Weekly",2,"Fortnightly",3,"Monthly",4,"Quarterly",5,"Weekly",1)</f>
        <v>6</v>
      </c>
    </row>
    <row r="707" spans="1:20" hidden="1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  <c r="S707" t="str">
        <f t="shared" ref="S707:S770" si="11">IF(R707="Every 3 Months","Quarterly",R707)</f>
        <v>Quarterly</v>
      </c>
      <c r="T707" cm="1">
        <f t="array" ref="T707">_xlfn.SWITCH(S707,"Annually",6,"Bi-Weekly",2,"Fortnightly",3,"Monthly",4,"Quarterly",5,"Weekly",1)</f>
        <v>5</v>
      </c>
    </row>
    <row r="708" spans="1:20" hidden="1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  <c r="S708" t="str">
        <f t="shared" si="11"/>
        <v>Weekly</v>
      </c>
      <c r="T708" cm="1">
        <f t="array" ref="T708">_xlfn.SWITCH(S708,"Annually",6,"Bi-Weekly",2,"Fortnightly",3,"Monthly",4,"Quarterly",5,"Weekly",1)</f>
        <v>1</v>
      </c>
    </row>
    <row r="709" spans="1:20" hidden="1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  <c r="S709" t="str">
        <f t="shared" si="11"/>
        <v>Annually</v>
      </c>
      <c r="T709" cm="1">
        <f t="array" ref="T709">_xlfn.SWITCH(S709,"Annually",6,"Bi-Weekly",2,"Fortnightly",3,"Monthly",4,"Quarterly",5,"Weekly",1)</f>
        <v>6</v>
      </c>
    </row>
    <row r="710" spans="1:20" hidden="1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  <c r="S710" t="str">
        <f t="shared" si="11"/>
        <v>Fortnightly</v>
      </c>
      <c r="T710" cm="1">
        <f t="array" ref="T710">_xlfn.SWITCH(S710,"Annually",6,"Bi-Weekly",2,"Fortnightly",3,"Monthly",4,"Quarterly",5,"Weekly",1)</f>
        <v>3</v>
      </c>
    </row>
    <row r="711" spans="1:20" hidden="1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  <c r="S711" t="str">
        <f t="shared" si="11"/>
        <v>Monthly</v>
      </c>
      <c r="T711" cm="1">
        <f t="array" ref="T711">_xlfn.SWITCH(S711,"Annually",6,"Bi-Weekly",2,"Fortnightly",3,"Monthly",4,"Quarterly",5,"Weekly",1)</f>
        <v>4</v>
      </c>
    </row>
    <row r="712" spans="1:20" hidden="1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  <c r="S712" t="str">
        <f t="shared" si="11"/>
        <v>Fortnightly</v>
      </c>
      <c r="T712" cm="1">
        <f t="array" ref="T712">_xlfn.SWITCH(S712,"Annually",6,"Bi-Weekly",2,"Fortnightly",3,"Monthly",4,"Quarterly",5,"Weekly",1)</f>
        <v>3</v>
      </c>
    </row>
    <row r="713" spans="1:20" hidden="1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  <c r="S713" t="str">
        <f t="shared" si="11"/>
        <v>Bi-Weekly</v>
      </c>
      <c r="T713" cm="1">
        <f t="array" ref="T713">_xlfn.SWITCH(S713,"Annually",6,"Bi-Weekly",2,"Fortnightly",3,"Monthly",4,"Quarterly",5,"Weekly",1)</f>
        <v>2</v>
      </c>
    </row>
    <row r="714" spans="1:20" hidden="1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  <c r="S714" t="str">
        <f t="shared" si="11"/>
        <v>Quarterly</v>
      </c>
      <c r="T714" cm="1">
        <f t="array" ref="T714">_xlfn.SWITCH(S714,"Annually",6,"Bi-Weekly",2,"Fortnightly",3,"Monthly",4,"Quarterly",5,"Weekly",1)</f>
        <v>5</v>
      </c>
    </row>
    <row r="715" spans="1:20" hidden="1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  <c r="S715" t="str">
        <f t="shared" si="11"/>
        <v>Bi-Weekly</v>
      </c>
      <c r="T715" cm="1">
        <f t="array" ref="T715">_xlfn.SWITCH(S715,"Annually",6,"Bi-Weekly",2,"Fortnightly",3,"Monthly",4,"Quarterly",5,"Weekly",1)</f>
        <v>2</v>
      </c>
    </row>
    <row r="716" spans="1:20" hidden="1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  <c r="S716" t="str">
        <f t="shared" si="11"/>
        <v>Fortnightly</v>
      </c>
      <c r="T716" cm="1">
        <f t="array" ref="T716">_xlfn.SWITCH(S716,"Annually",6,"Bi-Weekly",2,"Fortnightly",3,"Monthly",4,"Quarterly",5,"Weekly",1)</f>
        <v>3</v>
      </c>
    </row>
    <row r="717" spans="1:20" hidden="1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  <c r="S717" t="str">
        <f t="shared" si="11"/>
        <v>Quarterly</v>
      </c>
      <c r="T717" cm="1">
        <f t="array" ref="T717">_xlfn.SWITCH(S717,"Annually",6,"Bi-Weekly",2,"Fortnightly",3,"Monthly",4,"Quarterly",5,"Weekly",1)</f>
        <v>5</v>
      </c>
    </row>
    <row r="718" spans="1:20" hidden="1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  <c r="S718" t="str">
        <f t="shared" si="11"/>
        <v>Bi-Weekly</v>
      </c>
      <c r="T718" cm="1">
        <f t="array" ref="T718">_xlfn.SWITCH(S718,"Annually",6,"Bi-Weekly",2,"Fortnightly",3,"Monthly",4,"Quarterly",5,"Weekly",1)</f>
        <v>2</v>
      </c>
    </row>
    <row r="719" spans="1:20" hidden="1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  <c r="S719" t="str">
        <f t="shared" si="11"/>
        <v>Quarterly</v>
      </c>
      <c r="T719" cm="1">
        <f t="array" ref="T719">_xlfn.SWITCH(S719,"Annually",6,"Bi-Weekly",2,"Fortnightly",3,"Monthly",4,"Quarterly",5,"Weekly",1)</f>
        <v>5</v>
      </c>
    </row>
    <row r="720" spans="1:20" hidden="1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  <c r="S720" t="str">
        <f t="shared" si="11"/>
        <v>Annually</v>
      </c>
      <c r="T720" cm="1">
        <f t="array" ref="T720">_xlfn.SWITCH(S720,"Annually",6,"Bi-Weekly",2,"Fortnightly",3,"Monthly",4,"Quarterly",5,"Weekly",1)</f>
        <v>6</v>
      </c>
    </row>
    <row r="721" spans="1:20" hidden="1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  <c r="S721" t="str">
        <f t="shared" si="11"/>
        <v>Bi-Weekly</v>
      </c>
      <c r="T721" cm="1">
        <f t="array" ref="T721">_xlfn.SWITCH(S721,"Annually",6,"Bi-Weekly",2,"Fortnightly",3,"Monthly",4,"Quarterly",5,"Weekly",1)</f>
        <v>2</v>
      </c>
    </row>
    <row r="722" spans="1:20" hidden="1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  <c r="S722" t="str">
        <f t="shared" si="11"/>
        <v>Weekly</v>
      </c>
      <c r="T722" cm="1">
        <f t="array" ref="T722">_xlfn.SWITCH(S722,"Annually",6,"Bi-Weekly",2,"Fortnightly",3,"Monthly",4,"Quarterly",5,"Weekly",1)</f>
        <v>1</v>
      </c>
    </row>
    <row r="723" spans="1:20" hidden="1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  <c r="S723" t="str">
        <f t="shared" si="11"/>
        <v>Quarterly</v>
      </c>
      <c r="T723" cm="1">
        <f t="array" ref="T723">_xlfn.SWITCH(S723,"Annually",6,"Bi-Weekly",2,"Fortnightly",3,"Monthly",4,"Quarterly",5,"Weekly",1)</f>
        <v>5</v>
      </c>
    </row>
    <row r="724" spans="1:20" hidden="1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  <c r="S724" t="str">
        <f t="shared" si="11"/>
        <v>Bi-Weekly</v>
      </c>
      <c r="T724" cm="1">
        <f t="array" ref="T724">_xlfn.SWITCH(S724,"Annually",6,"Bi-Weekly",2,"Fortnightly",3,"Monthly",4,"Quarterly",5,"Weekly",1)</f>
        <v>2</v>
      </c>
    </row>
    <row r="725" spans="1:20" hidden="1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  <c r="S725" t="str">
        <f t="shared" si="11"/>
        <v>Monthly</v>
      </c>
      <c r="T725" cm="1">
        <f t="array" ref="T725">_xlfn.SWITCH(S725,"Annually",6,"Bi-Weekly",2,"Fortnightly",3,"Monthly",4,"Quarterly",5,"Weekly",1)</f>
        <v>4</v>
      </c>
    </row>
    <row r="726" spans="1:20" hidden="1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  <c r="S726" t="str">
        <f t="shared" si="11"/>
        <v>Quarterly</v>
      </c>
      <c r="T726" cm="1">
        <f t="array" ref="T726">_xlfn.SWITCH(S726,"Annually",6,"Bi-Weekly",2,"Fortnightly",3,"Monthly",4,"Quarterly",5,"Weekly",1)</f>
        <v>5</v>
      </c>
    </row>
    <row r="727" spans="1:20" hidden="1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  <c r="S727" t="str">
        <f t="shared" si="11"/>
        <v>Fortnightly</v>
      </c>
      <c r="T727" cm="1">
        <f t="array" ref="T727">_xlfn.SWITCH(S727,"Annually",6,"Bi-Weekly",2,"Fortnightly",3,"Monthly",4,"Quarterly",5,"Weekly",1)</f>
        <v>3</v>
      </c>
    </row>
    <row r="728" spans="1:20" hidden="1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  <c r="S728" t="str">
        <f t="shared" si="11"/>
        <v>Quarterly</v>
      </c>
      <c r="T728" cm="1">
        <f t="array" ref="T728">_xlfn.SWITCH(S728,"Annually",6,"Bi-Weekly",2,"Fortnightly",3,"Monthly",4,"Quarterly",5,"Weekly",1)</f>
        <v>5</v>
      </c>
    </row>
    <row r="729" spans="1:20" hidden="1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  <c r="S729" t="str">
        <f t="shared" si="11"/>
        <v>Quarterly</v>
      </c>
      <c r="T729" cm="1">
        <f t="array" ref="T729">_xlfn.SWITCH(S729,"Annually",6,"Bi-Weekly",2,"Fortnightly",3,"Monthly",4,"Quarterly",5,"Weekly",1)</f>
        <v>5</v>
      </c>
    </row>
    <row r="730" spans="1:20" hidden="1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  <c r="S730" t="str">
        <f t="shared" si="11"/>
        <v>Quarterly</v>
      </c>
      <c r="T730" cm="1">
        <f t="array" ref="T730">_xlfn.SWITCH(S730,"Annually",6,"Bi-Weekly",2,"Fortnightly",3,"Monthly",4,"Quarterly",5,"Weekly",1)</f>
        <v>5</v>
      </c>
    </row>
    <row r="731" spans="1:20" hidden="1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  <c r="S731" t="str">
        <f t="shared" si="11"/>
        <v>Quarterly</v>
      </c>
      <c r="T731" cm="1">
        <f t="array" ref="T731">_xlfn.SWITCH(S731,"Annually",6,"Bi-Weekly",2,"Fortnightly",3,"Monthly",4,"Quarterly",5,"Weekly",1)</f>
        <v>5</v>
      </c>
    </row>
    <row r="732" spans="1:20" hidden="1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  <c r="S732" t="str">
        <f t="shared" si="11"/>
        <v>Fortnightly</v>
      </c>
      <c r="T732" cm="1">
        <f t="array" ref="T732">_xlfn.SWITCH(S732,"Annually",6,"Bi-Weekly",2,"Fortnightly",3,"Monthly",4,"Quarterly",5,"Weekly",1)</f>
        <v>3</v>
      </c>
    </row>
    <row r="733" spans="1:20" hidden="1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  <c r="S733" t="str">
        <f t="shared" si="11"/>
        <v>Fortnightly</v>
      </c>
      <c r="T733" cm="1">
        <f t="array" ref="T733">_xlfn.SWITCH(S733,"Annually",6,"Bi-Weekly",2,"Fortnightly",3,"Monthly",4,"Quarterly",5,"Weekly",1)</f>
        <v>3</v>
      </c>
    </row>
    <row r="734" spans="1:20" hidden="1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  <c r="S734" t="str">
        <f t="shared" si="11"/>
        <v>Bi-Weekly</v>
      </c>
      <c r="T734" cm="1">
        <f t="array" ref="T734">_xlfn.SWITCH(S734,"Annually",6,"Bi-Weekly",2,"Fortnightly",3,"Monthly",4,"Quarterly",5,"Weekly",1)</f>
        <v>2</v>
      </c>
    </row>
    <row r="735" spans="1:20" hidden="1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  <c r="S735" t="str">
        <f t="shared" si="11"/>
        <v>Bi-Weekly</v>
      </c>
      <c r="T735" cm="1">
        <f t="array" ref="T735">_xlfn.SWITCH(S735,"Annually",6,"Bi-Weekly",2,"Fortnightly",3,"Monthly",4,"Quarterly",5,"Weekly",1)</f>
        <v>2</v>
      </c>
    </row>
    <row r="736" spans="1:20" hidden="1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  <c r="S736" t="str">
        <f t="shared" si="11"/>
        <v>Quarterly</v>
      </c>
      <c r="T736" cm="1">
        <f t="array" ref="T736">_xlfn.SWITCH(S736,"Annually",6,"Bi-Weekly",2,"Fortnightly",3,"Monthly",4,"Quarterly",5,"Weekly",1)</f>
        <v>5</v>
      </c>
    </row>
    <row r="737" spans="1:20" hidden="1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  <c r="S737" t="str">
        <f t="shared" si="11"/>
        <v>Bi-Weekly</v>
      </c>
      <c r="T737" cm="1">
        <f t="array" ref="T737">_xlfn.SWITCH(S737,"Annually",6,"Bi-Weekly",2,"Fortnightly",3,"Monthly",4,"Quarterly",5,"Weekly",1)</f>
        <v>2</v>
      </c>
    </row>
    <row r="738" spans="1:20" hidden="1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  <c r="S738" t="str">
        <f t="shared" si="11"/>
        <v>Quarterly</v>
      </c>
      <c r="T738" cm="1">
        <f t="array" ref="T738">_xlfn.SWITCH(S738,"Annually",6,"Bi-Weekly",2,"Fortnightly",3,"Monthly",4,"Quarterly",5,"Weekly",1)</f>
        <v>5</v>
      </c>
    </row>
    <row r="739" spans="1:20" hidden="1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  <c r="S739" t="str">
        <f t="shared" si="11"/>
        <v>Annually</v>
      </c>
      <c r="T739" cm="1">
        <f t="array" ref="T739">_xlfn.SWITCH(S739,"Annually",6,"Bi-Weekly",2,"Fortnightly",3,"Monthly",4,"Quarterly",5,"Weekly",1)</f>
        <v>6</v>
      </c>
    </row>
    <row r="740" spans="1:20" hidden="1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  <c r="S740" t="str">
        <f t="shared" si="11"/>
        <v>Quarterly</v>
      </c>
      <c r="T740" cm="1">
        <f t="array" ref="T740">_xlfn.SWITCH(S740,"Annually",6,"Bi-Weekly",2,"Fortnightly",3,"Monthly",4,"Quarterly",5,"Weekly",1)</f>
        <v>5</v>
      </c>
    </row>
    <row r="741" spans="1:20" hidden="1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  <c r="S741" t="str">
        <f t="shared" si="11"/>
        <v>Bi-Weekly</v>
      </c>
      <c r="T741" cm="1">
        <f t="array" ref="T741">_xlfn.SWITCH(S741,"Annually",6,"Bi-Weekly",2,"Fortnightly",3,"Monthly",4,"Quarterly",5,"Weekly",1)</f>
        <v>2</v>
      </c>
    </row>
    <row r="742" spans="1:20" hidden="1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  <c r="S742" t="str">
        <f t="shared" si="11"/>
        <v>Fortnightly</v>
      </c>
      <c r="T742" cm="1">
        <f t="array" ref="T742">_xlfn.SWITCH(S742,"Annually",6,"Bi-Weekly",2,"Fortnightly",3,"Monthly",4,"Quarterly",5,"Weekly",1)</f>
        <v>3</v>
      </c>
    </row>
    <row r="743" spans="1:20" hidden="1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  <c r="S743" t="str">
        <f t="shared" si="11"/>
        <v>Quarterly</v>
      </c>
      <c r="T743" cm="1">
        <f t="array" ref="T743">_xlfn.SWITCH(S743,"Annually",6,"Bi-Weekly",2,"Fortnightly",3,"Monthly",4,"Quarterly",5,"Weekly",1)</f>
        <v>5</v>
      </c>
    </row>
    <row r="744" spans="1:20" hidden="1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  <c r="S744" t="str">
        <f t="shared" si="11"/>
        <v>Quarterly</v>
      </c>
      <c r="T744" cm="1">
        <f t="array" ref="T744">_xlfn.SWITCH(S744,"Annually",6,"Bi-Weekly",2,"Fortnightly",3,"Monthly",4,"Quarterly",5,"Weekly",1)</f>
        <v>5</v>
      </c>
    </row>
    <row r="745" spans="1:20" hidden="1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  <c r="S745" t="str">
        <f t="shared" si="11"/>
        <v>Weekly</v>
      </c>
      <c r="T745" cm="1">
        <f t="array" ref="T745">_xlfn.SWITCH(S745,"Annually",6,"Bi-Weekly",2,"Fortnightly",3,"Monthly",4,"Quarterly",5,"Weekly",1)</f>
        <v>1</v>
      </c>
    </row>
    <row r="746" spans="1:20" hidden="1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  <c r="S746" t="str">
        <f t="shared" si="11"/>
        <v>Bi-Weekly</v>
      </c>
      <c r="T746" cm="1">
        <f t="array" ref="T746">_xlfn.SWITCH(S746,"Annually",6,"Bi-Weekly",2,"Fortnightly",3,"Monthly",4,"Quarterly",5,"Weekly",1)</f>
        <v>2</v>
      </c>
    </row>
    <row r="747" spans="1:20" hidden="1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  <c r="S747" t="str">
        <f t="shared" si="11"/>
        <v>Monthly</v>
      </c>
      <c r="T747" cm="1">
        <f t="array" ref="T747">_xlfn.SWITCH(S747,"Annually",6,"Bi-Weekly",2,"Fortnightly",3,"Monthly",4,"Quarterly",5,"Weekly",1)</f>
        <v>4</v>
      </c>
    </row>
    <row r="748" spans="1:20" hidden="1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  <c r="S748" t="str">
        <f t="shared" si="11"/>
        <v>Annually</v>
      </c>
      <c r="T748" cm="1">
        <f t="array" ref="T748">_xlfn.SWITCH(S748,"Annually",6,"Bi-Weekly",2,"Fortnightly",3,"Monthly",4,"Quarterly",5,"Weekly",1)</f>
        <v>6</v>
      </c>
    </row>
    <row r="749" spans="1:20" hidden="1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  <c r="S749" t="str">
        <f t="shared" si="11"/>
        <v>Weekly</v>
      </c>
      <c r="T749" cm="1">
        <f t="array" ref="T749">_xlfn.SWITCH(S749,"Annually",6,"Bi-Weekly",2,"Fortnightly",3,"Monthly",4,"Quarterly",5,"Weekly",1)</f>
        <v>1</v>
      </c>
    </row>
    <row r="750" spans="1:20" hidden="1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  <c r="S750" t="str">
        <f t="shared" si="11"/>
        <v>Quarterly</v>
      </c>
      <c r="T750" cm="1">
        <f t="array" ref="T750">_xlfn.SWITCH(S750,"Annually",6,"Bi-Weekly",2,"Fortnightly",3,"Monthly",4,"Quarterly",5,"Weekly",1)</f>
        <v>5</v>
      </c>
    </row>
    <row r="751" spans="1:20" hidden="1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  <c r="S751" t="str">
        <f t="shared" si="11"/>
        <v>Quarterly</v>
      </c>
      <c r="T751" cm="1">
        <f t="array" ref="T751">_xlfn.SWITCH(S751,"Annually",6,"Bi-Weekly",2,"Fortnightly",3,"Monthly",4,"Quarterly",5,"Weekly",1)</f>
        <v>5</v>
      </c>
    </row>
    <row r="752" spans="1:20" hidden="1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  <c r="S752" t="str">
        <f t="shared" si="11"/>
        <v>Annually</v>
      </c>
      <c r="T752" cm="1">
        <f t="array" ref="T752">_xlfn.SWITCH(S752,"Annually",6,"Bi-Weekly",2,"Fortnightly",3,"Monthly",4,"Quarterly",5,"Weekly",1)</f>
        <v>6</v>
      </c>
    </row>
    <row r="753" spans="1:20" hidden="1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  <c r="S753" t="str">
        <f t="shared" si="11"/>
        <v>Monthly</v>
      </c>
      <c r="T753" cm="1">
        <f t="array" ref="T753">_xlfn.SWITCH(S753,"Annually",6,"Bi-Weekly",2,"Fortnightly",3,"Monthly",4,"Quarterly",5,"Weekly",1)</f>
        <v>4</v>
      </c>
    </row>
    <row r="754" spans="1:20" hidden="1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  <c r="S754" t="str">
        <f t="shared" si="11"/>
        <v>Quarterly</v>
      </c>
      <c r="T754" cm="1">
        <f t="array" ref="T754">_xlfn.SWITCH(S754,"Annually",6,"Bi-Weekly",2,"Fortnightly",3,"Monthly",4,"Quarterly",5,"Weekly",1)</f>
        <v>5</v>
      </c>
    </row>
    <row r="755" spans="1:20" hidden="1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  <c r="S755" t="str">
        <f t="shared" si="11"/>
        <v>Quarterly</v>
      </c>
      <c r="T755" cm="1">
        <f t="array" ref="T755">_xlfn.SWITCH(S755,"Annually",6,"Bi-Weekly",2,"Fortnightly",3,"Monthly",4,"Quarterly",5,"Weekly",1)</f>
        <v>5</v>
      </c>
    </row>
    <row r="756" spans="1:20" hidden="1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  <c r="S756" t="str">
        <f t="shared" si="11"/>
        <v>Quarterly</v>
      </c>
      <c r="T756" cm="1">
        <f t="array" ref="T756">_xlfn.SWITCH(S756,"Annually",6,"Bi-Weekly",2,"Fortnightly",3,"Monthly",4,"Quarterly",5,"Weekly",1)</f>
        <v>5</v>
      </c>
    </row>
    <row r="757" spans="1:20" hidden="1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  <c r="S757" t="str">
        <f t="shared" si="11"/>
        <v>Weekly</v>
      </c>
      <c r="T757" cm="1">
        <f t="array" ref="T757">_xlfn.SWITCH(S757,"Annually",6,"Bi-Weekly",2,"Fortnightly",3,"Monthly",4,"Quarterly",5,"Weekly",1)</f>
        <v>1</v>
      </c>
    </row>
    <row r="758" spans="1:20" hidden="1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  <c r="S758" t="str">
        <f t="shared" si="11"/>
        <v>Fortnightly</v>
      </c>
      <c r="T758" cm="1">
        <f t="array" ref="T758">_xlfn.SWITCH(S758,"Annually",6,"Bi-Weekly",2,"Fortnightly",3,"Monthly",4,"Quarterly",5,"Weekly",1)</f>
        <v>3</v>
      </c>
    </row>
    <row r="759" spans="1:20" hidden="1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  <c r="S759" t="str">
        <f t="shared" si="11"/>
        <v>Quarterly</v>
      </c>
      <c r="T759" cm="1">
        <f t="array" ref="T759">_xlfn.SWITCH(S759,"Annually",6,"Bi-Weekly",2,"Fortnightly",3,"Monthly",4,"Quarterly",5,"Weekly",1)</f>
        <v>5</v>
      </c>
    </row>
    <row r="760" spans="1:20" hidden="1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  <c r="S760" t="str">
        <f t="shared" si="11"/>
        <v>Quarterly</v>
      </c>
      <c r="T760" cm="1">
        <f t="array" ref="T760">_xlfn.SWITCH(S760,"Annually",6,"Bi-Weekly",2,"Fortnightly",3,"Monthly",4,"Quarterly",5,"Weekly",1)</f>
        <v>5</v>
      </c>
    </row>
    <row r="761" spans="1:20" hidden="1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  <c r="S761" t="str">
        <f t="shared" si="11"/>
        <v>Fortnightly</v>
      </c>
      <c r="T761" cm="1">
        <f t="array" ref="T761">_xlfn.SWITCH(S761,"Annually",6,"Bi-Weekly",2,"Fortnightly",3,"Monthly",4,"Quarterly",5,"Weekly",1)</f>
        <v>3</v>
      </c>
    </row>
    <row r="762" spans="1:20" hidden="1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  <c r="S762" t="str">
        <f t="shared" si="11"/>
        <v>Annually</v>
      </c>
      <c r="T762" cm="1">
        <f t="array" ref="T762">_xlfn.SWITCH(S762,"Annually",6,"Bi-Weekly",2,"Fortnightly",3,"Monthly",4,"Quarterly",5,"Weekly",1)</f>
        <v>6</v>
      </c>
    </row>
    <row r="763" spans="1:20" hidden="1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  <c r="S763" t="str">
        <f t="shared" si="11"/>
        <v>Weekly</v>
      </c>
      <c r="T763" cm="1">
        <f t="array" ref="T763">_xlfn.SWITCH(S763,"Annually",6,"Bi-Weekly",2,"Fortnightly",3,"Monthly",4,"Quarterly",5,"Weekly",1)</f>
        <v>1</v>
      </c>
    </row>
    <row r="764" spans="1:20" hidden="1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  <c r="S764" t="str">
        <f t="shared" si="11"/>
        <v>Fortnightly</v>
      </c>
      <c r="T764" cm="1">
        <f t="array" ref="T764">_xlfn.SWITCH(S764,"Annually",6,"Bi-Weekly",2,"Fortnightly",3,"Monthly",4,"Quarterly",5,"Weekly",1)</f>
        <v>3</v>
      </c>
    </row>
    <row r="765" spans="1:20" hidden="1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  <c r="S765" t="str">
        <f t="shared" si="11"/>
        <v>Monthly</v>
      </c>
      <c r="T765" cm="1">
        <f t="array" ref="T765">_xlfn.SWITCH(S765,"Annually",6,"Bi-Weekly",2,"Fortnightly",3,"Monthly",4,"Quarterly",5,"Weekly",1)</f>
        <v>4</v>
      </c>
    </row>
    <row r="766" spans="1:20" hidden="1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  <c r="S766" t="str">
        <f t="shared" si="11"/>
        <v>Quarterly</v>
      </c>
      <c r="T766" cm="1">
        <f t="array" ref="T766">_xlfn.SWITCH(S766,"Annually",6,"Bi-Weekly",2,"Fortnightly",3,"Monthly",4,"Quarterly",5,"Weekly",1)</f>
        <v>5</v>
      </c>
    </row>
    <row r="767" spans="1:20" hidden="1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  <c r="S767" t="str">
        <f t="shared" si="11"/>
        <v>Quarterly</v>
      </c>
      <c r="T767" cm="1">
        <f t="array" ref="T767">_xlfn.SWITCH(S767,"Annually",6,"Bi-Weekly",2,"Fortnightly",3,"Monthly",4,"Quarterly",5,"Weekly",1)</f>
        <v>5</v>
      </c>
    </row>
    <row r="768" spans="1:20" hidden="1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  <c r="S768" t="str">
        <f t="shared" si="11"/>
        <v>Monthly</v>
      </c>
      <c r="T768" cm="1">
        <f t="array" ref="T768">_xlfn.SWITCH(S768,"Annually",6,"Bi-Weekly",2,"Fortnightly",3,"Monthly",4,"Quarterly",5,"Weekly",1)</f>
        <v>4</v>
      </c>
    </row>
    <row r="769" spans="1:20" hidden="1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  <c r="S769" t="str">
        <f t="shared" si="11"/>
        <v>Annually</v>
      </c>
      <c r="T769" cm="1">
        <f t="array" ref="T769">_xlfn.SWITCH(S769,"Annually",6,"Bi-Weekly",2,"Fortnightly",3,"Monthly",4,"Quarterly",5,"Weekly",1)</f>
        <v>6</v>
      </c>
    </row>
    <row r="770" spans="1:20" hidden="1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  <c r="S770" t="str">
        <f t="shared" si="11"/>
        <v>Weekly</v>
      </c>
      <c r="T770" cm="1">
        <f t="array" ref="T770">_xlfn.SWITCH(S770,"Annually",6,"Bi-Weekly",2,"Fortnightly",3,"Monthly",4,"Quarterly",5,"Weekly",1)</f>
        <v>1</v>
      </c>
    </row>
    <row r="771" spans="1:20" hidden="1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  <c r="S771" t="str">
        <f t="shared" ref="S771:S834" si="12">IF(R771="Every 3 Months","Quarterly",R771)</f>
        <v>Monthly</v>
      </c>
      <c r="T771" cm="1">
        <f t="array" ref="T771">_xlfn.SWITCH(S771,"Annually",6,"Bi-Weekly",2,"Fortnightly",3,"Monthly",4,"Quarterly",5,"Weekly",1)</f>
        <v>4</v>
      </c>
    </row>
    <row r="772" spans="1:20" hidden="1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  <c r="S772" t="str">
        <f t="shared" si="12"/>
        <v>Annually</v>
      </c>
      <c r="T772" cm="1">
        <f t="array" ref="T772">_xlfn.SWITCH(S772,"Annually",6,"Bi-Weekly",2,"Fortnightly",3,"Monthly",4,"Quarterly",5,"Weekly",1)</f>
        <v>6</v>
      </c>
    </row>
    <row r="773" spans="1:20" hidden="1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  <c r="S773" t="str">
        <f t="shared" si="12"/>
        <v>Fortnightly</v>
      </c>
      <c r="T773" cm="1">
        <f t="array" ref="T773">_xlfn.SWITCH(S773,"Annually",6,"Bi-Weekly",2,"Fortnightly",3,"Monthly",4,"Quarterly",5,"Weekly",1)</f>
        <v>3</v>
      </c>
    </row>
    <row r="774" spans="1:20" hidden="1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  <c r="S774" t="str">
        <f t="shared" si="12"/>
        <v>Bi-Weekly</v>
      </c>
      <c r="T774" cm="1">
        <f t="array" ref="T774">_xlfn.SWITCH(S774,"Annually",6,"Bi-Weekly",2,"Fortnightly",3,"Monthly",4,"Quarterly",5,"Weekly",1)</f>
        <v>2</v>
      </c>
    </row>
    <row r="775" spans="1:20" hidden="1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  <c r="S775" t="str">
        <f t="shared" si="12"/>
        <v>Bi-Weekly</v>
      </c>
      <c r="T775" cm="1">
        <f t="array" ref="T775">_xlfn.SWITCH(S775,"Annually",6,"Bi-Weekly",2,"Fortnightly",3,"Monthly",4,"Quarterly",5,"Weekly",1)</f>
        <v>2</v>
      </c>
    </row>
    <row r="776" spans="1:20" hidden="1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  <c r="S776" t="str">
        <f t="shared" si="12"/>
        <v>Quarterly</v>
      </c>
      <c r="T776" cm="1">
        <f t="array" ref="T776">_xlfn.SWITCH(S776,"Annually",6,"Bi-Weekly",2,"Fortnightly",3,"Monthly",4,"Quarterly",5,"Weekly",1)</f>
        <v>5</v>
      </c>
    </row>
    <row r="777" spans="1:20" hidden="1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  <c r="S777" t="str">
        <f t="shared" si="12"/>
        <v>Monthly</v>
      </c>
      <c r="T777" cm="1">
        <f t="array" ref="T777">_xlfn.SWITCH(S777,"Annually",6,"Bi-Weekly",2,"Fortnightly",3,"Monthly",4,"Quarterly",5,"Weekly",1)</f>
        <v>4</v>
      </c>
    </row>
    <row r="778" spans="1:20" hidden="1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  <c r="S778" t="str">
        <f t="shared" si="12"/>
        <v>Quarterly</v>
      </c>
      <c r="T778" cm="1">
        <f t="array" ref="T778">_xlfn.SWITCH(S778,"Annually",6,"Bi-Weekly",2,"Fortnightly",3,"Monthly",4,"Quarterly",5,"Weekly",1)</f>
        <v>5</v>
      </c>
    </row>
    <row r="779" spans="1:20" hidden="1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  <c r="S779" t="str">
        <f t="shared" si="12"/>
        <v>Weekly</v>
      </c>
      <c r="T779" cm="1">
        <f t="array" ref="T779">_xlfn.SWITCH(S779,"Annually",6,"Bi-Weekly",2,"Fortnightly",3,"Monthly",4,"Quarterly",5,"Weekly",1)</f>
        <v>1</v>
      </c>
    </row>
    <row r="780" spans="1:20" hidden="1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  <c r="S780" t="str">
        <f t="shared" si="12"/>
        <v>Annually</v>
      </c>
      <c r="T780" cm="1">
        <f t="array" ref="T780">_xlfn.SWITCH(S780,"Annually",6,"Bi-Weekly",2,"Fortnightly",3,"Monthly",4,"Quarterly",5,"Weekly",1)</f>
        <v>6</v>
      </c>
    </row>
    <row r="781" spans="1:20" hidden="1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  <c r="S781" t="str">
        <f t="shared" si="12"/>
        <v>Annually</v>
      </c>
      <c r="T781" cm="1">
        <f t="array" ref="T781">_xlfn.SWITCH(S781,"Annually",6,"Bi-Weekly",2,"Fortnightly",3,"Monthly",4,"Quarterly",5,"Weekly",1)</f>
        <v>6</v>
      </c>
    </row>
    <row r="782" spans="1:20" hidden="1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  <c r="S782" t="str">
        <f t="shared" si="12"/>
        <v>Quarterly</v>
      </c>
      <c r="T782" cm="1">
        <f t="array" ref="T782">_xlfn.SWITCH(S782,"Annually",6,"Bi-Weekly",2,"Fortnightly",3,"Monthly",4,"Quarterly",5,"Weekly",1)</f>
        <v>5</v>
      </c>
    </row>
    <row r="783" spans="1:20" hidden="1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  <c r="S783" t="str">
        <f t="shared" si="12"/>
        <v>Fortnightly</v>
      </c>
      <c r="T783" cm="1">
        <f t="array" ref="T783">_xlfn.SWITCH(S783,"Annually",6,"Bi-Weekly",2,"Fortnightly",3,"Monthly",4,"Quarterly",5,"Weekly",1)</f>
        <v>3</v>
      </c>
    </row>
    <row r="784" spans="1:20" hidden="1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  <c r="S784" t="str">
        <f t="shared" si="12"/>
        <v>Weekly</v>
      </c>
      <c r="T784" cm="1">
        <f t="array" ref="T784">_xlfn.SWITCH(S784,"Annually",6,"Bi-Weekly",2,"Fortnightly",3,"Monthly",4,"Quarterly",5,"Weekly",1)</f>
        <v>1</v>
      </c>
    </row>
    <row r="785" spans="1:20" hidden="1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  <c r="S785" t="str">
        <f t="shared" si="12"/>
        <v>Fortnightly</v>
      </c>
      <c r="T785" cm="1">
        <f t="array" ref="T785">_xlfn.SWITCH(S785,"Annually",6,"Bi-Weekly",2,"Fortnightly",3,"Monthly",4,"Quarterly",5,"Weekly",1)</f>
        <v>3</v>
      </c>
    </row>
    <row r="786" spans="1:20" hidden="1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  <c r="S786" t="str">
        <f t="shared" si="12"/>
        <v>Quarterly</v>
      </c>
      <c r="T786" cm="1">
        <f t="array" ref="T786">_xlfn.SWITCH(S786,"Annually",6,"Bi-Weekly",2,"Fortnightly",3,"Monthly",4,"Quarterly",5,"Weekly",1)</f>
        <v>5</v>
      </c>
    </row>
    <row r="787" spans="1:20" hidden="1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  <c r="S787" t="str">
        <f t="shared" si="12"/>
        <v>Fortnightly</v>
      </c>
      <c r="T787" cm="1">
        <f t="array" ref="T787">_xlfn.SWITCH(S787,"Annually",6,"Bi-Weekly",2,"Fortnightly",3,"Monthly",4,"Quarterly",5,"Weekly",1)</f>
        <v>3</v>
      </c>
    </row>
    <row r="788" spans="1:20" hidden="1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  <c r="S788" t="str">
        <f t="shared" si="12"/>
        <v>Quarterly</v>
      </c>
      <c r="T788" cm="1">
        <f t="array" ref="T788">_xlfn.SWITCH(S788,"Annually",6,"Bi-Weekly",2,"Fortnightly",3,"Monthly",4,"Quarterly",5,"Weekly",1)</f>
        <v>5</v>
      </c>
    </row>
    <row r="789" spans="1:20" hidden="1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  <c r="S789" t="str">
        <f t="shared" si="12"/>
        <v>Weekly</v>
      </c>
      <c r="T789" cm="1">
        <f t="array" ref="T789">_xlfn.SWITCH(S789,"Annually",6,"Bi-Weekly",2,"Fortnightly",3,"Monthly",4,"Quarterly",5,"Weekly",1)</f>
        <v>1</v>
      </c>
    </row>
    <row r="790" spans="1:20" hidden="1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  <c r="S790" t="str">
        <f t="shared" si="12"/>
        <v>Quarterly</v>
      </c>
      <c r="T790" cm="1">
        <f t="array" ref="T790">_xlfn.SWITCH(S790,"Annually",6,"Bi-Weekly",2,"Fortnightly",3,"Monthly",4,"Quarterly",5,"Weekly",1)</f>
        <v>5</v>
      </c>
    </row>
    <row r="791" spans="1:20" hidden="1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  <c r="S791" t="str">
        <f t="shared" si="12"/>
        <v>Bi-Weekly</v>
      </c>
      <c r="T791" cm="1">
        <f t="array" ref="T791">_xlfn.SWITCH(S791,"Annually",6,"Bi-Weekly",2,"Fortnightly",3,"Monthly",4,"Quarterly",5,"Weekly",1)</f>
        <v>2</v>
      </c>
    </row>
    <row r="792" spans="1:20" hidden="1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  <c r="S792" t="str">
        <f t="shared" si="12"/>
        <v>Quarterly</v>
      </c>
      <c r="T792" cm="1">
        <f t="array" ref="T792">_xlfn.SWITCH(S792,"Annually",6,"Bi-Weekly",2,"Fortnightly",3,"Monthly",4,"Quarterly",5,"Weekly",1)</f>
        <v>5</v>
      </c>
    </row>
    <row r="793" spans="1:20" hidden="1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  <c r="S793" t="str">
        <f t="shared" si="12"/>
        <v>Fortnightly</v>
      </c>
      <c r="T793" cm="1">
        <f t="array" ref="T793">_xlfn.SWITCH(S793,"Annually",6,"Bi-Weekly",2,"Fortnightly",3,"Monthly",4,"Quarterly",5,"Weekly",1)</f>
        <v>3</v>
      </c>
    </row>
    <row r="794" spans="1:20" hidden="1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  <c r="S794" t="str">
        <f t="shared" si="12"/>
        <v>Weekly</v>
      </c>
      <c r="T794" cm="1">
        <f t="array" ref="T794">_xlfn.SWITCH(S794,"Annually",6,"Bi-Weekly",2,"Fortnightly",3,"Monthly",4,"Quarterly",5,"Weekly",1)</f>
        <v>1</v>
      </c>
    </row>
    <row r="795" spans="1:20" hidden="1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  <c r="S795" t="str">
        <f t="shared" si="12"/>
        <v>Monthly</v>
      </c>
      <c r="T795" cm="1">
        <f t="array" ref="T795">_xlfn.SWITCH(S795,"Annually",6,"Bi-Weekly",2,"Fortnightly",3,"Monthly",4,"Quarterly",5,"Weekly",1)</f>
        <v>4</v>
      </c>
    </row>
    <row r="796" spans="1:20" hidden="1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  <c r="S796" t="str">
        <f t="shared" si="12"/>
        <v>Fortnightly</v>
      </c>
      <c r="T796" cm="1">
        <f t="array" ref="T796">_xlfn.SWITCH(S796,"Annually",6,"Bi-Weekly",2,"Fortnightly",3,"Monthly",4,"Quarterly",5,"Weekly",1)</f>
        <v>3</v>
      </c>
    </row>
    <row r="797" spans="1:20" hidden="1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  <c r="S797" t="str">
        <f t="shared" si="12"/>
        <v>Annually</v>
      </c>
      <c r="T797" cm="1">
        <f t="array" ref="T797">_xlfn.SWITCH(S797,"Annually",6,"Bi-Weekly",2,"Fortnightly",3,"Monthly",4,"Quarterly",5,"Weekly",1)</f>
        <v>6</v>
      </c>
    </row>
    <row r="798" spans="1:20" hidden="1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  <c r="S798" t="str">
        <f t="shared" si="12"/>
        <v>Annually</v>
      </c>
      <c r="T798" cm="1">
        <f t="array" ref="T798">_xlfn.SWITCH(S798,"Annually",6,"Bi-Weekly",2,"Fortnightly",3,"Monthly",4,"Quarterly",5,"Weekly",1)</f>
        <v>6</v>
      </c>
    </row>
    <row r="799" spans="1:20" hidden="1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  <c r="S799" t="str">
        <f t="shared" si="12"/>
        <v>Weekly</v>
      </c>
      <c r="T799" cm="1">
        <f t="array" ref="T799">_xlfn.SWITCH(S799,"Annually",6,"Bi-Weekly",2,"Fortnightly",3,"Monthly",4,"Quarterly",5,"Weekly",1)</f>
        <v>1</v>
      </c>
    </row>
    <row r="800" spans="1:20" hidden="1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  <c r="S800" t="str">
        <f t="shared" si="12"/>
        <v>Quarterly</v>
      </c>
      <c r="T800" cm="1">
        <f t="array" ref="T800">_xlfn.SWITCH(S800,"Annually",6,"Bi-Weekly",2,"Fortnightly",3,"Monthly",4,"Quarterly",5,"Weekly",1)</f>
        <v>5</v>
      </c>
    </row>
    <row r="801" spans="1:20" hidden="1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  <c r="S801" t="str">
        <f t="shared" si="12"/>
        <v>Annually</v>
      </c>
      <c r="T801" cm="1">
        <f t="array" ref="T801">_xlfn.SWITCH(S801,"Annually",6,"Bi-Weekly",2,"Fortnightly",3,"Monthly",4,"Quarterly",5,"Weekly",1)</f>
        <v>6</v>
      </c>
    </row>
    <row r="802" spans="1:20" hidden="1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  <c r="S802" t="str">
        <f t="shared" si="12"/>
        <v>Quarterly</v>
      </c>
      <c r="T802" cm="1">
        <f t="array" ref="T802">_xlfn.SWITCH(S802,"Annually",6,"Bi-Weekly",2,"Fortnightly",3,"Monthly",4,"Quarterly",5,"Weekly",1)</f>
        <v>5</v>
      </c>
    </row>
    <row r="803" spans="1:20" hidden="1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  <c r="S803" t="str">
        <f t="shared" si="12"/>
        <v>Fortnightly</v>
      </c>
      <c r="T803" cm="1">
        <f t="array" ref="T803">_xlfn.SWITCH(S803,"Annually",6,"Bi-Weekly",2,"Fortnightly",3,"Monthly",4,"Quarterly",5,"Weekly",1)</f>
        <v>3</v>
      </c>
    </row>
    <row r="804" spans="1:20" hidden="1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  <c r="S804" t="str">
        <f t="shared" si="12"/>
        <v>Weekly</v>
      </c>
      <c r="T804" cm="1">
        <f t="array" ref="T804">_xlfn.SWITCH(S804,"Annually",6,"Bi-Weekly",2,"Fortnightly",3,"Monthly",4,"Quarterly",5,"Weekly",1)</f>
        <v>1</v>
      </c>
    </row>
    <row r="805" spans="1:20" hidden="1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  <c r="S805" t="str">
        <f t="shared" si="12"/>
        <v>Quarterly</v>
      </c>
      <c r="T805" cm="1">
        <f t="array" ref="T805">_xlfn.SWITCH(S805,"Annually",6,"Bi-Weekly",2,"Fortnightly",3,"Monthly",4,"Quarterly",5,"Weekly",1)</f>
        <v>5</v>
      </c>
    </row>
    <row r="806" spans="1:20" hidden="1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  <c r="S806" t="str">
        <f t="shared" si="12"/>
        <v>Quarterly</v>
      </c>
      <c r="T806" cm="1">
        <f t="array" ref="T806">_xlfn.SWITCH(S806,"Annually",6,"Bi-Weekly",2,"Fortnightly",3,"Monthly",4,"Quarterly",5,"Weekly",1)</f>
        <v>5</v>
      </c>
    </row>
    <row r="807" spans="1:20" hidden="1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  <c r="S807" t="str">
        <f t="shared" si="12"/>
        <v>Monthly</v>
      </c>
      <c r="T807" cm="1">
        <f t="array" ref="T807">_xlfn.SWITCH(S807,"Annually",6,"Bi-Weekly",2,"Fortnightly",3,"Monthly",4,"Quarterly",5,"Weekly",1)</f>
        <v>4</v>
      </c>
    </row>
    <row r="808" spans="1:20" hidden="1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  <c r="S808" t="str">
        <f t="shared" si="12"/>
        <v>Quarterly</v>
      </c>
      <c r="T808" cm="1">
        <f t="array" ref="T808">_xlfn.SWITCH(S808,"Annually",6,"Bi-Weekly",2,"Fortnightly",3,"Monthly",4,"Quarterly",5,"Weekly",1)</f>
        <v>5</v>
      </c>
    </row>
    <row r="809" spans="1:20" hidden="1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  <c r="S809" t="str">
        <f t="shared" si="12"/>
        <v>Weekly</v>
      </c>
      <c r="T809" cm="1">
        <f t="array" ref="T809">_xlfn.SWITCH(S809,"Annually",6,"Bi-Weekly",2,"Fortnightly",3,"Monthly",4,"Quarterly",5,"Weekly",1)</f>
        <v>1</v>
      </c>
    </row>
    <row r="810" spans="1:20" hidden="1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  <c r="S810" t="str">
        <f t="shared" si="12"/>
        <v>Quarterly</v>
      </c>
      <c r="T810" cm="1">
        <f t="array" ref="T810">_xlfn.SWITCH(S810,"Annually",6,"Bi-Weekly",2,"Fortnightly",3,"Monthly",4,"Quarterly",5,"Weekly",1)</f>
        <v>5</v>
      </c>
    </row>
    <row r="811" spans="1:20" hidden="1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  <c r="S811" t="str">
        <f t="shared" si="12"/>
        <v>Bi-Weekly</v>
      </c>
      <c r="T811" cm="1">
        <f t="array" ref="T811">_xlfn.SWITCH(S811,"Annually",6,"Bi-Weekly",2,"Fortnightly",3,"Monthly",4,"Quarterly",5,"Weekly",1)</f>
        <v>2</v>
      </c>
    </row>
    <row r="812" spans="1:20" hidden="1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  <c r="S812" t="str">
        <f t="shared" si="12"/>
        <v>Bi-Weekly</v>
      </c>
      <c r="T812" cm="1">
        <f t="array" ref="T812">_xlfn.SWITCH(S812,"Annually",6,"Bi-Weekly",2,"Fortnightly",3,"Monthly",4,"Quarterly",5,"Weekly",1)</f>
        <v>2</v>
      </c>
    </row>
    <row r="813" spans="1:20" hidden="1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  <c r="S813" t="str">
        <f t="shared" si="12"/>
        <v>Quarterly</v>
      </c>
      <c r="T813" cm="1">
        <f t="array" ref="T813">_xlfn.SWITCH(S813,"Annually",6,"Bi-Weekly",2,"Fortnightly",3,"Monthly",4,"Quarterly",5,"Weekly",1)</f>
        <v>5</v>
      </c>
    </row>
    <row r="814" spans="1:20" hidden="1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  <c r="S814" t="str">
        <f t="shared" si="12"/>
        <v>Weekly</v>
      </c>
      <c r="T814" cm="1">
        <f t="array" ref="T814">_xlfn.SWITCH(S814,"Annually",6,"Bi-Weekly",2,"Fortnightly",3,"Monthly",4,"Quarterly",5,"Weekly",1)</f>
        <v>1</v>
      </c>
    </row>
    <row r="815" spans="1:20" hidden="1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  <c r="S815" t="str">
        <f t="shared" si="12"/>
        <v>Annually</v>
      </c>
      <c r="T815" cm="1">
        <f t="array" ref="T815">_xlfn.SWITCH(S815,"Annually",6,"Bi-Weekly",2,"Fortnightly",3,"Monthly",4,"Quarterly",5,"Weekly",1)</f>
        <v>6</v>
      </c>
    </row>
    <row r="816" spans="1:20" hidden="1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  <c r="S816" t="str">
        <f t="shared" si="12"/>
        <v>Monthly</v>
      </c>
      <c r="T816" cm="1">
        <f t="array" ref="T816">_xlfn.SWITCH(S816,"Annually",6,"Bi-Weekly",2,"Fortnightly",3,"Monthly",4,"Quarterly",5,"Weekly",1)</f>
        <v>4</v>
      </c>
    </row>
    <row r="817" spans="1:20" hidden="1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  <c r="S817" t="str">
        <f t="shared" si="12"/>
        <v>Bi-Weekly</v>
      </c>
      <c r="T817" cm="1">
        <f t="array" ref="T817">_xlfn.SWITCH(S817,"Annually",6,"Bi-Weekly",2,"Fortnightly",3,"Monthly",4,"Quarterly",5,"Weekly",1)</f>
        <v>2</v>
      </c>
    </row>
    <row r="818" spans="1:20" hidden="1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  <c r="S818" t="str">
        <f t="shared" si="12"/>
        <v>Monthly</v>
      </c>
      <c r="T818" cm="1">
        <f t="array" ref="T818">_xlfn.SWITCH(S818,"Annually",6,"Bi-Weekly",2,"Fortnightly",3,"Monthly",4,"Quarterly",5,"Weekly",1)</f>
        <v>4</v>
      </c>
    </row>
    <row r="819" spans="1:20" hidden="1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  <c r="S819" t="str">
        <f t="shared" si="12"/>
        <v>Fortnightly</v>
      </c>
      <c r="T819" cm="1">
        <f t="array" ref="T819">_xlfn.SWITCH(S819,"Annually",6,"Bi-Weekly",2,"Fortnightly",3,"Monthly",4,"Quarterly",5,"Weekly",1)</f>
        <v>3</v>
      </c>
    </row>
    <row r="820" spans="1:20" hidden="1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  <c r="S820" t="str">
        <f t="shared" si="12"/>
        <v>Monthly</v>
      </c>
      <c r="T820" cm="1">
        <f t="array" ref="T820">_xlfn.SWITCH(S820,"Annually",6,"Bi-Weekly",2,"Fortnightly",3,"Monthly",4,"Quarterly",5,"Weekly",1)</f>
        <v>4</v>
      </c>
    </row>
    <row r="821" spans="1:20" hidden="1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  <c r="S821" t="str">
        <f t="shared" si="12"/>
        <v>Quarterly</v>
      </c>
      <c r="T821" cm="1">
        <f t="array" ref="T821">_xlfn.SWITCH(S821,"Annually",6,"Bi-Weekly",2,"Fortnightly",3,"Monthly",4,"Quarterly",5,"Weekly",1)</f>
        <v>5</v>
      </c>
    </row>
    <row r="822" spans="1:20" hidden="1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  <c r="S822" t="str">
        <f t="shared" si="12"/>
        <v>Monthly</v>
      </c>
      <c r="T822" cm="1">
        <f t="array" ref="T822">_xlfn.SWITCH(S822,"Annually",6,"Bi-Weekly",2,"Fortnightly",3,"Monthly",4,"Quarterly",5,"Weekly",1)</f>
        <v>4</v>
      </c>
    </row>
    <row r="823" spans="1:20" hidden="1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  <c r="S823" t="str">
        <f t="shared" si="12"/>
        <v>Bi-Weekly</v>
      </c>
      <c r="T823" cm="1">
        <f t="array" ref="T823">_xlfn.SWITCH(S823,"Annually",6,"Bi-Weekly",2,"Fortnightly",3,"Monthly",4,"Quarterly",5,"Weekly",1)</f>
        <v>2</v>
      </c>
    </row>
    <row r="824" spans="1:20" hidden="1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  <c r="S824" t="str">
        <f t="shared" si="12"/>
        <v>Annually</v>
      </c>
      <c r="T824" cm="1">
        <f t="array" ref="T824">_xlfn.SWITCH(S824,"Annually",6,"Bi-Weekly",2,"Fortnightly",3,"Monthly",4,"Quarterly",5,"Weekly",1)</f>
        <v>6</v>
      </c>
    </row>
    <row r="825" spans="1:20" hidden="1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  <c r="S825" t="str">
        <f t="shared" si="12"/>
        <v>Quarterly</v>
      </c>
      <c r="T825" cm="1">
        <f t="array" ref="T825">_xlfn.SWITCH(S825,"Annually",6,"Bi-Weekly",2,"Fortnightly",3,"Monthly",4,"Quarterly",5,"Weekly",1)</f>
        <v>5</v>
      </c>
    </row>
    <row r="826" spans="1:20" hidden="1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  <c r="S826" t="str">
        <f t="shared" si="12"/>
        <v>Quarterly</v>
      </c>
      <c r="T826" cm="1">
        <f t="array" ref="T826">_xlfn.SWITCH(S826,"Annually",6,"Bi-Weekly",2,"Fortnightly",3,"Monthly",4,"Quarterly",5,"Weekly",1)</f>
        <v>5</v>
      </c>
    </row>
    <row r="827" spans="1:20" hidden="1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  <c r="S827" t="str">
        <f t="shared" si="12"/>
        <v>Monthly</v>
      </c>
      <c r="T827" cm="1">
        <f t="array" ref="T827">_xlfn.SWITCH(S827,"Annually",6,"Bi-Weekly",2,"Fortnightly",3,"Monthly",4,"Quarterly",5,"Weekly",1)</f>
        <v>4</v>
      </c>
    </row>
    <row r="828" spans="1:20" hidden="1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  <c r="S828" t="str">
        <f t="shared" si="12"/>
        <v>Weekly</v>
      </c>
      <c r="T828" cm="1">
        <f t="array" ref="T828">_xlfn.SWITCH(S828,"Annually",6,"Bi-Weekly",2,"Fortnightly",3,"Monthly",4,"Quarterly",5,"Weekly",1)</f>
        <v>1</v>
      </c>
    </row>
    <row r="829" spans="1:20" hidden="1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  <c r="S829" t="str">
        <f t="shared" si="12"/>
        <v>Fortnightly</v>
      </c>
      <c r="T829" cm="1">
        <f t="array" ref="T829">_xlfn.SWITCH(S829,"Annually",6,"Bi-Weekly",2,"Fortnightly",3,"Monthly",4,"Quarterly",5,"Weekly",1)</f>
        <v>3</v>
      </c>
    </row>
    <row r="830" spans="1:20" hidden="1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  <c r="S830" t="str">
        <f t="shared" si="12"/>
        <v>Bi-Weekly</v>
      </c>
      <c r="T830" cm="1">
        <f t="array" ref="T830">_xlfn.SWITCH(S830,"Annually",6,"Bi-Weekly",2,"Fortnightly",3,"Monthly",4,"Quarterly",5,"Weekly",1)</f>
        <v>2</v>
      </c>
    </row>
    <row r="831" spans="1:20" hidden="1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  <c r="S831" t="str">
        <f t="shared" si="12"/>
        <v>Fortnightly</v>
      </c>
      <c r="T831" cm="1">
        <f t="array" ref="T831">_xlfn.SWITCH(S831,"Annually",6,"Bi-Weekly",2,"Fortnightly",3,"Monthly",4,"Quarterly",5,"Weekly",1)</f>
        <v>3</v>
      </c>
    </row>
    <row r="832" spans="1:20" hidden="1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  <c r="S832" t="str">
        <f t="shared" si="12"/>
        <v>Annually</v>
      </c>
      <c r="T832" cm="1">
        <f t="array" ref="T832">_xlfn.SWITCH(S832,"Annually",6,"Bi-Weekly",2,"Fortnightly",3,"Monthly",4,"Quarterly",5,"Weekly",1)</f>
        <v>6</v>
      </c>
    </row>
    <row r="833" spans="1:20" hidden="1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  <c r="S833" t="str">
        <f t="shared" si="12"/>
        <v>Quarterly</v>
      </c>
      <c r="T833" cm="1">
        <f t="array" ref="T833">_xlfn.SWITCH(S833,"Annually",6,"Bi-Weekly",2,"Fortnightly",3,"Monthly",4,"Quarterly",5,"Weekly",1)</f>
        <v>5</v>
      </c>
    </row>
    <row r="834" spans="1:20" hidden="1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  <c r="S834" t="str">
        <f t="shared" si="12"/>
        <v>Bi-Weekly</v>
      </c>
      <c r="T834" cm="1">
        <f t="array" ref="T834">_xlfn.SWITCH(S834,"Annually",6,"Bi-Weekly",2,"Fortnightly",3,"Monthly",4,"Quarterly",5,"Weekly",1)</f>
        <v>2</v>
      </c>
    </row>
    <row r="835" spans="1:20" hidden="1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  <c r="S835" t="str">
        <f t="shared" ref="S835:S898" si="13">IF(R835="Every 3 Months","Quarterly",R835)</f>
        <v>Annually</v>
      </c>
      <c r="T835" cm="1">
        <f t="array" ref="T835">_xlfn.SWITCH(S835,"Annually",6,"Bi-Weekly",2,"Fortnightly",3,"Monthly",4,"Quarterly",5,"Weekly",1)</f>
        <v>6</v>
      </c>
    </row>
    <row r="836" spans="1:20" hidden="1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  <c r="S836" t="str">
        <f t="shared" si="13"/>
        <v>Weekly</v>
      </c>
      <c r="T836" cm="1">
        <f t="array" ref="T836">_xlfn.SWITCH(S836,"Annually",6,"Bi-Weekly",2,"Fortnightly",3,"Monthly",4,"Quarterly",5,"Weekly",1)</f>
        <v>1</v>
      </c>
    </row>
    <row r="837" spans="1:20" hidden="1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  <c r="S837" t="str">
        <f t="shared" si="13"/>
        <v>Weekly</v>
      </c>
      <c r="T837" cm="1">
        <f t="array" ref="T837">_xlfn.SWITCH(S837,"Annually",6,"Bi-Weekly",2,"Fortnightly",3,"Monthly",4,"Quarterly",5,"Weekly",1)</f>
        <v>1</v>
      </c>
    </row>
    <row r="838" spans="1:20" hidden="1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  <c r="S838" t="str">
        <f t="shared" si="13"/>
        <v>Bi-Weekly</v>
      </c>
      <c r="T838" cm="1">
        <f t="array" ref="T838">_xlfn.SWITCH(S838,"Annually",6,"Bi-Weekly",2,"Fortnightly",3,"Monthly",4,"Quarterly",5,"Weekly",1)</f>
        <v>2</v>
      </c>
    </row>
    <row r="839" spans="1:20" hidden="1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  <c r="S839" t="str">
        <f t="shared" si="13"/>
        <v>Quarterly</v>
      </c>
      <c r="T839" cm="1">
        <f t="array" ref="T839">_xlfn.SWITCH(S839,"Annually",6,"Bi-Weekly",2,"Fortnightly",3,"Monthly",4,"Quarterly",5,"Weekly",1)</f>
        <v>5</v>
      </c>
    </row>
    <row r="840" spans="1:20" hidden="1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  <c r="S840" t="str">
        <f t="shared" si="13"/>
        <v>Annually</v>
      </c>
      <c r="T840" cm="1">
        <f t="array" ref="T840">_xlfn.SWITCH(S840,"Annually",6,"Bi-Weekly",2,"Fortnightly",3,"Monthly",4,"Quarterly",5,"Weekly",1)</f>
        <v>6</v>
      </c>
    </row>
    <row r="841" spans="1:20" hidden="1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  <c r="S841" t="str">
        <f t="shared" si="13"/>
        <v>Quarterly</v>
      </c>
      <c r="T841" cm="1">
        <f t="array" ref="T841">_xlfn.SWITCH(S841,"Annually",6,"Bi-Weekly",2,"Fortnightly",3,"Monthly",4,"Quarterly",5,"Weekly",1)</f>
        <v>5</v>
      </c>
    </row>
    <row r="842" spans="1:20" hidden="1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  <c r="S842" t="str">
        <f t="shared" si="13"/>
        <v>Weekly</v>
      </c>
      <c r="T842" cm="1">
        <f t="array" ref="T842">_xlfn.SWITCH(S842,"Annually",6,"Bi-Weekly",2,"Fortnightly",3,"Monthly",4,"Quarterly",5,"Weekly",1)</f>
        <v>1</v>
      </c>
    </row>
    <row r="843" spans="1:20" hidden="1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  <c r="S843" t="str">
        <f t="shared" si="13"/>
        <v>Fortnightly</v>
      </c>
      <c r="T843" cm="1">
        <f t="array" ref="T843">_xlfn.SWITCH(S843,"Annually",6,"Bi-Weekly",2,"Fortnightly",3,"Monthly",4,"Quarterly",5,"Weekly",1)</f>
        <v>3</v>
      </c>
    </row>
    <row r="844" spans="1:20" hidden="1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  <c r="S844" t="str">
        <f t="shared" si="13"/>
        <v>Weekly</v>
      </c>
      <c r="T844" cm="1">
        <f t="array" ref="T844">_xlfn.SWITCH(S844,"Annually",6,"Bi-Weekly",2,"Fortnightly",3,"Monthly",4,"Quarterly",5,"Weekly",1)</f>
        <v>1</v>
      </c>
    </row>
    <row r="845" spans="1:20" hidden="1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  <c r="S845" t="str">
        <f t="shared" si="13"/>
        <v>Weekly</v>
      </c>
      <c r="T845" cm="1">
        <f t="array" ref="T845">_xlfn.SWITCH(S845,"Annually",6,"Bi-Weekly",2,"Fortnightly",3,"Monthly",4,"Quarterly",5,"Weekly",1)</f>
        <v>1</v>
      </c>
    </row>
    <row r="846" spans="1:20" hidden="1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  <c r="S846" t="str">
        <f t="shared" si="13"/>
        <v>Bi-Weekly</v>
      </c>
      <c r="T846" cm="1">
        <f t="array" ref="T846">_xlfn.SWITCH(S846,"Annually",6,"Bi-Weekly",2,"Fortnightly",3,"Monthly",4,"Quarterly",5,"Weekly",1)</f>
        <v>2</v>
      </c>
    </row>
    <row r="847" spans="1:20" hidden="1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  <c r="S847" t="str">
        <f t="shared" si="13"/>
        <v>Monthly</v>
      </c>
      <c r="T847" cm="1">
        <f t="array" ref="T847">_xlfn.SWITCH(S847,"Annually",6,"Bi-Weekly",2,"Fortnightly",3,"Monthly",4,"Quarterly",5,"Weekly",1)</f>
        <v>4</v>
      </c>
    </row>
    <row r="848" spans="1:20" hidden="1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  <c r="S848" t="str">
        <f t="shared" si="13"/>
        <v>Quarterly</v>
      </c>
      <c r="T848" cm="1">
        <f t="array" ref="T848">_xlfn.SWITCH(S848,"Annually",6,"Bi-Weekly",2,"Fortnightly",3,"Monthly",4,"Quarterly",5,"Weekly",1)</f>
        <v>5</v>
      </c>
    </row>
    <row r="849" spans="1:20" hidden="1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  <c r="S849" t="str">
        <f t="shared" si="13"/>
        <v>Monthly</v>
      </c>
      <c r="T849" cm="1">
        <f t="array" ref="T849">_xlfn.SWITCH(S849,"Annually",6,"Bi-Weekly",2,"Fortnightly",3,"Monthly",4,"Quarterly",5,"Weekly",1)</f>
        <v>4</v>
      </c>
    </row>
    <row r="850" spans="1:20" hidden="1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  <c r="S850" t="str">
        <f t="shared" si="13"/>
        <v>Bi-Weekly</v>
      </c>
      <c r="T850" cm="1">
        <f t="array" ref="T850">_xlfn.SWITCH(S850,"Annually",6,"Bi-Weekly",2,"Fortnightly",3,"Monthly",4,"Quarterly",5,"Weekly",1)</f>
        <v>2</v>
      </c>
    </row>
    <row r="851" spans="1:20" hidden="1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  <c r="S851" t="str">
        <f t="shared" si="13"/>
        <v>Quarterly</v>
      </c>
      <c r="T851" cm="1">
        <f t="array" ref="T851">_xlfn.SWITCH(S851,"Annually",6,"Bi-Weekly",2,"Fortnightly",3,"Monthly",4,"Quarterly",5,"Weekly",1)</f>
        <v>5</v>
      </c>
    </row>
    <row r="852" spans="1:20" hidden="1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  <c r="S852" t="str">
        <f t="shared" si="13"/>
        <v>Monthly</v>
      </c>
      <c r="T852" cm="1">
        <f t="array" ref="T852">_xlfn.SWITCH(S852,"Annually",6,"Bi-Weekly",2,"Fortnightly",3,"Monthly",4,"Quarterly",5,"Weekly",1)</f>
        <v>4</v>
      </c>
    </row>
    <row r="853" spans="1:20" hidden="1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  <c r="S853" t="str">
        <f t="shared" si="13"/>
        <v>Monthly</v>
      </c>
      <c r="T853" cm="1">
        <f t="array" ref="T853">_xlfn.SWITCH(S853,"Annually",6,"Bi-Weekly",2,"Fortnightly",3,"Monthly",4,"Quarterly",5,"Weekly",1)</f>
        <v>4</v>
      </c>
    </row>
    <row r="854" spans="1:20" hidden="1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  <c r="S854" t="str">
        <f t="shared" si="13"/>
        <v>Quarterly</v>
      </c>
      <c r="T854" cm="1">
        <f t="array" ref="T854">_xlfn.SWITCH(S854,"Annually",6,"Bi-Weekly",2,"Fortnightly",3,"Monthly",4,"Quarterly",5,"Weekly",1)</f>
        <v>5</v>
      </c>
    </row>
    <row r="855" spans="1:20" hidden="1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  <c r="S855" t="str">
        <f t="shared" si="13"/>
        <v>Monthly</v>
      </c>
      <c r="T855" cm="1">
        <f t="array" ref="T855">_xlfn.SWITCH(S855,"Annually",6,"Bi-Weekly",2,"Fortnightly",3,"Monthly",4,"Quarterly",5,"Weekly",1)</f>
        <v>4</v>
      </c>
    </row>
    <row r="856" spans="1:20" hidden="1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  <c r="S856" t="str">
        <f t="shared" si="13"/>
        <v>Monthly</v>
      </c>
      <c r="T856" cm="1">
        <f t="array" ref="T856">_xlfn.SWITCH(S856,"Annually",6,"Bi-Weekly",2,"Fortnightly",3,"Monthly",4,"Quarterly",5,"Weekly",1)</f>
        <v>4</v>
      </c>
    </row>
    <row r="857" spans="1:20" hidden="1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  <c r="S857" t="str">
        <f t="shared" si="13"/>
        <v>Quarterly</v>
      </c>
      <c r="T857" cm="1">
        <f t="array" ref="T857">_xlfn.SWITCH(S857,"Annually",6,"Bi-Weekly",2,"Fortnightly",3,"Monthly",4,"Quarterly",5,"Weekly",1)</f>
        <v>5</v>
      </c>
    </row>
    <row r="858" spans="1:20" hidden="1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  <c r="S858" t="str">
        <f t="shared" si="13"/>
        <v>Fortnightly</v>
      </c>
      <c r="T858" cm="1">
        <f t="array" ref="T858">_xlfn.SWITCH(S858,"Annually",6,"Bi-Weekly",2,"Fortnightly",3,"Monthly",4,"Quarterly",5,"Weekly",1)</f>
        <v>3</v>
      </c>
    </row>
    <row r="859" spans="1:20" hidden="1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  <c r="S859" t="str">
        <f t="shared" si="13"/>
        <v>Quarterly</v>
      </c>
      <c r="T859" cm="1">
        <f t="array" ref="T859">_xlfn.SWITCH(S859,"Annually",6,"Bi-Weekly",2,"Fortnightly",3,"Monthly",4,"Quarterly",5,"Weekly",1)</f>
        <v>5</v>
      </c>
    </row>
    <row r="860" spans="1:20" hidden="1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  <c r="S860" t="str">
        <f t="shared" si="13"/>
        <v>Weekly</v>
      </c>
      <c r="T860" cm="1">
        <f t="array" ref="T860">_xlfn.SWITCH(S860,"Annually",6,"Bi-Weekly",2,"Fortnightly",3,"Monthly",4,"Quarterly",5,"Weekly",1)</f>
        <v>1</v>
      </c>
    </row>
    <row r="861" spans="1:20" hidden="1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  <c r="S861" t="str">
        <f t="shared" si="13"/>
        <v>Monthly</v>
      </c>
      <c r="T861" cm="1">
        <f t="array" ref="T861">_xlfn.SWITCH(S861,"Annually",6,"Bi-Weekly",2,"Fortnightly",3,"Monthly",4,"Quarterly",5,"Weekly",1)</f>
        <v>4</v>
      </c>
    </row>
    <row r="862" spans="1:20" hidden="1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  <c r="S862" t="str">
        <f t="shared" si="13"/>
        <v>Monthly</v>
      </c>
      <c r="T862" cm="1">
        <f t="array" ref="T862">_xlfn.SWITCH(S862,"Annually",6,"Bi-Weekly",2,"Fortnightly",3,"Monthly",4,"Quarterly",5,"Weekly",1)</f>
        <v>4</v>
      </c>
    </row>
    <row r="863" spans="1:20" hidden="1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  <c r="S863" t="str">
        <f t="shared" si="13"/>
        <v>Quarterly</v>
      </c>
      <c r="T863" cm="1">
        <f t="array" ref="T863">_xlfn.SWITCH(S863,"Annually",6,"Bi-Weekly",2,"Fortnightly",3,"Monthly",4,"Quarterly",5,"Weekly",1)</f>
        <v>5</v>
      </c>
    </row>
    <row r="864" spans="1:20" hidden="1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  <c r="S864" t="str">
        <f t="shared" si="13"/>
        <v>Fortnightly</v>
      </c>
      <c r="T864" cm="1">
        <f t="array" ref="T864">_xlfn.SWITCH(S864,"Annually",6,"Bi-Weekly",2,"Fortnightly",3,"Monthly",4,"Quarterly",5,"Weekly",1)</f>
        <v>3</v>
      </c>
    </row>
    <row r="865" spans="1:20" hidden="1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  <c r="S865" t="str">
        <f t="shared" si="13"/>
        <v>Fortnightly</v>
      </c>
      <c r="T865" cm="1">
        <f t="array" ref="T865">_xlfn.SWITCH(S865,"Annually",6,"Bi-Weekly",2,"Fortnightly",3,"Monthly",4,"Quarterly",5,"Weekly",1)</f>
        <v>3</v>
      </c>
    </row>
    <row r="866" spans="1:20" hidden="1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  <c r="S866" t="str">
        <f t="shared" si="13"/>
        <v>Annually</v>
      </c>
      <c r="T866" cm="1">
        <f t="array" ref="T866">_xlfn.SWITCH(S866,"Annually",6,"Bi-Weekly",2,"Fortnightly",3,"Monthly",4,"Quarterly",5,"Weekly",1)</f>
        <v>6</v>
      </c>
    </row>
    <row r="867" spans="1:20" hidden="1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  <c r="S867" t="str">
        <f t="shared" si="13"/>
        <v>Annually</v>
      </c>
      <c r="T867" cm="1">
        <f t="array" ref="T867">_xlfn.SWITCH(S867,"Annually",6,"Bi-Weekly",2,"Fortnightly",3,"Monthly",4,"Quarterly",5,"Weekly",1)</f>
        <v>6</v>
      </c>
    </row>
    <row r="868" spans="1:20" hidden="1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  <c r="S868" t="str">
        <f t="shared" si="13"/>
        <v>Bi-Weekly</v>
      </c>
      <c r="T868" cm="1">
        <f t="array" ref="T868">_xlfn.SWITCH(S868,"Annually",6,"Bi-Weekly",2,"Fortnightly",3,"Monthly",4,"Quarterly",5,"Weekly",1)</f>
        <v>2</v>
      </c>
    </row>
    <row r="869" spans="1:20" hidden="1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  <c r="S869" t="str">
        <f t="shared" si="13"/>
        <v>Fortnightly</v>
      </c>
      <c r="T869" cm="1">
        <f t="array" ref="T869">_xlfn.SWITCH(S869,"Annually",6,"Bi-Weekly",2,"Fortnightly",3,"Monthly",4,"Quarterly",5,"Weekly",1)</f>
        <v>3</v>
      </c>
    </row>
    <row r="870" spans="1:20" hidden="1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  <c r="S870" t="str">
        <f t="shared" si="13"/>
        <v>Quarterly</v>
      </c>
      <c r="T870" cm="1">
        <f t="array" ref="T870">_xlfn.SWITCH(S870,"Annually",6,"Bi-Weekly",2,"Fortnightly",3,"Monthly",4,"Quarterly",5,"Weekly",1)</f>
        <v>5</v>
      </c>
    </row>
    <row r="871" spans="1:20" hidden="1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  <c r="S871" t="str">
        <f t="shared" si="13"/>
        <v>Weekly</v>
      </c>
      <c r="T871" cm="1">
        <f t="array" ref="T871">_xlfn.SWITCH(S871,"Annually",6,"Bi-Weekly",2,"Fortnightly",3,"Monthly",4,"Quarterly",5,"Weekly",1)</f>
        <v>1</v>
      </c>
    </row>
    <row r="872" spans="1:20" hidden="1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  <c r="S872" t="str">
        <f t="shared" si="13"/>
        <v>Bi-Weekly</v>
      </c>
      <c r="T872" cm="1">
        <f t="array" ref="T872">_xlfn.SWITCH(S872,"Annually",6,"Bi-Weekly",2,"Fortnightly",3,"Monthly",4,"Quarterly",5,"Weekly",1)</f>
        <v>2</v>
      </c>
    </row>
    <row r="873" spans="1:20" hidden="1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  <c r="S873" t="str">
        <f t="shared" si="13"/>
        <v>Quarterly</v>
      </c>
      <c r="T873" cm="1">
        <f t="array" ref="T873">_xlfn.SWITCH(S873,"Annually",6,"Bi-Weekly",2,"Fortnightly",3,"Monthly",4,"Quarterly",5,"Weekly",1)</f>
        <v>5</v>
      </c>
    </row>
    <row r="874" spans="1:20" hidden="1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  <c r="S874" t="str">
        <f t="shared" si="13"/>
        <v>Quarterly</v>
      </c>
      <c r="T874" cm="1">
        <f t="array" ref="T874">_xlfn.SWITCH(S874,"Annually",6,"Bi-Weekly",2,"Fortnightly",3,"Monthly",4,"Quarterly",5,"Weekly",1)</f>
        <v>5</v>
      </c>
    </row>
    <row r="875" spans="1:20" hidden="1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  <c r="S875" t="str">
        <f t="shared" si="13"/>
        <v>Quarterly</v>
      </c>
      <c r="T875" cm="1">
        <f t="array" ref="T875">_xlfn.SWITCH(S875,"Annually",6,"Bi-Weekly",2,"Fortnightly",3,"Monthly",4,"Quarterly",5,"Weekly",1)</f>
        <v>5</v>
      </c>
    </row>
    <row r="876" spans="1:20" hidden="1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  <c r="S876" t="str">
        <f t="shared" si="13"/>
        <v>Quarterly</v>
      </c>
      <c r="T876" cm="1">
        <f t="array" ref="T876">_xlfn.SWITCH(S876,"Annually",6,"Bi-Weekly",2,"Fortnightly",3,"Monthly",4,"Quarterly",5,"Weekly",1)</f>
        <v>5</v>
      </c>
    </row>
    <row r="877" spans="1:20" hidden="1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  <c r="S877" t="str">
        <f t="shared" si="13"/>
        <v>Quarterly</v>
      </c>
      <c r="T877" cm="1">
        <f t="array" ref="T877">_xlfn.SWITCH(S877,"Annually",6,"Bi-Weekly",2,"Fortnightly",3,"Monthly",4,"Quarterly",5,"Weekly",1)</f>
        <v>5</v>
      </c>
    </row>
    <row r="878" spans="1:20" hidden="1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  <c r="S878" t="str">
        <f t="shared" si="13"/>
        <v>Weekly</v>
      </c>
      <c r="T878" cm="1">
        <f t="array" ref="T878">_xlfn.SWITCH(S878,"Annually",6,"Bi-Weekly",2,"Fortnightly",3,"Monthly",4,"Quarterly",5,"Weekly",1)</f>
        <v>1</v>
      </c>
    </row>
    <row r="879" spans="1:20" hidden="1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  <c r="S879" t="str">
        <f t="shared" si="13"/>
        <v>Quarterly</v>
      </c>
      <c r="T879" cm="1">
        <f t="array" ref="T879">_xlfn.SWITCH(S879,"Annually",6,"Bi-Weekly",2,"Fortnightly",3,"Monthly",4,"Quarterly",5,"Weekly",1)</f>
        <v>5</v>
      </c>
    </row>
    <row r="880" spans="1:20" hidden="1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  <c r="S880" t="str">
        <f t="shared" si="13"/>
        <v>Weekly</v>
      </c>
      <c r="T880" cm="1">
        <f t="array" ref="T880">_xlfn.SWITCH(S880,"Annually",6,"Bi-Weekly",2,"Fortnightly",3,"Monthly",4,"Quarterly",5,"Weekly",1)</f>
        <v>1</v>
      </c>
    </row>
    <row r="881" spans="1:20" hidden="1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  <c r="S881" t="str">
        <f t="shared" si="13"/>
        <v>Quarterly</v>
      </c>
      <c r="T881" cm="1">
        <f t="array" ref="T881">_xlfn.SWITCH(S881,"Annually",6,"Bi-Weekly",2,"Fortnightly",3,"Monthly",4,"Quarterly",5,"Weekly",1)</f>
        <v>5</v>
      </c>
    </row>
    <row r="882" spans="1:20" hidden="1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  <c r="S882" t="str">
        <f t="shared" si="13"/>
        <v>Monthly</v>
      </c>
      <c r="T882" cm="1">
        <f t="array" ref="T882">_xlfn.SWITCH(S882,"Annually",6,"Bi-Weekly",2,"Fortnightly",3,"Monthly",4,"Quarterly",5,"Weekly",1)</f>
        <v>4</v>
      </c>
    </row>
    <row r="883" spans="1:20" hidden="1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  <c r="S883" t="str">
        <f t="shared" si="13"/>
        <v>Annually</v>
      </c>
      <c r="T883" cm="1">
        <f t="array" ref="T883">_xlfn.SWITCH(S883,"Annually",6,"Bi-Weekly",2,"Fortnightly",3,"Monthly",4,"Quarterly",5,"Weekly",1)</f>
        <v>6</v>
      </c>
    </row>
    <row r="884" spans="1:20" hidden="1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  <c r="S884" t="str">
        <f t="shared" si="13"/>
        <v>Quarterly</v>
      </c>
      <c r="T884" cm="1">
        <f t="array" ref="T884">_xlfn.SWITCH(S884,"Annually",6,"Bi-Weekly",2,"Fortnightly",3,"Monthly",4,"Quarterly",5,"Weekly",1)</f>
        <v>5</v>
      </c>
    </row>
    <row r="885" spans="1:20" hidden="1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  <c r="S885" t="str">
        <f t="shared" si="13"/>
        <v>Monthly</v>
      </c>
      <c r="T885" cm="1">
        <f t="array" ref="T885">_xlfn.SWITCH(S885,"Annually",6,"Bi-Weekly",2,"Fortnightly",3,"Monthly",4,"Quarterly",5,"Weekly",1)</f>
        <v>4</v>
      </c>
    </row>
    <row r="886" spans="1:20" hidden="1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  <c r="S886" t="str">
        <f t="shared" si="13"/>
        <v>Weekly</v>
      </c>
      <c r="T886" cm="1">
        <f t="array" ref="T886">_xlfn.SWITCH(S886,"Annually",6,"Bi-Weekly",2,"Fortnightly",3,"Monthly",4,"Quarterly",5,"Weekly",1)</f>
        <v>1</v>
      </c>
    </row>
    <row r="887" spans="1:20" hidden="1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  <c r="S887" t="str">
        <f t="shared" si="13"/>
        <v>Quarterly</v>
      </c>
      <c r="T887" cm="1">
        <f t="array" ref="T887">_xlfn.SWITCH(S887,"Annually",6,"Bi-Weekly",2,"Fortnightly",3,"Monthly",4,"Quarterly",5,"Weekly",1)</f>
        <v>5</v>
      </c>
    </row>
    <row r="888" spans="1:20" hidden="1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  <c r="S888" t="str">
        <f t="shared" si="13"/>
        <v>Monthly</v>
      </c>
      <c r="T888" cm="1">
        <f t="array" ref="T888">_xlfn.SWITCH(S888,"Annually",6,"Bi-Weekly",2,"Fortnightly",3,"Monthly",4,"Quarterly",5,"Weekly",1)</f>
        <v>4</v>
      </c>
    </row>
    <row r="889" spans="1:20" hidden="1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  <c r="S889" t="str">
        <f t="shared" si="13"/>
        <v>Fortnightly</v>
      </c>
      <c r="T889" cm="1">
        <f t="array" ref="T889">_xlfn.SWITCH(S889,"Annually",6,"Bi-Weekly",2,"Fortnightly",3,"Monthly",4,"Quarterly",5,"Weekly",1)</f>
        <v>3</v>
      </c>
    </row>
    <row r="890" spans="1:20" hidden="1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  <c r="S890" t="str">
        <f t="shared" si="13"/>
        <v>Annually</v>
      </c>
      <c r="T890" cm="1">
        <f t="array" ref="T890">_xlfn.SWITCH(S890,"Annually",6,"Bi-Weekly",2,"Fortnightly",3,"Monthly",4,"Quarterly",5,"Weekly",1)</f>
        <v>6</v>
      </c>
    </row>
    <row r="891" spans="1:20" hidden="1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  <c r="S891" t="str">
        <f t="shared" si="13"/>
        <v>Weekly</v>
      </c>
      <c r="T891" cm="1">
        <f t="array" ref="T891">_xlfn.SWITCH(S891,"Annually",6,"Bi-Weekly",2,"Fortnightly",3,"Monthly",4,"Quarterly",5,"Weekly",1)</f>
        <v>1</v>
      </c>
    </row>
    <row r="892" spans="1:20" hidden="1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  <c r="S892" t="str">
        <f t="shared" si="13"/>
        <v>Monthly</v>
      </c>
      <c r="T892" cm="1">
        <f t="array" ref="T892">_xlfn.SWITCH(S892,"Annually",6,"Bi-Weekly",2,"Fortnightly",3,"Monthly",4,"Quarterly",5,"Weekly",1)</f>
        <v>4</v>
      </c>
    </row>
    <row r="893" spans="1:20" hidden="1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  <c r="S893" t="str">
        <f t="shared" si="13"/>
        <v>Quarterly</v>
      </c>
      <c r="T893" cm="1">
        <f t="array" ref="T893">_xlfn.SWITCH(S893,"Annually",6,"Bi-Weekly",2,"Fortnightly",3,"Monthly",4,"Quarterly",5,"Weekly",1)</f>
        <v>5</v>
      </c>
    </row>
    <row r="894" spans="1:20" hidden="1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  <c r="S894" t="str">
        <f t="shared" si="13"/>
        <v>Monthly</v>
      </c>
      <c r="T894" cm="1">
        <f t="array" ref="T894">_xlfn.SWITCH(S894,"Annually",6,"Bi-Weekly",2,"Fortnightly",3,"Monthly",4,"Quarterly",5,"Weekly",1)</f>
        <v>4</v>
      </c>
    </row>
    <row r="895" spans="1:20" hidden="1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  <c r="S895" t="str">
        <f t="shared" si="13"/>
        <v>Monthly</v>
      </c>
      <c r="T895" cm="1">
        <f t="array" ref="T895">_xlfn.SWITCH(S895,"Annually",6,"Bi-Weekly",2,"Fortnightly",3,"Monthly",4,"Quarterly",5,"Weekly",1)</f>
        <v>4</v>
      </c>
    </row>
    <row r="896" spans="1:20" hidden="1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  <c r="S896" t="str">
        <f t="shared" si="13"/>
        <v>Quarterly</v>
      </c>
      <c r="T896" cm="1">
        <f t="array" ref="T896">_xlfn.SWITCH(S896,"Annually",6,"Bi-Weekly",2,"Fortnightly",3,"Monthly",4,"Quarterly",5,"Weekly",1)</f>
        <v>5</v>
      </c>
    </row>
    <row r="897" spans="1:20" hidden="1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  <c r="S897" t="str">
        <f t="shared" si="13"/>
        <v>Quarterly</v>
      </c>
      <c r="T897" cm="1">
        <f t="array" ref="T897">_xlfn.SWITCH(S897,"Annually",6,"Bi-Weekly",2,"Fortnightly",3,"Monthly",4,"Quarterly",5,"Weekly",1)</f>
        <v>5</v>
      </c>
    </row>
    <row r="898" spans="1:20" hidden="1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  <c r="S898" t="str">
        <f t="shared" si="13"/>
        <v>Fortnightly</v>
      </c>
      <c r="T898" cm="1">
        <f t="array" ref="T898">_xlfn.SWITCH(S898,"Annually",6,"Bi-Weekly",2,"Fortnightly",3,"Monthly",4,"Quarterly",5,"Weekly",1)</f>
        <v>3</v>
      </c>
    </row>
    <row r="899" spans="1:20" hidden="1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  <c r="S899" t="str">
        <f t="shared" ref="S899:S962" si="14">IF(R899="Every 3 Months","Quarterly",R899)</f>
        <v>Weekly</v>
      </c>
      <c r="T899" cm="1">
        <f t="array" ref="T899">_xlfn.SWITCH(S899,"Annually",6,"Bi-Weekly",2,"Fortnightly",3,"Monthly",4,"Quarterly",5,"Weekly",1)</f>
        <v>1</v>
      </c>
    </row>
    <row r="900" spans="1:20" hidden="1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  <c r="S900" t="str">
        <f t="shared" si="14"/>
        <v>Quarterly</v>
      </c>
      <c r="T900" cm="1">
        <f t="array" ref="T900">_xlfn.SWITCH(S900,"Annually",6,"Bi-Weekly",2,"Fortnightly",3,"Monthly",4,"Quarterly",5,"Weekly",1)</f>
        <v>5</v>
      </c>
    </row>
    <row r="901" spans="1:20" hidden="1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  <c r="S901" t="str">
        <f t="shared" si="14"/>
        <v>Annually</v>
      </c>
      <c r="T901" cm="1">
        <f t="array" ref="T901">_xlfn.SWITCH(S901,"Annually",6,"Bi-Weekly",2,"Fortnightly",3,"Monthly",4,"Quarterly",5,"Weekly",1)</f>
        <v>6</v>
      </c>
    </row>
    <row r="902" spans="1:20" hidden="1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  <c r="S902" t="str">
        <f t="shared" si="14"/>
        <v>Quarterly</v>
      </c>
      <c r="T902" cm="1">
        <f t="array" ref="T902">_xlfn.SWITCH(S902,"Annually",6,"Bi-Weekly",2,"Fortnightly",3,"Monthly",4,"Quarterly",5,"Weekly",1)</f>
        <v>5</v>
      </c>
    </row>
    <row r="903" spans="1:20" hidden="1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  <c r="S903" t="str">
        <f t="shared" si="14"/>
        <v>Monthly</v>
      </c>
      <c r="T903" cm="1">
        <f t="array" ref="T903">_xlfn.SWITCH(S903,"Annually",6,"Bi-Weekly",2,"Fortnightly",3,"Monthly",4,"Quarterly",5,"Weekly",1)</f>
        <v>4</v>
      </c>
    </row>
    <row r="904" spans="1:20" hidden="1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  <c r="S904" t="str">
        <f t="shared" si="14"/>
        <v>Monthly</v>
      </c>
      <c r="T904" cm="1">
        <f t="array" ref="T904">_xlfn.SWITCH(S904,"Annually",6,"Bi-Weekly",2,"Fortnightly",3,"Monthly",4,"Quarterly",5,"Weekly",1)</f>
        <v>4</v>
      </c>
    </row>
    <row r="905" spans="1:20" hidden="1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  <c r="S905" t="str">
        <f t="shared" si="14"/>
        <v>Quarterly</v>
      </c>
      <c r="T905" cm="1">
        <f t="array" ref="T905">_xlfn.SWITCH(S905,"Annually",6,"Bi-Weekly",2,"Fortnightly",3,"Monthly",4,"Quarterly",5,"Weekly",1)</f>
        <v>5</v>
      </c>
    </row>
    <row r="906" spans="1:20" hidden="1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  <c r="S906" t="str">
        <f t="shared" si="14"/>
        <v>Quarterly</v>
      </c>
      <c r="T906" cm="1">
        <f t="array" ref="T906">_xlfn.SWITCH(S906,"Annually",6,"Bi-Weekly",2,"Fortnightly",3,"Monthly",4,"Quarterly",5,"Weekly",1)</f>
        <v>5</v>
      </c>
    </row>
    <row r="907" spans="1:20" hidden="1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  <c r="S907" t="str">
        <f t="shared" si="14"/>
        <v>Annually</v>
      </c>
      <c r="T907" cm="1">
        <f t="array" ref="T907">_xlfn.SWITCH(S907,"Annually",6,"Bi-Weekly",2,"Fortnightly",3,"Monthly",4,"Quarterly",5,"Weekly",1)</f>
        <v>6</v>
      </c>
    </row>
    <row r="908" spans="1:20" hidden="1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  <c r="S908" t="str">
        <f t="shared" si="14"/>
        <v>Bi-Weekly</v>
      </c>
      <c r="T908" cm="1">
        <f t="array" ref="T908">_xlfn.SWITCH(S908,"Annually",6,"Bi-Weekly",2,"Fortnightly",3,"Monthly",4,"Quarterly",5,"Weekly",1)</f>
        <v>2</v>
      </c>
    </row>
    <row r="909" spans="1:20" hidden="1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  <c r="S909" t="str">
        <f t="shared" si="14"/>
        <v>Bi-Weekly</v>
      </c>
      <c r="T909" cm="1">
        <f t="array" ref="T909">_xlfn.SWITCH(S909,"Annually",6,"Bi-Weekly",2,"Fortnightly",3,"Monthly",4,"Quarterly",5,"Weekly",1)</f>
        <v>2</v>
      </c>
    </row>
    <row r="910" spans="1:20" hidden="1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  <c r="S910" t="str">
        <f t="shared" si="14"/>
        <v>Quarterly</v>
      </c>
      <c r="T910" cm="1">
        <f t="array" ref="T910">_xlfn.SWITCH(S910,"Annually",6,"Bi-Weekly",2,"Fortnightly",3,"Monthly",4,"Quarterly",5,"Weekly",1)</f>
        <v>5</v>
      </c>
    </row>
    <row r="911" spans="1:20" hidden="1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  <c r="S911" t="str">
        <f t="shared" si="14"/>
        <v>Weekly</v>
      </c>
      <c r="T911" cm="1">
        <f t="array" ref="T911">_xlfn.SWITCH(S911,"Annually",6,"Bi-Weekly",2,"Fortnightly",3,"Monthly",4,"Quarterly",5,"Weekly",1)</f>
        <v>1</v>
      </c>
    </row>
    <row r="912" spans="1:20" hidden="1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  <c r="S912" t="str">
        <f t="shared" si="14"/>
        <v>Monthly</v>
      </c>
      <c r="T912" cm="1">
        <f t="array" ref="T912">_xlfn.SWITCH(S912,"Annually",6,"Bi-Weekly",2,"Fortnightly",3,"Monthly",4,"Quarterly",5,"Weekly",1)</f>
        <v>4</v>
      </c>
    </row>
    <row r="913" spans="1:20" hidden="1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  <c r="S913" t="str">
        <f t="shared" si="14"/>
        <v>Quarterly</v>
      </c>
      <c r="T913" cm="1">
        <f t="array" ref="T913">_xlfn.SWITCH(S913,"Annually",6,"Bi-Weekly",2,"Fortnightly",3,"Monthly",4,"Quarterly",5,"Weekly",1)</f>
        <v>5</v>
      </c>
    </row>
    <row r="914" spans="1:20" hidden="1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  <c r="S914" t="str">
        <f t="shared" si="14"/>
        <v>Monthly</v>
      </c>
      <c r="T914" cm="1">
        <f t="array" ref="T914">_xlfn.SWITCH(S914,"Annually",6,"Bi-Weekly",2,"Fortnightly",3,"Monthly",4,"Quarterly",5,"Weekly",1)</f>
        <v>4</v>
      </c>
    </row>
    <row r="915" spans="1:20" hidden="1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  <c r="S915" t="str">
        <f t="shared" si="14"/>
        <v>Quarterly</v>
      </c>
      <c r="T915" cm="1">
        <f t="array" ref="T915">_xlfn.SWITCH(S915,"Annually",6,"Bi-Weekly",2,"Fortnightly",3,"Monthly",4,"Quarterly",5,"Weekly",1)</f>
        <v>5</v>
      </c>
    </row>
    <row r="916" spans="1:20" hidden="1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  <c r="S916" t="str">
        <f t="shared" si="14"/>
        <v>Quarterly</v>
      </c>
      <c r="T916" cm="1">
        <f t="array" ref="T916">_xlfn.SWITCH(S916,"Annually",6,"Bi-Weekly",2,"Fortnightly",3,"Monthly",4,"Quarterly",5,"Weekly",1)</f>
        <v>5</v>
      </c>
    </row>
    <row r="917" spans="1:20" hidden="1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  <c r="S917" t="str">
        <f t="shared" si="14"/>
        <v>Fortnightly</v>
      </c>
      <c r="T917" cm="1">
        <f t="array" ref="T917">_xlfn.SWITCH(S917,"Annually",6,"Bi-Weekly",2,"Fortnightly",3,"Monthly",4,"Quarterly",5,"Weekly",1)</f>
        <v>3</v>
      </c>
    </row>
    <row r="918" spans="1:20" hidden="1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  <c r="S918" t="str">
        <f t="shared" si="14"/>
        <v>Monthly</v>
      </c>
      <c r="T918" cm="1">
        <f t="array" ref="T918">_xlfn.SWITCH(S918,"Annually",6,"Bi-Weekly",2,"Fortnightly",3,"Monthly",4,"Quarterly",5,"Weekly",1)</f>
        <v>4</v>
      </c>
    </row>
    <row r="919" spans="1:20" hidden="1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  <c r="S919" t="str">
        <f t="shared" si="14"/>
        <v>Quarterly</v>
      </c>
      <c r="T919" cm="1">
        <f t="array" ref="T919">_xlfn.SWITCH(S919,"Annually",6,"Bi-Weekly",2,"Fortnightly",3,"Monthly",4,"Quarterly",5,"Weekly",1)</f>
        <v>5</v>
      </c>
    </row>
    <row r="920" spans="1:20" hidden="1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  <c r="S920" t="str">
        <f t="shared" si="14"/>
        <v>Fortnightly</v>
      </c>
      <c r="T920" cm="1">
        <f t="array" ref="T920">_xlfn.SWITCH(S920,"Annually",6,"Bi-Weekly",2,"Fortnightly",3,"Monthly",4,"Quarterly",5,"Weekly",1)</f>
        <v>3</v>
      </c>
    </row>
    <row r="921" spans="1:20" hidden="1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  <c r="S921" t="str">
        <f t="shared" si="14"/>
        <v>Bi-Weekly</v>
      </c>
      <c r="T921" cm="1">
        <f t="array" ref="T921">_xlfn.SWITCH(S921,"Annually",6,"Bi-Weekly",2,"Fortnightly",3,"Monthly",4,"Quarterly",5,"Weekly",1)</f>
        <v>2</v>
      </c>
    </row>
    <row r="922" spans="1:20" hidden="1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  <c r="S922" t="str">
        <f t="shared" si="14"/>
        <v>Weekly</v>
      </c>
      <c r="T922" cm="1">
        <f t="array" ref="T922">_xlfn.SWITCH(S922,"Annually",6,"Bi-Weekly",2,"Fortnightly",3,"Monthly",4,"Quarterly",5,"Weekly",1)</f>
        <v>1</v>
      </c>
    </row>
    <row r="923" spans="1:20" hidden="1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  <c r="S923" t="str">
        <f t="shared" si="14"/>
        <v>Weekly</v>
      </c>
      <c r="T923" cm="1">
        <f t="array" ref="T923">_xlfn.SWITCH(S923,"Annually",6,"Bi-Weekly",2,"Fortnightly",3,"Monthly",4,"Quarterly",5,"Weekly",1)</f>
        <v>1</v>
      </c>
    </row>
    <row r="924" spans="1:20" hidden="1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  <c r="S924" t="str">
        <f t="shared" si="14"/>
        <v>Monthly</v>
      </c>
      <c r="T924" cm="1">
        <f t="array" ref="T924">_xlfn.SWITCH(S924,"Annually",6,"Bi-Weekly",2,"Fortnightly",3,"Monthly",4,"Quarterly",5,"Weekly",1)</f>
        <v>4</v>
      </c>
    </row>
    <row r="925" spans="1:20" hidden="1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  <c r="S925" t="str">
        <f t="shared" si="14"/>
        <v>Weekly</v>
      </c>
      <c r="T925" cm="1">
        <f t="array" ref="T925">_xlfn.SWITCH(S925,"Annually",6,"Bi-Weekly",2,"Fortnightly",3,"Monthly",4,"Quarterly",5,"Weekly",1)</f>
        <v>1</v>
      </c>
    </row>
    <row r="926" spans="1:20" hidden="1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  <c r="S926" t="str">
        <f t="shared" si="14"/>
        <v>Quarterly</v>
      </c>
      <c r="T926" cm="1">
        <f t="array" ref="T926">_xlfn.SWITCH(S926,"Annually",6,"Bi-Weekly",2,"Fortnightly",3,"Monthly",4,"Quarterly",5,"Weekly",1)</f>
        <v>5</v>
      </c>
    </row>
    <row r="927" spans="1:20" hidden="1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  <c r="S927" t="str">
        <f t="shared" si="14"/>
        <v>Monthly</v>
      </c>
      <c r="T927" cm="1">
        <f t="array" ref="T927">_xlfn.SWITCH(S927,"Annually",6,"Bi-Weekly",2,"Fortnightly",3,"Monthly",4,"Quarterly",5,"Weekly",1)</f>
        <v>4</v>
      </c>
    </row>
    <row r="928" spans="1:20" hidden="1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  <c r="S928" t="str">
        <f t="shared" si="14"/>
        <v>Bi-Weekly</v>
      </c>
      <c r="T928" cm="1">
        <f t="array" ref="T928">_xlfn.SWITCH(S928,"Annually",6,"Bi-Weekly",2,"Fortnightly",3,"Monthly",4,"Quarterly",5,"Weekly",1)</f>
        <v>2</v>
      </c>
    </row>
    <row r="929" spans="1:20" hidden="1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  <c r="S929" t="str">
        <f t="shared" si="14"/>
        <v>Bi-Weekly</v>
      </c>
      <c r="T929" cm="1">
        <f t="array" ref="T929">_xlfn.SWITCH(S929,"Annually",6,"Bi-Weekly",2,"Fortnightly",3,"Monthly",4,"Quarterly",5,"Weekly",1)</f>
        <v>2</v>
      </c>
    </row>
    <row r="930" spans="1:20" hidden="1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  <c r="S930" t="str">
        <f t="shared" si="14"/>
        <v>Quarterly</v>
      </c>
      <c r="T930" cm="1">
        <f t="array" ref="T930">_xlfn.SWITCH(S930,"Annually",6,"Bi-Weekly",2,"Fortnightly",3,"Monthly",4,"Quarterly",5,"Weekly",1)</f>
        <v>5</v>
      </c>
    </row>
    <row r="931" spans="1:20" hidden="1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  <c r="S931" t="str">
        <f t="shared" si="14"/>
        <v>Fortnightly</v>
      </c>
      <c r="T931" cm="1">
        <f t="array" ref="T931">_xlfn.SWITCH(S931,"Annually",6,"Bi-Weekly",2,"Fortnightly",3,"Monthly",4,"Quarterly",5,"Weekly",1)</f>
        <v>3</v>
      </c>
    </row>
    <row r="932" spans="1:20" hidden="1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  <c r="S932" t="str">
        <f t="shared" si="14"/>
        <v>Bi-Weekly</v>
      </c>
      <c r="T932" cm="1">
        <f t="array" ref="T932">_xlfn.SWITCH(S932,"Annually",6,"Bi-Weekly",2,"Fortnightly",3,"Monthly",4,"Quarterly",5,"Weekly",1)</f>
        <v>2</v>
      </c>
    </row>
    <row r="933" spans="1:20" hidden="1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  <c r="S933" t="str">
        <f t="shared" si="14"/>
        <v>Fortnightly</v>
      </c>
      <c r="T933" cm="1">
        <f t="array" ref="T933">_xlfn.SWITCH(S933,"Annually",6,"Bi-Weekly",2,"Fortnightly",3,"Monthly",4,"Quarterly",5,"Weekly",1)</f>
        <v>3</v>
      </c>
    </row>
    <row r="934" spans="1:20" hidden="1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  <c r="S934" t="str">
        <f t="shared" si="14"/>
        <v>Bi-Weekly</v>
      </c>
      <c r="T934" cm="1">
        <f t="array" ref="T934">_xlfn.SWITCH(S934,"Annually",6,"Bi-Weekly",2,"Fortnightly",3,"Monthly",4,"Quarterly",5,"Weekly",1)</f>
        <v>2</v>
      </c>
    </row>
    <row r="935" spans="1:20" hidden="1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  <c r="S935" t="str">
        <f t="shared" si="14"/>
        <v>Monthly</v>
      </c>
      <c r="T935" cm="1">
        <f t="array" ref="T935">_xlfn.SWITCH(S935,"Annually",6,"Bi-Weekly",2,"Fortnightly",3,"Monthly",4,"Quarterly",5,"Weekly",1)</f>
        <v>4</v>
      </c>
    </row>
    <row r="936" spans="1:20" hidden="1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  <c r="S936" t="str">
        <f t="shared" si="14"/>
        <v>Monthly</v>
      </c>
      <c r="T936" cm="1">
        <f t="array" ref="T936">_xlfn.SWITCH(S936,"Annually",6,"Bi-Weekly",2,"Fortnightly",3,"Monthly",4,"Quarterly",5,"Weekly",1)</f>
        <v>4</v>
      </c>
    </row>
    <row r="937" spans="1:20" hidden="1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  <c r="S937" t="str">
        <f t="shared" si="14"/>
        <v>Fortnightly</v>
      </c>
      <c r="T937" cm="1">
        <f t="array" ref="T937">_xlfn.SWITCH(S937,"Annually",6,"Bi-Weekly",2,"Fortnightly",3,"Monthly",4,"Quarterly",5,"Weekly",1)</f>
        <v>3</v>
      </c>
    </row>
    <row r="938" spans="1:20" hidden="1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  <c r="S938" t="str">
        <f t="shared" si="14"/>
        <v>Weekly</v>
      </c>
      <c r="T938" cm="1">
        <f t="array" ref="T938">_xlfn.SWITCH(S938,"Annually",6,"Bi-Weekly",2,"Fortnightly",3,"Monthly",4,"Quarterly",5,"Weekly",1)</f>
        <v>1</v>
      </c>
    </row>
    <row r="939" spans="1:20" hidden="1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  <c r="S939" t="str">
        <f t="shared" si="14"/>
        <v>Quarterly</v>
      </c>
      <c r="T939" cm="1">
        <f t="array" ref="T939">_xlfn.SWITCH(S939,"Annually",6,"Bi-Weekly",2,"Fortnightly",3,"Monthly",4,"Quarterly",5,"Weekly",1)</f>
        <v>5</v>
      </c>
    </row>
    <row r="940" spans="1:20" hidden="1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  <c r="S940" t="str">
        <f t="shared" si="14"/>
        <v>Fortnightly</v>
      </c>
      <c r="T940" cm="1">
        <f t="array" ref="T940">_xlfn.SWITCH(S940,"Annually",6,"Bi-Weekly",2,"Fortnightly",3,"Monthly",4,"Quarterly",5,"Weekly",1)</f>
        <v>3</v>
      </c>
    </row>
    <row r="941" spans="1:20" hidden="1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  <c r="S941" t="str">
        <f t="shared" si="14"/>
        <v>Monthly</v>
      </c>
      <c r="T941" cm="1">
        <f t="array" ref="T941">_xlfn.SWITCH(S941,"Annually",6,"Bi-Weekly",2,"Fortnightly",3,"Monthly",4,"Quarterly",5,"Weekly",1)</f>
        <v>4</v>
      </c>
    </row>
    <row r="942" spans="1:20" hidden="1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  <c r="S942" t="str">
        <f t="shared" si="14"/>
        <v>Quarterly</v>
      </c>
      <c r="T942" cm="1">
        <f t="array" ref="T942">_xlfn.SWITCH(S942,"Annually",6,"Bi-Weekly",2,"Fortnightly",3,"Monthly",4,"Quarterly",5,"Weekly",1)</f>
        <v>5</v>
      </c>
    </row>
    <row r="943" spans="1:20" hidden="1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  <c r="S943" t="str">
        <f t="shared" si="14"/>
        <v>Quarterly</v>
      </c>
      <c r="T943" cm="1">
        <f t="array" ref="T943">_xlfn.SWITCH(S943,"Annually",6,"Bi-Weekly",2,"Fortnightly",3,"Monthly",4,"Quarterly",5,"Weekly",1)</f>
        <v>5</v>
      </c>
    </row>
    <row r="944" spans="1:20" hidden="1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  <c r="S944" t="str">
        <f t="shared" si="14"/>
        <v>Bi-Weekly</v>
      </c>
      <c r="T944" cm="1">
        <f t="array" ref="T944">_xlfn.SWITCH(S944,"Annually",6,"Bi-Weekly",2,"Fortnightly",3,"Monthly",4,"Quarterly",5,"Weekly",1)</f>
        <v>2</v>
      </c>
    </row>
    <row r="945" spans="1:20" hidden="1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  <c r="S945" t="str">
        <f t="shared" si="14"/>
        <v>Fortnightly</v>
      </c>
      <c r="T945" cm="1">
        <f t="array" ref="T945">_xlfn.SWITCH(S945,"Annually",6,"Bi-Weekly",2,"Fortnightly",3,"Monthly",4,"Quarterly",5,"Weekly",1)</f>
        <v>3</v>
      </c>
    </row>
    <row r="946" spans="1:20" hidden="1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  <c r="S946" t="str">
        <f t="shared" si="14"/>
        <v>Bi-Weekly</v>
      </c>
      <c r="T946" cm="1">
        <f t="array" ref="T946">_xlfn.SWITCH(S946,"Annually",6,"Bi-Weekly",2,"Fortnightly",3,"Monthly",4,"Quarterly",5,"Weekly",1)</f>
        <v>2</v>
      </c>
    </row>
    <row r="947" spans="1:20" hidden="1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  <c r="S947" t="str">
        <f t="shared" si="14"/>
        <v>Quarterly</v>
      </c>
      <c r="T947" cm="1">
        <f t="array" ref="T947">_xlfn.SWITCH(S947,"Annually",6,"Bi-Weekly",2,"Fortnightly",3,"Monthly",4,"Quarterly",5,"Weekly",1)</f>
        <v>5</v>
      </c>
    </row>
    <row r="948" spans="1:20" hidden="1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  <c r="S948" t="str">
        <f t="shared" si="14"/>
        <v>Quarterly</v>
      </c>
      <c r="T948" cm="1">
        <f t="array" ref="T948">_xlfn.SWITCH(S948,"Annually",6,"Bi-Weekly",2,"Fortnightly",3,"Monthly",4,"Quarterly",5,"Weekly",1)</f>
        <v>5</v>
      </c>
    </row>
    <row r="949" spans="1:20" hidden="1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  <c r="S949" t="str">
        <f t="shared" si="14"/>
        <v>Quarterly</v>
      </c>
      <c r="T949" cm="1">
        <f t="array" ref="T949">_xlfn.SWITCH(S949,"Annually",6,"Bi-Weekly",2,"Fortnightly",3,"Monthly",4,"Quarterly",5,"Weekly",1)</f>
        <v>5</v>
      </c>
    </row>
    <row r="950" spans="1:20" hidden="1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  <c r="S950" t="str">
        <f t="shared" si="14"/>
        <v>Quarterly</v>
      </c>
      <c r="T950" cm="1">
        <f t="array" ref="T950">_xlfn.SWITCH(S950,"Annually",6,"Bi-Weekly",2,"Fortnightly",3,"Monthly",4,"Quarterly",5,"Weekly",1)</f>
        <v>5</v>
      </c>
    </row>
    <row r="951" spans="1:20" hidden="1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  <c r="S951" t="str">
        <f t="shared" si="14"/>
        <v>Monthly</v>
      </c>
      <c r="T951" cm="1">
        <f t="array" ref="T951">_xlfn.SWITCH(S951,"Annually",6,"Bi-Weekly",2,"Fortnightly",3,"Monthly",4,"Quarterly",5,"Weekly",1)</f>
        <v>4</v>
      </c>
    </row>
    <row r="952" spans="1:20" hidden="1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  <c r="S952" t="str">
        <f t="shared" si="14"/>
        <v>Quarterly</v>
      </c>
      <c r="T952" cm="1">
        <f t="array" ref="T952">_xlfn.SWITCH(S952,"Annually",6,"Bi-Weekly",2,"Fortnightly",3,"Monthly",4,"Quarterly",5,"Weekly",1)</f>
        <v>5</v>
      </c>
    </row>
    <row r="953" spans="1:20" hidden="1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  <c r="S953" t="str">
        <f t="shared" si="14"/>
        <v>Monthly</v>
      </c>
      <c r="T953" cm="1">
        <f t="array" ref="T953">_xlfn.SWITCH(S953,"Annually",6,"Bi-Weekly",2,"Fortnightly",3,"Monthly",4,"Quarterly",5,"Weekly",1)</f>
        <v>4</v>
      </c>
    </row>
    <row r="954" spans="1:20" hidden="1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  <c r="S954" t="str">
        <f t="shared" si="14"/>
        <v>Monthly</v>
      </c>
      <c r="T954" cm="1">
        <f t="array" ref="T954">_xlfn.SWITCH(S954,"Annually",6,"Bi-Weekly",2,"Fortnightly",3,"Monthly",4,"Quarterly",5,"Weekly",1)</f>
        <v>4</v>
      </c>
    </row>
    <row r="955" spans="1:20" hidden="1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  <c r="S955" t="str">
        <f t="shared" si="14"/>
        <v>Quarterly</v>
      </c>
      <c r="T955" cm="1">
        <f t="array" ref="T955">_xlfn.SWITCH(S955,"Annually",6,"Bi-Weekly",2,"Fortnightly",3,"Monthly",4,"Quarterly",5,"Weekly",1)</f>
        <v>5</v>
      </c>
    </row>
    <row r="956" spans="1:20" hidden="1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  <c r="S956" t="str">
        <f t="shared" si="14"/>
        <v>Quarterly</v>
      </c>
      <c r="T956" cm="1">
        <f t="array" ref="T956">_xlfn.SWITCH(S956,"Annually",6,"Bi-Weekly",2,"Fortnightly",3,"Monthly",4,"Quarterly",5,"Weekly",1)</f>
        <v>5</v>
      </c>
    </row>
    <row r="957" spans="1:20" hidden="1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  <c r="S957" t="str">
        <f t="shared" si="14"/>
        <v>Monthly</v>
      </c>
      <c r="T957" cm="1">
        <f t="array" ref="T957">_xlfn.SWITCH(S957,"Annually",6,"Bi-Weekly",2,"Fortnightly",3,"Monthly",4,"Quarterly",5,"Weekly",1)</f>
        <v>4</v>
      </c>
    </row>
    <row r="958" spans="1:20" hidden="1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  <c r="S958" t="str">
        <f t="shared" si="14"/>
        <v>Quarterly</v>
      </c>
      <c r="T958" cm="1">
        <f t="array" ref="T958">_xlfn.SWITCH(S958,"Annually",6,"Bi-Weekly",2,"Fortnightly",3,"Monthly",4,"Quarterly",5,"Weekly",1)</f>
        <v>5</v>
      </c>
    </row>
    <row r="959" spans="1:20" hidden="1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  <c r="S959" t="str">
        <f t="shared" si="14"/>
        <v>Quarterly</v>
      </c>
      <c r="T959" cm="1">
        <f t="array" ref="T959">_xlfn.SWITCH(S959,"Annually",6,"Bi-Weekly",2,"Fortnightly",3,"Monthly",4,"Quarterly",5,"Weekly",1)</f>
        <v>5</v>
      </c>
    </row>
    <row r="960" spans="1:20" hidden="1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  <c r="S960" t="str">
        <f t="shared" si="14"/>
        <v>Bi-Weekly</v>
      </c>
      <c r="T960" cm="1">
        <f t="array" ref="T960">_xlfn.SWITCH(S960,"Annually",6,"Bi-Weekly",2,"Fortnightly",3,"Monthly",4,"Quarterly",5,"Weekly",1)</f>
        <v>2</v>
      </c>
    </row>
    <row r="961" spans="1:20" hidden="1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  <c r="S961" t="str">
        <f t="shared" si="14"/>
        <v>Fortnightly</v>
      </c>
      <c r="T961" cm="1">
        <f t="array" ref="T961">_xlfn.SWITCH(S961,"Annually",6,"Bi-Weekly",2,"Fortnightly",3,"Monthly",4,"Quarterly",5,"Weekly",1)</f>
        <v>3</v>
      </c>
    </row>
    <row r="962" spans="1:20" hidden="1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  <c r="S962" t="str">
        <f t="shared" si="14"/>
        <v>Quarterly</v>
      </c>
      <c r="T962" cm="1">
        <f t="array" ref="T962">_xlfn.SWITCH(S962,"Annually",6,"Bi-Weekly",2,"Fortnightly",3,"Monthly",4,"Quarterly",5,"Weekly",1)</f>
        <v>5</v>
      </c>
    </row>
    <row r="963" spans="1:20" hidden="1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  <c r="S963" t="str">
        <f t="shared" ref="S963:S1026" si="15">IF(R963="Every 3 Months","Quarterly",R963)</f>
        <v>Quarterly</v>
      </c>
      <c r="T963" cm="1">
        <f t="array" ref="T963">_xlfn.SWITCH(S963,"Annually",6,"Bi-Weekly",2,"Fortnightly",3,"Monthly",4,"Quarterly",5,"Weekly",1)</f>
        <v>5</v>
      </c>
    </row>
    <row r="964" spans="1:20" hidden="1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  <c r="S964" t="str">
        <f t="shared" si="15"/>
        <v>Fortnightly</v>
      </c>
      <c r="T964" cm="1">
        <f t="array" ref="T964">_xlfn.SWITCH(S964,"Annually",6,"Bi-Weekly",2,"Fortnightly",3,"Monthly",4,"Quarterly",5,"Weekly",1)</f>
        <v>3</v>
      </c>
    </row>
    <row r="965" spans="1:20" hidden="1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  <c r="S965" t="str">
        <f t="shared" si="15"/>
        <v>Weekly</v>
      </c>
      <c r="T965" cm="1">
        <f t="array" ref="T965">_xlfn.SWITCH(S965,"Annually",6,"Bi-Weekly",2,"Fortnightly",3,"Monthly",4,"Quarterly",5,"Weekly",1)</f>
        <v>1</v>
      </c>
    </row>
    <row r="966" spans="1:20" hidden="1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  <c r="S966" t="str">
        <f t="shared" si="15"/>
        <v>Bi-Weekly</v>
      </c>
      <c r="T966" cm="1">
        <f t="array" ref="T966">_xlfn.SWITCH(S966,"Annually",6,"Bi-Weekly",2,"Fortnightly",3,"Monthly",4,"Quarterly",5,"Weekly",1)</f>
        <v>2</v>
      </c>
    </row>
    <row r="967" spans="1:20" hidden="1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  <c r="S967" t="str">
        <f t="shared" si="15"/>
        <v>Annually</v>
      </c>
      <c r="T967" cm="1">
        <f t="array" ref="T967">_xlfn.SWITCH(S967,"Annually",6,"Bi-Weekly",2,"Fortnightly",3,"Monthly",4,"Quarterly",5,"Weekly",1)</f>
        <v>6</v>
      </c>
    </row>
    <row r="968" spans="1:20" hidden="1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  <c r="S968" t="str">
        <f t="shared" si="15"/>
        <v>Annually</v>
      </c>
      <c r="T968" cm="1">
        <f t="array" ref="T968">_xlfn.SWITCH(S968,"Annually",6,"Bi-Weekly",2,"Fortnightly",3,"Monthly",4,"Quarterly",5,"Weekly",1)</f>
        <v>6</v>
      </c>
    </row>
    <row r="969" spans="1:20" hidden="1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  <c r="S969" t="str">
        <f t="shared" si="15"/>
        <v>Weekly</v>
      </c>
      <c r="T969" cm="1">
        <f t="array" ref="T969">_xlfn.SWITCH(S969,"Annually",6,"Bi-Weekly",2,"Fortnightly",3,"Monthly",4,"Quarterly",5,"Weekly",1)</f>
        <v>1</v>
      </c>
    </row>
    <row r="970" spans="1:20" hidden="1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  <c r="S970" t="str">
        <f t="shared" si="15"/>
        <v>Quarterly</v>
      </c>
      <c r="T970" cm="1">
        <f t="array" ref="T970">_xlfn.SWITCH(S970,"Annually",6,"Bi-Weekly",2,"Fortnightly",3,"Monthly",4,"Quarterly",5,"Weekly",1)</f>
        <v>5</v>
      </c>
    </row>
    <row r="971" spans="1:20" hidden="1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  <c r="S971" t="str">
        <f t="shared" si="15"/>
        <v>Monthly</v>
      </c>
      <c r="T971" cm="1">
        <f t="array" ref="T971">_xlfn.SWITCH(S971,"Annually",6,"Bi-Weekly",2,"Fortnightly",3,"Monthly",4,"Quarterly",5,"Weekly",1)</f>
        <v>4</v>
      </c>
    </row>
    <row r="972" spans="1:20" hidden="1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  <c r="S972" t="str">
        <f t="shared" si="15"/>
        <v>Monthly</v>
      </c>
      <c r="T972" cm="1">
        <f t="array" ref="T972">_xlfn.SWITCH(S972,"Annually",6,"Bi-Weekly",2,"Fortnightly",3,"Monthly",4,"Quarterly",5,"Weekly",1)</f>
        <v>4</v>
      </c>
    </row>
    <row r="973" spans="1:20" hidden="1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  <c r="S973" t="str">
        <f t="shared" si="15"/>
        <v>Weekly</v>
      </c>
      <c r="T973" cm="1">
        <f t="array" ref="T973">_xlfn.SWITCH(S973,"Annually",6,"Bi-Weekly",2,"Fortnightly",3,"Monthly",4,"Quarterly",5,"Weekly",1)</f>
        <v>1</v>
      </c>
    </row>
    <row r="974" spans="1:20" hidden="1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  <c r="S974" t="str">
        <f t="shared" si="15"/>
        <v>Weekly</v>
      </c>
      <c r="T974" cm="1">
        <f t="array" ref="T974">_xlfn.SWITCH(S974,"Annually",6,"Bi-Weekly",2,"Fortnightly",3,"Monthly",4,"Quarterly",5,"Weekly",1)</f>
        <v>1</v>
      </c>
    </row>
    <row r="975" spans="1:20" hidden="1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  <c r="S975" t="str">
        <f t="shared" si="15"/>
        <v>Quarterly</v>
      </c>
      <c r="T975" cm="1">
        <f t="array" ref="T975">_xlfn.SWITCH(S975,"Annually",6,"Bi-Weekly",2,"Fortnightly",3,"Monthly",4,"Quarterly",5,"Weekly",1)</f>
        <v>5</v>
      </c>
    </row>
    <row r="976" spans="1:20" hidden="1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  <c r="S976" t="str">
        <f t="shared" si="15"/>
        <v>Monthly</v>
      </c>
      <c r="T976" cm="1">
        <f t="array" ref="T976">_xlfn.SWITCH(S976,"Annually",6,"Bi-Weekly",2,"Fortnightly",3,"Monthly",4,"Quarterly",5,"Weekly",1)</f>
        <v>4</v>
      </c>
    </row>
    <row r="977" spans="1:20" hidden="1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  <c r="S977" t="str">
        <f t="shared" si="15"/>
        <v>Weekly</v>
      </c>
      <c r="T977" cm="1">
        <f t="array" ref="T977">_xlfn.SWITCH(S977,"Annually",6,"Bi-Weekly",2,"Fortnightly",3,"Monthly",4,"Quarterly",5,"Weekly",1)</f>
        <v>1</v>
      </c>
    </row>
    <row r="978" spans="1:20" hidden="1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  <c r="S978" t="str">
        <f t="shared" si="15"/>
        <v>Quarterly</v>
      </c>
      <c r="T978" cm="1">
        <f t="array" ref="T978">_xlfn.SWITCH(S978,"Annually",6,"Bi-Weekly",2,"Fortnightly",3,"Monthly",4,"Quarterly",5,"Weekly",1)</f>
        <v>5</v>
      </c>
    </row>
    <row r="979" spans="1:20" hidden="1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  <c r="S979" t="str">
        <f t="shared" si="15"/>
        <v>Bi-Weekly</v>
      </c>
      <c r="T979" cm="1">
        <f t="array" ref="T979">_xlfn.SWITCH(S979,"Annually",6,"Bi-Weekly",2,"Fortnightly",3,"Monthly",4,"Quarterly",5,"Weekly",1)</f>
        <v>2</v>
      </c>
    </row>
    <row r="980" spans="1:20" hidden="1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  <c r="S980" t="str">
        <f t="shared" si="15"/>
        <v>Weekly</v>
      </c>
      <c r="T980" cm="1">
        <f t="array" ref="T980">_xlfn.SWITCH(S980,"Annually",6,"Bi-Weekly",2,"Fortnightly",3,"Monthly",4,"Quarterly",5,"Weekly",1)</f>
        <v>1</v>
      </c>
    </row>
    <row r="981" spans="1:20" hidden="1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  <c r="S981" t="str">
        <f t="shared" si="15"/>
        <v>Monthly</v>
      </c>
      <c r="T981" cm="1">
        <f t="array" ref="T981">_xlfn.SWITCH(S981,"Annually",6,"Bi-Weekly",2,"Fortnightly",3,"Monthly",4,"Quarterly",5,"Weekly",1)</f>
        <v>4</v>
      </c>
    </row>
    <row r="982" spans="1:20" hidden="1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  <c r="S982" t="str">
        <f t="shared" si="15"/>
        <v>Quarterly</v>
      </c>
      <c r="T982" cm="1">
        <f t="array" ref="T982">_xlfn.SWITCH(S982,"Annually",6,"Bi-Weekly",2,"Fortnightly",3,"Monthly",4,"Quarterly",5,"Weekly",1)</f>
        <v>5</v>
      </c>
    </row>
    <row r="983" spans="1:20" hidden="1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  <c r="S983" t="str">
        <f t="shared" si="15"/>
        <v>Quarterly</v>
      </c>
      <c r="T983" cm="1">
        <f t="array" ref="T983">_xlfn.SWITCH(S983,"Annually",6,"Bi-Weekly",2,"Fortnightly",3,"Monthly",4,"Quarterly",5,"Weekly",1)</f>
        <v>5</v>
      </c>
    </row>
    <row r="984" spans="1:20" hidden="1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  <c r="S984" t="str">
        <f t="shared" si="15"/>
        <v>Monthly</v>
      </c>
      <c r="T984" cm="1">
        <f t="array" ref="T984">_xlfn.SWITCH(S984,"Annually",6,"Bi-Weekly",2,"Fortnightly",3,"Monthly",4,"Quarterly",5,"Weekly",1)</f>
        <v>4</v>
      </c>
    </row>
    <row r="985" spans="1:20" hidden="1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  <c r="S985" t="str">
        <f t="shared" si="15"/>
        <v>Bi-Weekly</v>
      </c>
      <c r="T985" cm="1">
        <f t="array" ref="T985">_xlfn.SWITCH(S985,"Annually",6,"Bi-Weekly",2,"Fortnightly",3,"Monthly",4,"Quarterly",5,"Weekly",1)</f>
        <v>2</v>
      </c>
    </row>
    <row r="986" spans="1:20" hidden="1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  <c r="S986" t="str">
        <f t="shared" si="15"/>
        <v>Bi-Weekly</v>
      </c>
      <c r="T986" cm="1">
        <f t="array" ref="T986">_xlfn.SWITCH(S986,"Annually",6,"Bi-Weekly",2,"Fortnightly",3,"Monthly",4,"Quarterly",5,"Weekly",1)</f>
        <v>2</v>
      </c>
    </row>
    <row r="987" spans="1:20" hidden="1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  <c r="S987" t="str">
        <f t="shared" si="15"/>
        <v>Annually</v>
      </c>
      <c r="T987" cm="1">
        <f t="array" ref="T987">_xlfn.SWITCH(S987,"Annually",6,"Bi-Weekly",2,"Fortnightly",3,"Monthly",4,"Quarterly",5,"Weekly",1)</f>
        <v>6</v>
      </c>
    </row>
    <row r="988" spans="1:20" hidden="1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  <c r="S988" t="str">
        <f t="shared" si="15"/>
        <v>Monthly</v>
      </c>
      <c r="T988" cm="1">
        <f t="array" ref="T988">_xlfn.SWITCH(S988,"Annually",6,"Bi-Weekly",2,"Fortnightly",3,"Monthly",4,"Quarterly",5,"Weekly",1)</f>
        <v>4</v>
      </c>
    </row>
    <row r="989" spans="1:20" hidden="1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  <c r="S989" t="str">
        <f t="shared" si="15"/>
        <v>Weekly</v>
      </c>
      <c r="T989" cm="1">
        <f t="array" ref="T989">_xlfn.SWITCH(S989,"Annually",6,"Bi-Weekly",2,"Fortnightly",3,"Monthly",4,"Quarterly",5,"Weekly",1)</f>
        <v>1</v>
      </c>
    </row>
    <row r="990" spans="1:20" hidden="1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  <c r="S990" t="str">
        <f t="shared" si="15"/>
        <v>Fortnightly</v>
      </c>
      <c r="T990" cm="1">
        <f t="array" ref="T990">_xlfn.SWITCH(S990,"Annually",6,"Bi-Weekly",2,"Fortnightly",3,"Monthly",4,"Quarterly",5,"Weekly",1)</f>
        <v>3</v>
      </c>
    </row>
    <row r="991" spans="1:20" hidden="1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  <c r="S991" t="str">
        <f t="shared" si="15"/>
        <v>Monthly</v>
      </c>
      <c r="T991" cm="1">
        <f t="array" ref="T991">_xlfn.SWITCH(S991,"Annually",6,"Bi-Weekly",2,"Fortnightly",3,"Monthly",4,"Quarterly",5,"Weekly",1)</f>
        <v>4</v>
      </c>
    </row>
    <row r="992" spans="1:20" hidden="1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  <c r="S992" t="str">
        <f t="shared" si="15"/>
        <v>Weekly</v>
      </c>
      <c r="T992" cm="1">
        <f t="array" ref="T992">_xlfn.SWITCH(S992,"Annually",6,"Bi-Weekly",2,"Fortnightly",3,"Monthly",4,"Quarterly",5,"Weekly",1)</f>
        <v>1</v>
      </c>
    </row>
    <row r="993" spans="1:20" hidden="1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  <c r="S993" t="str">
        <f t="shared" si="15"/>
        <v>Bi-Weekly</v>
      </c>
      <c r="T993" cm="1">
        <f t="array" ref="T993">_xlfn.SWITCH(S993,"Annually",6,"Bi-Weekly",2,"Fortnightly",3,"Monthly",4,"Quarterly",5,"Weekly",1)</f>
        <v>2</v>
      </c>
    </row>
    <row r="994" spans="1:20" hidden="1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  <c r="S994" t="str">
        <f t="shared" si="15"/>
        <v>Weekly</v>
      </c>
      <c r="T994" cm="1">
        <f t="array" ref="T994">_xlfn.SWITCH(S994,"Annually",6,"Bi-Weekly",2,"Fortnightly",3,"Monthly",4,"Quarterly",5,"Weekly",1)</f>
        <v>1</v>
      </c>
    </row>
    <row r="995" spans="1:20" hidden="1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  <c r="S995" t="str">
        <f t="shared" si="15"/>
        <v>Weekly</v>
      </c>
      <c r="T995" cm="1">
        <f t="array" ref="T995">_xlfn.SWITCH(S995,"Annually",6,"Bi-Weekly",2,"Fortnightly",3,"Monthly",4,"Quarterly",5,"Weekly",1)</f>
        <v>1</v>
      </c>
    </row>
    <row r="996" spans="1:20" hidden="1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  <c r="S996" t="str">
        <f t="shared" si="15"/>
        <v>Monthly</v>
      </c>
      <c r="T996" cm="1">
        <f t="array" ref="T996">_xlfn.SWITCH(S996,"Annually",6,"Bi-Weekly",2,"Fortnightly",3,"Monthly",4,"Quarterly",5,"Weekly",1)</f>
        <v>4</v>
      </c>
    </row>
    <row r="997" spans="1:20" hidden="1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  <c r="S997" t="str">
        <f t="shared" si="15"/>
        <v>Weekly</v>
      </c>
      <c r="T997" cm="1">
        <f t="array" ref="T997">_xlfn.SWITCH(S997,"Annually",6,"Bi-Weekly",2,"Fortnightly",3,"Monthly",4,"Quarterly",5,"Weekly",1)</f>
        <v>1</v>
      </c>
    </row>
    <row r="998" spans="1:20" hidden="1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  <c r="S998" t="str">
        <f t="shared" si="15"/>
        <v>Quarterly</v>
      </c>
      <c r="T998" cm="1">
        <f t="array" ref="T998">_xlfn.SWITCH(S998,"Annually",6,"Bi-Weekly",2,"Fortnightly",3,"Monthly",4,"Quarterly",5,"Weekly",1)</f>
        <v>5</v>
      </c>
    </row>
    <row r="999" spans="1:20" hidden="1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  <c r="S999" t="str">
        <f t="shared" si="15"/>
        <v>Fortnightly</v>
      </c>
      <c r="T999" cm="1">
        <f t="array" ref="T999">_xlfn.SWITCH(S999,"Annually",6,"Bi-Weekly",2,"Fortnightly",3,"Monthly",4,"Quarterly",5,"Weekly",1)</f>
        <v>3</v>
      </c>
    </row>
    <row r="1000" spans="1:20" hidden="1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  <c r="S1000" t="str">
        <f t="shared" si="15"/>
        <v>Bi-Weekly</v>
      </c>
      <c r="T1000" cm="1">
        <f t="array" ref="T1000">_xlfn.SWITCH(S1000,"Annually",6,"Bi-Weekly",2,"Fortnightly",3,"Monthly",4,"Quarterly",5,"Weekly",1)</f>
        <v>2</v>
      </c>
    </row>
    <row r="1001" spans="1:20" hidden="1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  <c r="S1001" t="str">
        <f t="shared" si="15"/>
        <v>Monthly</v>
      </c>
      <c r="T1001" cm="1">
        <f t="array" ref="T1001">_xlfn.SWITCH(S1001,"Annually",6,"Bi-Weekly",2,"Fortnightly",3,"Monthly",4,"Quarterly",5,"Weekly",1)</f>
        <v>4</v>
      </c>
    </row>
    <row r="1002" spans="1:20" hidden="1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  <c r="S1002" t="str">
        <f t="shared" si="15"/>
        <v>Bi-Weekly</v>
      </c>
      <c r="T1002" cm="1">
        <f t="array" ref="T1002">_xlfn.SWITCH(S1002,"Annually",6,"Bi-Weekly",2,"Fortnightly",3,"Monthly",4,"Quarterly",5,"Weekly",1)</f>
        <v>2</v>
      </c>
    </row>
    <row r="1003" spans="1:20" hidden="1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  <c r="S1003" t="str">
        <f t="shared" si="15"/>
        <v>Fortnightly</v>
      </c>
      <c r="T1003" cm="1">
        <f t="array" ref="T1003">_xlfn.SWITCH(S1003,"Annually",6,"Bi-Weekly",2,"Fortnightly",3,"Monthly",4,"Quarterly",5,"Weekly",1)</f>
        <v>3</v>
      </c>
    </row>
    <row r="1004" spans="1:20" hidden="1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  <c r="S1004" t="str">
        <f t="shared" si="15"/>
        <v>Bi-Weekly</v>
      </c>
      <c r="T1004" cm="1">
        <f t="array" ref="T1004">_xlfn.SWITCH(S1004,"Annually",6,"Bi-Weekly",2,"Fortnightly",3,"Monthly",4,"Quarterly",5,"Weekly",1)</f>
        <v>2</v>
      </c>
    </row>
    <row r="1005" spans="1:20" hidden="1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  <c r="S1005" t="str">
        <f t="shared" si="15"/>
        <v>Bi-Weekly</v>
      </c>
      <c r="T1005" cm="1">
        <f t="array" ref="T1005">_xlfn.SWITCH(S1005,"Annually",6,"Bi-Weekly",2,"Fortnightly",3,"Monthly",4,"Quarterly",5,"Weekly",1)</f>
        <v>2</v>
      </c>
    </row>
    <row r="1006" spans="1:20" hidden="1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  <c r="S1006" t="str">
        <f t="shared" si="15"/>
        <v>Annually</v>
      </c>
      <c r="T1006" cm="1">
        <f t="array" ref="T1006">_xlfn.SWITCH(S1006,"Annually",6,"Bi-Weekly",2,"Fortnightly",3,"Monthly",4,"Quarterly",5,"Weekly",1)</f>
        <v>6</v>
      </c>
    </row>
    <row r="1007" spans="1:20" hidden="1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  <c r="S1007" t="str">
        <f t="shared" si="15"/>
        <v>Bi-Weekly</v>
      </c>
      <c r="T1007" cm="1">
        <f t="array" ref="T1007">_xlfn.SWITCH(S1007,"Annually",6,"Bi-Weekly",2,"Fortnightly",3,"Monthly",4,"Quarterly",5,"Weekly",1)</f>
        <v>2</v>
      </c>
    </row>
    <row r="1008" spans="1:20" hidden="1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  <c r="S1008" t="str">
        <f t="shared" si="15"/>
        <v>Quarterly</v>
      </c>
      <c r="T1008" cm="1">
        <f t="array" ref="T1008">_xlfn.SWITCH(S1008,"Annually",6,"Bi-Weekly",2,"Fortnightly",3,"Monthly",4,"Quarterly",5,"Weekly",1)</f>
        <v>5</v>
      </c>
    </row>
    <row r="1009" spans="1:20" hidden="1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  <c r="S1009" t="str">
        <f t="shared" si="15"/>
        <v>Annually</v>
      </c>
      <c r="T1009" cm="1">
        <f t="array" ref="T1009">_xlfn.SWITCH(S1009,"Annually",6,"Bi-Weekly",2,"Fortnightly",3,"Monthly",4,"Quarterly",5,"Weekly",1)</f>
        <v>6</v>
      </c>
    </row>
    <row r="1010" spans="1:20" hidden="1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  <c r="S1010" t="str">
        <f t="shared" si="15"/>
        <v>Annually</v>
      </c>
      <c r="T1010" cm="1">
        <f t="array" ref="T1010">_xlfn.SWITCH(S1010,"Annually",6,"Bi-Weekly",2,"Fortnightly",3,"Monthly",4,"Quarterly",5,"Weekly",1)</f>
        <v>6</v>
      </c>
    </row>
    <row r="1011" spans="1:20" hidden="1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  <c r="S1011" t="str">
        <f t="shared" si="15"/>
        <v>Annually</v>
      </c>
      <c r="T1011" cm="1">
        <f t="array" ref="T1011">_xlfn.SWITCH(S1011,"Annually",6,"Bi-Weekly",2,"Fortnightly",3,"Monthly",4,"Quarterly",5,"Weekly",1)</f>
        <v>6</v>
      </c>
    </row>
    <row r="1012" spans="1:20" hidden="1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  <c r="S1012" t="str">
        <f t="shared" si="15"/>
        <v>Fortnightly</v>
      </c>
      <c r="T1012" cm="1">
        <f t="array" ref="T1012">_xlfn.SWITCH(S1012,"Annually",6,"Bi-Weekly",2,"Fortnightly",3,"Monthly",4,"Quarterly",5,"Weekly",1)</f>
        <v>3</v>
      </c>
    </row>
    <row r="1013" spans="1:20" hidden="1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  <c r="S1013" t="str">
        <f t="shared" si="15"/>
        <v>Fortnightly</v>
      </c>
      <c r="T1013" cm="1">
        <f t="array" ref="T1013">_xlfn.SWITCH(S1013,"Annually",6,"Bi-Weekly",2,"Fortnightly",3,"Monthly",4,"Quarterly",5,"Weekly",1)</f>
        <v>3</v>
      </c>
    </row>
    <row r="1014" spans="1:20" hidden="1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  <c r="S1014" t="str">
        <f t="shared" si="15"/>
        <v>Annually</v>
      </c>
      <c r="T1014" cm="1">
        <f t="array" ref="T1014">_xlfn.SWITCH(S1014,"Annually",6,"Bi-Weekly",2,"Fortnightly",3,"Monthly",4,"Quarterly",5,"Weekly",1)</f>
        <v>6</v>
      </c>
    </row>
    <row r="1015" spans="1:20" hidden="1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  <c r="S1015" t="str">
        <f t="shared" si="15"/>
        <v>Bi-Weekly</v>
      </c>
      <c r="T1015" cm="1">
        <f t="array" ref="T1015">_xlfn.SWITCH(S1015,"Annually",6,"Bi-Weekly",2,"Fortnightly",3,"Monthly",4,"Quarterly",5,"Weekly",1)</f>
        <v>2</v>
      </c>
    </row>
    <row r="1016" spans="1:20" hidden="1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  <c r="S1016" t="str">
        <f t="shared" si="15"/>
        <v>Fortnightly</v>
      </c>
      <c r="T1016" cm="1">
        <f t="array" ref="T1016">_xlfn.SWITCH(S1016,"Annually",6,"Bi-Weekly",2,"Fortnightly",3,"Monthly",4,"Quarterly",5,"Weekly",1)</f>
        <v>3</v>
      </c>
    </row>
    <row r="1017" spans="1:20" hidden="1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  <c r="S1017" t="str">
        <f t="shared" si="15"/>
        <v>Weekly</v>
      </c>
      <c r="T1017" cm="1">
        <f t="array" ref="T1017">_xlfn.SWITCH(S1017,"Annually",6,"Bi-Weekly",2,"Fortnightly",3,"Monthly",4,"Quarterly",5,"Weekly",1)</f>
        <v>1</v>
      </c>
    </row>
    <row r="1018" spans="1:20" hidden="1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  <c r="S1018" t="str">
        <f t="shared" si="15"/>
        <v>Quarterly</v>
      </c>
      <c r="T1018" cm="1">
        <f t="array" ref="T1018">_xlfn.SWITCH(S1018,"Annually",6,"Bi-Weekly",2,"Fortnightly",3,"Monthly",4,"Quarterly",5,"Weekly",1)</f>
        <v>5</v>
      </c>
    </row>
    <row r="1019" spans="1:20" hidden="1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  <c r="S1019" t="str">
        <f t="shared" si="15"/>
        <v>Annually</v>
      </c>
      <c r="T1019" cm="1">
        <f t="array" ref="T1019">_xlfn.SWITCH(S1019,"Annually",6,"Bi-Weekly",2,"Fortnightly",3,"Monthly",4,"Quarterly",5,"Weekly",1)</f>
        <v>6</v>
      </c>
    </row>
    <row r="1020" spans="1:20" hidden="1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  <c r="S1020" t="str">
        <f t="shared" si="15"/>
        <v>Weekly</v>
      </c>
      <c r="T1020" cm="1">
        <f t="array" ref="T1020">_xlfn.SWITCH(S1020,"Annually",6,"Bi-Weekly",2,"Fortnightly",3,"Monthly",4,"Quarterly",5,"Weekly",1)</f>
        <v>1</v>
      </c>
    </row>
    <row r="1021" spans="1:20" hidden="1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  <c r="S1021" t="str">
        <f t="shared" si="15"/>
        <v>Bi-Weekly</v>
      </c>
      <c r="T1021" cm="1">
        <f t="array" ref="T1021">_xlfn.SWITCH(S1021,"Annually",6,"Bi-Weekly",2,"Fortnightly",3,"Monthly",4,"Quarterly",5,"Weekly",1)</f>
        <v>2</v>
      </c>
    </row>
    <row r="1022" spans="1:20" hidden="1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  <c r="S1022" t="str">
        <f t="shared" si="15"/>
        <v>Annually</v>
      </c>
      <c r="T1022" cm="1">
        <f t="array" ref="T1022">_xlfn.SWITCH(S1022,"Annually",6,"Bi-Weekly",2,"Fortnightly",3,"Monthly",4,"Quarterly",5,"Weekly",1)</f>
        <v>6</v>
      </c>
    </row>
    <row r="1023" spans="1:20" hidden="1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  <c r="S1023" t="str">
        <f t="shared" si="15"/>
        <v>Weekly</v>
      </c>
      <c r="T1023" cm="1">
        <f t="array" ref="T1023">_xlfn.SWITCH(S1023,"Annually",6,"Bi-Weekly",2,"Fortnightly",3,"Monthly",4,"Quarterly",5,"Weekly",1)</f>
        <v>1</v>
      </c>
    </row>
    <row r="1024" spans="1:20" hidden="1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  <c r="S1024" t="str">
        <f t="shared" si="15"/>
        <v>Annually</v>
      </c>
      <c r="T1024" cm="1">
        <f t="array" ref="T1024">_xlfn.SWITCH(S1024,"Annually",6,"Bi-Weekly",2,"Fortnightly",3,"Monthly",4,"Quarterly",5,"Weekly",1)</f>
        <v>6</v>
      </c>
    </row>
    <row r="1025" spans="1:20" hidden="1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  <c r="S1025" t="str">
        <f t="shared" si="15"/>
        <v>Quarterly</v>
      </c>
      <c r="T1025" cm="1">
        <f t="array" ref="T1025">_xlfn.SWITCH(S1025,"Annually",6,"Bi-Weekly",2,"Fortnightly",3,"Monthly",4,"Quarterly",5,"Weekly",1)</f>
        <v>5</v>
      </c>
    </row>
    <row r="1026" spans="1:20" hidden="1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  <c r="S1026" t="str">
        <f t="shared" si="15"/>
        <v>Quarterly</v>
      </c>
      <c r="T1026" cm="1">
        <f t="array" ref="T1026">_xlfn.SWITCH(S1026,"Annually",6,"Bi-Weekly",2,"Fortnightly",3,"Monthly",4,"Quarterly",5,"Weekly",1)</f>
        <v>5</v>
      </c>
    </row>
    <row r="1027" spans="1:20" hidden="1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  <c r="S1027" t="str">
        <f t="shared" ref="S1027:S1090" si="16">IF(R1027="Every 3 Months","Quarterly",R1027)</f>
        <v>Annually</v>
      </c>
      <c r="T1027" cm="1">
        <f t="array" ref="T1027">_xlfn.SWITCH(S1027,"Annually",6,"Bi-Weekly",2,"Fortnightly",3,"Monthly",4,"Quarterly",5,"Weekly",1)</f>
        <v>6</v>
      </c>
    </row>
    <row r="1028" spans="1:20" hidden="1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  <c r="S1028" t="str">
        <f t="shared" si="16"/>
        <v>Bi-Weekly</v>
      </c>
      <c r="T1028" cm="1">
        <f t="array" ref="T1028">_xlfn.SWITCH(S1028,"Annually",6,"Bi-Weekly",2,"Fortnightly",3,"Monthly",4,"Quarterly",5,"Weekly",1)</f>
        <v>2</v>
      </c>
    </row>
    <row r="1029" spans="1:20" hidden="1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  <c r="S1029" t="str">
        <f t="shared" si="16"/>
        <v>Monthly</v>
      </c>
      <c r="T1029" cm="1">
        <f t="array" ref="T1029">_xlfn.SWITCH(S1029,"Annually",6,"Bi-Weekly",2,"Fortnightly",3,"Monthly",4,"Quarterly",5,"Weekly",1)</f>
        <v>4</v>
      </c>
    </row>
    <row r="1030" spans="1:20" hidden="1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  <c r="S1030" t="str">
        <f t="shared" si="16"/>
        <v>Fortnightly</v>
      </c>
      <c r="T1030" cm="1">
        <f t="array" ref="T1030">_xlfn.SWITCH(S1030,"Annually",6,"Bi-Weekly",2,"Fortnightly",3,"Monthly",4,"Quarterly",5,"Weekly",1)</f>
        <v>3</v>
      </c>
    </row>
    <row r="1031" spans="1:20" hidden="1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  <c r="S1031" t="str">
        <f t="shared" si="16"/>
        <v>Bi-Weekly</v>
      </c>
      <c r="T1031" cm="1">
        <f t="array" ref="T1031">_xlfn.SWITCH(S1031,"Annually",6,"Bi-Weekly",2,"Fortnightly",3,"Monthly",4,"Quarterly",5,"Weekly",1)</f>
        <v>2</v>
      </c>
    </row>
    <row r="1032" spans="1:20" hidden="1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  <c r="S1032" t="str">
        <f t="shared" si="16"/>
        <v>Quarterly</v>
      </c>
      <c r="T1032" cm="1">
        <f t="array" ref="T1032">_xlfn.SWITCH(S1032,"Annually",6,"Bi-Weekly",2,"Fortnightly",3,"Monthly",4,"Quarterly",5,"Weekly",1)</f>
        <v>5</v>
      </c>
    </row>
    <row r="1033" spans="1:20" hidden="1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  <c r="S1033" t="str">
        <f t="shared" si="16"/>
        <v>Quarterly</v>
      </c>
      <c r="T1033" cm="1">
        <f t="array" ref="T1033">_xlfn.SWITCH(S1033,"Annually",6,"Bi-Weekly",2,"Fortnightly",3,"Monthly",4,"Quarterly",5,"Weekly",1)</f>
        <v>5</v>
      </c>
    </row>
    <row r="1034" spans="1:20" hidden="1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  <c r="S1034" t="str">
        <f t="shared" si="16"/>
        <v>Quarterly</v>
      </c>
      <c r="T1034" cm="1">
        <f t="array" ref="T1034">_xlfn.SWITCH(S1034,"Annually",6,"Bi-Weekly",2,"Fortnightly",3,"Monthly",4,"Quarterly",5,"Weekly",1)</f>
        <v>5</v>
      </c>
    </row>
    <row r="1035" spans="1:20" hidden="1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  <c r="S1035" t="str">
        <f t="shared" si="16"/>
        <v>Quarterly</v>
      </c>
      <c r="T1035" cm="1">
        <f t="array" ref="T1035">_xlfn.SWITCH(S1035,"Annually",6,"Bi-Weekly",2,"Fortnightly",3,"Monthly",4,"Quarterly",5,"Weekly",1)</f>
        <v>5</v>
      </c>
    </row>
    <row r="1036" spans="1:20" hidden="1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  <c r="S1036" t="str">
        <f t="shared" si="16"/>
        <v>Weekly</v>
      </c>
      <c r="T1036" cm="1">
        <f t="array" ref="T1036">_xlfn.SWITCH(S1036,"Annually",6,"Bi-Weekly",2,"Fortnightly",3,"Monthly",4,"Quarterly",5,"Weekly",1)</f>
        <v>1</v>
      </c>
    </row>
    <row r="1037" spans="1:20" hidden="1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  <c r="S1037" t="str">
        <f t="shared" si="16"/>
        <v>Annually</v>
      </c>
      <c r="T1037" cm="1">
        <f t="array" ref="T1037">_xlfn.SWITCH(S1037,"Annually",6,"Bi-Weekly",2,"Fortnightly",3,"Monthly",4,"Quarterly",5,"Weekly",1)</f>
        <v>6</v>
      </c>
    </row>
    <row r="1038" spans="1:20" hidden="1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  <c r="S1038" t="str">
        <f t="shared" si="16"/>
        <v>Monthly</v>
      </c>
      <c r="T1038" cm="1">
        <f t="array" ref="T1038">_xlfn.SWITCH(S1038,"Annually",6,"Bi-Weekly",2,"Fortnightly",3,"Monthly",4,"Quarterly",5,"Weekly",1)</f>
        <v>4</v>
      </c>
    </row>
    <row r="1039" spans="1:20" hidden="1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  <c r="S1039" t="str">
        <f t="shared" si="16"/>
        <v>Quarterly</v>
      </c>
      <c r="T1039" cm="1">
        <f t="array" ref="T1039">_xlfn.SWITCH(S1039,"Annually",6,"Bi-Weekly",2,"Fortnightly",3,"Monthly",4,"Quarterly",5,"Weekly",1)</f>
        <v>5</v>
      </c>
    </row>
    <row r="1040" spans="1:20" hidden="1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  <c r="S1040" t="str">
        <f t="shared" si="16"/>
        <v>Weekly</v>
      </c>
      <c r="T1040" cm="1">
        <f t="array" ref="T1040">_xlfn.SWITCH(S1040,"Annually",6,"Bi-Weekly",2,"Fortnightly",3,"Monthly",4,"Quarterly",5,"Weekly",1)</f>
        <v>1</v>
      </c>
    </row>
    <row r="1041" spans="1:20" hidden="1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  <c r="S1041" t="str">
        <f t="shared" si="16"/>
        <v>Monthly</v>
      </c>
      <c r="T1041" cm="1">
        <f t="array" ref="T1041">_xlfn.SWITCH(S1041,"Annually",6,"Bi-Weekly",2,"Fortnightly",3,"Monthly",4,"Quarterly",5,"Weekly",1)</f>
        <v>4</v>
      </c>
    </row>
    <row r="1042" spans="1:20" hidden="1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  <c r="S1042" t="str">
        <f t="shared" si="16"/>
        <v>Fortnightly</v>
      </c>
      <c r="T1042" cm="1">
        <f t="array" ref="T1042">_xlfn.SWITCH(S1042,"Annually",6,"Bi-Weekly",2,"Fortnightly",3,"Monthly",4,"Quarterly",5,"Weekly",1)</f>
        <v>3</v>
      </c>
    </row>
    <row r="1043" spans="1:20" hidden="1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  <c r="S1043" t="str">
        <f t="shared" si="16"/>
        <v>Fortnightly</v>
      </c>
      <c r="T1043" cm="1">
        <f t="array" ref="T1043">_xlfn.SWITCH(S1043,"Annually",6,"Bi-Weekly",2,"Fortnightly",3,"Monthly",4,"Quarterly",5,"Weekly",1)</f>
        <v>3</v>
      </c>
    </row>
    <row r="1044" spans="1:20" hidden="1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  <c r="S1044" t="str">
        <f t="shared" si="16"/>
        <v>Weekly</v>
      </c>
      <c r="T1044" cm="1">
        <f t="array" ref="T1044">_xlfn.SWITCH(S1044,"Annually",6,"Bi-Weekly",2,"Fortnightly",3,"Monthly",4,"Quarterly",5,"Weekly",1)</f>
        <v>1</v>
      </c>
    </row>
    <row r="1045" spans="1:20" hidden="1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  <c r="S1045" t="str">
        <f t="shared" si="16"/>
        <v>Fortnightly</v>
      </c>
      <c r="T1045" cm="1">
        <f t="array" ref="T1045">_xlfn.SWITCH(S1045,"Annually",6,"Bi-Weekly",2,"Fortnightly",3,"Monthly",4,"Quarterly",5,"Weekly",1)</f>
        <v>3</v>
      </c>
    </row>
    <row r="1046" spans="1:20" hidden="1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  <c r="S1046" t="str">
        <f t="shared" si="16"/>
        <v>Quarterly</v>
      </c>
      <c r="T1046" cm="1">
        <f t="array" ref="T1046">_xlfn.SWITCH(S1046,"Annually",6,"Bi-Weekly",2,"Fortnightly",3,"Monthly",4,"Quarterly",5,"Weekly",1)</f>
        <v>5</v>
      </c>
    </row>
    <row r="1047" spans="1:20" hidden="1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  <c r="S1047" t="str">
        <f t="shared" si="16"/>
        <v>Bi-Weekly</v>
      </c>
      <c r="T1047" cm="1">
        <f t="array" ref="T1047">_xlfn.SWITCH(S1047,"Annually",6,"Bi-Weekly",2,"Fortnightly",3,"Monthly",4,"Quarterly",5,"Weekly",1)</f>
        <v>2</v>
      </c>
    </row>
    <row r="1048" spans="1:20" hidden="1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  <c r="S1048" t="str">
        <f t="shared" si="16"/>
        <v>Annually</v>
      </c>
      <c r="T1048" cm="1">
        <f t="array" ref="T1048">_xlfn.SWITCH(S1048,"Annually",6,"Bi-Weekly",2,"Fortnightly",3,"Monthly",4,"Quarterly",5,"Weekly",1)</f>
        <v>6</v>
      </c>
    </row>
    <row r="1049" spans="1:20" hidden="1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  <c r="S1049" t="str">
        <f t="shared" si="16"/>
        <v>Fortnightly</v>
      </c>
      <c r="T1049" cm="1">
        <f t="array" ref="T1049">_xlfn.SWITCH(S1049,"Annually",6,"Bi-Weekly",2,"Fortnightly",3,"Monthly",4,"Quarterly",5,"Weekly",1)</f>
        <v>3</v>
      </c>
    </row>
    <row r="1050" spans="1:20" hidden="1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  <c r="S1050" t="str">
        <f t="shared" si="16"/>
        <v>Fortnightly</v>
      </c>
      <c r="T1050" cm="1">
        <f t="array" ref="T1050">_xlfn.SWITCH(S1050,"Annually",6,"Bi-Weekly",2,"Fortnightly",3,"Monthly",4,"Quarterly",5,"Weekly",1)</f>
        <v>3</v>
      </c>
    </row>
    <row r="1051" spans="1:20" hidden="1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  <c r="S1051" t="str">
        <f t="shared" si="16"/>
        <v>Quarterly</v>
      </c>
      <c r="T1051" cm="1">
        <f t="array" ref="T1051">_xlfn.SWITCH(S1051,"Annually",6,"Bi-Weekly",2,"Fortnightly",3,"Monthly",4,"Quarterly",5,"Weekly",1)</f>
        <v>5</v>
      </c>
    </row>
    <row r="1052" spans="1:20" hidden="1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  <c r="S1052" t="str">
        <f t="shared" si="16"/>
        <v>Monthly</v>
      </c>
      <c r="T1052" cm="1">
        <f t="array" ref="T1052">_xlfn.SWITCH(S1052,"Annually",6,"Bi-Weekly",2,"Fortnightly",3,"Monthly",4,"Quarterly",5,"Weekly",1)</f>
        <v>4</v>
      </c>
    </row>
    <row r="1053" spans="1:20" hidden="1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  <c r="S1053" t="str">
        <f t="shared" si="16"/>
        <v>Annually</v>
      </c>
      <c r="T1053" cm="1">
        <f t="array" ref="T1053">_xlfn.SWITCH(S1053,"Annually",6,"Bi-Weekly",2,"Fortnightly",3,"Monthly",4,"Quarterly",5,"Weekly",1)</f>
        <v>6</v>
      </c>
    </row>
    <row r="1054" spans="1:20" hidden="1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  <c r="S1054" t="str">
        <f t="shared" si="16"/>
        <v>Fortnightly</v>
      </c>
      <c r="T1054" cm="1">
        <f t="array" ref="T1054">_xlfn.SWITCH(S1054,"Annually",6,"Bi-Weekly",2,"Fortnightly",3,"Monthly",4,"Quarterly",5,"Weekly",1)</f>
        <v>3</v>
      </c>
    </row>
    <row r="1055" spans="1:20" hidden="1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  <c r="S1055" t="str">
        <f t="shared" si="16"/>
        <v>Bi-Weekly</v>
      </c>
      <c r="T1055" cm="1">
        <f t="array" ref="T1055">_xlfn.SWITCH(S1055,"Annually",6,"Bi-Weekly",2,"Fortnightly",3,"Monthly",4,"Quarterly",5,"Weekly",1)</f>
        <v>2</v>
      </c>
    </row>
    <row r="1056" spans="1:20" hidden="1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  <c r="S1056" t="str">
        <f t="shared" si="16"/>
        <v>Quarterly</v>
      </c>
      <c r="T1056" cm="1">
        <f t="array" ref="T1056">_xlfn.SWITCH(S1056,"Annually",6,"Bi-Weekly",2,"Fortnightly",3,"Monthly",4,"Quarterly",5,"Weekly",1)</f>
        <v>5</v>
      </c>
    </row>
    <row r="1057" spans="1:20" hidden="1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  <c r="S1057" t="str">
        <f t="shared" si="16"/>
        <v>Annually</v>
      </c>
      <c r="T1057" cm="1">
        <f t="array" ref="T1057">_xlfn.SWITCH(S1057,"Annually",6,"Bi-Weekly",2,"Fortnightly",3,"Monthly",4,"Quarterly",5,"Weekly",1)</f>
        <v>6</v>
      </c>
    </row>
    <row r="1058" spans="1:20" hidden="1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  <c r="S1058" t="str">
        <f t="shared" si="16"/>
        <v>Fortnightly</v>
      </c>
      <c r="T1058" cm="1">
        <f t="array" ref="T1058">_xlfn.SWITCH(S1058,"Annually",6,"Bi-Weekly",2,"Fortnightly",3,"Monthly",4,"Quarterly",5,"Weekly",1)</f>
        <v>3</v>
      </c>
    </row>
    <row r="1059" spans="1:20" hidden="1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  <c r="S1059" t="str">
        <f t="shared" si="16"/>
        <v>Weekly</v>
      </c>
      <c r="T1059" cm="1">
        <f t="array" ref="T1059">_xlfn.SWITCH(S1059,"Annually",6,"Bi-Weekly",2,"Fortnightly",3,"Monthly",4,"Quarterly",5,"Weekly",1)</f>
        <v>1</v>
      </c>
    </row>
    <row r="1060" spans="1:20" hidden="1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  <c r="S1060" t="str">
        <f t="shared" si="16"/>
        <v>Quarterly</v>
      </c>
      <c r="T1060" cm="1">
        <f t="array" ref="T1060">_xlfn.SWITCH(S1060,"Annually",6,"Bi-Weekly",2,"Fortnightly",3,"Monthly",4,"Quarterly",5,"Weekly",1)</f>
        <v>5</v>
      </c>
    </row>
    <row r="1061" spans="1:20" hidden="1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  <c r="S1061" t="str">
        <f t="shared" si="16"/>
        <v>Monthly</v>
      </c>
      <c r="T1061" cm="1">
        <f t="array" ref="T1061">_xlfn.SWITCH(S1061,"Annually",6,"Bi-Weekly",2,"Fortnightly",3,"Monthly",4,"Quarterly",5,"Weekly",1)</f>
        <v>4</v>
      </c>
    </row>
    <row r="1062" spans="1:20" hidden="1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  <c r="S1062" t="str">
        <f t="shared" si="16"/>
        <v>Quarterly</v>
      </c>
      <c r="T1062" cm="1">
        <f t="array" ref="T1062">_xlfn.SWITCH(S1062,"Annually",6,"Bi-Weekly",2,"Fortnightly",3,"Monthly",4,"Quarterly",5,"Weekly",1)</f>
        <v>5</v>
      </c>
    </row>
    <row r="1063" spans="1:20" hidden="1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  <c r="S1063" t="str">
        <f t="shared" si="16"/>
        <v>Quarterly</v>
      </c>
      <c r="T1063" cm="1">
        <f t="array" ref="T1063">_xlfn.SWITCH(S1063,"Annually",6,"Bi-Weekly",2,"Fortnightly",3,"Monthly",4,"Quarterly",5,"Weekly",1)</f>
        <v>5</v>
      </c>
    </row>
    <row r="1064" spans="1:20" hidden="1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  <c r="S1064" t="str">
        <f t="shared" si="16"/>
        <v>Quarterly</v>
      </c>
      <c r="T1064" cm="1">
        <f t="array" ref="T1064">_xlfn.SWITCH(S1064,"Annually",6,"Bi-Weekly",2,"Fortnightly",3,"Monthly",4,"Quarterly",5,"Weekly",1)</f>
        <v>5</v>
      </c>
    </row>
    <row r="1065" spans="1:20" hidden="1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  <c r="S1065" t="str">
        <f t="shared" si="16"/>
        <v>Monthly</v>
      </c>
      <c r="T1065" cm="1">
        <f t="array" ref="T1065">_xlfn.SWITCH(S1065,"Annually",6,"Bi-Weekly",2,"Fortnightly",3,"Monthly",4,"Quarterly",5,"Weekly",1)</f>
        <v>4</v>
      </c>
    </row>
    <row r="1066" spans="1:20" hidden="1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  <c r="S1066" t="str">
        <f t="shared" si="16"/>
        <v>Quarterly</v>
      </c>
      <c r="T1066" cm="1">
        <f t="array" ref="T1066">_xlfn.SWITCH(S1066,"Annually",6,"Bi-Weekly",2,"Fortnightly",3,"Monthly",4,"Quarterly",5,"Weekly",1)</f>
        <v>5</v>
      </c>
    </row>
    <row r="1067" spans="1:20" hidden="1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  <c r="S1067" t="str">
        <f t="shared" si="16"/>
        <v>Quarterly</v>
      </c>
      <c r="T1067" cm="1">
        <f t="array" ref="T1067">_xlfn.SWITCH(S1067,"Annually",6,"Bi-Weekly",2,"Fortnightly",3,"Monthly",4,"Quarterly",5,"Weekly",1)</f>
        <v>5</v>
      </c>
    </row>
    <row r="1068" spans="1:20" hidden="1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  <c r="S1068" t="str">
        <f t="shared" si="16"/>
        <v>Bi-Weekly</v>
      </c>
      <c r="T1068" cm="1">
        <f t="array" ref="T1068">_xlfn.SWITCH(S1068,"Annually",6,"Bi-Weekly",2,"Fortnightly",3,"Monthly",4,"Quarterly",5,"Weekly",1)</f>
        <v>2</v>
      </c>
    </row>
    <row r="1069" spans="1:20" hidden="1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  <c r="S1069" t="str">
        <f t="shared" si="16"/>
        <v>Quarterly</v>
      </c>
      <c r="T1069" cm="1">
        <f t="array" ref="T1069">_xlfn.SWITCH(S1069,"Annually",6,"Bi-Weekly",2,"Fortnightly",3,"Monthly",4,"Quarterly",5,"Weekly",1)</f>
        <v>5</v>
      </c>
    </row>
    <row r="1070" spans="1:20" hidden="1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  <c r="S1070" t="str">
        <f t="shared" si="16"/>
        <v>Weekly</v>
      </c>
      <c r="T1070" cm="1">
        <f t="array" ref="T1070">_xlfn.SWITCH(S1070,"Annually",6,"Bi-Weekly",2,"Fortnightly",3,"Monthly",4,"Quarterly",5,"Weekly",1)</f>
        <v>1</v>
      </c>
    </row>
    <row r="1071" spans="1:20" hidden="1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  <c r="S1071" t="str">
        <f t="shared" si="16"/>
        <v>Quarterly</v>
      </c>
      <c r="T1071" cm="1">
        <f t="array" ref="T1071">_xlfn.SWITCH(S1071,"Annually",6,"Bi-Weekly",2,"Fortnightly",3,"Monthly",4,"Quarterly",5,"Weekly",1)</f>
        <v>5</v>
      </c>
    </row>
    <row r="1072" spans="1:20" hidden="1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  <c r="S1072" t="str">
        <f t="shared" si="16"/>
        <v>Weekly</v>
      </c>
      <c r="T1072" cm="1">
        <f t="array" ref="T1072">_xlfn.SWITCH(S1072,"Annually",6,"Bi-Weekly",2,"Fortnightly",3,"Monthly",4,"Quarterly",5,"Weekly",1)</f>
        <v>1</v>
      </c>
    </row>
    <row r="1073" spans="1:20" hidden="1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  <c r="S1073" t="str">
        <f t="shared" si="16"/>
        <v>Monthly</v>
      </c>
      <c r="T1073" cm="1">
        <f t="array" ref="T1073">_xlfn.SWITCH(S1073,"Annually",6,"Bi-Weekly",2,"Fortnightly",3,"Monthly",4,"Quarterly",5,"Weekly",1)</f>
        <v>4</v>
      </c>
    </row>
    <row r="1074" spans="1:20" hidden="1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  <c r="S1074" t="str">
        <f t="shared" si="16"/>
        <v>Fortnightly</v>
      </c>
      <c r="T1074" cm="1">
        <f t="array" ref="T1074">_xlfn.SWITCH(S1074,"Annually",6,"Bi-Weekly",2,"Fortnightly",3,"Monthly",4,"Quarterly",5,"Weekly",1)</f>
        <v>3</v>
      </c>
    </row>
    <row r="1075" spans="1:20" hidden="1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  <c r="S1075" t="str">
        <f t="shared" si="16"/>
        <v>Monthly</v>
      </c>
      <c r="T1075" cm="1">
        <f t="array" ref="T1075">_xlfn.SWITCH(S1075,"Annually",6,"Bi-Weekly",2,"Fortnightly",3,"Monthly",4,"Quarterly",5,"Weekly",1)</f>
        <v>4</v>
      </c>
    </row>
    <row r="1076" spans="1:20" hidden="1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  <c r="S1076" t="str">
        <f t="shared" si="16"/>
        <v>Fortnightly</v>
      </c>
      <c r="T1076" cm="1">
        <f t="array" ref="T1076">_xlfn.SWITCH(S1076,"Annually",6,"Bi-Weekly",2,"Fortnightly",3,"Monthly",4,"Quarterly",5,"Weekly",1)</f>
        <v>3</v>
      </c>
    </row>
    <row r="1077" spans="1:20" hidden="1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  <c r="S1077" t="str">
        <f t="shared" si="16"/>
        <v>Bi-Weekly</v>
      </c>
      <c r="T1077" cm="1">
        <f t="array" ref="T1077">_xlfn.SWITCH(S1077,"Annually",6,"Bi-Weekly",2,"Fortnightly",3,"Monthly",4,"Quarterly",5,"Weekly",1)</f>
        <v>2</v>
      </c>
    </row>
    <row r="1078" spans="1:20" hidden="1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  <c r="S1078" t="str">
        <f t="shared" si="16"/>
        <v>Bi-Weekly</v>
      </c>
      <c r="T1078" cm="1">
        <f t="array" ref="T1078">_xlfn.SWITCH(S1078,"Annually",6,"Bi-Weekly",2,"Fortnightly",3,"Monthly",4,"Quarterly",5,"Weekly",1)</f>
        <v>2</v>
      </c>
    </row>
    <row r="1079" spans="1:20" hidden="1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  <c r="S1079" t="str">
        <f t="shared" si="16"/>
        <v>Quarterly</v>
      </c>
      <c r="T1079" cm="1">
        <f t="array" ref="T1079">_xlfn.SWITCH(S1079,"Annually",6,"Bi-Weekly",2,"Fortnightly",3,"Monthly",4,"Quarterly",5,"Weekly",1)</f>
        <v>5</v>
      </c>
    </row>
    <row r="1080" spans="1:20" hidden="1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  <c r="S1080" t="str">
        <f t="shared" si="16"/>
        <v>Fortnightly</v>
      </c>
      <c r="T1080" cm="1">
        <f t="array" ref="T1080">_xlfn.SWITCH(S1080,"Annually",6,"Bi-Weekly",2,"Fortnightly",3,"Monthly",4,"Quarterly",5,"Weekly",1)</f>
        <v>3</v>
      </c>
    </row>
    <row r="1081" spans="1:20" hidden="1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  <c r="S1081" t="str">
        <f t="shared" si="16"/>
        <v>Monthly</v>
      </c>
      <c r="T1081" cm="1">
        <f t="array" ref="T1081">_xlfn.SWITCH(S1081,"Annually",6,"Bi-Weekly",2,"Fortnightly",3,"Monthly",4,"Quarterly",5,"Weekly",1)</f>
        <v>4</v>
      </c>
    </row>
    <row r="1082" spans="1:20" hidden="1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  <c r="S1082" t="str">
        <f t="shared" si="16"/>
        <v>Quarterly</v>
      </c>
      <c r="T1082" cm="1">
        <f t="array" ref="T1082">_xlfn.SWITCH(S1082,"Annually",6,"Bi-Weekly",2,"Fortnightly",3,"Monthly",4,"Quarterly",5,"Weekly",1)</f>
        <v>5</v>
      </c>
    </row>
    <row r="1083" spans="1:20" hidden="1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  <c r="S1083" t="str">
        <f t="shared" si="16"/>
        <v>Annually</v>
      </c>
      <c r="T1083" cm="1">
        <f t="array" ref="T1083">_xlfn.SWITCH(S1083,"Annually",6,"Bi-Weekly",2,"Fortnightly",3,"Monthly",4,"Quarterly",5,"Weekly",1)</f>
        <v>6</v>
      </c>
    </row>
    <row r="1084" spans="1:20" hidden="1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  <c r="S1084" t="str">
        <f t="shared" si="16"/>
        <v>Quarterly</v>
      </c>
      <c r="T1084" cm="1">
        <f t="array" ref="T1084">_xlfn.SWITCH(S1084,"Annually",6,"Bi-Weekly",2,"Fortnightly",3,"Monthly",4,"Quarterly",5,"Weekly",1)</f>
        <v>5</v>
      </c>
    </row>
    <row r="1085" spans="1:20" hidden="1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  <c r="S1085" t="str">
        <f t="shared" si="16"/>
        <v>Weekly</v>
      </c>
      <c r="T1085" cm="1">
        <f t="array" ref="T1085">_xlfn.SWITCH(S1085,"Annually",6,"Bi-Weekly",2,"Fortnightly",3,"Monthly",4,"Quarterly",5,"Weekly",1)</f>
        <v>1</v>
      </c>
    </row>
    <row r="1086" spans="1:20" hidden="1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  <c r="S1086" t="str">
        <f t="shared" si="16"/>
        <v>Quarterly</v>
      </c>
      <c r="T1086" cm="1">
        <f t="array" ref="T1086">_xlfn.SWITCH(S1086,"Annually",6,"Bi-Weekly",2,"Fortnightly",3,"Monthly",4,"Quarterly",5,"Weekly",1)</f>
        <v>5</v>
      </c>
    </row>
    <row r="1087" spans="1:20" hidden="1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  <c r="S1087" t="str">
        <f t="shared" si="16"/>
        <v>Fortnightly</v>
      </c>
      <c r="T1087" cm="1">
        <f t="array" ref="T1087">_xlfn.SWITCH(S1087,"Annually",6,"Bi-Weekly",2,"Fortnightly",3,"Monthly",4,"Quarterly",5,"Weekly",1)</f>
        <v>3</v>
      </c>
    </row>
    <row r="1088" spans="1:20" hidden="1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  <c r="S1088" t="str">
        <f t="shared" si="16"/>
        <v>Bi-Weekly</v>
      </c>
      <c r="T1088" cm="1">
        <f t="array" ref="T1088">_xlfn.SWITCH(S1088,"Annually",6,"Bi-Weekly",2,"Fortnightly",3,"Monthly",4,"Quarterly",5,"Weekly",1)</f>
        <v>2</v>
      </c>
    </row>
    <row r="1089" spans="1:20" hidden="1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  <c r="S1089" t="str">
        <f t="shared" si="16"/>
        <v>Monthly</v>
      </c>
      <c r="T1089" cm="1">
        <f t="array" ref="T1089">_xlfn.SWITCH(S1089,"Annually",6,"Bi-Weekly",2,"Fortnightly",3,"Monthly",4,"Quarterly",5,"Weekly",1)</f>
        <v>4</v>
      </c>
    </row>
    <row r="1090" spans="1:20" hidden="1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  <c r="S1090" t="str">
        <f t="shared" si="16"/>
        <v>Weekly</v>
      </c>
      <c r="T1090" cm="1">
        <f t="array" ref="T1090">_xlfn.SWITCH(S1090,"Annually",6,"Bi-Weekly",2,"Fortnightly",3,"Monthly",4,"Quarterly",5,"Weekly",1)</f>
        <v>1</v>
      </c>
    </row>
    <row r="1091" spans="1:20" hidden="1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  <c r="S1091" t="str">
        <f t="shared" ref="S1091:S1154" si="17">IF(R1091="Every 3 Months","Quarterly",R1091)</f>
        <v>Bi-Weekly</v>
      </c>
      <c r="T1091" cm="1">
        <f t="array" ref="T1091">_xlfn.SWITCH(S1091,"Annually",6,"Bi-Weekly",2,"Fortnightly",3,"Monthly",4,"Quarterly",5,"Weekly",1)</f>
        <v>2</v>
      </c>
    </row>
    <row r="1092" spans="1:20" hidden="1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  <c r="S1092" t="str">
        <f t="shared" si="17"/>
        <v>Fortnightly</v>
      </c>
      <c r="T1092" cm="1">
        <f t="array" ref="T1092">_xlfn.SWITCH(S1092,"Annually",6,"Bi-Weekly",2,"Fortnightly",3,"Monthly",4,"Quarterly",5,"Weekly",1)</f>
        <v>3</v>
      </c>
    </row>
    <row r="1093" spans="1:20" hidden="1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  <c r="S1093" t="str">
        <f t="shared" si="17"/>
        <v>Fortnightly</v>
      </c>
      <c r="T1093" cm="1">
        <f t="array" ref="T1093">_xlfn.SWITCH(S1093,"Annually",6,"Bi-Weekly",2,"Fortnightly",3,"Monthly",4,"Quarterly",5,"Weekly",1)</f>
        <v>3</v>
      </c>
    </row>
    <row r="1094" spans="1:20" hidden="1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  <c r="S1094" t="str">
        <f t="shared" si="17"/>
        <v>Quarterly</v>
      </c>
      <c r="T1094" cm="1">
        <f t="array" ref="T1094">_xlfn.SWITCH(S1094,"Annually",6,"Bi-Weekly",2,"Fortnightly",3,"Monthly",4,"Quarterly",5,"Weekly",1)</f>
        <v>5</v>
      </c>
    </row>
    <row r="1095" spans="1:20" hidden="1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  <c r="S1095" t="str">
        <f t="shared" si="17"/>
        <v>Quarterly</v>
      </c>
      <c r="T1095" cm="1">
        <f t="array" ref="T1095">_xlfn.SWITCH(S1095,"Annually",6,"Bi-Weekly",2,"Fortnightly",3,"Monthly",4,"Quarterly",5,"Weekly",1)</f>
        <v>5</v>
      </c>
    </row>
    <row r="1096" spans="1:20" hidden="1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  <c r="S1096" t="str">
        <f t="shared" si="17"/>
        <v>Quarterly</v>
      </c>
      <c r="T1096" cm="1">
        <f t="array" ref="T1096">_xlfn.SWITCH(S1096,"Annually",6,"Bi-Weekly",2,"Fortnightly",3,"Monthly",4,"Quarterly",5,"Weekly",1)</f>
        <v>5</v>
      </c>
    </row>
    <row r="1097" spans="1:20" hidden="1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  <c r="S1097" t="str">
        <f t="shared" si="17"/>
        <v>Quarterly</v>
      </c>
      <c r="T1097" cm="1">
        <f t="array" ref="T1097">_xlfn.SWITCH(S1097,"Annually",6,"Bi-Weekly",2,"Fortnightly",3,"Monthly",4,"Quarterly",5,"Weekly",1)</f>
        <v>5</v>
      </c>
    </row>
    <row r="1098" spans="1:20" hidden="1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  <c r="S1098" t="str">
        <f t="shared" si="17"/>
        <v>Annually</v>
      </c>
      <c r="T1098" cm="1">
        <f t="array" ref="T1098">_xlfn.SWITCH(S1098,"Annually",6,"Bi-Weekly",2,"Fortnightly",3,"Monthly",4,"Quarterly",5,"Weekly",1)</f>
        <v>6</v>
      </c>
    </row>
    <row r="1099" spans="1:20" hidden="1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  <c r="S1099" t="str">
        <f t="shared" si="17"/>
        <v>Weekly</v>
      </c>
      <c r="T1099" cm="1">
        <f t="array" ref="T1099">_xlfn.SWITCH(S1099,"Annually",6,"Bi-Weekly",2,"Fortnightly",3,"Monthly",4,"Quarterly",5,"Weekly",1)</f>
        <v>1</v>
      </c>
    </row>
    <row r="1100" spans="1:20" hidden="1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  <c r="S1100" t="str">
        <f t="shared" si="17"/>
        <v>Weekly</v>
      </c>
      <c r="T1100" cm="1">
        <f t="array" ref="T1100">_xlfn.SWITCH(S1100,"Annually",6,"Bi-Weekly",2,"Fortnightly",3,"Monthly",4,"Quarterly",5,"Weekly",1)</f>
        <v>1</v>
      </c>
    </row>
    <row r="1101" spans="1:20" hidden="1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  <c r="S1101" t="str">
        <f t="shared" si="17"/>
        <v>Fortnightly</v>
      </c>
      <c r="T1101" cm="1">
        <f t="array" ref="T1101">_xlfn.SWITCH(S1101,"Annually",6,"Bi-Weekly",2,"Fortnightly",3,"Monthly",4,"Quarterly",5,"Weekly",1)</f>
        <v>3</v>
      </c>
    </row>
    <row r="1102" spans="1:20" hidden="1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  <c r="S1102" t="str">
        <f t="shared" si="17"/>
        <v>Weekly</v>
      </c>
      <c r="T1102" cm="1">
        <f t="array" ref="T1102">_xlfn.SWITCH(S1102,"Annually",6,"Bi-Weekly",2,"Fortnightly",3,"Monthly",4,"Quarterly",5,"Weekly",1)</f>
        <v>1</v>
      </c>
    </row>
    <row r="1103" spans="1:20" hidden="1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  <c r="S1103" t="str">
        <f t="shared" si="17"/>
        <v>Fortnightly</v>
      </c>
      <c r="T1103" cm="1">
        <f t="array" ref="T1103">_xlfn.SWITCH(S1103,"Annually",6,"Bi-Weekly",2,"Fortnightly",3,"Monthly",4,"Quarterly",5,"Weekly",1)</f>
        <v>3</v>
      </c>
    </row>
    <row r="1104" spans="1:20" hidden="1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  <c r="S1104" t="str">
        <f t="shared" si="17"/>
        <v>Fortnightly</v>
      </c>
      <c r="T1104" cm="1">
        <f t="array" ref="T1104">_xlfn.SWITCH(S1104,"Annually",6,"Bi-Weekly",2,"Fortnightly",3,"Monthly",4,"Quarterly",5,"Weekly",1)</f>
        <v>3</v>
      </c>
    </row>
    <row r="1105" spans="1:20" hidden="1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  <c r="S1105" t="str">
        <f t="shared" si="17"/>
        <v>Bi-Weekly</v>
      </c>
      <c r="T1105" cm="1">
        <f t="array" ref="T1105">_xlfn.SWITCH(S1105,"Annually",6,"Bi-Weekly",2,"Fortnightly",3,"Monthly",4,"Quarterly",5,"Weekly",1)</f>
        <v>2</v>
      </c>
    </row>
    <row r="1106" spans="1:20" hidden="1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  <c r="S1106" t="str">
        <f t="shared" si="17"/>
        <v>Quarterly</v>
      </c>
      <c r="T1106" cm="1">
        <f t="array" ref="T1106">_xlfn.SWITCH(S1106,"Annually",6,"Bi-Weekly",2,"Fortnightly",3,"Monthly",4,"Quarterly",5,"Weekly",1)</f>
        <v>5</v>
      </c>
    </row>
    <row r="1107" spans="1:20" hidden="1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  <c r="S1107" t="str">
        <f t="shared" si="17"/>
        <v>Quarterly</v>
      </c>
      <c r="T1107" cm="1">
        <f t="array" ref="T1107">_xlfn.SWITCH(S1107,"Annually",6,"Bi-Weekly",2,"Fortnightly",3,"Monthly",4,"Quarterly",5,"Weekly",1)</f>
        <v>5</v>
      </c>
    </row>
    <row r="1108" spans="1:20" hidden="1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  <c r="S1108" t="str">
        <f t="shared" si="17"/>
        <v>Fortnightly</v>
      </c>
      <c r="T1108" cm="1">
        <f t="array" ref="T1108">_xlfn.SWITCH(S1108,"Annually",6,"Bi-Weekly",2,"Fortnightly",3,"Monthly",4,"Quarterly",5,"Weekly",1)</f>
        <v>3</v>
      </c>
    </row>
    <row r="1109" spans="1:20" hidden="1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  <c r="S1109" t="str">
        <f t="shared" si="17"/>
        <v>Weekly</v>
      </c>
      <c r="T1109" cm="1">
        <f t="array" ref="T1109">_xlfn.SWITCH(S1109,"Annually",6,"Bi-Weekly",2,"Fortnightly",3,"Monthly",4,"Quarterly",5,"Weekly",1)</f>
        <v>1</v>
      </c>
    </row>
    <row r="1110" spans="1:20" hidden="1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  <c r="S1110" t="str">
        <f t="shared" si="17"/>
        <v>Fortnightly</v>
      </c>
      <c r="T1110" cm="1">
        <f t="array" ref="T1110">_xlfn.SWITCH(S1110,"Annually",6,"Bi-Weekly",2,"Fortnightly",3,"Monthly",4,"Quarterly",5,"Weekly",1)</f>
        <v>3</v>
      </c>
    </row>
    <row r="1111" spans="1:20" hidden="1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  <c r="S1111" t="str">
        <f t="shared" si="17"/>
        <v>Weekly</v>
      </c>
      <c r="T1111" cm="1">
        <f t="array" ref="T1111">_xlfn.SWITCH(S1111,"Annually",6,"Bi-Weekly",2,"Fortnightly",3,"Monthly",4,"Quarterly",5,"Weekly",1)</f>
        <v>1</v>
      </c>
    </row>
    <row r="1112" spans="1:20" hidden="1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  <c r="S1112" t="str">
        <f t="shared" si="17"/>
        <v>Bi-Weekly</v>
      </c>
      <c r="T1112" cm="1">
        <f t="array" ref="T1112">_xlfn.SWITCH(S1112,"Annually",6,"Bi-Weekly",2,"Fortnightly",3,"Monthly",4,"Quarterly",5,"Weekly",1)</f>
        <v>2</v>
      </c>
    </row>
    <row r="1113" spans="1:20" hidden="1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  <c r="S1113" t="str">
        <f t="shared" si="17"/>
        <v>Bi-Weekly</v>
      </c>
      <c r="T1113" cm="1">
        <f t="array" ref="T1113">_xlfn.SWITCH(S1113,"Annually",6,"Bi-Weekly",2,"Fortnightly",3,"Monthly",4,"Quarterly",5,"Weekly",1)</f>
        <v>2</v>
      </c>
    </row>
    <row r="1114" spans="1:20" hidden="1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  <c r="S1114" t="str">
        <f t="shared" si="17"/>
        <v>Quarterly</v>
      </c>
      <c r="T1114" cm="1">
        <f t="array" ref="T1114">_xlfn.SWITCH(S1114,"Annually",6,"Bi-Weekly",2,"Fortnightly",3,"Monthly",4,"Quarterly",5,"Weekly",1)</f>
        <v>5</v>
      </c>
    </row>
    <row r="1115" spans="1:20" hidden="1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  <c r="S1115" t="str">
        <f t="shared" si="17"/>
        <v>Bi-Weekly</v>
      </c>
      <c r="T1115" cm="1">
        <f t="array" ref="T1115">_xlfn.SWITCH(S1115,"Annually",6,"Bi-Weekly",2,"Fortnightly",3,"Monthly",4,"Quarterly",5,"Weekly",1)</f>
        <v>2</v>
      </c>
    </row>
    <row r="1116" spans="1:20" hidden="1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  <c r="S1116" t="str">
        <f t="shared" si="17"/>
        <v>Quarterly</v>
      </c>
      <c r="T1116" cm="1">
        <f t="array" ref="T1116">_xlfn.SWITCH(S1116,"Annually",6,"Bi-Weekly",2,"Fortnightly",3,"Monthly",4,"Quarterly",5,"Weekly",1)</f>
        <v>5</v>
      </c>
    </row>
    <row r="1117" spans="1:20" hidden="1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  <c r="S1117" t="str">
        <f t="shared" si="17"/>
        <v>Weekly</v>
      </c>
      <c r="T1117" cm="1">
        <f t="array" ref="T1117">_xlfn.SWITCH(S1117,"Annually",6,"Bi-Weekly",2,"Fortnightly",3,"Monthly",4,"Quarterly",5,"Weekly",1)</f>
        <v>1</v>
      </c>
    </row>
    <row r="1118" spans="1:20" hidden="1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  <c r="S1118" t="str">
        <f t="shared" si="17"/>
        <v>Fortnightly</v>
      </c>
      <c r="T1118" cm="1">
        <f t="array" ref="T1118">_xlfn.SWITCH(S1118,"Annually",6,"Bi-Weekly",2,"Fortnightly",3,"Monthly",4,"Quarterly",5,"Weekly",1)</f>
        <v>3</v>
      </c>
    </row>
    <row r="1119" spans="1:20" hidden="1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  <c r="S1119" t="str">
        <f t="shared" si="17"/>
        <v>Monthly</v>
      </c>
      <c r="T1119" cm="1">
        <f t="array" ref="T1119">_xlfn.SWITCH(S1119,"Annually",6,"Bi-Weekly",2,"Fortnightly",3,"Monthly",4,"Quarterly",5,"Weekly",1)</f>
        <v>4</v>
      </c>
    </row>
    <row r="1120" spans="1:20" hidden="1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  <c r="S1120" t="str">
        <f t="shared" si="17"/>
        <v>Quarterly</v>
      </c>
      <c r="T1120" cm="1">
        <f t="array" ref="T1120">_xlfn.SWITCH(S1120,"Annually",6,"Bi-Weekly",2,"Fortnightly",3,"Monthly",4,"Quarterly",5,"Weekly",1)</f>
        <v>5</v>
      </c>
    </row>
    <row r="1121" spans="1:20" hidden="1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  <c r="S1121" t="str">
        <f t="shared" si="17"/>
        <v>Weekly</v>
      </c>
      <c r="T1121" cm="1">
        <f t="array" ref="T1121">_xlfn.SWITCH(S1121,"Annually",6,"Bi-Weekly",2,"Fortnightly",3,"Monthly",4,"Quarterly",5,"Weekly",1)</f>
        <v>1</v>
      </c>
    </row>
    <row r="1122" spans="1:20" hidden="1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  <c r="S1122" t="str">
        <f t="shared" si="17"/>
        <v>Monthly</v>
      </c>
      <c r="T1122" cm="1">
        <f t="array" ref="T1122">_xlfn.SWITCH(S1122,"Annually",6,"Bi-Weekly",2,"Fortnightly",3,"Monthly",4,"Quarterly",5,"Weekly",1)</f>
        <v>4</v>
      </c>
    </row>
    <row r="1123" spans="1:20" hidden="1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  <c r="S1123" t="str">
        <f t="shared" si="17"/>
        <v>Quarterly</v>
      </c>
      <c r="T1123" cm="1">
        <f t="array" ref="T1123">_xlfn.SWITCH(S1123,"Annually",6,"Bi-Weekly",2,"Fortnightly",3,"Monthly",4,"Quarterly",5,"Weekly",1)</f>
        <v>5</v>
      </c>
    </row>
    <row r="1124" spans="1:20" hidden="1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  <c r="S1124" t="str">
        <f t="shared" si="17"/>
        <v>Annually</v>
      </c>
      <c r="T1124" cm="1">
        <f t="array" ref="T1124">_xlfn.SWITCH(S1124,"Annually",6,"Bi-Weekly",2,"Fortnightly",3,"Monthly",4,"Quarterly",5,"Weekly",1)</f>
        <v>6</v>
      </c>
    </row>
    <row r="1125" spans="1:20" hidden="1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  <c r="S1125" t="str">
        <f t="shared" si="17"/>
        <v>Monthly</v>
      </c>
      <c r="T1125" cm="1">
        <f t="array" ref="T1125">_xlfn.SWITCH(S1125,"Annually",6,"Bi-Weekly",2,"Fortnightly",3,"Monthly",4,"Quarterly",5,"Weekly",1)</f>
        <v>4</v>
      </c>
    </row>
    <row r="1126" spans="1:20" hidden="1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  <c r="S1126" t="str">
        <f t="shared" si="17"/>
        <v>Quarterly</v>
      </c>
      <c r="T1126" cm="1">
        <f t="array" ref="T1126">_xlfn.SWITCH(S1126,"Annually",6,"Bi-Weekly",2,"Fortnightly",3,"Monthly",4,"Quarterly",5,"Weekly",1)</f>
        <v>5</v>
      </c>
    </row>
    <row r="1127" spans="1:20" hidden="1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  <c r="S1127" t="str">
        <f t="shared" si="17"/>
        <v>Weekly</v>
      </c>
      <c r="T1127" cm="1">
        <f t="array" ref="T1127">_xlfn.SWITCH(S1127,"Annually",6,"Bi-Weekly",2,"Fortnightly",3,"Monthly",4,"Quarterly",5,"Weekly",1)</f>
        <v>1</v>
      </c>
    </row>
    <row r="1128" spans="1:20" hidden="1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  <c r="S1128" t="str">
        <f t="shared" si="17"/>
        <v>Fortnightly</v>
      </c>
      <c r="T1128" cm="1">
        <f t="array" ref="T1128">_xlfn.SWITCH(S1128,"Annually",6,"Bi-Weekly",2,"Fortnightly",3,"Monthly",4,"Quarterly",5,"Weekly",1)</f>
        <v>3</v>
      </c>
    </row>
    <row r="1129" spans="1:20" hidden="1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  <c r="S1129" t="str">
        <f t="shared" si="17"/>
        <v>Monthly</v>
      </c>
      <c r="T1129" cm="1">
        <f t="array" ref="T1129">_xlfn.SWITCH(S1129,"Annually",6,"Bi-Weekly",2,"Fortnightly",3,"Monthly",4,"Quarterly",5,"Weekly",1)</f>
        <v>4</v>
      </c>
    </row>
    <row r="1130" spans="1:20" hidden="1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  <c r="S1130" t="str">
        <f t="shared" si="17"/>
        <v>Monthly</v>
      </c>
      <c r="T1130" cm="1">
        <f t="array" ref="T1130">_xlfn.SWITCH(S1130,"Annually",6,"Bi-Weekly",2,"Fortnightly",3,"Monthly",4,"Quarterly",5,"Weekly",1)</f>
        <v>4</v>
      </c>
    </row>
    <row r="1131" spans="1:20" hidden="1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  <c r="S1131" t="str">
        <f t="shared" si="17"/>
        <v>Fortnightly</v>
      </c>
      <c r="T1131" cm="1">
        <f t="array" ref="T1131">_xlfn.SWITCH(S1131,"Annually",6,"Bi-Weekly",2,"Fortnightly",3,"Monthly",4,"Quarterly",5,"Weekly",1)</f>
        <v>3</v>
      </c>
    </row>
    <row r="1132" spans="1:20" hidden="1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  <c r="S1132" t="str">
        <f t="shared" si="17"/>
        <v>Bi-Weekly</v>
      </c>
      <c r="T1132" cm="1">
        <f t="array" ref="T1132">_xlfn.SWITCH(S1132,"Annually",6,"Bi-Weekly",2,"Fortnightly",3,"Monthly",4,"Quarterly",5,"Weekly",1)</f>
        <v>2</v>
      </c>
    </row>
    <row r="1133" spans="1:20" hidden="1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  <c r="S1133" t="str">
        <f t="shared" si="17"/>
        <v>Monthly</v>
      </c>
      <c r="T1133" cm="1">
        <f t="array" ref="T1133">_xlfn.SWITCH(S1133,"Annually",6,"Bi-Weekly",2,"Fortnightly",3,"Monthly",4,"Quarterly",5,"Weekly",1)</f>
        <v>4</v>
      </c>
    </row>
    <row r="1134" spans="1:20" hidden="1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  <c r="S1134" t="str">
        <f t="shared" si="17"/>
        <v>Fortnightly</v>
      </c>
      <c r="T1134" cm="1">
        <f t="array" ref="T1134">_xlfn.SWITCH(S1134,"Annually",6,"Bi-Weekly",2,"Fortnightly",3,"Monthly",4,"Quarterly",5,"Weekly",1)</f>
        <v>3</v>
      </c>
    </row>
    <row r="1135" spans="1:20" hidden="1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  <c r="S1135" t="str">
        <f t="shared" si="17"/>
        <v>Weekly</v>
      </c>
      <c r="T1135" cm="1">
        <f t="array" ref="T1135">_xlfn.SWITCH(S1135,"Annually",6,"Bi-Weekly",2,"Fortnightly",3,"Monthly",4,"Quarterly",5,"Weekly",1)</f>
        <v>1</v>
      </c>
    </row>
    <row r="1136" spans="1:20" hidden="1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  <c r="S1136" t="str">
        <f t="shared" si="17"/>
        <v>Quarterly</v>
      </c>
      <c r="T1136" cm="1">
        <f t="array" ref="T1136">_xlfn.SWITCH(S1136,"Annually",6,"Bi-Weekly",2,"Fortnightly",3,"Monthly",4,"Quarterly",5,"Weekly",1)</f>
        <v>5</v>
      </c>
    </row>
    <row r="1137" spans="1:20" hidden="1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  <c r="S1137" t="str">
        <f t="shared" si="17"/>
        <v>Quarterly</v>
      </c>
      <c r="T1137" cm="1">
        <f t="array" ref="T1137">_xlfn.SWITCH(S1137,"Annually",6,"Bi-Weekly",2,"Fortnightly",3,"Monthly",4,"Quarterly",5,"Weekly",1)</f>
        <v>5</v>
      </c>
    </row>
    <row r="1138" spans="1:20" hidden="1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  <c r="S1138" t="str">
        <f t="shared" si="17"/>
        <v>Monthly</v>
      </c>
      <c r="T1138" cm="1">
        <f t="array" ref="T1138">_xlfn.SWITCH(S1138,"Annually",6,"Bi-Weekly",2,"Fortnightly",3,"Monthly",4,"Quarterly",5,"Weekly",1)</f>
        <v>4</v>
      </c>
    </row>
    <row r="1139" spans="1:20" hidden="1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  <c r="S1139" t="str">
        <f t="shared" si="17"/>
        <v>Quarterly</v>
      </c>
      <c r="T1139" cm="1">
        <f t="array" ref="T1139">_xlfn.SWITCH(S1139,"Annually",6,"Bi-Weekly",2,"Fortnightly",3,"Monthly",4,"Quarterly",5,"Weekly",1)</f>
        <v>5</v>
      </c>
    </row>
    <row r="1140" spans="1:20" hidden="1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  <c r="S1140" t="str">
        <f t="shared" si="17"/>
        <v>Fortnightly</v>
      </c>
      <c r="T1140" cm="1">
        <f t="array" ref="T1140">_xlfn.SWITCH(S1140,"Annually",6,"Bi-Weekly",2,"Fortnightly",3,"Monthly",4,"Quarterly",5,"Weekly",1)</f>
        <v>3</v>
      </c>
    </row>
    <row r="1141" spans="1:20" hidden="1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  <c r="S1141" t="str">
        <f t="shared" si="17"/>
        <v>Bi-Weekly</v>
      </c>
      <c r="T1141" cm="1">
        <f t="array" ref="T1141">_xlfn.SWITCH(S1141,"Annually",6,"Bi-Weekly",2,"Fortnightly",3,"Monthly",4,"Quarterly",5,"Weekly",1)</f>
        <v>2</v>
      </c>
    </row>
    <row r="1142" spans="1:20" hidden="1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  <c r="S1142" t="str">
        <f t="shared" si="17"/>
        <v>Quarterly</v>
      </c>
      <c r="T1142" cm="1">
        <f t="array" ref="T1142">_xlfn.SWITCH(S1142,"Annually",6,"Bi-Weekly",2,"Fortnightly",3,"Monthly",4,"Quarterly",5,"Weekly",1)</f>
        <v>5</v>
      </c>
    </row>
    <row r="1143" spans="1:20" hidden="1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  <c r="S1143" t="str">
        <f t="shared" si="17"/>
        <v>Fortnightly</v>
      </c>
      <c r="T1143" cm="1">
        <f t="array" ref="T1143">_xlfn.SWITCH(S1143,"Annually",6,"Bi-Weekly",2,"Fortnightly",3,"Monthly",4,"Quarterly",5,"Weekly",1)</f>
        <v>3</v>
      </c>
    </row>
    <row r="1144" spans="1:20" hidden="1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  <c r="S1144" t="str">
        <f t="shared" si="17"/>
        <v>Bi-Weekly</v>
      </c>
      <c r="T1144" cm="1">
        <f t="array" ref="T1144">_xlfn.SWITCH(S1144,"Annually",6,"Bi-Weekly",2,"Fortnightly",3,"Monthly",4,"Quarterly",5,"Weekly",1)</f>
        <v>2</v>
      </c>
    </row>
    <row r="1145" spans="1:20" hidden="1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  <c r="S1145" t="str">
        <f t="shared" si="17"/>
        <v>Quarterly</v>
      </c>
      <c r="T1145" cm="1">
        <f t="array" ref="T1145">_xlfn.SWITCH(S1145,"Annually",6,"Bi-Weekly",2,"Fortnightly",3,"Monthly",4,"Quarterly",5,"Weekly",1)</f>
        <v>5</v>
      </c>
    </row>
    <row r="1146" spans="1:20" hidden="1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  <c r="S1146" t="str">
        <f t="shared" si="17"/>
        <v>Fortnightly</v>
      </c>
      <c r="T1146" cm="1">
        <f t="array" ref="T1146">_xlfn.SWITCH(S1146,"Annually",6,"Bi-Weekly",2,"Fortnightly",3,"Monthly",4,"Quarterly",5,"Weekly",1)</f>
        <v>3</v>
      </c>
    </row>
    <row r="1147" spans="1:20" hidden="1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  <c r="S1147" t="str">
        <f t="shared" si="17"/>
        <v>Quarterly</v>
      </c>
      <c r="T1147" cm="1">
        <f t="array" ref="T1147">_xlfn.SWITCH(S1147,"Annually",6,"Bi-Weekly",2,"Fortnightly",3,"Monthly",4,"Quarterly",5,"Weekly",1)</f>
        <v>5</v>
      </c>
    </row>
    <row r="1148" spans="1:20" hidden="1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  <c r="S1148" t="str">
        <f t="shared" si="17"/>
        <v>Quarterly</v>
      </c>
      <c r="T1148" cm="1">
        <f t="array" ref="T1148">_xlfn.SWITCH(S1148,"Annually",6,"Bi-Weekly",2,"Fortnightly",3,"Monthly",4,"Quarterly",5,"Weekly",1)</f>
        <v>5</v>
      </c>
    </row>
    <row r="1149" spans="1:20" hidden="1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  <c r="S1149" t="str">
        <f t="shared" si="17"/>
        <v>Annually</v>
      </c>
      <c r="T1149" cm="1">
        <f t="array" ref="T1149">_xlfn.SWITCH(S1149,"Annually",6,"Bi-Weekly",2,"Fortnightly",3,"Monthly",4,"Quarterly",5,"Weekly",1)</f>
        <v>6</v>
      </c>
    </row>
    <row r="1150" spans="1:20" hidden="1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  <c r="S1150" t="str">
        <f t="shared" si="17"/>
        <v>Fortnightly</v>
      </c>
      <c r="T1150" cm="1">
        <f t="array" ref="T1150">_xlfn.SWITCH(S1150,"Annually",6,"Bi-Weekly",2,"Fortnightly",3,"Monthly",4,"Quarterly",5,"Weekly",1)</f>
        <v>3</v>
      </c>
    </row>
    <row r="1151" spans="1:20" hidden="1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  <c r="S1151" t="str">
        <f t="shared" si="17"/>
        <v>Annually</v>
      </c>
      <c r="T1151" cm="1">
        <f t="array" ref="T1151">_xlfn.SWITCH(S1151,"Annually",6,"Bi-Weekly",2,"Fortnightly",3,"Monthly",4,"Quarterly",5,"Weekly",1)</f>
        <v>6</v>
      </c>
    </row>
    <row r="1152" spans="1:20" hidden="1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  <c r="S1152" t="str">
        <f t="shared" si="17"/>
        <v>Bi-Weekly</v>
      </c>
      <c r="T1152" cm="1">
        <f t="array" ref="T1152">_xlfn.SWITCH(S1152,"Annually",6,"Bi-Weekly",2,"Fortnightly",3,"Monthly",4,"Quarterly",5,"Weekly",1)</f>
        <v>2</v>
      </c>
    </row>
    <row r="1153" spans="1:20" hidden="1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  <c r="S1153" t="str">
        <f t="shared" si="17"/>
        <v>Weekly</v>
      </c>
      <c r="T1153" cm="1">
        <f t="array" ref="T1153">_xlfn.SWITCH(S1153,"Annually",6,"Bi-Weekly",2,"Fortnightly",3,"Monthly",4,"Quarterly",5,"Weekly",1)</f>
        <v>1</v>
      </c>
    </row>
    <row r="1154" spans="1:20" hidden="1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  <c r="S1154" t="str">
        <f t="shared" si="17"/>
        <v>Quarterly</v>
      </c>
      <c r="T1154" cm="1">
        <f t="array" ref="T1154">_xlfn.SWITCH(S1154,"Annually",6,"Bi-Weekly",2,"Fortnightly",3,"Monthly",4,"Quarterly",5,"Weekly",1)</f>
        <v>5</v>
      </c>
    </row>
    <row r="1155" spans="1:20" hidden="1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  <c r="S1155" t="str">
        <f t="shared" ref="S1155:S1218" si="18">IF(R1155="Every 3 Months","Quarterly",R1155)</f>
        <v>Quarterly</v>
      </c>
      <c r="T1155" cm="1">
        <f t="array" ref="T1155">_xlfn.SWITCH(S1155,"Annually",6,"Bi-Weekly",2,"Fortnightly",3,"Monthly",4,"Quarterly",5,"Weekly",1)</f>
        <v>5</v>
      </c>
    </row>
    <row r="1156" spans="1:20" hidden="1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  <c r="S1156" t="str">
        <f t="shared" si="18"/>
        <v>Bi-Weekly</v>
      </c>
      <c r="T1156" cm="1">
        <f t="array" ref="T1156">_xlfn.SWITCH(S1156,"Annually",6,"Bi-Weekly",2,"Fortnightly",3,"Monthly",4,"Quarterly",5,"Weekly",1)</f>
        <v>2</v>
      </c>
    </row>
    <row r="1157" spans="1:20" hidden="1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  <c r="S1157" t="str">
        <f t="shared" si="18"/>
        <v>Quarterly</v>
      </c>
      <c r="T1157" cm="1">
        <f t="array" ref="T1157">_xlfn.SWITCH(S1157,"Annually",6,"Bi-Weekly",2,"Fortnightly",3,"Monthly",4,"Quarterly",5,"Weekly",1)</f>
        <v>5</v>
      </c>
    </row>
    <row r="1158" spans="1:20" hidden="1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  <c r="S1158" t="str">
        <f t="shared" si="18"/>
        <v>Quarterly</v>
      </c>
      <c r="T1158" cm="1">
        <f t="array" ref="T1158">_xlfn.SWITCH(S1158,"Annually",6,"Bi-Weekly",2,"Fortnightly",3,"Monthly",4,"Quarterly",5,"Weekly",1)</f>
        <v>5</v>
      </c>
    </row>
    <row r="1159" spans="1:20" hidden="1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  <c r="S1159" t="str">
        <f t="shared" si="18"/>
        <v>Quarterly</v>
      </c>
      <c r="T1159" cm="1">
        <f t="array" ref="T1159">_xlfn.SWITCH(S1159,"Annually",6,"Bi-Weekly",2,"Fortnightly",3,"Monthly",4,"Quarterly",5,"Weekly",1)</f>
        <v>5</v>
      </c>
    </row>
    <row r="1160" spans="1:20" hidden="1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  <c r="S1160" t="str">
        <f t="shared" si="18"/>
        <v>Annually</v>
      </c>
      <c r="T1160" cm="1">
        <f t="array" ref="T1160">_xlfn.SWITCH(S1160,"Annually",6,"Bi-Weekly",2,"Fortnightly",3,"Monthly",4,"Quarterly",5,"Weekly",1)</f>
        <v>6</v>
      </c>
    </row>
    <row r="1161" spans="1:20" hidden="1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  <c r="S1161" t="str">
        <f t="shared" si="18"/>
        <v>Quarterly</v>
      </c>
      <c r="T1161" cm="1">
        <f t="array" ref="T1161">_xlfn.SWITCH(S1161,"Annually",6,"Bi-Weekly",2,"Fortnightly",3,"Monthly",4,"Quarterly",5,"Weekly",1)</f>
        <v>5</v>
      </c>
    </row>
    <row r="1162" spans="1:20" hidden="1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  <c r="S1162" t="str">
        <f t="shared" si="18"/>
        <v>Bi-Weekly</v>
      </c>
      <c r="T1162" cm="1">
        <f t="array" ref="T1162">_xlfn.SWITCH(S1162,"Annually",6,"Bi-Weekly",2,"Fortnightly",3,"Monthly",4,"Quarterly",5,"Weekly",1)</f>
        <v>2</v>
      </c>
    </row>
    <row r="1163" spans="1:20" hidden="1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  <c r="S1163" t="str">
        <f t="shared" si="18"/>
        <v>Monthly</v>
      </c>
      <c r="T1163" cm="1">
        <f t="array" ref="T1163">_xlfn.SWITCH(S1163,"Annually",6,"Bi-Weekly",2,"Fortnightly",3,"Monthly",4,"Quarterly",5,"Weekly",1)</f>
        <v>4</v>
      </c>
    </row>
    <row r="1164" spans="1:20" hidden="1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  <c r="S1164" t="str">
        <f t="shared" si="18"/>
        <v>Weekly</v>
      </c>
      <c r="T1164" cm="1">
        <f t="array" ref="T1164">_xlfn.SWITCH(S1164,"Annually",6,"Bi-Weekly",2,"Fortnightly",3,"Monthly",4,"Quarterly",5,"Weekly",1)</f>
        <v>1</v>
      </c>
    </row>
    <row r="1165" spans="1:20" hidden="1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  <c r="S1165" t="str">
        <f t="shared" si="18"/>
        <v>Monthly</v>
      </c>
      <c r="T1165" cm="1">
        <f t="array" ref="T1165">_xlfn.SWITCH(S1165,"Annually",6,"Bi-Weekly",2,"Fortnightly",3,"Monthly",4,"Quarterly",5,"Weekly",1)</f>
        <v>4</v>
      </c>
    </row>
    <row r="1166" spans="1:20" hidden="1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  <c r="S1166" t="str">
        <f t="shared" si="18"/>
        <v>Quarterly</v>
      </c>
      <c r="T1166" cm="1">
        <f t="array" ref="T1166">_xlfn.SWITCH(S1166,"Annually",6,"Bi-Weekly",2,"Fortnightly",3,"Monthly",4,"Quarterly",5,"Weekly",1)</f>
        <v>5</v>
      </c>
    </row>
    <row r="1167" spans="1:20" hidden="1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  <c r="S1167" t="str">
        <f t="shared" si="18"/>
        <v>Quarterly</v>
      </c>
      <c r="T1167" cm="1">
        <f t="array" ref="T1167">_xlfn.SWITCH(S1167,"Annually",6,"Bi-Weekly",2,"Fortnightly",3,"Monthly",4,"Quarterly",5,"Weekly",1)</f>
        <v>5</v>
      </c>
    </row>
    <row r="1168" spans="1:20" hidden="1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  <c r="S1168" t="str">
        <f t="shared" si="18"/>
        <v>Fortnightly</v>
      </c>
      <c r="T1168" cm="1">
        <f t="array" ref="T1168">_xlfn.SWITCH(S1168,"Annually",6,"Bi-Weekly",2,"Fortnightly",3,"Monthly",4,"Quarterly",5,"Weekly",1)</f>
        <v>3</v>
      </c>
    </row>
    <row r="1169" spans="1:20" hidden="1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  <c r="S1169" t="str">
        <f t="shared" si="18"/>
        <v>Quarterly</v>
      </c>
      <c r="T1169" cm="1">
        <f t="array" ref="T1169">_xlfn.SWITCH(S1169,"Annually",6,"Bi-Weekly",2,"Fortnightly",3,"Monthly",4,"Quarterly",5,"Weekly",1)</f>
        <v>5</v>
      </c>
    </row>
    <row r="1170" spans="1:20" hidden="1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  <c r="S1170" t="str">
        <f t="shared" si="18"/>
        <v>Fortnightly</v>
      </c>
      <c r="T1170" cm="1">
        <f t="array" ref="T1170">_xlfn.SWITCH(S1170,"Annually",6,"Bi-Weekly",2,"Fortnightly",3,"Monthly",4,"Quarterly",5,"Weekly",1)</f>
        <v>3</v>
      </c>
    </row>
    <row r="1171" spans="1:20" hidden="1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  <c r="S1171" t="str">
        <f t="shared" si="18"/>
        <v>Annually</v>
      </c>
      <c r="T1171" cm="1">
        <f t="array" ref="T1171">_xlfn.SWITCH(S1171,"Annually",6,"Bi-Weekly",2,"Fortnightly",3,"Monthly",4,"Quarterly",5,"Weekly",1)</f>
        <v>6</v>
      </c>
    </row>
    <row r="1172" spans="1:20" hidden="1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  <c r="S1172" t="str">
        <f t="shared" si="18"/>
        <v>Bi-Weekly</v>
      </c>
      <c r="T1172" cm="1">
        <f t="array" ref="T1172">_xlfn.SWITCH(S1172,"Annually",6,"Bi-Weekly",2,"Fortnightly",3,"Monthly",4,"Quarterly",5,"Weekly",1)</f>
        <v>2</v>
      </c>
    </row>
    <row r="1173" spans="1:20" hidden="1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  <c r="S1173" t="str">
        <f t="shared" si="18"/>
        <v>Annually</v>
      </c>
      <c r="T1173" cm="1">
        <f t="array" ref="T1173">_xlfn.SWITCH(S1173,"Annually",6,"Bi-Weekly",2,"Fortnightly",3,"Monthly",4,"Quarterly",5,"Weekly",1)</f>
        <v>6</v>
      </c>
    </row>
    <row r="1174" spans="1:20" hidden="1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  <c r="S1174" t="str">
        <f t="shared" si="18"/>
        <v>Bi-Weekly</v>
      </c>
      <c r="T1174" cm="1">
        <f t="array" ref="T1174">_xlfn.SWITCH(S1174,"Annually",6,"Bi-Weekly",2,"Fortnightly",3,"Monthly",4,"Quarterly",5,"Weekly",1)</f>
        <v>2</v>
      </c>
    </row>
    <row r="1175" spans="1:20" hidden="1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  <c r="S1175" t="str">
        <f t="shared" si="18"/>
        <v>Bi-Weekly</v>
      </c>
      <c r="T1175" cm="1">
        <f t="array" ref="T1175">_xlfn.SWITCH(S1175,"Annually",6,"Bi-Weekly",2,"Fortnightly",3,"Monthly",4,"Quarterly",5,"Weekly",1)</f>
        <v>2</v>
      </c>
    </row>
    <row r="1176" spans="1:20" hidden="1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  <c r="S1176" t="str">
        <f t="shared" si="18"/>
        <v>Bi-Weekly</v>
      </c>
      <c r="T1176" cm="1">
        <f t="array" ref="T1176">_xlfn.SWITCH(S1176,"Annually",6,"Bi-Weekly",2,"Fortnightly",3,"Monthly",4,"Quarterly",5,"Weekly",1)</f>
        <v>2</v>
      </c>
    </row>
    <row r="1177" spans="1:20" hidden="1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  <c r="S1177" t="str">
        <f t="shared" si="18"/>
        <v>Quarterly</v>
      </c>
      <c r="T1177" cm="1">
        <f t="array" ref="T1177">_xlfn.SWITCH(S1177,"Annually",6,"Bi-Weekly",2,"Fortnightly",3,"Monthly",4,"Quarterly",5,"Weekly",1)</f>
        <v>5</v>
      </c>
    </row>
    <row r="1178" spans="1:20" hidden="1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  <c r="S1178" t="str">
        <f t="shared" si="18"/>
        <v>Quarterly</v>
      </c>
      <c r="T1178" cm="1">
        <f t="array" ref="T1178">_xlfn.SWITCH(S1178,"Annually",6,"Bi-Weekly",2,"Fortnightly",3,"Monthly",4,"Quarterly",5,"Weekly",1)</f>
        <v>5</v>
      </c>
    </row>
    <row r="1179" spans="1:20" hidden="1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  <c r="S1179" t="str">
        <f t="shared" si="18"/>
        <v>Monthly</v>
      </c>
      <c r="T1179" cm="1">
        <f t="array" ref="T1179">_xlfn.SWITCH(S1179,"Annually",6,"Bi-Weekly",2,"Fortnightly",3,"Monthly",4,"Quarterly",5,"Weekly",1)</f>
        <v>4</v>
      </c>
    </row>
    <row r="1180" spans="1:20" hidden="1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  <c r="S1180" t="str">
        <f t="shared" si="18"/>
        <v>Annually</v>
      </c>
      <c r="T1180" cm="1">
        <f t="array" ref="T1180">_xlfn.SWITCH(S1180,"Annually",6,"Bi-Weekly",2,"Fortnightly",3,"Monthly",4,"Quarterly",5,"Weekly",1)</f>
        <v>6</v>
      </c>
    </row>
    <row r="1181" spans="1:20" hidden="1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  <c r="S1181" t="str">
        <f t="shared" si="18"/>
        <v>Annually</v>
      </c>
      <c r="T1181" cm="1">
        <f t="array" ref="T1181">_xlfn.SWITCH(S1181,"Annually",6,"Bi-Weekly",2,"Fortnightly",3,"Monthly",4,"Quarterly",5,"Weekly",1)</f>
        <v>6</v>
      </c>
    </row>
    <row r="1182" spans="1:20" hidden="1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  <c r="S1182" t="str">
        <f t="shared" si="18"/>
        <v>Monthly</v>
      </c>
      <c r="T1182" cm="1">
        <f t="array" ref="T1182">_xlfn.SWITCH(S1182,"Annually",6,"Bi-Weekly",2,"Fortnightly",3,"Monthly",4,"Quarterly",5,"Weekly",1)</f>
        <v>4</v>
      </c>
    </row>
    <row r="1183" spans="1:20" hidden="1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  <c r="S1183" t="str">
        <f t="shared" si="18"/>
        <v>Quarterly</v>
      </c>
      <c r="T1183" cm="1">
        <f t="array" ref="T1183">_xlfn.SWITCH(S1183,"Annually",6,"Bi-Weekly",2,"Fortnightly",3,"Monthly",4,"Quarterly",5,"Weekly",1)</f>
        <v>5</v>
      </c>
    </row>
    <row r="1184" spans="1:20" hidden="1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  <c r="S1184" t="str">
        <f t="shared" si="18"/>
        <v>Quarterly</v>
      </c>
      <c r="T1184" cm="1">
        <f t="array" ref="T1184">_xlfn.SWITCH(S1184,"Annually",6,"Bi-Weekly",2,"Fortnightly",3,"Monthly",4,"Quarterly",5,"Weekly",1)</f>
        <v>5</v>
      </c>
    </row>
    <row r="1185" spans="1:20" hidden="1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  <c r="S1185" t="str">
        <f t="shared" si="18"/>
        <v>Weekly</v>
      </c>
      <c r="T1185" cm="1">
        <f t="array" ref="T1185">_xlfn.SWITCH(S1185,"Annually",6,"Bi-Weekly",2,"Fortnightly",3,"Monthly",4,"Quarterly",5,"Weekly",1)</f>
        <v>1</v>
      </c>
    </row>
    <row r="1186" spans="1:20" hidden="1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  <c r="S1186" t="str">
        <f t="shared" si="18"/>
        <v>Annually</v>
      </c>
      <c r="T1186" cm="1">
        <f t="array" ref="T1186">_xlfn.SWITCH(S1186,"Annually",6,"Bi-Weekly",2,"Fortnightly",3,"Monthly",4,"Quarterly",5,"Weekly",1)</f>
        <v>6</v>
      </c>
    </row>
    <row r="1187" spans="1:20" hidden="1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  <c r="S1187" t="str">
        <f t="shared" si="18"/>
        <v>Monthly</v>
      </c>
      <c r="T1187" cm="1">
        <f t="array" ref="T1187">_xlfn.SWITCH(S1187,"Annually",6,"Bi-Weekly",2,"Fortnightly",3,"Monthly",4,"Quarterly",5,"Weekly",1)</f>
        <v>4</v>
      </c>
    </row>
    <row r="1188" spans="1:20" hidden="1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  <c r="S1188" t="str">
        <f t="shared" si="18"/>
        <v>Annually</v>
      </c>
      <c r="T1188" cm="1">
        <f t="array" ref="T1188">_xlfn.SWITCH(S1188,"Annually",6,"Bi-Weekly",2,"Fortnightly",3,"Monthly",4,"Quarterly",5,"Weekly",1)</f>
        <v>6</v>
      </c>
    </row>
    <row r="1189" spans="1:20" hidden="1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  <c r="S1189" t="str">
        <f t="shared" si="18"/>
        <v>Quarterly</v>
      </c>
      <c r="T1189" cm="1">
        <f t="array" ref="T1189">_xlfn.SWITCH(S1189,"Annually",6,"Bi-Weekly",2,"Fortnightly",3,"Monthly",4,"Quarterly",5,"Weekly",1)</f>
        <v>5</v>
      </c>
    </row>
    <row r="1190" spans="1:20" hidden="1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  <c r="S1190" t="str">
        <f t="shared" si="18"/>
        <v>Weekly</v>
      </c>
      <c r="T1190" cm="1">
        <f t="array" ref="T1190">_xlfn.SWITCH(S1190,"Annually",6,"Bi-Weekly",2,"Fortnightly",3,"Monthly",4,"Quarterly",5,"Weekly",1)</f>
        <v>1</v>
      </c>
    </row>
    <row r="1191" spans="1:20" hidden="1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  <c r="S1191" t="str">
        <f t="shared" si="18"/>
        <v>Annually</v>
      </c>
      <c r="T1191" cm="1">
        <f t="array" ref="T1191">_xlfn.SWITCH(S1191,"Annually",6,"Bi-Weekly",2,"Fortnightly",3,"Monthly",4,"Quarterly",5,"Weekly",1)</f>
        <v>6</v>
      </c>
    </row>
    <row r="1192" spans="1:20" hidden="1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  <c r="S1192" t="str">
        <f t="shared" si="18"/>
        <v>Weekly</v>
      </c>
      <c r="T1192" cm="1">
        <f t="array" ref="T1192">_xlfn.SWITCH(S1192,"Annually",6,"Bi-Weekly",2,"Fortnightly",3,"Monthly",4,"Quarterly",5,"Weekly",1)</f>
        <v>1</v>
      </c>
    </row>
    <row r="1193" spans="1:20" hidden="1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  <c r="S1193" t="str">
        <f t="shared" si="18"/>
        <v>Quarterly</v>
      </c>
      <c r="T1193" cm="1">
        <f t="array" ref="T1193">_xlfn.SWITCH(S1193,"Annually",6,"Bi-Weekly",2,"Fortnightly",3,"Monthly",4,"Quarterly",5,"Weekly",1)</f>
        <v>5</v>
      </c>
    </row>
    <row r="1194" spans="1:20" hidden="1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  <c r="S1194" t="str">
        <f t="shared" si="18"/>
        <v>Quarterly</v>
      </c>
      <c r="T1194" cm="1">
        <f t="array" ref="T1194">_xlfn.SWITCH(S1194,"Annually",6,"Bi-Weekly",2,"Fortnightly",3,"Monthly",4,"Quarterly",5,"Weekly",1)</f>
        <v>5</v>
      </c>
    </row>
    <row r="1195" spans="1:20" hidden="1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  <c r="S1195" t="str">
        <f t="shared" si="18"/>
        <v>Fortnightly</v>
      </c>
      <c r="T1195" cm="1">
        <f t="array" ref="T1195">_xlfn.SWITCH(S1195,"Annually",6,"Bi-Weekly",2,"Fortnightly",3,"Monthly",4,"Quarterly",5,"Weekly",1)</f>
        <v>3</v>
      </c>
    </row>
    <row r="1196" spans="1:20" hidden="1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  <c r="S1196" t="str">
        <f t="shared" si="18"/>
        <v>Fortnightly</v>
      </c>
      <c r="T1196" cm="1">
        <f t="array" ref="T1196">_xlfn.SWITCH(S1196,"Annually",6,"Bi-Weekly",2,"Fortnightly",3,"Monthly",4,"Quarterly",5,"Weekly",1)</f>
        <v>3</v>
      </c>
    </row>
    <row r="1197" spans="1:20" hidden="1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  <c r="S1197" t="str">
        <f t="shared" si="18"/>
        <v>Monthly</v>
      </c>
      <c r="T1197" cm="1">
        <f t="array" ref="T1197">_xlfn.SWITCH(S1197,"Annually",6,"Bi-Weekly",2,"Fortnightly",3,"Monthly",4,"Quarterly",5,"Weekly",1)</f>
        <v>4</v>
      </c>
    </row>
    <row r="1198" spans="1:20" hidden="1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  <c r="S1198" t="str">
        <f t="shared" si="18"/>
        <v>Bi-Weekly</v>
      </c>
      <c r="T1198" cm="1">
        <f t="array" ref="T1198">_xlfn.SWITCH(S1198,"Annually",6,"Bi-Weekly",2,"Fortnightly",3,"Monthly",4,"Quarterly",5,"Weekly",1)</f>
        <v>2</v>
      </c>
    </row>
    <row r="1199" spans="1:20" hidden="1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  <c r="S1199" t="str">
        <f t="shared" si="18"/>
        <v>Annually</v>
      </c>
      <c r="T1199" cm="1">
        <f t="array" ref="T1199">_xlfn.SWITCH(S1199,"Annually",6,"Bi-Weekly",2,"Fortnightly",3,"Monthly",4,"Quarterly",5,"Weekly",1)</f>
        <v>6</v>
      </c>
    </row>
    <row r="1200" spans="1:20" hidden="1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  <c r="S1200" t="str">
        <f t="shared" si="18"/>
        <v>Annually</v>
      </c>
      <c r="T1200" cm="1">
        <f t="array" ref="T1200">_xlfn.SWITCH(S1200,"Annually",6,"Bi-Weekly",2,"Fortnightly",3,"Monthly",4,"Quarterly",5,"Weekly",1)</f>
        <v>6</v>
      </c>
    </row>
    <row r="1201" spans="1:20" hidden="1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  <c r="S1201" t="str">
        <f t="shared" si="18"/>
        <v>Weekly</v>
      </c>
      <c r="T1201" cm="1">
        <f t="array" ref="T1201">_xlfn.SWITCH(S1201,"Annually",6,"Bi-Weekly",2,"Fortnightly",3,"Monthly",4,"Quarterly",5,"Weekly",1)</f>
        <v>1</v>
      </c>
    </row>
    <row r="1202" spans="1:20" hidden="1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  <c r="S1202" t="str">
        <f t="shared" si="18"/>
        <v>Weekly</v>
      </c>
      <c r="T1202" cm="1">
        <f t="array" ref="T1202">_xlfn.SWITCH(S1202,"Annually",6,"Bi-Weekly",2,"Fortnightly",3,"Monthly",4,"Quarterly",5,"Weekly",1)</f>
        <v>1</v>
      </c>
    </row>
    <row r="1203" spans="1:20" hidden="1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  <c r="S1203" t="str">
        <f t="shared" si="18"/>
        <v>Fortnightly</v>
      </c>
      <c r="T1203" cm="1">
        <f t="array" ref="T1203">_xlfn.SWITCH(S1203,"Annually",6,"Bi-Weekly",2,"Fortnightly",3,"Monthly",4,"Quarterly",5,"Weekly",1)</f>
        <v>3</v>
      </c>
    </row>
    <row r="1204" spans="1:20" hidden="1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  <c r="S1204" t="str">
        <f t="shared" si="18"/>
        <v>Quarterly</v>
      </c>
      <c r="T1204" cm="1">
        <f t="array" ref="T1204">_xlfn.SWITCH(S1204,"Annually",6,"Bi-Weekly",2,"Fortnightly",3,"Monthly",4,"Quarterly",5,"Weekly",1)</f>
        <v>5</v>
      </c>
    </row>
    <row r="1205" spans="1:20" hidden="1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  <c r="S1205" t="str">
        <f t="shared" si="18"/>
        <v>Annually</v>
      </c>
      <c r="T1205" cm="1">
        <f t="array" ref="T1205">_xlfn.SWITCH(S1205,"Annually",6,"Bi-Weekly",2,"Fortnightly",3,"Monthly",4,"Quarterly",5,"Weekly",1)</f>
        <v>6</v>
      </c>
    </row>
    <row r="1206" spans="1:20" hidden="1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  <c r="S1206" t="str">
        <f t="shared" si="18"/>
        <v>Quarterly</v>
      </c>
      <c r="T1206" cm="1">
        <f t="array" ref="T1206">_xlfn.SWITCH(S1206,"Annually",6,"Bi-Weekly",2,"Fortnightly",3,"Monthly",4,"Quarterly",5,"Weekly",1)</f>
        <v>5</v>
      </c>
    </row>
    <row r="1207" spans="1:20" hidden="1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  <c r="S1207" t="str">
        <f t="shared" si="18"/>
        <v>Fortnightly</v>
      </c>
      <c r="T1207" cm="1">
        <f t="array" ref="T1207">_xlfn.SWITCH(S1207,"Annually",6,"Bi-Weekly",2,"Fortnightly",3,"Monthly",4,"Quarterly",5,"Weekly",1)</f>
        <v>3</v>
      </c>
    </row>
    <row r="1208" spans="1:20" hidden="1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  <c r="S1208" t="str">
        <f t="shared" si="18"/>
        <v>Quarterly</v>
      </c>
      <c r="T1208" cm="1">
        <f t="array" ref="T1208">_xlfn.SWITCH(S1208,"Annually",6,"Bi-Weekly",2,"Fortnightly",3,"Monthly",4,"Quarterly",5,"Weekly",1)</f>
        <v>5</v>
      </c>
    </row>
    <row r="1209" spans="1:20" hidden="1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  <c r="S1209" t="str">
        <f t="shared" si="18"/>
        <v>Quarterly</v>
      </c>
      <c r="T1209" cm="1">
        <f t="array" ref="T1209">_xlfn.SWITCH(S1209,"Annually",6,"Bi-Weekly",2,"Fortnightly",3,"Monthly",4,"Quarterly",5,"Weekly",1)</f>
        <v>5</v>
      </c>
    </row>
    <row r="1210" spans="1:20" hidden="1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  <c r="S1210" t="str">
        <f t="shared" si="18"/>
        <v>Annually</v>
      </c>
      <c r="T1210" cm="1">
        <f t="array" ref="T1210">_xlfn.SWITCH(S1210,"Annually",6,"Bi-Weekly",2,"Fortnightly",3,"Monthly",4,"Quarterly",5,"Weekly",1)</f>
        <v>6</v>
      </c>
    </row>
    <row r="1211" spans="1:20" hidden="1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  <c r="S1211" t="str">
        <f t="shared" si="18"/>
        <v>Monthly</v>
      </c>
      <c r="T1211" cm="1">
        <f t="array" ref="T1211">_xlfn.SWITCH(S1211,"Annually",6,"Bi-Weekly",2,"Fortnightly",3,"Monthly",4,"Quarterly",5,"Weekly",1)</f>
        <v>4</v>
      </c>
    </row>
    <row r="1212" spans="1:20" hidden="1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  <c r="S1212" t="str">
        <f t="shared" si="18"/>
        <v>Quarterly</v>
      </c>
      <c r="T1212" cm="1">
        <f t="array" ref="T1212">_xlfn.SWITCH(S1212,"Annually",6,"Bi-Weekly",2,"Fortnightly",3,"Monthly",4,"Quarterly",5,"Weekly",1)</f>
        <v>5</v>
      </c>
    </row>
    <row r="1213" spans="1:20" hidden="1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  <c r="S1213" t="str">
        <f t="shared" si="18"/>
        <v>Quarterly</v>
      </c>
      <c r="T1213" cm="1">
        <f t="array" ref="T1213">_xlfn.SWITCH(S1213,"Annually",6,"Bi-Weekly",2,"Fortnightly",3,"Monthly",4,"Quarterly",5,"Weekly",1)</f>
        <v>5</v>
      </c>
    </row>
    <row r="1214" spans="1:20" hidden="1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  <c r="S1214" t="str">
        <f t="shared" si="18"/>
        <v>Weekly</v>
      </c>
      <c r="T1214" cm="1">
        <f t="array" ref="T1214">_xlfn.SWITCH(S1214,"Annually",6,"Bi-Weekly",2,"Fortnightly",3,"Monthly",4,"Quarterly",5,"Weekly",1)</f>
        <v>1</v>
      </c>
    </row>
    <row r="1215" spans="1:20" hidden="1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  <c r="S1215" t="str">
        <f t="shared" si="18"/>
        <v>Quarterly</v>
      </c>
      <c r="T1215" cm="1">
        <f t="array" ref="T1215">_xlfn.SWITCH(S1215,"Annually",6,"Bi-Weekly",2,"Fortnightly",3,"Monthly",4,"Quarterly",5,"Weekly",1)</f>
        <v>5</v>
      </c>
    </row>
    <row r="1216" spans="1:20" hidden="1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  <c r="S1216" t="str">
        <f t="shared" si="18"/>
        <v>Quarterly</v>
      </c>
      <c r="T1216" cm="1">
        <f t="array" ref="T1216">_xlfn.SWITCH(S1216,"Annually",6,"Bi-Weekly",2,"Fortnightly",3,"Monthly",4,"Quarterly",5,"Weekly",1)</f>
        <v>5</v>
      </c>
    </row>
    <row r="1217" spans="1:20" hidden="1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  <c r="S1217" t="str">
        <f t="shared" si="18"/>
        <v>Quarterly</v>
      </c>
      <c r="T1217" cm="1">
        <f t="array" ref="T1217">_xlfn.SWITCH(S1217,"Annually",6,"Bi-Weekly",2,"Fortnightly",3,"Monthly",4,"Quarterly",5,"Weekly",1)</f>
        <v>5</v>
      </c>
    </row>
    <row r="1218" spans="1:20" hidden="1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  <c r="S1218" t="str">
        <f t="shared" si="18"/>
        <v>Quarterly</v>
      </c>
      <c r="T1218" cm="1">
        <f t="array" ref="T1218">_xlfn.SWITCH(S1218,"Annually",6,"Bi-Weekly",2,"Fortnightly",3,"Monthly",4,"Quarterly",5,"Weekly",1)</f>
        <v>5</v>
      </c>
    </row>
    <row r="1219" spans="1:20" hidden="1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  <c r="S1219" t="str">
        <f t="shared" ref="S1219:S1282" si="19">IF(R1219="Every 3 Months","Quarterly",R1219)</f>
        <v>Quarterly</v>
      </c>
      <c r="T1219" cm="1">
        <f t="array" ref="T1219">_xlfn.SWITCH(S1219,"Annually",6,"Bi-Weekly",2,"Fortnightly",3,"Monthly",4,"Quarterly",5,"Weekly",1)</f>
        <v>5</v>
      </c>
    </row>
    <row r="1220" spans="1:20" hidden="1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  <c r="S1220" t="str">
        <f t="shared" si="19"/>
        <v>Quarterly</v>
      </c>
      <c r="T1220" cm="1">
        <f t="array" ref="T1220">_xlfn.SWITCH(S1220,"Annually",6,"Bi-Weekly",2,"Fortnightly",3,"Monthly",4,"Quarterly",5,"Weekly",1)</f>
        <v>5</v>
      </c>
    </row>
    <row r="1221" spans="1:20" hidden="1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  <c r="S1221" t="str">
        <f t="shared" si="19"/>
        <v>Bi-Weekly</v>
      </c>
      <c r="T1221" cm="1">
        <f t="array" ref="T1221">_xlfn.SWITCH(S1221,"Annually",6,"Bi-Weekly",2,"Fortnightly",3,"Monthly",4,"Quarterly",5,"Weekly",1)</f>
        <v>2</v>
      </c>
    </row>
    <row r="1222" spans="1:20" hidden="1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  <c r="S1222" t="str">
        <f t="shared" si="19"/>
        <v>Quarterly</v>
      </c>
      <c r="T1222" cm="1">
        <f t="array" ref="T1222">_xlfn.SWITCH(S1222,"Annually",6,"Bi-Weekly",2,"Fortnightly",3,"Monthly",4,"Quarterly",5,"Weekly",1)</f>
        <v>5</v>
      </c>
    </row>
    <row r="1223" spans="1:20" hidden="1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  <c r="S1223" t="str">
        <f t="shared" si="19"/>
        <v>Quarterly</v>
      </c>
      <c r="T1223" cm="1">
        <f t="array" ref="T1223">_xlfn.SWITCH(S1223,"Annually",6,"Bi-Weekly",2,"Fortnightly",3,"Monthly",4,"Quarterly",5,"Weekly",1)</f>
        <v>5</v>
      </c>
    </row>
    <row r="1224" spans="1:20" hidden="1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  <c r="S1224" t="str">
        <f t="shared" si="19"/>
        <v>Annually</v>
      </c>
      <c r="T1224" cm="1">
        <f t="array" ref="T1224">_xlfn.SWITCH(S1224,"Annually",6,"Bi-Weekly",2,"Fortnightly",3,"Monthly",4,"Quarterly",5,"Weekly",1)</f>
        <v>6</v>
      </c>
    </row>
    <row r="1225" spans="1:20" hidden="1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  <c r="S1225" t="str">
        <f t="shared" si="19"/>
        <v>Weekly</v>
      </c>
      <c r="T1225" cm="1">
        <f t="array" ref="T1225">_xlfn.SWITCH(S1225,"Annually",6,"Bi-Weekly",2,"Fortnightly",3,"Monthly",4,"Quarterly",5,"Weekly",1)</f>
        <v>1</v>
      </c>
    </row>
    <row r="1226" spans="1:20" hidden="1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  <c r="S1226" t="str">
        <f t="shared" si="19"/>
        <v>Weekly</v>
      </c>
      <c r="T1226" cm="1">
        <f t="array" ref="T1226">_xlfn.SWITCH(S1226,"Annually",6,"Bi-Weekly",2,"Fortnightly",3,"Monthly",4,"Quarterly",5,"Weekly",1)</f>
        <v>1</v>
      </c>
    </row>
    <row r="1227" spans="1:20" hidden="1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  <c r="S1227" t="str">
        <f t="shared" si="19"/>
        <v>Weekly</v>
      </c>
      <c r="T1227" cm="1">
        <f t="array" ref="T1227">_xlfn.SWITCH(S1227,"Annually",6,"Bi-Weekly",2,"Fortnightly",3,"Monthly",4,"Quarterly",5,"Weekly",1)</f>
        <v>1</v>
      </c>
    </row>
    <row r="1228" spans="1:20" hidden="1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  <c r="S1228" t="str">
        <f t="shared" si="19"/>
        <v>Bi-Weekly</v>
      </c>
      <c r="T1228" cm="1">
        <f t="array" ref="T1228">_xlfn.SWITCH(S1228,"Annually",6,"Bi-Weekly",2,"Fortnightly",3,"Monthly",4,"Quarterly",5,"Weekly",1)</f>
        <v>2</v>
      </c>
    </row>
    <row r="1229" spans="1:20" hidden="1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  <c r="S1229" t="str">
        <f t="shared" si="19"/>
        <v>Bi-Weekly</v>
      </c>
      <c r="T1229" cm="1">
        <f t="array" ref="T1229">_xlfn.SWITCH(S1229,"Annually",6,"Bi-Weekly",2,"Fortnightly",3,"Monthly",4,"Quarterly",5,"Weekly",1)</f>
        <v>2</v>
      </c>
    </row>
    <row r="1230" spans="1:20" hidden="1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  <c r="S1230" t="str">
        <f t="shared" si="19"/>
        <v>Annually</v>
      </c>
      <c r="T1230" cm="1">
        <f t="array" ref="T1230">_xlfn.SWITCH(S1230,"Annually",6,"Bi-Weekly",2,"Fortnightly",3,"Monthly",4,"Quarterly",5,"Weekly",1)</f>
        <v>6</v>
      </c>
    </row>
    <row r="1231" spans="1:20" hidden="1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  <c r="S1231" t="str">
        <f t="shared" si="19"/>
        <v>Annually</v>
      </c>
      <c r="T1231" cm="1">
        <f t="array" ref="T1231">_xlfn.SWITCH(S1231,"Annually",6,"Bi-Weekly",2,"Fortnightly",3,"Monthly",4,"Quarterly",5,"Weekly",1)</f>
        <v>6</v>
      </c>
    </row>
    <row r="1232" spans="1:20" hidden="1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  <c r="S1232" t="str">
        <f t="shared" si="19"/>
        <v>Monthly</v>
      </c>
      <c r="T1232" cm="1">
        <f t="array" ref="T1232">_xlfn.SWITCH(S1232,"Annually",6,"Bi-Weekly",2,"Fortnightly",3,"Monthly",4,"Quarterly",5,"Weekly",1)</f>
        <v>4</v>
      </c>
    </row>
    <row r="1233" spans="1:20" hidden="1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  <c r="S1233" t="str">
        <f t="shared" si="19"/>
        <v>Fortnightly</v>
      </c>
      <c r="T1233" cm="1">
        <f t="array" ref="T1233">_xlfn.SWITCH(S1233,"Annually",6,"Bi-Weekly",2,"Fortnightly",3,"Monthly",4,"Quarterly",5,"Weekly",1)</f>
        <v>3</v>
      </c>
    </row>
    <row r="1234" spans="1:20" hidden="1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  <c r="S1234" t="str">
        <f t="shared" si="19"/>
        <v>Quarterly</v>
      </c>
      <c r="T1234" cm="1">
        <f t="array" ref="T1234">_xlfn.SWITCH(S1234,"Annually",6,"Bi-Weekly",2,"Fortnightly",3,"Monthly",4,"Quarterly",5,"Weekly",1)</f>
        <v>5</v>
      </c>
    </row>
    <row r="1235" spans="1:20" hidden="1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  <c r="S1235" t="str">
        <f t="shared" si="19"/>
        <v>Quarterly</v>
      </c>
      <c r="T1235" cm="1">
        <f t="array" ref="T1235">_xlfn.SWITCH(S1235,"Annually",6,"Bi-Weekly",2,"Fortnightly",3,"Monthly",4,"Quarterly",5,"Weekly",1)</f>
        <v>5</v>
      </c>
    </row>
    <row r="1236" spans="1:20" hidden="1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  <c r="S1236" t="str">
        <f t="shared" si="19"/>
        <v>Bi-Weekly</v>
      </c>
      <c r="T1236" cm="1">
        <f t="array" ref="T1236">_xlfn.SWITCH(S1236,"Annually",6,"Bi-Weekly",2,"Fortnightly",3,"Monthly",4,"Quarterly",5,"Weekly",1)</f>
        <v>2</v>
      </c>
    </row>
    <row r="1237" spans="1:20" hidden="1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  <c r="S1237" t="str">
        <f t="shared" si="19"/>
        <v>Quarterly</v>
      </c>
      <c r="T1237" cm="1">
        <f t="array" ref="T1237">_xlfn.SWITCH(S1237,"Annually",6,"Bi-Weekly",2,"Fortnightly",3,"Monthly",4,"Quarterly",5,"Weekly",1)</f>
        <v>5</v>
      </c>
    </row>
    <row r="1238" spans="1:20" hidden="1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  <c r="S1238" t="str">
        <f t="shared" si="19"/>
        <v>Quarterly</v>
      </c>
      <c r="T1238" cm="1">
        <f t="array" ref="T1238">_xlfn.SWITCH(S1238,"Annually",6,"Bi-Weekly",2,"Fortnightly",3,"Monthly",4,"Quarterly",5,"Weekly",1)</f>
        <v>5</v>
      </c>
    </row>
    <row r="1239" spans="1:20" hidden="1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  <c r="S1239" t="str">
        <f t="shared" si="19"/>
        <v>Quarterly</v>
      </c>
      <c r="T1239" cm="1">
        <f t="array" ref="T1239">_xlfn.SWITCH(S1239,"Annually",6,"Bi-Weekly",2,"Fortnightly",3,"Monthly",4,"Quarterly",5,"Weekly",1)</f>
        <v>5</v>
      </c>
    </row>
    <row r="1240" spans="1:20" hidden="1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  <c r="S1240" t="str">
        <f t="shared" si="19"/>
        <v>Fortnightly</v>
      </c>
      <c r="T1240" cm="1">
        <f t="array" ref="T1240">_xlfn.SWITCH(S1240,"Annually",6,"Bi-Weekly",2,"Fortnightly",3,"Monthly",4,"Quarterly",5,"Weekly",1)</f>
        <v>3</v>
      </c>
    </row>
    <row r="1241" spans="1:20" hidden="1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  <c r="S1241" t="str">
        <f t="shared" si="19"/>
        <v>Quarterly</v>
      </c>
      <c r="T1241" cm="1">
        <f t="array" ref="T1241">_xlfn.SWITCH(S1241,"Annually",6,"Bi-Weekly",2,"Fortnightly",3,"Monthly",4,"Quarterly",5,"Weekly",1)</f>
        <v>5</v>
      </c>
    </row>
    <row r="1242" spans="1:20" hidden="1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  <c r="S1242" t="str">
        <f t="shared" si="19"/>
        <v>Annually</v>
      </c>
      <c r="T1242" cm="1">
        <f t="array" ref="T1242">_xlfn.SWITCH(S1242,"Annually",6,"Bi-Weekly",2,"Fortnightly",3,"Monthly",4,"Quarterly",5,"Weekly",1)</f>
        <v>6</v>
      </c>
    </row>
    <row r="1243" spans="1:20" hidden="1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  <c r="S1243" t="str">
        <f t="shared" si="19"/>
        <v>Weekly</v>
      </c>
      <c r="T1243" cm="1">
        <f t="array" ref="T1243">_xlfn.SWITCH(S1243,"Annually",6,"Bi-Weekly",2,"Fortnightly",3,"Monthly",4,"Quarterly",5,"Weekly",1)</f>
        <v>1</v>
      </c>
    </row>
    <row r="1244" spans="1:20" hidden="1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  <c r="S1244" t="str">
        <f t="shared" si="19"/>
        <v>Quarterly</v>
      </c>
      <c r="T1244" cm="1">
        <f t="array" ref="T1244">_xlfn.SWITCH(S1244,"Annually",6,"Bi-Weekly",2,"Fortnightly",3,"Monthly",4,"Quarterly",5,"Weekly",1)</f>
        <v>5</v>
      </c>
    </row>
    <row r="1245" spans="1:20" hidden="1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  <c r="S1245" t="str">
        <f t="shared" si="19"/>
        <v>Annually</v>
      </c>
      <c r="T1245" cm="1">
        <f t="array" ref="T1245">_xlfn.SWITCH(S1245,"Annually",6,"Bi-Weekly",2,"Fortnightly",3,"Monthly",4,"Quarterly",5,"Weekly",1)</f>
        <v>6</v>
      </c>
    </row>
    <row r="1246" spans="1:20" hidden="1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  <c r="S1246" t="str">
        <f t="shared" si="19"/>
        <v>Monthly</v>
      </c>
      <c r="T1246" cm="1">
        <f t="array" ref="T1246">_xlfn.SWITCH(S1246,"Annually",6,"Bi-Weekly",2,"Fortnightly",3,"Monthly",4,"Quarterly",5,"Weekly",1)</f>
        <v>4</v>
      </c>
    </row>
    <row r="1247" spans="1:20" hidden="1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  <c r="S1247" t="str">
        <f t="shared" si="19"/>
        <v>Weekly</v>
      </c>
      <c r="T1247" cm="1">
        <f t="array" ref="T1247">_xlfn.SWITCH(S1247,"Annually",6,"Bi-Weekly",2,"Fortnightly",3,"Monthly",4,"Quarterly",5,"Weekly",1)</f>
        <v>1</v>
      </c>
    </row>
    <row r="1248" spans="1:20" hidden="1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  <c r="S1248" t="str">
        <f t="shared" si="19"/>
        <v>Monthly</v>
      </c>
      <c r="T1248" cm="1">
        <f t="array" ref="T1248">_xlfn.SWITCH(S1248,"Annually",6,"Bi-Weekly",2,"Fortnightly",3,"Monthly",4,"Quarterly",5,"Weekly",1)</f>
        <v>4</v>
      </c>
    </row>
    <row r="1249" spans="1:20" hidden="1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  <c r="S1249" t="str">
        <f t="shared" si="19"/>
        <v>Bi-Weekly</v>
      </c>
      <c r="T1249" cm="1">
        <f t="array" ref="T1249">_xlfn.SWITCH(S1249,"Annually",6,"Bi-Weekly",2,"Fortnightly",3,"Monthly",4,"Quarterly",5,"Weekly",1)</f>
        <v>2</v>
      </c>
    </row>
    <row r="1250" spans="1:20" hidden="1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  <c r="S1250" t="str">
        <f t="shared" si="19"/>
        <v>Annually</v>
      </c>
      <c r="T1250" cm="1">
        <f t="array" ref="T1250">_xlfn.SWITCH(S1250,"Annually",6,"Bi-Weekly",2,"Fortnightly",3,"Monthly",4,"Quarterly",5,"Weekly",1)</f>
        <v>6</v>
      </c>
    </row>
    <row r="1251" spans="1:20" hidden="1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  <c r="S1251" t="str">
        <f t="shared" si="19"/>
        <v>Fortnightly</v>
      </c>
      <c r="T1251" cm="1">
        <f t="array" ref="T1251">_xlfn.SWITCH(S1251,"Annually",6,"Bi-Weekly",2,"Fortnightly",3,"Monthly",4,"Quarterly",5,"Weekly",1)</f>
        <v>3</v>
      </c>
    </row>
    <row r="1252" spans="1:20" hidden="1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  <c r="S1252" t="str">
        <f t="shared" si="19"/>
        <v>Monthly</v>
      </c>
      <c r="T1252" cm="1">
        <f t="array" ref="T1252">_xlfn.SWITCH(S1252,"Annually",6,"Bi-Weekly",2,"Fortnightly",3,"Monthly",4,"Quarterly",5,"Weekly",1)</f>
        <v>4</v>
      </c>
    </row>
    <row r="1253" spans="1:20" hidden="1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  <c r="S1253" t="str">
        <f t="shared" si="19"/>
        <v>Monthly</v>
      </c>
      <c r="T1253" cm="1">
        <f t="array" ref="T1253">_xlfn.SWITCH(S1253,"Annually",6,"Bi-Weekly",2,"Fortnightly",3,"Monthly",4,"Quarterly",5,"Weekly",1)</f>
        <v>4</v>
      </c>
    </row>
    <row r="1254" spans="1:20" hidden="1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  <c r="S1254" t="str">
        <f t="shared" si="19"/>
        <v>Quarterly</v>
      </c>
      <c r="T1254" cm="1">
        <f t="array" ref="T1254">_xlfn.SWITCH(S1254,"Annually",6,"Bi-Weekly",2,"Fortnightly",3,"Monthly",4,"Quarterly",5,"Weekly",1)</f>
        <v>5</v>
      </c>
    </row>
    <row r="1255" spans="1:20" hidden="1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  <c r="S1255" t="str">
        <f t="shared" si="19"/>
        <v>Annually</v>
      </c>
      <c r="T1255" cm="1">
        <f t="array" ref="T1255">_xlfn.SWITCH(S1255,"Annually",6,"Bi-Weekly",2,"Fortnightly",3,"Monthly",4,"Quarterly",5,"Weekly",1)</f>
        <v>6</v>
      </c>
    </row>
    <row r="1256" spans="1:20" hidden="1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  <c r="S1256" t="str">
        <f t="shared" si="19"/>
        <v>Bi-Weekly</v>
      </c>
      <c r="T1256" cm="1">
        <f t="array" ref="T1256">_xlfn.SWITCH(S1256,"Annually",6,"Bi-Weekly",2,"Fortnightly",3,"Monthly",4,"Quarterly",5,"Weekly",1)</f>
        <v>2</v>
      </c>
    </row>
    <row r="1257" spans="1:20" hidden="1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  <c r="S1257" t="str">
        <f t="shared" si="19"/>
        <v>Fortnightly</v>
      </c>
      <c r="T1257" cm="1">
        <f t="array" ref="T1257">_xlfn.SWITCH(S1257,"Annually",6,"Bi-Weekly",2,"Fortnightly",3,"Monthly",4,"Quarterly",5,"Weekly",1)</f>
        <v>3</v>
      </c>
    </row>
    <row r="1258" spans="1:20" hidden="1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  <c r="S1258" t="str">
        <f t="shared" si="19"/>
        <v>Fortnightly</v>
      </c>
      <c r="T1258" cm="1">
        <f t="array" ref="T1258">_xlfn.SWITCH(S1258,"Annually",6,"Bi-Weekly",2,"Fortnightly",3,"Monthly",4,"Quarterly",5,"Weekly",1)</f>
        <v>3</v>
      </c>
    </row>
    <row r="1259" spans="1:20" hidden="1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  <c r="S1259" t="str">
        <f t="shared" si="19"/>
        <v>Quarterly</v>
      </c>
      <c r="T1259" cm="1">
        <f t="array" ref="T1259">_xlfn.SWITCH(S1259,"Annually",6,"Bi-Weekly",2,"Fortnightly",3,"Monthly",4,"Quarterly",5,"Weekly",1)</f>
        <v>5</v>
      </c>
    </row>
    <row r="1260" spans="1:20" hidden="1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  <c r="S1260" t="str">
        <f t="shared" si="19"/>
        <v>Quarterly</v>
      </c>
      <c r="T1260" cm="1">
        <f t="array" ref="T1260">_xlfn.SWITCH(S1260,"Annually",6,"Bi-Weekly",2,"Fortnightly",3,"Monthly",4,"Quarterly",5,"Weekly",1)</f>
        <v>5</v>
      </c>
    </row>
    <row r="1261" spans="1:20" hidden="1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  <c r="S1261" t="str">
        <f t="shared" si="19"/>
        <v>Monthly</v>
      </c>
      <c r="T1261" cm="1">
        <f t="array" ref="T1261">_xlfn.SWITCH(S1261,"Annually",6,"Bi-Weekly",2,"Fortnightly",3,"Monthly",4,"Quarterly",5,"Weekly",1)</f>
        <v>4</v>
      </c>
    </row>
    <row r="1262" spans="1:20" hidden="1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  <c r="S1262" t="str">
        <f t="shared" si="19"/>
        <v>Quarterly</v>
      </c>
      <c r="T1262" cm="1">
        <f t="array" ref="T1262">_xlfn.SWITCH(S1262,"Annually",6,"Bi-Weekly",2,"Fortnightly",3,"Monthly",4,"Quarterly",5,"Weekly",1)</f>
        <v>5</v>
      </c>
    </row>
    <row r="1263" spans="1:20" hidden="1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  <c r="S1263" t="str">
        <f t="shared" si="19"/>
        <v>Fortnightly</v>
      </c>
      <c r="T1263" cm="1">
        <f t="array" ref="T1263">_xlfn.SWITCH(S1263,"Annually",6,"Bi-Weekly",2,"Fortnightly",3,"Monthly",4,"Quarterly",5,"Weekly",1)</f>
        <v>3</v>
      </c>
    </row>
    <row r="1264" spans="1:20" hidden="1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  <c r="S1264" t="str">
        <f t="shared" si="19"/>
        <v>Monthly</v>
      </c>
      <c r="T1264" cm="1">
        <f t="array" ref="T1264">_xlfn.SWITCH(S1264,"Annually",6,"Bi-Weekly",2,"Fortnightly",3,"Monthly",4,"Quarterly",5,"Weekly",1)</f>
        <v>4</v>
      </c>
    </row>
    <row r="1265" spans="1:20" hidden="1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  <c r="S1265" t="str">
        <f t="shared" si="19"/>
        <v>Bi-Weekly</v>
      </c>
      <c r="T1265" cm="1">
        <f t="array" ref="T1265">_xlfn.SWITCH(S1265,"Annually",6,"Bi-Weekly",2,"Fortnightly",3,"Monthly",4,"Quarterly",5,"Weekly",1)</f>
        <v>2</v>
      </c>
    </row>
    <row r="1266" spans="1:20" hidden="1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  <c r="S1266" t="str">
        <f t="shared" si="19"/>
        <v>Bi-Weekly</v>
      </c>
      <c r="T1266" cm="1">
        <f t="array" ref="T1266">_xlfn.SWITCH(S1266,"Annually",6,"Bi-Weekly",2,"Fortnightly",3,"Monthly",4,"Quarterly",5,"Weekly",1)</f>
        <v>2</v>
      </c>
    </row>
    <row r="1267" spans="1:20" hidden="1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  <c r="S1267" t="str">
        <f t="shared" si="19"/>
        <v>Weekly</v>
      </c>
      <c r="T1267" cm="1">
        <f t="array" ref="T1267">_xlfn.SWITCH(S1267,"Annually",6,"Bi-Weekly",2,"Fortnightly",3,"Monthly",4,"Quarterly",5,"Weekly",1)</f>
        <v>1</v>
      </c>
    </row>
    <row r="1268" spans="1:20" hidden="1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  <c r="S1268" t="str">
        <f t="shared" si="19"/>
        <v>Quarterly</v>
      </c>
      <c r="T1268" cm="1">
        <f t="array" ref="T1268">_xlfn.SWITCH(S1268,"Annually",6,"Bi-Weekly",2,"Fortnightly",3,"Monthly",4,"Quarterly",5,"Weekly",1)</f>
        <v>5</v>
      </c>
    </row>
    <row r="1269" spans="1:20" hidden="1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  <c r="S1269" t="str">
        <f t="shared" si="19"/>
        <v>Weekly</v>
      </c>
      <c r="T1269" cm="1">
        <f t="array" ref="T1269">_xlfn.SWITCH(S1269,"Annually",6,"Bi-Weekly",2,"Fortnightly",3,"Monthly",4,"Quarterly",5,"Weekly",1)</f>
        <v>1</v>
      </c>
    </row>
    <row r="1270" spans="1:20" hidden="1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  <c r="S1270" t="str">
        <f t="shared" si="19"/>
        <v>Bi-Weekly</v>
      </c>
      <c r="T1270" cm="1">
        <f t="array" ref="T1270">_xlfn.SWITCH(S1270,"Annually",6,"Bi-Weekly",2,"Fortnightly",3,"Monthly",4,"Quarterly",5,"Weekly",1)</f>
        <v>2</v>
      </c>
    </row>
    <row r="1271" spans="1:20" hidden="1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  <c r="S1271" t="str">
        <f t="shared" si="19"/>
        <v>Quarterly</v>
      </c>
      <c r="T1271" cm="1">
        <f t="array" ref="T1271">_xlfn.SWITCH(S1271,"Annually",6,"Bi-Weekly",2,"Fortnightly",3,"Monthly",4,"Quarterly",5,"Weekly",1)</f>
        <v>5</v>
      </c>
    </row>
    <row r="1272" spans="1:20" hidden="1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  <c r="S1272" t="str">
        <f t="shared" si="19"/>
        <v>Annually</v>
      </c>
      <c r="T1272" cm="1">
        <f t="array" ref="T1272">_xlfn.SWITCH(S1272,"Annually",6,"Bi-Weekly",2,"Fortnightly",3,"Monthly",4,"Quarterly",5,"Weekly",1)</f>
        <v>6</v>
      </c>
    </row>
    <row r="1273" spans="1:20" hidden="1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  <c r="S1273" t="str">
        <f t="shared" si="19"/>
        <v>Annually</v>
      </c>
      <c r="T1273" cm="1">
        <f t="array" ref="T1273">_xlfn.SWITCH(S1273,"Annually",6,"Bi-Weekly",2,"Fortnightly",3,"Monthly",4,"Quarterly",5,"Weekly",1)</f>
        <v>6</v>
      </c>
    </row>
    <row r="1274" spans="1:20" hidden="1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  <c r="S1274" t="str">
        <f t="shared" si="19"/>
        <v>Monthly</v>
      </c>
      <c r="T1274" cm="1">
        <f t="array" ref="T1274">_xlfn.SWITCH(S1274,"Annually",6,"Bi-Weekly",2,"Fortnightly",3,"Monthly",4,"Quarterly",5,"Weekly",1)</f>
        <v>4</v>
      </c>
    </row>
    <row r="1275" spans="1:20" hidden="1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  <c r="S1275" t="str">
        <f t="shared" si="19"/>
        <v>Quarterly</v>
      </c>
      <c r="T1275" cm="1">
        <f t="array" ref="T1275">_xlfn.SWITCH(S1275,"Annually",6,"Bi-Weekly",2,"Fortnightly",3,"Monthly",4,"Quarterly",5,"Weekly",1)</f>
        <v>5</v>
      </c>
    </row>
    <row r="1276" spans="1:20" hidden="1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  <c r="S1276" t="str">
        <f t="shared" si="19"/>
        <v>Quarterly</v>
      </c>
      <c r="T1276" cm="1">
        <f t="array" ref="T1276">_xlfn.SWITCH(S1276,"Annually",6,"Bi-Weekly",2,"Fortnightly",3,"Monthly",4,"Quarterly",5,"Weekly",1)</f>
        <v>5</v>
      </c>
    </row>
    <row r="1277" spans="1:20" hidden="1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  <c r="S1277" t="str">
        <f t="shared" si="19"/>
        <v>Monthly</v>
      </c>
      <c r="T1277" cm="1">
        <f t="array" ref="T1277">_xlfn.SWITCH(S1277,"Annually",6,"Bi-Weekly",2,"Fortnightly",3,"Monthly",4,"Quarterly",5,"Weekly",1)</f>
        <v>4</v>
      </c>
    </row>
    <row r="1278" spans="1:20" hidden="1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  <c r="S1278" t="str">
        <f t="shared" si="19"/>
        <v>Weekly</v>
      </c>
      <c r="T1278" cm="1">
        <f t="array" ref="T1278">_xlfn.SWITCH(S1278,"Annually",6,"Bi-Weekly",2,"Fortnightly",3,"Monthly",4,"Quarterly",5,"Weekly",1)</f>
        <v>1</v>
      </c>
    </row>
    <row r="1279" spans="1:20" hidden="1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  <c r="S1279" t="str">
        <f t="shared" si="19"/>
        <v>Quarterly</v>
      </c>
      <c r="T1279" cm="1">
        <f t="array" ref="T1279">_xlfn.SWITCH(S1279,"Annually",6,"Bi-Weekly",2,"Fortnightly",3,"Monthly",4,"Quarterly",5,"Weekly",1)</f>
        <v>5</v>
      </c>
    </row>
    <row r="1280" spans="1:20" hidden="1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  <c r="S1280" t="str">
        <f t="shared" si="19"/>
        <v>Fortnightly</v>
      </c>
      <c r="T1280" cm="1">
        <f t="array" ref="T1280">_xlfn.SWITCH(S1280,"Annually",6,"Bi-Weekly",2,"Fortnightly",3,"Monthly",4,"Quarterly",5,"Weekly",1)</f>
        <v>3</v>
      </c>
    </row>
    <row r="1281" spans="1:20" hidden="1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  <c r="S1281" t="str">
        <f t="shared" si="19"/>
        <v>Annually</v>
      </c>
      <c r="T1281" cm="1">
        <f t="array" ref="T1281">_xlfn.SWITCH(S1281,"Annually",6,"Bi-Weekly",2,"Fortnightly",3,"Monthly",4,"Quarterly",5,"Weekly",1)</f>
        <v>6</v>
      </c>
    </row>
    <row r="1282" spans="1:20" hidden="1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  <c r="S1282" t="str">
        <f t="shared" si="19"/>
        <v>Quarterly</v>
      </c>
      <c r="T1282" cm="1">
        <f t="array" ref="T1282">_xlfn.SWITCH(S1282,"Annually",6,"Bi-Weekly",2,"Fortnightly",3,"Monthly",4,"Quarterly",5,"Weekly",1)</f>
        <v>5</v>
      </c>
    </row>
    <row r="1283" spans="1:20" hidden="1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  <c r="S1283" t="str">
        <f t="shared" ref="S1283:S1346" si="20">IF(R1283="Every 3 Months","Quarterly",R1283)</f>
        <v>Bi-Weekly</v>
      </c>
      <c r="T1283" cm="1">
        <f t="array" ref="T1283">_xlfn.SWITCH(S1283,"Annually",6,"Bi-Weekly",2,"Fortnightly",3,"Monthly",4,"Quarterly",5,"Weekly",1)</f>
        <v>2</v>
      </c>
    </row>
    <row r="1284" spans="1:20" hidden="1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  <c r="S1284" t="str">
        <f t="shared" si="20"/>
        <v>Monthly</v>
      </c>
      <c r="T1284" cm="1">
        <f t="array" ref="T1284">_xlfn.SWITCH(S1284,"Annually",6,"Bi-Weekly",2,"Fortnightly",3,"Monthly",4,"Quarterly",5,"Weekly",1)</f>
        <v>4</v>
      </c>
    </row>
    <row r="1285" spans="1:20" hidden="1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  <c r="S1285" t="str">
        <f t="shared" si="20"/>
        <v>Quarterly</v>
      </c>
      <c r="T1285" cm="1">
        <f t="array" ref="T1285">_xlfn.SWITCH(S1285,"Annually",6,"Bi-Weekly",2,"Fortnightly",3,"Monthly",4,"Quarterly",5,"Weekly",1)</f>
        <v>5</v>
      </c>
    </row>
    <row r="1286" spans="1:20" hidden="1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  <c r="S1286" t="str">
        <f t="shared" si="20"/>
        <v>Fortnightly</v>
      </c>
      <c r="T1286" cm="1">
        <f t="array" ref="T1286">_xlfn.SWITCH(S1286,"Annually",6,"Bi-Weekly",2,"Fortnightly",3,"Monthly",4,"Quarterly",5,"Weekly",1)</f>
        <v>3</v>
      </c>
    </row>
    <row r="1287" spans="1:20" hidden="1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  <c r="S1287" t="str">
        <f t="shared" si="20"/>
        <v>Fortnightly</v>
      </c>
      <c r="T1287" cm="1">
        <f t="array" ref="T1287">_xlfn.SWITCH(S1287,"Annually",6,"Bi-Weekly",2,"Fortnightly",3,"Monthly",4,"Quarterly",5,"Weekly",1)</f>
        <v>3</v>
      </c>
    </row>
    <row r="1288" spans="1:20" hidden="1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  <c r="S1288" t="str">
        <f t="shared" si="20"/>
        <v>Fortnightly</v>
      </c>
      <c r="T1288" cm="1">
        <f t="array" ref="T1288">_xlfn.SWITCH(S1288,"Annually",6,"Bi-Weekly",2,"Fortnightly",3,"Monthly",4,"Quarterly",5,"Weekly",1)</f>
        <v>3</v>
      </c>
    </row>
    <row r="1289" spans="1:20" hidden="1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  <c r="S1289" t="str">
        <f t="shared" si="20"/>
        <v>Monthly</v>
      </c>
      <c r="T1289" cm="1">
        <f t="array" ref="T1289">_xlfn.SWITCH(S1289,"Annually",6,"Bi-Weekly",2,"Fortnightly",3,"Monthly",4,"Quarterly",5,"Weekly",1)</f>
        <v>4</v>
      </c>
    </row>
    <row r="1290" spans="1:20" hidden="1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  <c r="S1290" t="str">
        <f t="shared" si="20"/>
        <v>Bi-Weekly</v>
      </c>
      <c r="T1290" cm="1">
        <f t="array" ref="T1290">_xlfn.SWITCH(S1290,"Annually",6,"Bi-Weekly",2,"Fortnightly",3,"Monthly",4,"Quarterly",5,"Weekly",1)</f>
        <v>2</v>
      </c>
    </row>
    <row r="1291" spans="1:20" hidden="1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  <c r="S1291" t="str">
        <f t="shared" si="20"/>
        <v>Weekly</v>
      </c>
      <c r="T1291" cm="1">
        <f t="array" ref="T1291">_xlfn.SWITCH(S1291,"Annually",6,"Bi-Weekly",2,"Fortnightly",3,"Monthly",4,"Quarterly",5,"Weekly",1)</f>
        <v>1</v>
      </c>
    </row>
    <row r="1292" spans="1:20" hidden="1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  <c r="S1292" t="str">
        <f t="shared" si="20"/>
        <v>Annually</v>
      </c>
      <c r="T1292" cm="1">
        <f t="array" ref="T1292">_xlfn.SWITCH(S1292,"Annually",6,"Bi-Weekly",2,"Fortnightly",3,"Monthly",4,"Quarterly",5,"Weekly",1)</f>
        <v>6</v>
      </c>
    </row>
    <row r="1293" spans="1:20" hidden="1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  <c r="S1293" t="str">
        <f t="shared" si="20"/>
        <v>Fortnightly</v>
      </c>
      <c r="T1293" cm="1">
        <f t="array" ref="T1293">_xlfn.SWITCH(S1293,"Annually",6,"Bi-Weekly",2,"Fortnightly",3,"Monthly",4,"Quarterly",5,"Weekly",1)</f>
        <v>3</v>
      </c>
    </row>
    <row r="1294" spans="1:20" hidden="1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  <c r="S1294" t="str">
        <f t="shared" si="20"/>
        <v>Annually</v>
      </c>
      <c r="T1294" cm="1">
        <f t="array" ref="T1294">_xlfn.SWITCH(S1294,"Annually",6,"Bi-Weekly",2,"Fortnightly",3,"Monthly",4,"Quarterly",5,"Weekly",1)</f>
        <v>6</v>
      </c>
    </row>
    <row r="1295" spans="1:20" hidden="1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  <c r="S1295" t="str">
        <f t="shared" si="20"/>
        <v>Annually</v>
      </c>
      <c r="T1295" cm="1">
        <f t="array" ref="T1295">_xlfn.SWITCH(S1295,"Annually",6,"Bi-Weekly",2,"Fortnightly",3,"Monthly",4,"Quarterly",5,"Weekly",1)</f>
        <v>6</v>
      </c>
    </row>
    <row r="1296" spans="1:20" hidden="1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  <c r="S1296" t="str">
        <f t="shared" si="20"/>
        <v>Quarterly</v>
      </c>
      <c r="T1296" cm="1">
        <f t="array" ref="T1296">_xlfn.SWITCH(S1296,"Annually",6,"Bi-Weekly",2,"Fortnightly",3,"Monthly",4,"Quarterly",5,"Weekly",1)</f>
        <v>5</v>
      </c>
    </row>
    <row r="1297" spans="1:20" hidden="1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  <c r="S1297" t="str">
        <f t="shared" si="20"/>
        <v>Weekly</v>
      </c>
      <c r="T1297" cm="1">
        <f t="array" ref="T1297">_xlfn.SWITCH(S1297,"Annually",6,"Bi-Weekly",2,"Fortnightly",3,"Monthly",4,"Quarterly",5,"Weekly",1)</f>
        <v>1</v>
      </c>
    </row>
    <row r="1298" spans="1:20" hidden="1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  <c r="S1298" t="str">
        <f t="shared" si="20"/>
        <v>Bi-Weekly</v>
      </c>
      <c r="T1298" cm="1">
        <f t="array" ref="T1298">_xlfn.SWITCH(S1298,"Annually",6,"Bi-Weekly",2,"Fortnightly",3,"Monthly",4,"Quarterly",5,"Weekly",1)</f>
        <v>2</v>
      </c>
    </row>
    <row r="1299" spans="1:20" hidden="1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  <c r="S1299" t="str">
        <f t="shared" si="20"/>
        <v>Annually</v>
      </c>
      <c r="T1299" cm="1">
        <f t="array" ref="T1299">_xlfn.SWITCH(S1299,"Annually",6,"Bi-Weekly",2,"Fortnightly",3,"Monthly",4,"Quarterly",5,"Weekly",1)</f>
        <v>6</v>
      </c>
    </row>
    <row r="1300" spans="1:20" hidden="1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  <c r="S1300" t="str">
        <f t="shared" si="20"/>
        <v>Fortnightly</v>
      </c>
      <c r="T1300" cm="1">
        <f t="array" ref="T1300">_xlfn.SWITCH(S1300,"Annually",6,"Bi-Weekly",2,"Fortnightly",3,"Monthly",4,"Quarterly",5,"Weekly",1)</f>
        <v>3</v>
      </c>
    </row>
    <row r="1301" spans="1:20" hidden="1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  <c r="S1301" t="str">
        <f t="shared" si="20"/>
        <v>Bi-Weekly</v>
      </c>
      <c r="T1301" cm="1">
        <f t="array" ref="T1301">_xlfn.SWITCH(S1301,"Annually",6,"Bi-Weekly",2,"Fortnightly",3,"Monthly",4,"Quarterly",5,"Weekly",1)</f>
        <v>2</v>
      </c>
    </row>
    <row r="1302" spans="1:20" hidden="1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  <c r="S1302" t="str">
        <f t="shared" si="20"/>
        <v>Quarterly</v>
      </c>
      <c r="T1302" cm="1">
        <f t="array" ref="T1302">_xlfn.SWITCH(S1302,"Annually",6,"Bi-Weekly",2,"Fortnightly",3,"Monthly",4,"Quarterly",5,"Weekly",1)</f>
        <v>5</v>
      </c>
    </row>
    <row r="1303" spans="1:20" hidden="1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  <c r="S1303" t="str">
        <f t="shared" si="20"/>
        <v>Weekly</v>
      </c>
      <c r="T1303" cm="1">
        <f t="array" ref="T1303">_xlfn.SWITCH(S1303,"Annually",6,"Bi-Weekly",2,"Fortnightly",3,"Monthly",4,"Quarterly",5,"Weekly",1)</f>
        <v>1</v>
      </c>
    </row>
    <row r="1304" spans="1:20" hidden="1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  <c r="S1304" t="str">
        <f t="shared" si="20"/>
        <v>Monthly</v>
      </c>
      <c r="T1304" cm="1">
        <f t="array" ref="T1304">_xlfn.SWITCH(S1304,"Annually",6,"Bi-Weekly",2,"Fortnightly",3,"Monthly",4,"Quarterly",5,"Weekly",1)</f>
        <v>4</v>
      </c>
    </row>
    <row r="1305" spans="1:20" hidden="1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  <c r="S1305" t="str">
        <f t="shared" si="20"/>
        <v>Annually</v>
      </c>
      <c r="T1305" cm="1">
        <f t="array" ref="T1305">_xlfn.SWITCH(S1305,"Annually",6,"Bi-Weekly",2,"Fortnightly",3,"Monthly",4,"Quarterly",5,"Weekly",1)</f>
        <v>6</v>
      </c>
    </row>
    <row r="1306" spans="1:20" hidden="1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  <c r="S1306" t="str">
        <f t="shared" si="20"/>
        <v>Quarterly</v>
      </c>
      <c r="T1306" cm="1">
        <f t="array" ref="T1306">_xlfn.SWITCH(S1306,"Annually",6,"Bi-Weekly",2,"Fortnightly",3,"Monthly",4,"Quarterly",5,"Weekly",1)</f>
        <v>5</v>
      </c>
    </row>
    <row r="1307" spans="1:20" hidden="1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  <c r="S1307" t="str">
        <f t="shared" si="20"/>
        <v>Quarterly</v>
      </c>
      <c r="T1307" cm="1">
        <f t="array" ref="T1307">_xlfn.SWITCH(S1307,"Annually",6,"Bi-Weekly",2,"Fortnightly",3,"Monthly",4,"Quarterly",5,"Weekly",1)</f>
        <v>5</v>
      </c>
    </row>
    <row r="1308" spans="1:20" hidden="1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  <c r="S1308" t="str">
        <f t="shared" si="20"/>
        <v>Annually</v>
      </c>
      <c r="T1308" cm="1">
        <f t="array" ref="T1308">_xlfn.SWITCH(S1308,"Annually",6,"Bi-Weekly",2,"Fortnightly",3,"Monthly",4,"Quarterly",5,"Weekly",1)</f>
        <v>6</v>
      </c>
    </row>
    <row r="1309" spans="1:20" hidden="1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  <c r="S1309" t="str">
        <f t="shared" si="20"/>
        <v>Annually</v>
      </c>
      <c r="T1309" cm="1">
        <f t="array" ref="T1309">_xlfn.SWITCH(S1309,"Annually",6,"Bi-Weekly",2,"Fortnightly",3,"Monthly",4,"Quarterly",5,"Weekly",1)</f>
        <v>6</v>
      </c>
    </row>
    <row r="1310" spans="1:20" hidden="1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  <c r="S1310" t="str">
        <f t="shared" si="20"/>
        <v>Quarterly</v>
      </c>
      <c r="T1310" cm="1">
        <f t="array" ref="T1310">_xlfn.SWITCH(S1310,"Annually",6,"Bi-Weekly",2,"Fortnightly",3,"Monthly",4,"Quarterly",5,"Weekly",1)</f>
        <v>5</v>
      </c>
    </row>
    <row r="1311" spans="1:20" hidden="1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  <c r="S1311" t="str">
        <f t="shared" si="20"/>
        <v>Quarterly</v>
      </c>
      <c r="T1311" cm="1">
        <f t="array" ref="T1311">_xlfn.SWITCH(S1311,"Annually",6,"Bi-Weekly",2,"Fortnightly",3,"Monthly",4,"Quarterly",5,"Weekly",1)</f>
        <v>5</v>
      </c>
    </row>
    <row r="1312" spans="1:20" hidden="1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  <c r="S1312" t="str">
        <f t="shared" si="20"/>
        <v>Quarterly</v>
      </c>
      <c r="T1312" cm="1">
        <f t="array" ref="T1312">_xlfn.SWITCH(S1312,"Annually",6,"Bi-Weekly",2,"Fortnightly",3,"Monthly",4,"Quarterly",5,"Weekly",1)</f>
        <v>5</v>
      </c>
    </row>
    <row r="1313" spans="1:20" hidden="1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  <c r="S1313" t="str">
        <f t="shared" si="20"/>
        <v>Annually</v>
      </c>
      <c r="T1313" cm="1">
        <f t="array" ref="T1313">_xlfn.SWITCH(S1313,"Annually",6,"Bi-Weekly",2,"Fortnightly",3,"Monthly",4,"Quarterly",5,"Weekly",1)</f>
        <v>6</v>
      </c>
    </row>
    <row r="1314" spans="1:20" hidden="1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  <c r="S1314" t="str">
        <f t="shared" si="20"/>
        <v>Monthly</v>
      </c>
      <c r="T1314" cm="1">
        <f t="array" ref="T1314">_xlfn.SWITCH(S1314,"Annually",6,"Bi-Weekly",2,"Fortnightly",3,"Monthly",4,"Quarterly",5,"Weekly",1)</f>
        <v>4</v>
      </c>
    </row>
    <row r="1315" spans="1:20" hidden="1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  <c r="S1315" t="str">
        <f t="shared" si="20"/>
        <v>Bi-Weekly</v>
      </c>
      <c r="T1315" cm="1">
        <f t="array" ref="T1315">_xlfn.SWITCH(S1315,"Annually",6,"Bi-Weekly",2,"Fortnightly",3,"Monthly",4,"Quarterly",5,"Weekly",1)</f>
        <v>2</v>
      </c>
    </row>
    <row r="1316" spans="1:20" hidden="1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  <c r="S1316" t="str">
        <f t="shared" si="20"/>
        <v>Annually</v>
      </c>
      <c r="T1316" cm="1">
        <f t="array" ref="T1316">_xlfn.SWITCH(S1316,"Annually",6,"Bi-Weekly",2,"Fortnightly",3,"Monthly",4,"Quarterly",5,"Weekly",1)</f>
        <v>6</v>
      </c>
    </row>
    <row r="1317" spans="1:20" hidden="1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  <c r="S1317" t="str">
        <f t="shared" si="20"/>
        <v>Quarterly</v>
      </c>
      <c r="T1317" cm="1">
        <f t="array" ref="T1317">_xlfn.SWITCH(S1317,"Annually",6,"Bi-Weekly",2,"Fortnightly",3,"Monthly",4,"Quarterly",5,"Weekly",1)</f>
        <v>5</v>
      </c>
    </row>
    <row r="1318" spans="1:20" hidden="1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  <c r="S1318" t="str">
        <f t="shared" si="20"/>
        <v>Bi-Weekly</v>
      </c>
      <c r="T1318" cm="1">
        <f t="array" ref="T1318">_xlfn.SWITCH(S1318,"Annually",6,"Bi-Weekly",2,"Fortnightly",3,"Monthly",4,"Quarterly",5,"Weekly",1)</f>
        <v>2</v>
      </c>
    </row>
    <row r="1319" spans="1:20" hidden="1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  <c r="S1319" t="str">
        <f t="shared" si="20"/>
        <v>Monthly</v>
      </c>
      <c r="T1319" cm="1">
        <f t="array" ref="T1319">_xlfn.SWITCH(S1319,"Annually",6,"Bi-Weekly",2,"Fortnightly",3,"Monthly",4,"Quarterly",5,"Weekly",1)</f>
        <v>4</v>
      </c>
    </row>
    <row r="1320" spans="1:20" hidden="1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  <c r="S1320" t="str">
        <f t="shared" si="20"/>
        <v>Bi-Weekly</v>
      </c>
      <c r="T1320" cm="1">
        <f t="array" ref="T1320">_xlfn.SWITCH(S1320,"Annually",6,"Bi-Weekly",2,"Fortnightly",3,"Monthly",4,"Quarterly",5,"Weekly",1)</f>
        <v>2</v>
      </c>
    </row>
    <row r="1321" spans="1:20" hidden="1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  <c r="S1321" t="str">
        <f t="shared" si="20"/>
        <v>Weekly</v>
      </c>
      <c r="T1321" cm="1">
        <f t="array" ref="T1321">_xlfn.SWITCH(S1321,"Annually",6,"Bi-Weekly",2,"Fortnightly",3,"Monthly",4,"Quarterly",5,"Weekly",1)</f>
        <v>1</v>
      </c>
    </row>
    <row r="1322" spans="1:20" hidden="1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  <c r="S1322" t="str">
        <f t="shared" si="20"/>
        <v>Annually</v>
      </c>
      <c r="T1322" cm="1">
        <f t="array" ref="T1322">_xlfn.SWITCH(S1322,"Annually",6,"Bi-Weekly",2,"Fortnightly",3,"Monthly",4,"Quarterly",5,"Weekly",1)</f>
        <v>6</v>
      </c>
    </row>
    <row r="1323" spans="1:20" hidden="1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  <c r="S1323" t="str">
        <f t="shared" si="20"/>
        <v>Quarterly</v>
      </c>
      <c r="T1323" cm="1">
        <f t="array" ref="T1323">_xlfn.SWITCH(S1323,"Annually",6,"Bi-Weekly",2,"Fortnightly",3,"Monthly",4,"Quarterly",5,"Weekly",1)</f>
        <v>5</v>
      </c>
    </row>
    <row r="1324" spans="1:20" hidden="1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  <c r="S1324" t="str">
        <f t="shared" si="20"/>
        <v>Quarterly</v>
      </c>
      <c r="T1324" cm="1">
        <f t="array" ref="T1324">_xlfn.SWITCH(S1324,"Annually",6,"Bi-Weekly",2,"Fortnightly",3,"Monthly",4,"Quarterly",5,"Weekly",1)</f>
        <v>5</v>
      </c>
    </row>
    <row r="1325" spans="1:20" hidden="1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  <c r="S1325" t="str">
        <f t="shared" si="20"/>
        <v>Quarterly</v>
      </c>
      <c r="T1325" cm="1">
        <f t="array" ref="T1325">_xlfn.SWITCH(S1325,"Annually",6,"Bi-Weekly",2,"Fortnightly",3,"Monthly",4,"Quarterly",5,"Weekly",1)</f>
        <v>5</v>
      </c>
    </row>
    <row r="1326" spans="1:20" hidden="1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  <c r="S1326" t="str">
        <f t="shared" si="20"/>
        <v>Fortnightly</v>
      </c>
      <c r="T1326" cm="1">
        <f t="array" ref="T1326">_xlfn.SWITCH(S1326,"Annually",6,"Bi-Weekly",2,"Fortnightly",3,"Monthly",4,"Quarterly",5,"Weekly",1)</f>
        <v>3</v>
      </c>
    </row>
    <row r="1327" spans="1:20" hidden="1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  <c r="S1327" t="str">
        <f t="shared" si="20"/>
        <v>Monthly</v>
      </c>
      <c r="T1327" cm="1">
        <f t="array" ref="T1327">_xlfn.SWITCH(S1327,"Annually",6,"Bi-Weekly",2,"Fortnightly",3,"Monthly",4,"Quarterly",5,"Weekly",1)</f>
        <v>4</v>
      </c>
    </row>
    <row r="1328" spans="1:20" hidden="1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  <c r="S1328" t="str">
        <f t="shared" si="20"/>
        <v>Monthly</v>
      </c>
      <c r="T1328" cm="1">
        <f t="array" ref="T1328">_xlfn.SWITCH(S1328,"Annually",6,"Bi-Weekly",2,"Fortnightly",3,"Monthly",4,"Quarterly",5,"Weekly",1)</f>
        <v>4</v>
      </c>
    </row>
    <row r="1329" spans="1:20" hidden="1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  <c r="S1329" t="str">
        <f t="shared" si="20"/>
        <v>Weekly</v>
      </c>
      <c r="T1329" cm="1">
        <f t="array" ref="T1329">_xlfn.SWITCH(S1329,"Annually",6,"Bi-Weekly",2,"Fortnightly",3,"Monthly",4,"Quarterly",5,"Weekly",1)</f>
        <v>1</v>
      </c>
    </row>
    <row r="1330" spans="1:20" hidden="1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  <c r="S1330" t="str">
        <f t="shared" si="20"/>
        <v>Weekly</v>
      </c>
      <c r="T1330" cm="1">
        <f t="array" ref="T1330">_xlfn.SWITCH(S1330,"Annually",6,"Bi-Weekly",2,"Fortnightly",3,"Monthly",4,"Quarterly",5,"Weekly",1)</f>
        <v>1</v>
      </c>
    </row>
    <row r="1331" spans="1:20" hidden="1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  <c r="S1331" t="str">
        <f t="shared" si="20"/>
        <v>Quarterly</v>
      </c>
      <c r="T1331" cm="1">
        <f t="array" ref="T1331">_xlfn.SWITCH(S1331,"Annually",6,"Bi-Weekly",2,"Fortnightly",3,"Monthly",4,"Quarterly",5,"Weekly",1)</f>
        <v>5</v>
      </c>
    </row>
    <row r="1332" spans="1:20" hidden="1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  <c r="S1332" t="str">
        <f t="shared" si="20"/>
        <v>Bi-Weekly</v>
      </c>
      <c r="T1332" cm="1">
        <f t="array" ref="T1332">_xlfn.SWITCH(S1332,"Annually",6,"Bi-Weekly",2,"Fortnightly",3,"Monthly",4,"Quarterly",5,"Weekly",1)</f>
        <v>2</v>
      </c>
    </row>
    <row r="1333" spans="1:20" hidden="1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  <c r="S1333" t="str">
        <f t="shared" si="20"/>
        <v>Bi-Weekly</v>
      </c>
      <c r="T1333" cm="1">
        <f t="array" ref="T1333">_xlfn.SWITCH(S1333,"Annually",6,"Bi-Weekly",2,"Fortnightly",3,"Monthly",4,"Quarterly",5,"Weekly",1)</f>
        <v>2</v>
      </c>
    </row>
    <row r="1334" spans="1:20" hidden="1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  <c r="S1334" t="str">
        <f t="shared" si="20"/>
        <v>Quarterly</v>
      </c>
      <c r="T1334" cm="1">
        <f t="array" ref="T1334">_xlfn.SWITCH(S1334,"Annually",6,"Bi-Weekly",2,"Fortnightly",3,"Monthly",4,"Quarterly",5,"Weekly",1)</f>
        <v>5</v>
      </c>
    </row>
    <row r="1335" spans="1:20" hidden="1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  <c r="S1335" t="str">
        <f t="shared" si="20"/>
        <v>Quarterly</v>
      </c>
      <c r="T1335" cm="1">
        <f t="array" ref="T1335">_xlfn.SWITCH(S1335,"Annually",6,"Bi-Weekly",2,"Fortnightly",3,"Monthly",4,"Quarterly",5,"Weekly",1)</f>
        <v>5</v>
      </c>
    </row>
    <row r="1336" spans="1:20" hidden="1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  <c r="S1336" t="str">
        <f t="shared" si="20"/>
        <v>Monthly</v>
      </c>
      <c r="T1336" cm="1">
        <f t="array" ref="T1336">_xlfn.SWITCH(S1336,"Annually",6,"Bi-Weekly",2,"Fortnightly",3,"Monthly",4,"Quarterly",5,"Weekly",1)</f>
        <v>4</v>
      </c>
    </row>
    <row r="1337" spans="1:20" hidden="1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  <c r="S1337" t="str">
        <f t="shared" si="20"/>
        <v>Weekly</v>
      </c>
      <c r="T1337" cm="1">
        <f t="array" ref="T1337">_xlfn.SWITCH(S1337,"Annually",6,"Bi-Weekly",2,"Fortnightly",3,"Monthly",4,"Quarterly",5,"Weekly",1)</f>
        <v>1</v>
      </c>
    </row>
    <row r="1338" spans="1:20" hidden="1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  <c r="S1338" t="str">
        <f t="shared" si="20"/>
        <v>Fortnightly</v>
      </c>
      <c r="T1338" cm="1">
        <f t="array" ref="T1338">_xlfn.SWITCH(S1338,"Annually",6,"Bi-Weekly",2,"Fortnightly",3,"Monthly",4,"Quarterly",5,"Weekly",1)</f>
        <v>3</v>
      </c>
    </row>
    <row r="1339" spans="1:20" hidden="1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  <c r="S1339" t="str">
        <f t="shared" si="20"/>
        <v>Bi-Weekly</v>
      </c>
      <c r="T1339" cm="1">
        <f t="array" ref="T1339">_xlfn.SWITCH(S1339,"Annually",6,"Bi-Weekly",2,"Fortnightly",3,"Monthly",4,"Quarterly",5,"Weekly",1)</f>
        <v>2</v>
      </c>
    </row>
    <row r="1340" spans="1:20" hidden="1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  <c r="S1340" t="str">
        <f t="shared" si="20"/>
        <v>Fortnightly</v>
      </c>
      <c r="T1340" cm="1">
        <f t="array" ref="T1340">_xlfn.SWITCH(S1340,"Annually",6,"Bi-Weekly",2,"Fortnightly",3,"Monthly",4,"Quarterly",5,"Weekly",1)</f>
        <v>3</v>
      </c>
    </row>
    <row r="1341" spans="1:20" hidden="1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  <c r="S1341" t="str">
        <f t="shared" si="20"/>
        <v>Quarterly</v>
      </c>
      <c r="T1341" cm="1">
        <f t="array" ref="T1341">_xlfn.SWITCH(S1341,"Annually",6,"Bi-Weekly",2,"Fortnightly",3,"Monthly",4,"Quarterly",5,"Weekly",1)</f>
        <v>5</v>
      </c>
    </row>
    <row r="1342" spans="1:20" hidden="1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  <c r="S1342" t="str">
        <f t="shared" si="20"/>
        <v>Quarterly</v>
      </c>
      <c r="T1342" cm="1">
        <f t="array" ref="T1342">_xlfn.SWITCH(S1342,"Annually",6,"Bi-Weekly",2,"Fortnightly",3,"Monthly",4,"Quarterly",5,"Weekly",1)</f>
        <v>5</v>
      </c>
    </row>
    <row r="1343" spans="1:20" hidden="1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  <c r="S1343" t="str">
        <f t="shared" si="20"/>
        <v>Quarterly</v>
      </c>
      <c r="T1343" cm="1">
        <f t="array" ref="T1343">_xlfn.SWITCH(S1343,"Annually",6,"Bi-Weekly",2,"Fortnightly",3,"Monthly",4,"Quarterly",5,"Weekly",1)</f>
        <v>5</v>
      </c>
    </row>
    <row r="1344" spans="1:20" hidden="1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  <c r="S1344" t="str">
        <f t="shared" si="20"/>
        <v>Monthly</v>
      </c>
      <c r="T1344" cm="1">
        <f t="array" ref="T1344">_xlfn.SWITCH(S1344,"Annually",6,"Bi-Weekly",2,"Fortnightly",3,"Monthly",4,"Quarterly",5,"Weekly",1)</f>
        <v>4</v>
      </c>
    </row>
    <row r="1345" spans="1:20" hidden="1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  <c r="S1345" t="str">
        <f t="shared" si="20"/>
        <v>Monthly</v>
      </c>
      <c r="T1345" cm="1">
        <f t="array" ref="T1345">_xlfn.SWITCH(S1345,"Annually",6,"Bi-Weekly",2,"Fortnightly",3,"Monthly",4,"Quarterly",5,"Weekly",1)</f>
        <v>4</v>
      </c>
    </row>
    <row r="1346" spans="1:20" hidden="1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  <c r="S1346" t="str">
        <f t="shared" si="20"/>
        <v>Annually</v>
      </c>
      <c r="T1346" cm="1">
        <f t="array" ref="T1346">_xlfn.SWITCH(S1346,"Annually",6,"Bi-Weekly",2,"Fortnightly",3,"Monthly",4,"Quarterly",5,"Weekly",1)</f>
        <v>6</v>
      </c>
    </row>
    <row r="1347" spans="1:20" hidden="1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  <c r="S1347" t="str">
        <f t="shared" ref="S1347:S1410" si="21">IF(R1347="Every 3 Months","Quarterly",R1347)</f>
        <v>Weekly</v>
      </c>
      <c r="T1347" cm="1">
        <f t="array" ref="T1347">_xlfn.SWITCH(S1347,"Annually",6,"Bi-Weekly",2,"Fortnightly",3,"Monthly",4,"Quarterly",5,"Weekly",1)</f>
        <v>1</v>
      </c>
    </row>
    <row r="1348" spans="1:20" hidden="1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  <c r="S1348" t="str">
        <f t="shared" si="21"/>
        <v>Bi-Weekly</v>
      </c>
      <c r="T1348" cm="1">
        <f t="array" ref="T1348">_xlfn.SWITCH(S1348,"Annually",6,"Bi-Weekly",2,"Fortnightly",3,"Monthly",4,"Quarterly",5,"Weekly",1)</f>
        <v>2</v>
      </c>
    </row>
    <row r="1349" spans="1:20" hidden="1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  <c r="S1349" t="str">
        <f t="shared" si="21"/>
        <v>Monthly</v>
      </c>
      <c r="T1349" cm="1">
        <f t="array" ref="T1349">_xlfn.SWITCH(S1349,"Annually",6,"Bi-Weekly",2,"Fortnightly",3,"Monthly",4,"Quarterly",5,"Weekly",1)</f>
        <v>4</v>
      </c>
    </row>
    <row r="1350" spans="1:20" hidden="1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  <c r="S1350" t="str">
        <f t="shared" si="21"/>
        <v>Fortnightly</v>
      </c>
      <c r="T1350" cm="1">
        <f t="array" ref="T1350">_xlfn.SWITCH(S1350,"Annually",6,"Bi-Weekly",2,"Fortnightly",3,"Monthly",4,"Quarterly",5,"Weekly",1)</f>
        <v>3</v>
      </c>
    </row>
    <row r="1351" spans="1:20" hidden="1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  <c r="S1351" t="str">
        <f t="shared" si="21"/>
        <v>Bi-Weekly</v>
      </c>
      <c r="T1351" cm="1">
        <f t="array" ref="T1351">_xlfn.SWITCH(S1351,"Annually",6,"Bi-Weekly",2,"Fortnightly",3,"Monthly",4,"Quarterly",5,"Weekly",1)</f>
        <v>2</v>
      </c>
    </row>
    <row r="1352" spans="1:20" hidden="1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  <c r="S1352" t="str">
        <f t="shared" si="21"/>
        <v>Quarterly</v>
      </c>
      <c r="T1352" cm="1">
        <f t="array" ref="T1352">_xlfn.SWITCH(S1352,"Annually",6,"Bi-Weekly",2,"Fortnightly",3,"Monthly",4,"Quarterly",5,"Weekly",1)</f>
        <v>5</v>
      </c>
    </row>
    <row r="1353" spans="1:20" hidden="1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  <c r="S1353" t="str">
        <f t="shared" si="21"/>
        <v>Quarterly</v>
      </c>
      <c r="T1353" cm="1">
        <f t="array" ref="T1353">_xlfn.SWITCH(S1353,"Annually",6,"Bi-Weekly",2,"Fortnightly",3,"Monthly",4,"Quarterly",5,"Weekly",1)</f>
        <v>5</v>
      </c>
    </row>
    <row r="1354" spans="1:20" hidden="1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  <c r="S1354" t="str">
        <f t="shared" si="21"/>
        <v>Bi-Weekly</v>
      </c>
      <c r="T1354" cm="1">
        <f t="array" ref="T1354">_xlfn.SWITCH(S1354,"Annually",6,"Bi-Weekly",2,"Fortnightly",3,"Monthly",4,"Quarterly",5,"Weekly",1)</f>
        <v>2</v>
      </c>
    </row>
    <row r="1355" spans="1:20" hidden="1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  <c r="S1355" t="str">
        <f t="shared" si="21"/>
        <v>Quarterly</v>
      </c>
      <c r="T1355" cm="1">
        <f t="array" ref="T1355">_xlfn.SWITCH(S1355,"Annually",6,"Bi-Weekly",2,"Fortnightly",3,"Monthly",4,"Quarterly",5,"Weekly",1)</f>
        <v>5</v>
      </c>
    </row>
    <row r="1356" spans="1:20" hidden="1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  <c r="S1356" t="str">
        <f t="shared" si="21"/>
        <v>Quarterly</v>
      </c>
      <c r="T1356" cm="1">
        <f t="array" ref="T1356">_xlfn.SWITCH(S1356,"Annually",6,"Bi-Weekly",2,"Fortnightly",3,"Monthly",4,"Quarterly",5,"Weekly",1)</f>
        <v>5</v>
      </c>
    </row>
    <row r="1357" spans="1:20" hidden="1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  <c r="S1357" t="str">
        <f t="shared" si="21"/>
        <v>Bi-Weekly</v>
      </c>
      <c r="T1357" cm="1">
        <f t="array" ref="T1357">_xlfn.SWITCH(S1357,"Annually",6,"Bi-Weekly",2,"Fortnightly",3,"Monthly",4,"Quarterly",5,"Weekly",1)</f>
        <v>2</v>
      </c>
    </row>
    <row r="1358" spans="1:20" hidden="1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  <c r="S1358" t="str">
        <f t="shared" si="21"/>
        <v>Annually</v>
      </c>
      <c r="T1358" cm="1">
        <f t="array" ref="T1358">_xlfn.SWITCH(S1358,"Annually",6,"Bi-Weekly",2,"Fortnightly",3,"Monthly",4,"Quarterly",5,"Weekly",1)</f>
        <v>6</v>
      </c>
    </row>
    <row r="1359" spans="1:20" hidden="1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  <c r="S1359" t="str">
        <f t="shared" si="21"/>
        <v>Quarterly</v>
      </c>
      <c r="T1359" cm="1">
        <f t="array" ref="T1359">_xlfn.SWITCH(S1359,"Annually",6,"Bi-Weekly",2,"Fortnightly",3,"Monthly",4,"Quarterly",5,"Weekly",1)</f>
        <v>5</v>
      </c>
    </row>
    <row r="1360" spans="1:20" hidden="1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  <c r="S1360" t="str">
        <f t="shared" si="21"/>
        <v>Quarterly</v>
      </c>
      <c r="T1360" cm="1">
        <f t="array" ref="T1360">_xlfn.SWITCH(S1360,"Annually",6,"Bi-Weekly",2,"Fortnightly",3,"Monthly",4,"Quarterly",5,"Weekly",1)</f>
        <v>5</v>
      </c>
    </row>
    <row r="1361" spans="1:20" hidden="1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  <c r="S1361" t="str">
        <f t="shared" si="21"/>
        <v>Fortnightly</v>
      </c>
      <c r="T1361" cm="1">
        <f t="array" ref="T1361">_xlfn.SWITCH(S1361,"Annually",6,"Bi-Weekly",2,"Fortnightly",3,"Monthly",4,"Quarterly",5,"Weekly",1)</f>
        <v>3</v>
      </c>
    </row>
    <row r="1362" spans="1:20" hidden="1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  <c r="S1362" t="str">
        <f t="shared" si="21"/>
        <v>Annually</v>
      </c>
      <c r="T1362" cm="1">
        <f t="array" ref="T1362">_xlfn.SWITCH(S1362,"Annually",6,"Bi-Weekly",2,"Fortnightly",3,"Monthly",4,"Quarterly",5,"Weekly",1)</f>
        <v>6</v>
      </c>
    </row>
    <row r="1363" spans="1:20" hidden="1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  <c r="S1363" t="str">
        <f t="shared" si="21"/>
        <v>Monthly</v>
      </c>
      <c r="T1363" cm="1">
        <f t="array" ref="T1363">_xlfn.SWITCH(S1363,"Annually",6,"Bi-Weekly",2,"Fortnightly",3,"Monthly",4,"Quarterly",5,"Weekly",1)</f>
        <v>4</v>
      </c>
    </row>
    <row r="1364" spans="1:20" hidden="1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  <c r="S1364" t="str">
        <f t="shared" si="21"/>
        <v>Weekly</v>
      </c>
      <c r="T1364" cm="1">
        <f t="array" ref="T1364">_xlfn.SWITCH(S1364,"Annually",6,"Bi-Weekly",2,"Fortnightly",3,"Monthly",4,"Quarterly",5,"Weekly",1)</f>
        <v>1</v>
      </c>
    </row>
    <row r="1365" spans="1:20" hidden="1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  <c r="S1365" t="str">
        <f t="shared" si="21"/>
        <v>Quarterly</v>
      </c>
      <c r="T1365" cm="1">
        <f t="array" ref="T1365">_xlfn.SWITCH(S1365,"Annually",6,"Bi-Weekly",2,"Fortnightly",3,"Monthly",4,"Quarterly",5,"Weekly",1)</f>
        <v>5</v>
      </c>
    </row>
    <row r="1366" spans="1:20" hidden="1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  <c r="S1366" t="str">
        <f t="shared" si="21"/>
        <v>Quarterly</v>
      </c>
      <c r="T1366" cm="1">
        <f t="array" ref="T1366">_xlfn.SWITCH(S1366,"Annually",6,"Bi-Weekly",2,"Fortnightly",3,"Monthly",4,"Quarterly",5,"Weekly",1)</f>
        <v>5</v>
      </c>
    </row>
    <row r="1367" spans="1:20" hidden="1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  <c r="S1367" t="str">
        <f t="shared" si="21"/>
        <v>Fortnightly</v>
      </c>
      <c r="T1367" cm="1">
        <f t="array" ref="T1367">_xlfn.SWITCH(S1367,"Annually",6,"Bi-Weekly",2,"Fortnightly",3,"Monthly",4,"Quarterly",5,"Weekly",1)</f>
        <v>3</v>
      </c>
    </row>
    <row r="1368" spans="1:20" hidden="1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  <c r="S1368" t="str">
        <f t="shared" si="21"/>
        <v>Fortnightly</v>
      </c>
      <c r="T1368" cm="1">
        <f t="array" ref="T1368">_xlfn.SWITCH(S1368,"Annually",6,"Bi-Weekly",2,"Fortnightly",3,"Monthly",4,"Quarterly",5,"Weekly",1)</f>
        <v>3</v>
      </c>
    </row>
    <row r="1369" spans="1:20" hidden="1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  <c r="S1369" t="str">
        <f t="shared" si="21"/>
        <v>Quarterly</v>
      </c>
      <c r="T1369" cm="1">
        <f t="array" ref="T1369">_xlfn.SWITCH(S1369,"Annually",6,"Bi-Weekly",2,"Fortnightly",3,"Monthly",4,"Quarterly",5,"Weekly",1)</f>
        <v>5</v>
      </c>
    </row>
    <row r="1370" spans="1:20" hidden="1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  <c r="S1370" t="str">
        <f t="shared" si="21"/>
        <v>Weekly</v>
      </c>
      <c r="T1370" cm="1">
        <f t="array" ref="T1370">_xlfn.SWITCH(S1370,"Annually",6,"Bi-Weekly",2,"Fortnightly",3,"Monthly",4,"Quarterly",5,"Weekly",1)</f>
        <v>1</v>
      </c>
    </row>
    <row r="1371" spans="1:20" hidden="1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  <c r="S1371" t="str">
        <f t="shared" si="21"/>
        <v>Fortnightly</v>
      </c>
      <c r="T1371" cm="1">
        <f t="array" ref="T1371">_xlfn.SWITCH(S1371,"Annually",6,"Bi-Weekly",2,"Fortnightly",3,"Monthly",4,"Quarterly",5,"Weekly",1)</f>
        <v>3</v>
      </c>
    </row>
    <row r="1372" spans="1:20" hidden="1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  <c r="S1372" t="str">
        <f t="shared" si="21"/>
        <v>Quarterly</v>
      </c>
      <c r="T1372" cm="1">
        <f t="array" ref="T1372">_xlfn.SWITCH(S1372,"Annually",6,"Bi-Weekly",2,"Fortnightly",3,"Monthly",4,"Quarterly",5,"Weekly",1)</f>
        <v>5</v>
      </c>
    </row>
    <row r="1373" spans="1:20" hidden="1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  <c r="S1373" t="str">
        <f t="shared" si="21"/>
        <v>Monthly</v>
      </c>
      <c r="T1373" cm="1">
        <f t="array" ref="T1373">_xlfn.SWITCH(S1373,"Annually",6,"Bi-Weekly",2,"Fortnightly",3,"Monthly",4,"Quarterly",5,"Weekly",1)</f>
        <v>4</v>
      </c>
    </row>
    <row r="1374" spans="1:20" hidden="1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  <c r="S1374" t="str">
        <f t="shared" si="21"/>
        <v>Bi-Weekly</v>
      </c>
      <c r="T1374" cm="1">
        <f t="array" ref="T1374">_xlfn.SWITCH(S1374,"Annually",6,"Bi-Weekly",2,"Fortnightly",3,"Monthly",4,"Quarterly",5,"Weekly",1)</f>
        <v>2</v>
      </c>
    </row>
    <row r="1375" spans="1:20" hidden="1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  <c r="S1375" t="str">
        <f t="shared" si="21"/>
        <v>Quarterly</v>
      </c>
      <c r="T1375" cm="1">
        <f t="array" ref="T1375">_xlfn.SWITCH(S1375,"Annually",6,"Bi-Weekly",2,"Fortnightly",3,"Monthly",4,"Quarterly",5,"Weekly",1)</f>
        <v>5</v>
      </c>
    </row>
    <row r="1376" spans="1:20" hidden="1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  <c r="S1376" t="str">
        <f t="shared" si="21"/>
        <v>Quarterly</v>
      </c>
      <c r="T1376" cm="1">
        <f t="array" ref="T1376">_xlfn.SWITCH(S1376,"Annually",6,"Bi-Weekly",2,"Fortnightly",3,"Monthly",4,"Quarterly",5,"Weekly",1)</f>
        <v>5</v>
      </c>
    </row>
    <row r="1377" spans="1:20" hidden="1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  <c r="S1377" t="str">
        <f t="shared" si="21"/>
        <v>Annually</v>
      </c>
      <c r="T1377" cm="1">
        <f t="array" ref="T1377">_xlfn.SWITCH(S1377,"Annually",6,"Bi-Weekly",2,"Fortnightly",3,"Monthly",4,"Quarterly",5,"Weekly",1)</f>
        <v>6</v>
      </c>
    </row>
    <row r="1378" spans="1:20" hidden="1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  <c r="S1378" t="str">
        <f t="shared" si="21"/>
        <v>Annually</v>
      </c>
      <c r="T1378" cm="1">
        <f t="array" ref="T1378">_xlfn.SWITCH(S1378,"Annually",6,"Bi-Weekly",2,"Fortnightly",3,"Monthly",4,"Quarterly",5,"Weekly",1)</f>
        <v>6</v>
      </c>
    </row>
    <row r="1379" spans="1:20" hidden="1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  <c r="S1379" t="str">
        <f t="shared" si="21"/>
        <v>Monthly</v>
      </c>
      <c r="T1379" cm="1">
        <f t="array" ref="T1379">_xlfn.SWITCH(S1379,"Annually",6,"Bi-Weekly",2,"Fortnightly",3,"Monthly",4,"Quarterly",5,"Weekly",1)</f>
        <v>4</v>
      </c>
    </row>
    <row r="1380" spans="1:20" hidden="1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  <c r="S1380" t="str">
        <f t="shared" si="21"/>
        <v>Weekly</v>
      </c>
      <c r="T1380" cm="1">
        <f t="array" ref="T1380">_xlfn.SWITCH(S1380,"Annually",6,"Bi-Weekly",2,"Fortnightly",3,"Monthly",4,"Quarterly",5,"Weekly",1)</f>
        <v>1</v>
      </c>
    </row>
    <row r="1381" spans="1:20" hidden="1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  <c r="S1381" t="str">
        <f t="shared" si="21"/>
        <v>Bi-Weekly</v>
      </c>
      <c r="T1381" cm="1">
        <f t="array" ref="T1381">_xlfn.SWITCH(S1381,"Annually",6,"Bi-Weekly",2,"Fortnightly",3,"Monthly",4,"Quarterly",5,"Weekly",1)</f>
        <v>2</v>
      </c>
    </row>
    <row r="1382" spans="1:20" hidden="1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  <c r="S1382" t="str">
        <f t="shared" si="21"/>
        <v>Fortnightly</v>
      </c>
      <c r="T1382" cm="1">
        <f t="array" ref="T1382">_xlfn.SWITCH(S1382,"Annually",6,"Bi-Weekly",2,"Fortnightly",3,"Monthly",4,"Quarterly",5,"Weekly",1)</f>
        <v>3</v>
      </c>
    </row>
    <row r="1383" spans="1:20" hidden="1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  <c r="S1383" t="str">
        <f t="shared" si="21"/>
        <v>Quarterly</v>
      </c>
      <c r="T1383" cm="1">
        <f t="array" ref="T1383">_xlfn.SWITCH(S1383,"Annually",6,"Bi-Weekly",2,"Fortnightly",3,"Monthly",4,"Quarterly",5,"Weekly",1)</f>
        <v>5</v>
      </c>
    </row>
    <row r="1384" spans="1:20" hidden="1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  <c r="S1384" t="str">
        <f t="shared" si="21"/>
        <v>Quarterly</v>
      </c>
      <c r="T1384" cm="1">
        <f t="array" ref="T1384">_xlfn.SWITCH(S1384,"Annually",6,"Bi-Weekly",2,"Fortnightly",3,"Monthly",4,"Quarterly",5,"Weekly",1)</f>
        <v>5</v>
      </c>
    </row>
    <row r="1385" spans="1:20" hidden="1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  <c r="S1385" t="str">
        <f t="shared" si="21"/>
        <v>Monthly</v>
      </c>
      <c r="T1385" cm="1">
        <f t="array" ref="T1385">_xlfn.SWITCH(S1385,"Annually",6,"Bi-Weekly",2,"Fortnightly",3,"Monthly",4,"Quarterly",5,"Weekly",1)</f>
        <v>4</v>
      </c>
    </row>
    <row r="1386" spans="1:20" hidden="1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  <c r="S1386" t="str">
        <f t="shared" si="21"/>
        <v>Weekly</v>
      </c>
      <c r="T1386" cm="1">
        <f t="array" ref="T1386">_xlfn.SWITCH(S1386,"Annually",6,"Bi-Weekly",2,"Fortnightly",3,"Monthly",4,"Quarterly",5,"Weekly",1)</f>
        <v>1</v>
      </c>
    </row>
    <row r="1387" spans="1:20" hidden="1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  <c r="S1387" t="str">
        <f t="shared" si="21"/>
        <v>Bi-Weekly</v>
      </c>
      <c r="T1387" cm="1">
        <f t="array" ref="T1387">_xlfn.SWITCH(S1387,"Annually",6,"Bi-Weekly",2,"Fortnightly",3,"Monthly",4,"Quarterly",5,"Weekly",1)</f>
        <v>2</v>
      </c>
    </row>
    <row r="1388" spans="1:20" hidden="1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  <c r="S1388" t="str">
        <f t="shared" si="21"/>
        <v>Quarterly</v>
      </c>
      <c r="T1388" cm="1">
        <f t="array" ref="T1388">_xlfn.SWITCH(S1388,"Annually",6,"Bi-Weekly",2,"Fortnightly",3,"Monthly",4,"Quarterly",5,"Weekly",1)</f>
        <v>5</v>
      </c>
    </row>
    <row r="1389" spans="1:20" hidden="1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  <c r="S1389" t="str">
        <f t="shared" si="21"/>
        <v>Monthly</v>
      </c>
      <c r="T1389" cm="1">
        <f t="array" ref="T1389">_xlfn.SWITCH(S1389,"Annually",6,"Bi-Weekly",2,"Fortnightly",3,"Monthly",4,"Quarterly",5,"Weekly",1)</f>
        <v>4</v>
      </c>
    </row>
    <row r="1390" spans="1:20" hidden="1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  <c r="S1390" t="str">
        <f t="shared" si="21"/>
        <v>Quarterly</v>
      </c>
      <c r="T1390" cm="1">
        <f t="array" ref="T1390">_xlfn.SWITCH(S1390,"Annually",6,"Bi-Weekly",2,"Fortnightly",3,"Monthly",4,"Quarterly",5,"Weekly",1)</f>
        <v>5</v>
      </c>
    </row>
    <row r="1391" spans="1:20" hidden="1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  <c r="S1391" t="str">
        <f t="shared" si="21"/>
        <v>Fortnightly</v>
      </c>
      <c r="T1391" cm="1">
        <f t="array" ref="T1391">_xlfn.SWITCH(S1391,"Annually",6,"Bi-Weekly",2,"Fortnightly",3,"Monthly",4,"Quarterly",5,"Weekly",1)</f>
        <v>3</v>
      </c>
    </row>
    <row r="1392" spans="1:20" hidden="1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  <c r="S1392" t="str">
        <f t="shared" si="21"/>
        <v>Weekly</v>
      </c>
      <c r="T1392" cm="1">
        <f t="array" ref="T1392">_xlfn.SWITCH(S1392,"Annually",6,"Bi-Weekly",2,"Fortnightly",3,"Monthly",4,"Quarterly",5,"Weekly",1)</f>
        <v>1</v>
      </c>
    </row>
    <row r="1393" spans="1:20" hidden="1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  <c r="S1393" t="str">
        <f t="shared" si="21"/>
        <v>Annually</v>
      </c>
      <c r="T1393" cm="1">
        <f t="array" ref="T1393">_xlfn.SWITCH(S1393,"Annually",6,"Bi-Weekly",2,"Fortnightly",3,"Monthly",4,"Quarterly",5,"Weekly",1)</f>
        <v>6</v>
      </c>
    </row>
    <row r="1394" spans="1:20" hidden="1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  <c r="S1394" t="str">
        <f t="shared" si="21"/>
        <v>Quarterly</v>
      </c>
      <c r="T1394" cm="1">
        <f t="array" ref="T1394">_xlfn.SWITCH(S1394,"Annually",6,"Bi-Weekly",2,"Fortnightly",3,"Monthly",4,"Quarterly",5,"Weekly",1)</f>
        <v>5</v>
      </c>
    </row>
    <row r="1395" spans="1:20" hidden="1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  <c r="S1395" t="str">
        <f t="shared" si="21"/>
        <v>Fortnightly</v>
      </c>
      <c r="T1395" cm="1">
        <f t="array" ref="T1395">_xlfn.SWITCH(S1395,"Annually",6,"Bi-Weekly",2,"Fortnightly",3,"Monthly",4,"Quarterly",5,"Weekly",1)</f>
        <v>3</v>
      </c>
    </row>
    <row r="1396" spans="1:20" hidden="1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  <c r="S1396" t="str">
        <f t="shared" si="21"/>
        <v>Weekly</v>
      </c>
      <c r="T1396" cm="1">
        <f t="array" ref="T1396">_xlfn.SWITCH(S1396,"Annually",6,"Bi-Weekly",2,"Fortnightly",3,"Monthly",4,"Quarterly",5,"Weekly",1)</f>
        <v>1</v>
      </c>
    </row>
    <row r="1397" spans="1:20" hidden="1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  <c r="S1397" t="str">
        <f t="shared" si="21"/>
        <v>Bi-Weekly</v>
      </c>
      <c r="T1397" cm="1">
        <f t="array" ref="T1397">_xlfn.SWITCH(S1397,"Annually",6,"Bi-Weekly",2,"Fortnightly",3,"Monthly",4,"Quarterly",5,"Weekly",1)</f>
        <v>2</v>
      </c>
    </row>
    <row r="1398" spans="1:20" hidden="1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  <c r="S1398" t="str">
        <f t="shared" si="21"/>
        <v>Monthly</v>
      </c>
      <c r="T1398" cm="1">
        <f t="array" ref="T1398">_xlfn.SWITCH(S1398,"Annually",6,"Bi-Weekly",2,"Fortnightly",3,"Monthly",4,"Quarterly",5,"Weekly",1)</f>
        <v>4</v>
      </c>
    </row>
    <row r="1399" spans="1:20" hidden="1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  <c r="S1399" t="str">
        <f t="shared" si="21"/>
        <v>Annually</v>
      </c>
      <c r="T1399" cm="1">
        <f t="array" ref="T1399">_xlfn.SWITCH(S1399,"Annually",6,"Bi-Weekly",2,"Fortnightly",3,"Monthly",4,"Quarterly",5,"Weekly",1)</f>
        <v>6</v>
      </c>
    </row>
    <row r="1400" spans="1:20" hidden="1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  <c r="S1400" t="str">
        <f t="shared" si="21"/>
        <v>Weekly</v>
      </c>
      <c r="T1400" cm="1">
        <f t="array" ref="T1400">_xlfn.SWITCH(S1400,"Annually",6,"Bi-Weekly",2,"Fortnightly",3,"Monthly",4,"Quarterly",5,"Weekly",1)</f>
        <v>1</v>
      </c>
    </row>
    <row r="1401" spans="1:20" hidden="1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  <c r="S1401" t="str">
        <f t="shared" si="21"/>
        <v>Annually</v>
      </c>
      <c r="T1401" cm="1">
        <f t="array" ref="T1401">_xlfn.SWITCH(S1401,"Annually",6,"Bi-Weekly",2,"Fortnightly",3,"Monthly",4,"Quarterly",5,"Weekly",1)</f>
        <v>6</v>
      </c>
    </row>
    <row r="1402" spans="1:20" hidden="1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  <c r="S1402" t="str">
        <f t="shared" si="21"/>
        <v>Quarterly</v>
      </c>
      <c r="T1402" cm="1">
        <f t="array" ref="T1402">_xlfn.SWITCH(S1402,"Annually",6,"Bi-Weekly",2,"Fortnightly",3,"Monthly",4,"Quarterly",5,"Weekly",1)</f>
        <v>5</v>
      </c>
    </row>
    <row r="1403" spans="1:20" hidden="1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  <c r="S1403" t="str">
        <f t="shared" si="21"/>
        <v>Weekly</v>
      </c>
      <c r="T1403" cm="1">
        <f t="array" ref="T1403">_xlfn.SWITCH(S1403,"Annually",6,"Bi-Weekly",2,"Fortnightly",3,"Monthly",4,"Quarterly",5,"Weekly",1)</f>
        <v>1</v>
      </c>
    </row>
    <row r="1404" spans="1:20" hidden="1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  <c r="S1404" t="str">
        <f t="shared" si="21"/>
        <v>Monthly</v>
      </c>
      <c r="T1404" cm="1">
        <f t="array" ref="T1404">_xlfn.SWITCH(S1404,"Annually",6,"Bi-Weekly",2,"Fortnightly",3,"Monthly",4,"Quarterly",5,"Weekly",1)</f>
        <v>4</v>
      </c>
    </row>
    <row r="1405" spans="1:20" hidden="1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  <c r="S1405" t="str">
        <f t="shared" si="21"/>
        <v>Bi-Weekly</v>
      </c>
      <c r="T1405" cm="1">
        <f t="array" ref="T1405">_xlfn.SWITCH(S1405,"Annually",6,"Bi-Weekly",2,"Fortnightly",3,"Monthly",4,"Quarterly",5,"Weekly",1)</f>
        <v>2</v>
      </c>
    </row>
    <row r="1406" spans="1:20" hidden="1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  <c r="S1406" t="str">
        <f t="shared" si="21"/>
        <v>Weekly</v>
      </c>
      <c r="T1406" cm="1">
        <f t="array" ref="T1406">_xlfn.SWITCH(S1406,"Annually",6,"Bi-Weekly",2,"Fortnightly",3,"Monthly",4,"Quarterly",5,"Weekly",1)</f>
        <v>1</v>
      </c>
    </row>
    <row r="1407" spans="1:20" hidden="1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  <c r="S1407" t="str">
        <f t="shared" si="21"/>
        <v>Monthly</v>
      </c>
      <c r="T1407" cm="1">
        <f t="array" ref="T1407">_xlfn.SWITCH(S1407,"Annually",6,"Bi-Weekly",2,"Fortnightly",3,"Monthly",4,"Quarterly",5,"Weekly",1)</f>
        <v>4</v>
      </c>
    </row>
    <row r="1408" spans="1:20" hidden="1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  <c r="S1408" t="str">
        <f t="shared" si="21"/>
        <v>Monthly</v>
      </c>
      <c r="T1408" cm="1">
        <f t="array" ref="T1408">_xlfn.SWITCH(S1408,"Annually",6,"Bi-Weekly",2,"Fortnightly",3,"Monthly",4,"Quarterly",5,"Weekly",1)</f>
        <v>4</v>
      </c>
    </row>
    <row r="1409" spans="1:20" hidden="1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  <c r="S1409" t="str">
        <f t="shared" si="21"/>
        <v>Annually</v>
      </c>
      <c r="T1409" cm="1">
        <f t="array" ref="T1409">_xlfn.SWITCH(S1409,"Annually",6,"Bi-Weekly",2,"Fortnightly",3,"Monthly",4,"Quarterly",5,"Weekly",1)</f>
        <v>6</v>
      </c>
    </row>
    <row r="1410" spans="1:20" hidden="1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  <c r="S1410" t="str">
        <f t="shared" si="21"/>
        <v>Weekly</v>
      </c>
      <c r="T1410" cm="1">
        <f t="array" ref="T1410">_xlfn.SWITCH(S1410,"Annually",6,"Bi-Weekly",2,"Fortnightly",3,"Monthly",4,"Quarterly",5,"Weekly",1)</f>
        <v>1</v>
      </c>
    </row>
    <row r="1411" spans="1:20" hidden="1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  <c r="S1411" t="str">
        <f t="shared" ref="S1411:S1474" si="22">IF(R1411="Every 3 Months","Quarterly",R1411)</f>
        <v>Fortnightly</v>
      </c>
      <c r="T1411" cm="1">
        <f t="array" ref="T1411">_xlfn.SWITCH(S1411,"Annually",6,"Bi-Weekly",2,"Fortnightly",3,"Monthly",4,"Quarterly",5,"Weekly",1)</f>
        <v>3</v>
      </c>
    </row>
    <row r="1412" spans="1:20" hidden="1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  <c r="S1412" t="str">
        <f t="shared" si="22"/>
        <v>Annually</v>
      </c>
      <c r="T1412" cm="1">
        <f t="array" ref="T1412">_xlfn.SWITCH(S1412,"Annually",6,"Bi-Weekly",2,"Fortnightly",3,"Monthly",4,"Quarterly",5,"Weekly",1)</f>
        <v>6</v>
      </c>
    </row>
    <row r="1413" spans="1:20" hidden="1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  <c r="S1413" t="str">
        <f t="shared" si="22"/>
        <v>Quarterly</v>
      </c>
      <c r="T1413" cm="1">
        <f t="array" ref="T1413">_xlfn.SWITCH(S1413,"Annually",6,"Bi-Weekly",2,"Fortnightly",3,"Monthly",4,"Quarterly",5,"Weekly",1)</f>
        <v>5</v>
      </c>
    </row>
    <row r="1414" spans="1:20" hidden="1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  <c r="S1414" t="str">
        <f t="shared" si="22"/>
        <v>Annually</v>
      </c>
      <c r="T1414" cm="1">
        <f t="array" ref="T1414">_xlfn.SWITCH(S1414,"Annually",6,"Bi-Weekly",2,"Fortnightly",3,"Monthly",4,"Quarterly",5,"Weekly",1)</f>
        <v>6</v>
      </c>
    </row>
    <row r="1415" spans="1:20" hidden="1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  <c r="S1415" t="str">
        <f t="shared" si="22"/>
        <v>Quarterly</v>
      </c>
      <c r="T1415" cm="1">
        <f t="array" ref="T1415">_xlfn.SWITCH(S1415,"Annually",6,"Bi-Weekly",2,"Fortnightly",3,"Monthly",4,"Quarterly",5,"Weekly",1)</f>
        <v>5</v>
      </c>
    </row>
    <row r="1416" spans="1:20" hidden="1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  <c r="S1416" t="str">
        <f t="shared" si="22"/>
        <v>Bi-Weekly</v>
      </c>
      <c r="T1416" cm="1">
        <f t="array" ref="T1416">_xlfn.SWITCH(S1416,"Annually",6,"Bi-Weekly",2,"Fortnightly",3,"Monthly",4,"Quarterly",5,"Weekly",1)</f>
        <v>2</v>
      </c>
    </row>
    <row r="1417" spans="1:20" hidden="1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  <c r="S1417" t="str">
        <f t="shared" si="22"/>
        <v>Quarterly</v>
      </c>
      <c r="T1417" cm="1">
        <f t="array" ref="T1417">_xlfn.SWITCH(S1417,"Annually",6,"Bi-Weekly",2,"Fortnightly",3,"Monthly",4,"Quarterly",5,"Weekly",1)</f>
        <v>5</v>
      </c>
    </row>
    <row r="1418" spans="1:20" hidden="1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  <c r="S1418" t="str">
        <f t="shared" si="22"/>
        <v>Quarterly</v>
      </c>
      <c r="T1418" cm="1">
        <f t="array" ref="T1418">_xlfn.SWITCH(S1418,"Annually",6,"Bi-Weekly",2,"Fortnightly",3,"Monthly",4,"Quarterly",5,"Weekly",1)</f>
        <v>5</v>
      </c>
    </row>
    <row r="1419" spans="1:20" hidden="1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  <c r="S1419" t="str">
        <f t="shared" si="22"/>
        <v>Fortnightly</v>
      </c>
      <c r="T1419" cm="1">
        <f t="array" ref="T1419">_xlfn.SWITCH(S1419,"Annually",6,"Bi-Weekly",2,"Fortnightly",3,"Monthly",4,"Quarterly",5,"Weekly",1)</f>
        <v>3</v>
      </c>
    </row>
    <row r="1420" spans="1:20" hidden="1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  <c r="S1420" t="str">
        <f t="shared" si="22"/>
        <v>Quarterly</v>
      </c>
      <c r="T1420" cm="1">
        <f t="array" ref="T1420">_xlfn.SWITCH(S1420,"Annually",6,"Bi-Weekly",2,"Fortnightly",3,"Monthly",4,"Quarterly",5,"Weekly",1)</f>
        <v>5</v>
      </c>
    </row>
    <row r="1421" spans="1:20" hidden="1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  <c r="S1421" t="str">
        <f t="shared" si="22"/>
        <v>Quarterly</v>
      </c>
      <c r="T1421" cm="1">
        <f t="array" ref="T1421">_xlfn.SWITCH(S1421,"Annually",6,"Bi-Weekly",2,"Fortnightly",3,"Monthly",4,"Quarterly",5,"Weekly",1)</f>
        <v>5</v>
      </c>
    </row>
    <row r="1422" spans="1:20" hidden="1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  <c r="S1422" t="str">
        <f t="shared" si="22"/>
        <v>Quarterly</v>
      </c>
      <c r="T1422" cm="1">
        <f t="array" ref="T1422">_xlfn.SWITCH(S1422,"Annually",6,"Bi-Weekly",2,"Fortnightly",3,"Monthly",4,"Quarterly",5,"Weekly",1)</f>
        <v>5</v>
      </c>
    </row>
    <row r="1423" spans="1:20" hidden="1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  <c r="S1423" t="str">
        <f t="shared" si="22"/>
        <v>Fortnightly</v>
      </c>
      <c r="T1423" cm="1">
        <f t="array" ref="T1423">_xlfn.SWITCH(S1423,"Annually",6,"Bi-Weekly",2,"Fortnightly",3,"Monthly",4,"Quarterly",5,"Weekly",1)</f>
        <v>3</v>
      </c>
    </row>
    <row r="1424" spans="1:20" hidden="1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  <c r="S1424" t="str">
        <f t="shared" si="22"/>
        <v>Bi-Weekly</v>
      </c>
      <c r="T1424" cm="1">
        <f t="array" ref="T1424">_xlfn.SWITCH(S1424,"Annually",6,"Bi-Weekly",2,"Fortnightly",3,"Monthly",4,"Quarterly",5,"Weekly",1)</f>
        <v>2</v>
      </c>
    </row>
    <row r="1425" spans="1:20" hidden="1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  <c r="S1425" t="str">
        <f t="shared" si="22"/>
        <v>Quarterly</v>
      </c>
      <c r="T1425" cm="1">
        <f t="array" ref="T1425">_xlfn.SWITCH(S1425,"Annually",6,"Bi-Weekly",2,"Fortnightly",3,"Monthly",4,"Quarterly",5,"Weekly",1)</f>
        <v>5</v>
      </c>
    </row>
    <row r="1426" spans="1:20" hidden="1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  <c r="S1426" t="str">
        <f t="shared" si="22"/>
        <v>Quarterly</v>
      </c>
      <c r="T1426" cm="1">
        <f t="array" ref="T1426">_xlfn.SWITCH(S1426,"Annually",6,"Bi-Weekly",2,"Fortnightly",3,"Monthly",4,"Quarterly",5,"Weekly",1)</f>
        <v>5</v>
      </c>
    </row>
    <row r="1427" spans="1:20" hidden="1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  <c r="S1427" t="str">
        <f t="shared" si="22"/>
        <v>Annually</v>
      </c>
      <c r="T1427" cm="1">
        <f t="array" ref="T1427">_xlfn.SWITCH(S1427,"Annually",6,"Bi-Weekly",2,"Fortnightly",3,"Monthly",4,"Quarterly",5,"Weekly",1)</f>
        <v>6</v>
      </c>
    </row>
    <row r="1428" spans="1:20" hidden="1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  <c r="S1428" t="str">
        <f t="shared" si="22"/>
        <v>Quarterly</v>
      </c>
      <c r="T1428" cm="1">
        <f t="array" ref="T1428">_xlfn.SWITCH(S1428,"Annually",6,"Bi-Weekly",2,"Fortnightly",3,"Monthly",4,"Quarterly",5,"Weekly",1)</f>
        <v>5</v>
      </c>
    </row>
    <row r="1429" spans="1:20" hidden="1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  <c r="S1429" t="str">
        <f t="shared" si="22"/>
        <v>Annually</v>
      </c>
      <c r="T1429" cm="1">
        <f t="array" ref="T1429">_xlfn.SWITCH(S1429,"Annually",6,"Bi-Weekly",2,"Fortnightly",3,"Monthly",4,"Quarterly",5,"Weekly",1)</f>
        <v>6</v>
      </c>
    </row>
    <row r="1430" spans="1:20" hidden="1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  <c r="S1430" t="str">
        <f t="shared" si="22"/>
        <v>Quarterly</v>
      </c>
      <c r="T1430" cm="1">
        <f t="array" ref="T1430">_xlfn.SWITCH(S1430,"Annually",6,"Bi-Weekly",2,"Fortnightly",3,"Monthly",4,"Quarterly",5,"Weekly",1)</f>
        <v>5</v>
      </c>
    </row>
    <row r="1431" spans="1:20" hidden="1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  <c r="S1431" t="str">
        <f t="shared" si="22"/>
        <v>Quarterly</v>
      </c>
      <c r="T1431" cm="1">
        <f t="array" ref="T1431">_xlfn.SWITCH(S1431,"Annually",6,"Bi-Weekly",2,"Fortnightly",3,"Monthly",4,"Quarterly",5,"Weekly",1)</f>
        <v>5</v>
      </c>
    </row>
    <row r="1432" spans="1:20" hidden="1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  <c r="S1432" t="str">
        <f t="shared" si="22"/>
        <v>Fortnightly</v>
      </c>
      <c r="T1432" cm="1">
        <f t="array" ref="T1432">_xlfn.SWITCH(S1432,"Annually",6,"Bi-Weekly",2,"Fortnightly",3,"Monthly",4,"Quarterly",5,"Weekly",1)</f>
        <v>3</v>
      </c>
    </row>
    <row r="1433" spans="1:20" hidden="1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  <c r="S1433" t="str">
        <f t="shared" si="22"/>
        <v>Quarterly</v>
      </c>
      <c r="T1433" cm="1">
        <f t="array" ref="T1433">_xlfn.SWITCH(S1433,"Annually",6,"Bi-Weekly",2,"Fortnightly",3,"Monthly",4,"Quarterly",5,"Weekly",1)</f>
        <v>5</v>
      </c>
    </row>
    <row r="1434" spans="1:20" hidden="1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  <c r="S1434" t="str">
        <f t="shared" si="22"/>
        <v>Quarterly</v>
      </c>
      <c r="T1434" cm="1">
        <f t="array" ref="T1434">_xlfn.SWITCH(S1434,"Annually",6,"Bi-Weekly",2,"Fortnightly",3,"Monthly",4,"Quarterly",5,"Weekly",1)</f>
        <v>5</v>
      </c>
    </row>
    <row r="1435" spans="1:20" hidden="1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  <c r="S1435" t="str">
        <f t="shared" si="22"/>
        <v>Weekly</v>
      </c>
      <c r="T1435" cm="1">
        <f t="array" ref="T1435">_xlfn.SWITCH(S1435,"Annually",6,"Bi-Weekly",2,"Fortnightly",3,"Monthly",4,"Quarterly",5,"Weekly",1)</f>
        <v>1</v>
      </c>
    </row>
    <row r="1436" spans="1:20" hidden="1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  <c r="S1436" t="str">
        <f t="shared" si="22"/>
        <v>Bi-Weekly</v>
      </c>
      <c r="T1436" cm="1">
        <f t="array" ref="T1436">_xlfn.SWITCH(S1436,"Annually",6,"Bi-Weekly",2,"Fortnightly",3,"Monthly",4,"Quarterly",5,"Weekly",1)</f>
        <v>2</v>
      </c>
    </row>
    <row r="1437" spans="1:20" hidden="1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  <c r="S1437" t="str">
        <f t="shared" si="22"/>
        <v>Weekly</v>
      </c>
      <c r="T1437" cm="1">
        <f t="array" ref="T1437">_xlfn.SWITCH(S1437,"Annually",6,"Bi-Weekly",2,"Fortnightly",3,"Monthly",4,"Quarterly",5,"Weekly",1)</f>
        <v>1</v>
      </c>
    </row>
    <row r="1438" spans="1:20" hidden="1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  <c r="S1438" t="str">
        <f t="shared" si="22"/>
        <v>Fortnightly</v>
      </c>
      <c r="T1438" cm="1">
        <f t="array" ref="T1438">_xlfn.SWITCH(S1438,"Annually",6,"Bi-Weekly",2,"Fortnightly",3,"Monthly",4,"Quarterly",5,"Weekly",1)</f>
        <v>3</v>
      </c>
    </row>
    <row r="1439" spans="1:20" hidden="1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  <c r="S1439" t="str">
        <f t="shared" si="22"/>
        <v>Annually</v>
      </c>
      <c r="T1439" cm="1">
        <f t="array" ref="T1439">_xlfn.SWITCH(S1439,"Annually",6,"Bi-Weekly",2,"Fortnightly",3,"Monthly",4,"Quarterly",5,"Weekly",1)</f>
        <v>6</v>
      </c>
    </row>
    <row r="1440" spans="1:20" hidden="1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  <c r="S1440" t="str">
        <f t="shared" si="22"/>
        <v>Monthly</v>
      </c>
      <c r="T1440" cm="1">
        <f t="array" ref="T1440">_xlfn.SWITCH(S1440,"Annually",6,"Bi-Weekly",2,"Fortnightly",3,"Monthly",4,"Quarterly",5,"Weekly",1)</f>
        <v>4</v>
      </c>
    </row>
    <row r="1441" spans="1:20" hidden="1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  <c r="S1441" t="str">
        <f t="shared" si="22"/>
        <v>Fortnightly</v>
      </c>
      <c r="T1441" cm="1">
        <f t="array" ref="T1441">_xlfn.SWITCH(S1441,"Annually",6,"Bi-Weekly",2,"Fortnightly",3,"Monthly",4,"Quarterly",5,"Weekly",1)</f>
        <v>3</v>
      </c>
    </row>
    <row r="1442" spans="1:20" hidden="1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  <c r="S1442" t="str">
        <f t="shared" si="22"/>
        <v>Monthly</v>
      </c>
      <c r="T1442" cm="1">
        <f t="array" ref="T1442">_xlfn.SWITCH(S1442,"Annually",6,"Bi-Weekly",2,"Fortnightly",3,"Monthly",4,"Quarterly",5,"Weekly",1)</f>
        <v>4</v>
      </c>
    </row>
    <row r="1443" spans="1:20" hidden="1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  <c r="S1443" t="str">
        <f t="shared" si="22"/>
        <v>Quarterly</v>
      </c>
      <c r="T1443" cm="1">
        <f t="array" ref="T1443">_xlfn.SWITCH(S1443,"Annually",6,"Bi-Weekly",2,"Fortnightly",3,"Monthly",4,"Quarterly",5,"Weekly",1)</f>
        <v>5</v>
      </c>
    </row>
    <row r="1444" spans="1:20" hidden="1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  <c r="S1444" t="str">
        <f t="shared" si="22"/>
        <v>Annually</v>
      </c>
      <c r="T1444" cm="1">
        <f t="array" ref="T1444">_xlfn.SWITCH(S1444,"Annually",6,"Bi-Weekly",2,"Fortnightly",3,"Monthly",4,"Quarterly",5,"Weekly",1)</f>
        <v>6</v>
      </c>
    </row>
    <row r="1445" spans="1:20" hidden="1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  <c r="S1445" t="str">
        <f t="shared" si="22"/>
        <v>Monthly</v>
      </c>
      <c r="T1445" cm="1">
        <f t="array" ref="T1445">_xlfn.SWITCH(S1445,"Annually",6,"Bi-Weekly",2,"Fortnightly",3,"Monthly",4,"Quarterly",5,"Weekly",1)</f>
        <v>4</v>
      </c>
    </row>
    <row r="1446" spans="1:20" hidden="1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  <c r="S1446" t="str">
        <f t="shared" si="22"/>
        <v>Quarterly</v>
      </c>
      <c r="T1446" cm="1">
        <f t="array" ref="T1446">_xlfn.SWITCH(S1446,"Annually",6,"Bi-Weekly",2,"Fortnightly",3,"Monthly",4,"Quarterly",5,"Weekly",1)</f>
        <v>5</v>
      </c>
    </row>
    <row r="1447" spans="1:20" hidden="1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  <c r="S1447" t="str">
        <f t="shared" si="22"/>
        <v>Annually</v>
      </c>
      <c r="T1447" cm="1">
        <f t="array" ref="T1447">_xlfn.SWITCH(S1447,"Annually",6,"Bi-Weekly",2,"Fortnightly",3,"Monthly",4,"Quarterly",5,"Weekly",1)</f>
        <v>6</v>
      </c>
    </row>
    <row r="1448" spans="1:20" hidden="1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  <c r="S1448" t="str">
        <f t="shared" si="22"/>
        <v>Quarterly</v>
      </c>
      <c r="T1448" cm="1">
        <f t="array" ref="T1448">_xlfn.SWITCH(S1448,"Annually",6,"Bi-Weekly",2,"Fortnightly",3,"Monthly",4,"Quarterly",5,"Weekly",1)</f>
        <v>5</v>
      </c>
    </row>
    <row r="1449" spans="1:20" hidden="1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  <c r="S1449" t="str">
        <f t="shared" si="22"/>
        <v>Monthly</v>
      </c>
      <c r="T1449" cm="1">
        <f t="array" ref="T1449">_xlfn.SWITCH(S1449,"Annually",6,"Bi-Weekly",2,"Fortnightly",3,"Monthly",4,"Quarterly",5,"Weekly",1)</f>
        <v>4</v>
      </c>
    </row>
    <row r="1450" spans="1:20" hidden="1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  <c r="S1450" t="str">
        <f t="shared" si="22"/>
        <v>Quarterly</v>
      </c>
      <c r="T1450" cm="1">
        <f t="array" ref="T1450">_xlfn.SWITCH(S1450,"Annually",6,"Bi-Weekly",2,"Fortnightly",3,"Monthly",4,"Quarterly",5,"Weekly",1)</f>
        <v>5</v>
      </c>
    </row>
    <row r="1451" spans="1:20" hidden="1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  <c r="S1451" t="str">
        <f t="shared" si="22"/>
        <v>Quarterly</v>
      </c>
      <c r="T1451" cm="1">
        <f t="array" ref="T1451">_xlfn.SWITCH(S1451,"Annually",6,"Bi-Weekly",2,"Fortnightly",3,"Monthly",4,"Quarterly",5,"Weekly",1)</f>
        <v>5</v>
      </c>
    </row>
    <row r="1452" spans="1:20" hidden="1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  <c r="S1452" t="str">
        <f t="shared" si="22"/>
        <v>Quarterly</v>
      </c>
      <c r="T1452" cm="1">
        <f t="array" ref="T1452">_xlfn.SWITCH(S1452,"Annually",6,"Bi-Weekly",2,"Fortnightly",3,"Monthly",4,"Quarterly",5,"Weekly",1)</f>
        <v>5</v>
      </c>
    </row>
    <row r="1453" spans="1:20" hidden="1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  <c r="S1453" t="str">
        <f t="shared" si="22"/>
        <v>Quarterly</v>
      </c>
      <c r="T1453" cm="1">
        <f t="array" ref="T1453">_xlfn.SWITCH(S1453,"Annually",6,"Bi-Weekly",2,"Fortnightly",3,"Monthly",4,"Quarterly",5,"Weekly",1)</f>
        <v>5</v>
      </c>
    </row>
    <row r="1454" spans="1:20" hidden="1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  <c r="S1454" t="str">
        <f t="shared" si="22"/>
        <v>Quarterly</v>
      </c>
      <c r="T1454" cm="1">
        <f t="array" ref="T1454">_xlfn.SWITCH(S1454,"Annually",6,"Bi-Weekly",2,"Fortnightly",3,"Monthly",4,"Quarterly",5,"Weekly",1)</f>
        <v>5</v>
      </c>
    </row>
    <row r="1455" spans="1:20" hidden="1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  <c r="S1455" t="str">
        <f t="shared" si="22"/>
        <v>Fortnightly</v>
      </c>
      <c r="T1455" cm="1">
        <f t="array" ref="T1455">_xlfn.SWITCH(S1455,"Annually",6,"Bi-Weekly",2,"Fortnightly",3,"Monthly",4,"Quarterly",5,"Weekly",1)</f>
        <v>3</v>
      </c>
    </row>
    <row r="1456" spans="1:20" hidden="1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  <c r="S1456" t="str">
        <f t="shared" si="22"/>
        <v>Annually</v>
      </c>
      <c r="T1456" cm="1">
        <f t="array" ref="T1456">_xlfn.SWITCH(S1456,"Annually",6,"Bi-Weekly",2,"Fortnightly",3,"Monthly",4,"Quarterly",5,"Weekly",1)</f>
        <v>6</v>
      </c>
    </row>
    <row r="1457" spans="1:20" hidden="1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  <c r="S1457" t="str">
        <f t="shared" si="22"/>
        <v>Quarterly</v>
      </c>
      <c r="T1457" cm="1">
        <f t="array" ref="T1457">_xlfn.SWITCH(S1457,"Annually",6,"Bi-Weekly",2,"Fortnightly",3,"Monthly",4,"Quarterly",5,"Weekly",1)</f>
        <v>5</v>
      </c>
    </row>
    <row r="1458" spans="1:20" hidden="1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  <c r="S1458" t="str">
        <f t="shared" si="22"/>
        <v>Quarterly</v>
      </c>
      <c r="T1458" cm="1">
        <f t="array" ref="T1458">_xlfn.SWITCH(S1458,"Annually",6,"Bi-Weekly",2,"Fortnightly",3,"Monthly",4,"Quarterly",5,"Weekly",1)</f>
        <v>5</v>
      </c>
    </row>
    <row r="1459" spans="1:20" hidden="1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  <c r="S1459" t="str">
        <f t="shared" si="22"/>
        <v>Fortnightly</v>
      </c>
      <c r="T1459" cm="1">
        <f t="array" ref="T1459">_xlfn.SWITCH(S1459,"Annually",6,"Bi-Weekly",2,"Fortnightly",3,"Monthly",4,"Quarterly",5,"Weekly",1)</f>
        <v>3</v>
      </c>
    </row>
    <row r="1460" spans="1:20" hidden="1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  <c r="S1460" t="str">
        <f t="shared" si="22"/>
        <v>Weekly</v>
      </c>
      <c r="T1460" cm="1">
        <f t="array" ref="T1460">_xlfn.SWITCH(S1460,"Annually",6,"Bi-Weekly",2,"Fortnightly",3,"Monthly",4,"Quarterly",5,"Weekly",1)</f>
        <v>1</v>
      </c>
    </row>
    <row r="1461" spans="1:20" hidden="1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  <c r="S1461" t="str">
        <f t="shared" si="22"/>
        <v>Fortnightly</v>
      </c>
      <c r="T1461" cm="1">
        <f t="array" ref="T1461">_xlfn.SWITCH(S1461,"Annually",6,"Bi-Weekly",2,"Fortnightly",3,"Monthly",4,"Quarterly",5,"Weekly",1)</f>
        <v>3</v>
      </c>
    </row>
    <row r="1462" spans="1:20" hidden="1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  <c r="S1462" t="str">
        <f t="shared" si="22"/>
        <v>Bi-Weekly</v>
      </c>
      <c r="T1462" cm="1">
        <f t="array" ref="T1462">_xlfn.SWITCH(S1462,"Annually",6,"Bi-Weekly",2,"Fortnightly",3,"Monthly",4,"Quarterly",5,"Weekly",1)</f>
        <v>2</v>
      </c>
    </row>
    <row r="1463" spans="1:20" hidden="1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  <c r="S1463" t="str">
        <f t="shared" si="22"/>
        <v>Quarterly</v>
      </c>
      <c r="T1463" cm="1">
        <f t="array" ref="T1463">_xlfn.SWITCH(S1463,"Annually",6,"Bi-Weekly",2,"Fortnightly",3,"Monthly",4,"Quarterly",5,"Weekly",1)</f>
        <v>5</v>
      </c>
    </row>
    <row r="1464" spans="1:20" hidden="1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  <c r="S1464" t="str">
        <f t="shared" si="22"/>
        <v>Quarterly</v>
      </c>
      <c r="T1464" cm="1">
        <f t="array" ref="T1464">_xlfn.SWITCH(S1464,"Annually",6,"Bi-Weekly",2,"Fortnightly",3,"Monthly",4,"Quarterly",5,"Weekly",1)</f>
        <v>5</v>
      </c>
    </row>
    <row r="1465" spans="1:20" hidden="1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  <c r="S1465" t="str">
        <f t="shared" si="22"/>
        <v>Monthly</v>
      </c>
      <c r="T1465" cm="1">
        <f t="array" ref="T1465">_xlfn.SWITCH(S1465,"Annually",6,"Bi-Weekly",2,"Fortnightly",3,"Monthly",4,"Quarterly",5,"Weekly",1)</f>
        <v>4</v>
      </c>
    </row>
    <row r="1466" spans="1:20" hidden="1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  <c r="S1466" t="str">
        <f t="shared" si="22"/>
        <v>Quarterly</v>
      </c>
      <c r="T1466" cm="1">
        <f t="array" ref="T1466">_xlfn.SWITCH(S1466,"Annually",6,"Bi-Weekly",2,"Fortnightly",3,"Monthly",4,"Quarterly",5,"Weekly",1)</f>
        <v>5</v>
      </c>
    </row>
    <row r="1467" spans="1:20" hidden="1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  <c r="S1467" t="str">
        <f t="shared" si="22"/>
        <v>Bi-Weekly</v>
      </c>
      <c r="T1467" cm="1">
        <f t="array" ref="T1467">_xlfn.SWITCH(S1467,"Annually",6,"Bi-Weekly",2,"Fortnightly",3,"Monthly",4,"Quarterly",5,"Weekly",1)</f>
        <v>2</v>
      </c>
    </row>
    <row r="1468" spans="1:20" hidden="1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  <c r="S1468" t="str">
        <f t="shared" si="22"/>
        <v>Annually</v>
      </c>
      <c r="T1468" cm="1">
        <f t="array" ref="T1468">_xlfn.SWITCH(S1468,"Annually",6,"Bi-Weekly",2,"Fortnightly",3,"Monthly",4,"Quarterly",5,"Weekly",1)</f>
        <v>6</v>
      </c>
    </row>
    <row r="1469" spans="1:20" hidden="1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  <c r="S1469" t="str">
        <f t="shared" si="22"/>
        <v>Fortnightly</v>
      </c>
      <c r="T1469" cm="1">
        <f t="array" ref="T1469">_xlfn.SWITCH(S1469,"Annually",6,"Bi-Weekly",2,"Fortnightly",3,"Monthly",4,"Quarterly",5,"Weekly",1)</f>
        <v>3</v>
      </c>
    </row>
    <row r="1470" spans="1:20" hidden="1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  <c r="S1470" t="str">
        <f t="shared" si="22"/>
        <v>Fortnightly</v>
      </c>
      <c r="T1470" cm="1">
        <f t="array" ref="T1470">_xlfn.SWITCH(S1470,"Annually",6,"Bi-Weekly",2,"Fortnightly",3,"Monthly",4,"Quarterly",5,"Weekly",1)</f>
        <v>3</v>
      </c>
    </row>
    <row r="1471" spans="1:20" hidden="1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  <c r="S1471" t="str">
        <f t="shared" si="22"/>
        <v>Quarterly</v>
      </c>
      <c r="T1471" cm="1">
        <f t="array" ref="T1471">_xlfn.SWITCH(S1471,"Annually",6,"Bi-Weekly",2,"Fortnightly",3,"Monthly",4,"Quarterly",5,"Weekly",1)</f>
        <v>5</v>
      </c>
    </row>
    <row r="1472" spans="1:20" hidden="1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  <c r="S1472" t="str">
        <f t="shared" si="22"/>
        <v>Quarterly</v>
      </c>
      <c r="T1472" cm="1">
        <f t="array" ref="T1472">_xlfn.SWITCH(S1472,"Annually",6,"Bi-Weekly",2,"Fortnightly",3,"Monthly",4,"Quarterly",5,"Weekly",1)</f>
        <v>5</v>
      </c>
    </row>
    <row r="1473" spans="1:20" hidden="1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  <c r="S1473" t="str">
        <f t="shared" si="22"/>
        <v>Quarterly</v>
      </c>
      <c r="T1473" cm="1">
        <f t="array" ref="T1473">_xlfn.SWITCH(S1473,"Annually",6,"Bi-Weekly",2,"Fortnightly",3,"Monthly",4,"Quarterly",5,"Weekly",1)</f>
        <v>5</v>
      </c>
    </row>
    <row r="1474" spans="1:20" hidden="1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  <c r="S1474" t="str">
        <f t="shared" si="22"/>
        <v>Weekly</v>
      </c>
      <c r="T1474" cm="1">
        <f t="array" ref="T1474">_xlfn.SWITCH(S1474,"Annually",6,"Bi-Weekly",2,"Fortnightly",3,"Monthly",4,"Quarterly",5,"Weekly",1)</f>
        <v>1</v>
      </c>
    </row>
    <row r="1475" spans="1:20" hidden="1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  <c r="S1475" t="str">
        <f t="shared" ref="S1475:S1538" si="23">IF(R1475="Every 3 Months","Quarterly",R1475)</f>
        <v>Quarterly</v>
      </c>
      <c r="T1475" cm="1">
        <f t="array" ref="T1475">_xlfn.SWITCH(S1475,"Annually",6,"Bi-Weekly",2,"Fortnightly",3,"Monthly",4,"Quarterly",5,"Weekly",1)</f>
        <v>5</v>
      </c>
    </row>
    <row r="1476" spans="1:20" hidden="1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  <c r="S1476" t="str">
        <f t="shared" si="23"/>
        <v>Monthly</v>
      </c>
      <c r="T1476" cm="1">
        <f t="array" ref="T1476">_xlfn.SWITCH(S1476,"Annually",6,"Bi-Weekly",2,"Fortnightly",3,"Monthly",4,"Quarterly",5,"Weekly",1)</f>
        <v>4</v>
      </c>
    </row>
    <row r="1477" spans="1:20" hidden="1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  <c r="S1477" t="str">
        <f t="shared" si="23"/>
        <v>Monthly</v>
      </c>
      <c r="T1477" cm="1">
        <f t="array" ref="T1477">_xlfn.SWITCH(S1477,"Annually",6,"Bi-Weekly",2,"Fortnightly",3,"Monthly",4,"Quarterly",5,"Weekly",1)</f>
        <v>4</v>
      </c>
    </row>
    <row r="1478" spans="1:20" hidden="1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  <c r="S1478" t="str">
        <f t="shared" si="23"/>
        <v>Monthly</v>
      </c>
      <c r="T1478" cm="1">
        <f t="array" ref="T1478">_xlfn.SWITCH(S1478,"Annually",6,"Bi-Weekly",2,"Fortnightly",3,"Monthly",4,"Quarterly",5,"Weekly",1)</f>
        <v>4</v>
      </c>
    </row>
    <row r="1479" spans="1:20" hidden="1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  <c r="S1479" t="str">
        <f t="shared" si="23"/>
        <v>Quarterly</v>
      </c>
      <c r="T1479" cm="1">
        <f t="array" ref="T1479">_xlfn.SWITCH(S1479,"Annually",6,"Bi-Weekly",2,"Fortnightly",3,"Monthly",4,"Quarterly",5,"Weekly",1)</f>
        <v>5</v>
      </c>
    </row>
    <row r="1480" spans="1:20" hidden="1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  <c r="S1480" t="str">
        <f t="shared" si="23"/>
        <v>Bi-Weekly</v>
      </c>
      <c r="T1480" cm="1">
        <f t="array" ref="T1480">_xlfn.SWITCH(S1480,"Annually",6,"Bi-Weekly",2,"Fortnightly",3,"Monthly",4,"Quarterly",5,"Weekly",1)</f>
        <v>2</v>
      </c>
    </row>
    <row r="1481" spans="1:20" hidden="1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  <c r="S1481" t="str">
        <f t="shared" si="23"/>
        <v>Weekly</v>
      </c>
      <c r="T1481" cm="1">
        <f t="array" ref="T1481">_xlfn.SWITCH(S1481,"Annually",6,"Bi-Weekly",2,"Fortnightly",3,"Monthly",4,"Quarterly",5,"Weekly",1)</f>
        <v>1</v>
      </c>
    </row>
    <row r="1482" spans="1:20" hidden="1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  <c r="S1482" t="str">
        <f t="shared" si="23"/>
        <v>Quarterly</v>
      </c>
      <c r="T1482" cm="1">
        <f t="array" ref="T1482">_xlfn.SWITCH(S1482,"Annually",6,"Bi-Weekly",2,"Fortnightly",3,"Monthly",4,"Quarterly",5,"Weekly",1)</f>
        <v>5</v>
      </c>
    </row>
    <row r="1483" spans="1:20" hidden="1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  <c r="S1483" t="str">
        <f t="shared" si="23"/>
        <v>Quarterly</v>
      </c>
      <c r="T1483" cm="1">
        <f t="array" ref="T1483">_xlfn.SWITCH(S1483,"Annually",6,"Bi-Weekly",2,"Fortnightly",3,"Monthly",4,"Quarterly",5,"Weekly",1)</f>
        <v>5</v>
      </c>
    </row>
    <row r="1484" spans="1:20" hidden="1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  <c r="S1484" t="str">
        <f t="shared" si="23"/>
        <v>Weekly</v>
      </c>
      <c r="T1484" cm="1">
        <f t="array" ref="T1484">_xlfn.SWITCH(S1484,"Annually",6,"Bi-Weekly",2,"Fortnightly",3,"Monthly",4,"Quarterly",5,"Weekly",1)</f>
        <v>1</v>
      </c>
    </row>
    <row r="1485" spans="1:20" hidden="1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  <c r="S1485" t="str">
        <f t="shared" si="23"/>
        <v>Bi-Weekly</v>
      </c>
      <c r="T1485" cm="1">
        <f t="array" ref="T1485">_xlfn.SWITCH(S1485,"Annually",6,"Bi-Weekly",2,"Fortnightly",3,"Monthly",4,"Quarterly",5,"Weekly",1)</f>
        <v>2</v>
      </c>
    </row>
    <row r="1486" spans="1:20" hidden="1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  <c r="S1486" t="str">
        <f t="shared" si="23"/>
        <v>Quarterly</v>
      </c>
      <c r="T1486" cm="1">
        <f t="array" ref="T1486">_xlfn.SWITCH(S1486,"Annually",6,"Bi-Weekly",2,"Fortnightly",3,"Monthly",4,"Quarterly",5,"Weekly",1)</f>
        <v>5</v>
      </c>
    </row>
    <row r="1487" spans="1:20" hidden="1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  <c r="S1487" t="str">
        <f t="shared" si="23"/>
        <v>Fortnightly</v>
      </c>
      <c r="T1487" cm="1">
        <f t="array" ref="T1487">_xlfn.SWITCH(S1487,"Annually",6,"Bi-Weekly",2,"Fortnightly",3,"Monthly",4,"Quarterly",5,"Weekly",1)</f>
        <v>3</v>
      </c>
    </row>
    <row r="1488" spans="1:20" hidden="1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  <c r="S1488" t="str">
        <f t="shared" si="23"/>
        <v>Quarterly</v>
      </c>
      <c r="T1488" cm="1">
        <f t="array" ref="T1488">_xlfn.SWITCH(S1488,"Annually",6,"Bi-Weekly",2,"Fortnightly",3,"Monthly",4,"Quarterly",5,"Weekly",1)</f>
        <v>5</v>
      </c>
    </row>
    <row r="1489" spans="1:20" hidden="1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  <c r="S1489" t="str">
        <f t="shared" si="23"/>
        <v>Annually</v>
      </c>
      <c r="T1489" cm="1">
        <f t="array" ref="T1489">_xlfn.SWITCH(S1489,"Annually",6,"Bi-Weekly",2,"Fortnightly",3,"Monthly",4,"Quarterly",5,"Weekly",1)</f>
        <v>6</v>
      </c>
    </row>
    <row r="1490" spans="1:20" hidden="1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  <c r="S1490" t="str">
        <f t="shared" si="23"/>
        <v>Weekly</v>
      </c>
      <c r="T1490" cm="1">
        <f t="array" ref="T1490">_xlfn.SWITCH(S1490,"Annually",6,"Bi-Weekly",2,"Fortnightly",3,"Monthly",4,"Quarterly",5,"Weekly",1)</f>
        <v>1</v>
      </c>
    </row>
    <row r="1491" spans="1:20" hidden="1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  <c r="S1491" t="str">
        <f t="shared" si="23"/>
        <v>Quarterly</v>
      </c>
      <c r="T1491" cm="1">
        <f t="array" ref="T1491">_xlfn.SWITCH(S1491,"Annually",6,"Bi-Weekly",2,"Fortnightly",3,"Monthly",4,"Quarterly",5,"Weekly",1)</f>
        <v>5</v>
      </c>
    </row>
    <row r="1492" spans="1:20" hidden="1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  <c r="S1492" t="str">
        <f t="shared" si="23"/>
        <v>Bi-Weekly</v>
      </c>
      <c r="T1492" cm="1">
        <f t="array" ref="T1492">_xlfn.SWITCH(S1492,"Annually",6,"Bi-Weekly",2,"Fortnightly",3,"Monthly",4,"Quarterly",5,"Weekly",1)</f>
        <v>2</v>
      </c>
    </row>
    <row r="1493" spans="1:20" hidden="1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  <c r="S1493" t="str">
        <f t="shared" si="23"/>
        <v>Quarterly</v>
      </c>
      <c r="T1493" cm="1">
        <f t="array" ref="T1493">_xlfn.SWITCH(S1493,"Annually",6,"Bi-Weekly",2,"Fortnightly",3,"Monthly",4,"Quarterly",5,"Weekly",1)</f>
        <v>5</v>
      </c>
    </row>
    <row r="1494" spans="1:20" hidden="1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  <c r="S1494" t="str">
        <f t="shared" si="23"/>
        <v>Quarterly</v>
      </c>
      <c r="T1494" cm="1">
        <f t="array" ref="T1494">_xlfn.SWITCH(S1494,"Annually",6,"Bi-Weekly",2,"Fortnightly",3,"Monthly",4,"Quarterly",5,"Weekly",1)</f>
        <v>5</v>
      </c>
    </row>
    <row r="1495" spans="1:20" hidden="1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  <c r="S1495" t="str">
        <f t="shared" si="23"/>
        <v>Quarterly</v>
      </c>
      <c r="T1495" cm="1">
        <f t="array" ref="T1495">_xlfn.SWITCH(S1495,"Annually",6,"Bi-Weekly",2,"Fortnightly",3,"Monthly",4,"Quarterly",5,"Weekly",1)</f>
        <v>5</v>
      </c>
    </row>
    <row r="1496" spans="1:20" hidden="1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  <c r="S1496" t="str">
        <f t="shared" si="23"/>
        <v>Fortnightly</v>
      </c>
      <c r="T1496" cm="1">
        <f t="array" ref="T1496">_xlfn.SWITCH(S1496,"Annually",6,"Bi-Weekly",2,"Fortnightly",3,"Monthly",4,"Quarterly",5,"Weekly",1)</f>
        <v>3</v>
      </c>
    </row>
    <row r="1497" spans="1:20" hidden="1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  <c r="S1497" t="str">
        <f t="shared" si="23"/>
        <v>Weekly</v>
      </c>
      <c r="T1497" cm="1">
        <f t="array" ref="T1497">_xlfn.SWITCH(S1497,"Annually",6,"Bi-Weekly",2,"Fortnightly",3,"Monthly",4,"Quarterly",5,"Weekly",1)</f>
        <v>1</v>
      </c>
    </row>
    <row r="1498" spans="1:20" hidden="1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  <c r="S1498" t="str">
        <f t="shared" si="23"/>
        <v>Bi-Weekly</v>
      </c>
      <c r="T1498" cm="1">
        <f t="array" ref="T1498">_xlfn.SWITCH(S1498,"Annually",6,"Bi-Weekly",2,"Fortnightly",3,"Monthly",4,"Quarterly",5,"Weekly",1)</f>
        <v>2</v>
      </c>
    </row>
    <row r="1499" spans="1:20" hidden="1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  <c r="S1499" t="str">
        <f t="shared" si="23"/>
        <v>Quarterly</v>
      </c>
      <c r="T1499" cm="1">
        <f t="array" ref="T1499">_xlfn.SWITCH(S1499,"Annually",6,"Bi-Weekly",2,"Fortnightly",3,"Monthly",4,"Quarterly",5,"Weekly",1)</f>
        <v>5</v>
      </c>
    </row>
    <row r="1500" spans="1:20" hidden="1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  <c r="S1500" t="str">
        <f t="shared" si="23"/>
        <v>Fortnightly</v>
      </c>
      <c r="T1500" cm="1">
        <f t="array" ref="T1500">_xlfn.SWITCH(S1500,"Annually",6,"Bi-Weekly",2,"Fortnightly",3,"Monthly",4,"Quarterly",5,"Weekly",1)</f>
        <v>3</v>
      </c>
    </row>
    <row r="1501" spans="1:20" hidden="1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  <c r="S1501" t="str">
        <f t="shared" si="23"/>
        <v>Quarterly</v>
      </c>
      <c r="T1501" cm="1">
        <f t="array" ref="T1501">_xlfn.SWITCH(S1501,"Annually",6,"Bi-Weekly",2,"Fortnightly",3,"Monthly",4,"Quarterly",5,"Weekly",1)</f>
        <v>5</v>
      </c>
    </row>
    <row r="1502" spans="1:20" hidden="1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  <c r="S1502" t="str">
        <f t="shared" si="23"/>
        <v>Monthly</v>
      </c>
      <c r="T1502" cm="1">
        <f t="array" ref="T1502">_xlfn.SWITCH(S1502,"Annually",6,"Bi-Weekly",2,"Fortnightly",3,"Monthly",4,"Quarterly",5,"Weekly",1)</f>
        <v>4</v>
      </c>
    </row>
    <row r="1503" spans="1:20" hidden="1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  <c r="S1503" t="str">
        <f t="shared" si="23"/>
        <v>Quarterly</v>
      </c>
      <c r="T1503" cm="1">
        <f t="array" ref="T1503">_xlfn.SWITCH(S1503,"Annually",6,"Bi-Weekly",2,"Fortnightly",3,"Monthly",4,"Quarterly",5,"Weekly",1)</f>
        <v>5</v>
      </c>
    </row>
    <row r="1504" spans="1:20" hidden="1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  <c r="S1504" t="str">
        <f t="shared" si="23"/>
        <v>Fortnightly</v>
      </c>
      <c r="T1504" cm="1">
        <f t="array" ref="T1504">_xlfn.SWITCH(S1504,"Annually",6,"Bi-Weekly",2,"Fortnightly",3,"Monthly",4,"Quarterly",5,"Weekly",1)</f>
        <v>3</v>
      </c>
    </row>
    <row r="1505" spans="1:20" hidden="1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  <c r="S1505" t="str">
        <f t="shared" si="23"/>
        <v>Quarterly</v>
      </c>
      <c r="T1505" cm="1">
        <f t="array" ref="T1505">_xlfn.SWITCH(S1505,"Annually",6,"Bi-Weekly",2,"Fortnightly",3,"Monthly",4,"Quarterly",5,"Weekly",1)</f>
        <v>5</v>
      </c>
    </row>
    <row r="1506" spans="1:20" hidden="1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  <c r="S1506" t="str">
        <f t="shared" si="23"/>
        <v>Monthly</v>
      </c>
      <c r="T1506" cm="1">
        <f t="array" ref="T1506">_xlfn.SWITCH(S1506,"Annually",6,"Bi-Weekly",2,"Fortnightly",3,"Monthly",4,"Quarterly",5,"Weekly",1)</f>
        <v>4</v>
      </c>
    </row>
    <row r="1507" spans="1:20" hidden="1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  <c r="S1507" t="str">
        <f t="shared" si="23"/>
        <v>Monthly</v>
      </c>
      <c r="T1507" cm="1">
        <f t="array" ref="T1507">_xlfn.SWITCH(S1507,"Annually",6,"Bi-Weekly",2,"Fortnightly",3,"Monthly",4,"Quarterly",5,"Weekly",1)</f>
        <v>4</v>
      </c>
    </row>
    <row r="1508" spans="1:20" hidden="1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  <c r="S1508" t="str">
        <f t="shared" si="23"/>
        <v>Quarterly</v>
      </c>
      <c r="T1508" cm="1">
        <f t="array" ref="T1508">_xlfn.SWITCH(S1508,"Annually",6,"Bi-Weekly",2,"Fortnightly",3,"Monthly",4,"Quarterly",5,"Weekly",1)</f>
        <v>5</v>
      </c>
    </row>
    <row r="1509" spans="1:20" hidden="1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  <c r="S1509" t="str">
        <f t="shared" si="23"/>
        <v>Annually</v>
      </c>
      <c r="T1509" cm="1">
        <f t="array" ref="T1509">_xlfn.SWITCH(S1509,"Annually",6,"Bi-Weekly",2,"Fortnightly",3,"Monthly",4,"Quarterly",5,"Weekly",1)</f>
        <v>6</v>
      </c>
    </row>
    <row r="1510" spans="1:20" hidden="1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  <c r="S1510" t="str">
        <f t="shared" si="23"/>
        <v>Quarterly</v>
      </c>
      <c r="T1510" cm="1">
        <f t="array" ref="T1510">_xlfn.SWITCH(S1510,"Annually",6,"Bi-Weekly",2,"Fortnightly",3,"Monthly",4,"Quarterly",5,"Weekly",1)</f>
        <v>5</v>
      </c>
    </row>
    <row r="1511" spans="1:20" hidden="1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  <c r="S1511" t="str">
        <f t="shared" si="23"/>
        <v>Annually</v>
      </c>
      <c r="T1511" cm="1">
        <f t="array" ref="T1511">_xlfn.SWITCH(S1511,"Annually",6,"Bi-Weekly",2,"Fortnightly",3,"Monthly",4,"Quarterly",5,"Weekly",1)</f>
        <v>6</v>
      </c>
    </row>
    <row r="1512" spans="1:20" hidden="1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  <c r="S1512" t="str">
        <f t="shared" si="23"/>
        <v>Annually</v>
      </c>
      <c r="T1512" cm="1">
        <f t="array" ref="T1512">_xlfn.SWITCH(S1512,"Annually",6,"Bi-Weekly",2,"Fortnightly",3,"Monthly",4,"Quarterly",5,"Weekly",1)</f>
        <v>6</v>
      </c>
    </row>
    <row r="1513" spans="1:20" hidden="1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  <c r="S1513" t="str">
        <f t="shared" si="23"/>
        <v>Weekly</v>
      </c>
      <c r="T1513" cm="1">
        <f t="array" ref="T1513">_xlfn.SWITCH(S1513,"Annually",6,"Bi-Weekly",2,"Fortnightly",3,"Monthly",4,"Quarterly",5,"Weekly",1)</f>
        <v>1</v>
      </c>
    </row>
    <row r="1514" spans="1:20" hidden="1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  <c r="S1514" t="str">
        <f t="shared" si="23"/>
        <v>Bi-Weekly</v>
      </c>
      <c r="T1514" cm="1">
        <f t="array" ref="T1514">_xlfn.SWITCH(S1514,"Annually",6,"Bi-Weekly",2,"Fortnightly",3,"Monthly",4,"Quarterly",5,"Weekly",1)</f>
        <v>2</v>
      </c>
    </row>
    <row r="1515" spans="1:20" hidden="1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  <c r="S1515" t="str">
        <f t="shared" si="23"/>
        <v>Monthly</v>
      </c>
      <c r="T1515" cm="1">
        <f t="array" ref="T1515">_xlfn.SWITCH(S1515,"Annually",6,"Bi-Weekly",2,"Fortnightly",3,"Monthly",4,"Quarterly",5,"Weekly",1)</f>
        <v>4</v>
      </c>
    </row>
    <row r="1516" spans="1:20" hidden="1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  <c r="S1516" t="str">
        <f t="shared" si="23"/>
        <v>Weekly</v>
      </c>
      <c r="T1516" cm="1">
        <f t="array" ref="T1516">_xlfn.SWITCH(S1516,"Annually",6,"Bi-Weekly",2,"Fortnightly",3,"Monthly",4,"Quarterly",5,"Weekly",1)</f>
        <v>1</v>
      </c>
    </row>
    <row r="1517" spans="1:20" hidden="1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  <c r="S1517" t="str">
        <f t="shared" si="23"/>
        <v>Weekly</v>
      </c>
      <c r="T1517" cm="1">
        <f t="array" ref="T1517">_xlfn.SWITCH(S1517,"Annually",6,"Bi-Weekly",2,"Fortnightly",3,"Monthly",4,"Quarterly",5,"Weekly",1)</f>
        <v>1</v>
      </c>
    </row>
    <row r="1518" spans="1:20" hidden="1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  <c r="S1518" t="str">
        <f t="shared" si="23"/>
        <v>Bi-Weekly</v>
      </c>
      <c r="T1518" cm="1">
        <f t="array" ref="T1518">_xlfn.SWITCH(S1518,"Annually",6,"Bi-Weekly",2,"Fortnightly",3,"Monthly",4,"Quarterly",5,"Weekly",1)</f>
        <v>2</v>
      </c>
    </row>
    <row r="1519" spans="1:20" hidden="1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  <c r="S1519" t="str">
        <f t="shared" si="23"/>
        <v>Quarterly</v>
      </c>
      <c r="T1519" cm="1">
        <f t="array" ref="T1519">_xlfn.SWITCH(S1519,"Annually",6,"Bi-Weekly",2,"Fortnightly",3,"Monthly",4,"Quarterly",5,"Weekly",1)</f>
        <v>5</v>
      </c>
    </row>
    <row r="1520" spans="1:20" hidden="1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  <c r="S1520" t="str">
        <f t="shared" si="23"/>
        <v>Fortnightly</v>
      </c>
      <c r="T1520" cm="1">
        <f t="array" ref="T1520">_xlfn.SWITCH(S1520,"Annually",6,"Bi-Weekly",2,"Fortnightly",3,"Monthly",4,"Quarterly",5,"Weekly",1)</f>
        <v>3</v>
      </c>
    </row>
    <row r="1521" spans="1:20" hidden="1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  <c r="S1521" t="str">
        <f t="shared" si="23"/>
        <v>Weekly</v>
      </c>
      <c r="T1521" cm="1">
        <f t="array" ref="T1521">_xlfn.SWITCH(S1521,"Annually",6,"Bi-Weekly",2,"Fortnightly",3,"Monthly",4,"Quarterly",5,"Weekly",1)</f>
        <v>1</v>
      </c>
    </row>
    <row r="1522" spans="1:20" hidden="1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  <c r="S1522" t="str">
        <f t="shared" si="23"/>
        <v>Quarterly</v>
      </c>
      <c r="T1522" cm="1">
        <f t="array" ref="T1522">_xlfn.SWITCH(S1522,"Annually",6,"Bi-Weekly",2,"Fortnightly",3,"Monthly",4,"Quarterly",5,"Weekly",1)</f>
        <v>5</v>
      </c>
    </row>
    <row r="1523" spans="1:20" hidden="1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  <c r="S1523" t="str">
        <f t="shared" si="23"/>
        <v>Weekly</v>
      </c>
      <c r="T1523" cm="1">
        <f t="array" ref="T1523">_xlfn.SWITCH(S1523,"Annually",6,"Bi-Weekly",2,"Fortnightly",3,"Monthly",4,"Quarterly",5,"Weekly",1)</f>
        <v>1</v>
      </c>
    </row>
    <row r="1524" spans="1:20" hidden="1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  <c r="S1524" t="str">
        <f t="shared" si="23"/>
        <v>Monthly</v>
      </c>
      <c r="T1524" cm="1">
        <f t="array" ref="T1524">_xlfn.SWITCH(S1524,"Annually",6,"Bi-Weekly",2,"Fortnightly",3,"Monthly",4,"Quarterly",5,"Weekly",1)</f>
        <v>4</v>
      </c>
    </row>
    <row r="1525" spans="1:20" hidden="1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  <c r="S1525" t="str">
        <f t="shared" si="23"/>
        <v>Annually</v>
      </c>
      <c r="T1525" cm="1">
        <f t="array" ref="T1525">_xlfn.SWITCH(S1525,"Annually",6,"Bi-Weekly",2,"Fortnightly",3,"Monthly",4,"Quarterly",5,"Weekly",1)</f>
        <v>6</v>
      </c>
    </row>
    <row r="1526" spans="1:20" hidden="1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  <c r="S1526" t="str">
        <f t="shared" si="23"/>
        <v>Bi-Weekly</v>
      </c>
      <c r="T1526" cm="1">
        <f t="array" ref="T1526">_xlfn.SWITCH(S1526,"Annually",6,"Bi-Weekly",2,"Fortnightly",3,"Monthly",4,"Quarterly",5,"Weekly",1)</f>
        <v>2</v>
      </c>
    </row>
    <row r="1527" spans="1:20" hidden="1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  <c r="S1527" t="str">
        <f t="shared" si="23"/>
        <v>Fortnightly</v>
      </c>
      <c r="T1527" cm="1">
        <f t="array" ref="T1527">_xlfn.SWITCH(S1527,"Annually",6,"Bi-Weekly",2,"Fortnightly",3,"Monthly",4,"Quarterly",5,"Weekly",1)</f>
        <v>3</v>
      </c>
    </row>
    <row r="1528" spans="1:20" hidden="1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  <c r="S1528" t="str">
        <f t="shared" si="23"/>
        <v>Monthly</v>
      </c>
      <c r="T1528" cm="1">
        <f t="array" ref="T1528">_xlfn.SWITCH(S1528,"Annually",6,"Bi-Weekly",2,"Fortnightly",3,"Monthly",4,"Quarterly",5,"Weekly",1)</f>
        <v>4</v>
      </c>
    </row>
    <row r="1529" spans="1:20" hidden="1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  <c r="S1529" t="str">
        <f t="shared" si="23"/>
        <v>Fortnightly</v>
      </c>
      <c r="T1529" cm="1">
        <f t="array" ref="T1529">_xlfn.SWITCH(S1529,"Annually",6,"Bi-Weekly",2,"Fortnightly",3,"Monthly",4,"Quarterly",5,"Weekly",1)</f>
        <v>3</v>
      </c>
    </row>
    <row r="1530" spans="1:20" hidden="1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  <c r="S1530" t="str">
        <f t="shared" si="23"/>
        <v>Bi-Weekly</v>
      </c>
      <c r="T1530" cm="1">
        <f t="array" ref="T1530">_xlfn.SWITCH(S1530,"Annually",6,"Bi-Weekly",2,"Fortnightly",3,"Monthly",4,"Quarterly",5,"Weekly",1)</f>
        <v>2</v>
      </c>
    </row>
    <row r="1531" spans="1:20" hidden="1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  <c r="S1531" t="str">
        <f t="shared" si="23"/>
        <v>Bi-Weekly</v>
      </c>
      <c r="T1531" cm="1">
        <f t="array" ref="T1531">_xlfn.SWITCH(S1531,"Annually",6,"Bi-Weekly",2,"Fortnightly",3,"Monthly",4,"Quarterly",5,"Weekly",1)</f>
        <v>2</v>
      </c>
    </row>
    <row r="1532" spans="1:20" hidden="1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  <c r="S1532" t="str">
        <f t="shared" si="23"/>
        <v>Quarterly</v>
      </c>
      <c r="T1532" cm="1">
        <f t="array" ref="T1532">_xlfn.SWITCH(S1532,"Annually",6,"Bi-Weekly",2,"Fortnightly",3,"Monthly",4,"Quarterly",5,"Weekly",1)</f>
        <v>5</v>
      </c>
    </row>
    <row r="1533" spans="1:20" hidden="1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  <c r="S1533" t="str">
        <f t="shared" si="23"/>
        <v>Bi-Weekly</v>
      </c>
      <c r="T1533" cm="1">
        <f t="array" ref="T1533">_xlfn.SWITCH(S1533,"Annually",6,"Bi-Weekly",2,"Fortnightly",3,"Monthly",4,"Quarterly",5,"Weekly",1)</f>
        <v>2</v>
      </c>
    </row>
    <row r="1534" spans="1:20" hidden="1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  <c r="S1534" t="str">
        <f t="shared" si="23"/>
        <v>Quarterly</v>
      </c>
      <c r="T1534" cm="1">
        <f t="array" ref="T1534">_xlfn.SWITCH(S1534,"Annually",6,"Bi-Weekly",2,"Fortnightly",3,"Monthly",4,"Quarterly",5,"Weekly",1)</f>
        <v>5</v>
      </c>
    </row>
    <row r="1535" spans="1:20" hidden="1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  <c r="S1535" t="str">
        <f t="shared" si="23"/>
        <v>Quarterly</v>
      </c>
      <c r="T1535" cm="1">
        <f t="array" ref="T1535">_xlfn.SWITCH(S1535,"Annually",6,"Bi-Weekly",2,"Fortnightly",3,"Monthly",4,"Quarterly",5,"Weekly",1)</f>
        <v>5</v>
      </c>
    </row>
    <row r="1536" spans="1:20" hidden="1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  <c r="S1536" t="str">
        <f t="shared" si="23"/>
        <v>Fortnightly</v>
      </c>
      <c r="T1536" cm="1">
        <f t="array" ref="T1536">_xlfn.SWITCH(S1536,"Annually",6,"Bi-Weekly",2,"Fortnightly",3,"Monthly",4,"Quarterly",5,"Weekly",1)</f>
        <v>3</v>
      </c>
    </row>
    <row r="1537" spans="1:20" hidden="1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  <c r="S1537" t="str">
        <f t="shared" si="23"/>
        <v>Monthly</v>
      </c>
      <c r="T1537" cm="1">
        <f t="array" ref="T1537">_xlfn.SWITCH(S1537,"Annually",6,"Bi-Weekly",2,"Fortnightly",3,"Monthly",4,"Quarterly",5,"Weekly",1)</f>
        <v>4</v>
      </c>
    </row>
    <row r="1538" spans="1:20" hidden="1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  <c r="S1538" t="str">
        <f t="shared" si="23"/>
        <v>Quarterly</v>
      </c>
      <c r="T1538" cm="1">
        <f t="array" ref="T1538">_xlfn.SWITCH(S1538,"Annually",6,"Bi-Weekly",2,"Fortnightly",3,"Monthly",4,"Quarterly",5,"Weekly",1)</f>
        <v>5</v>
      </c>
    </row>
    <row r="1539" spans="1:20" hidden="1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  <c r="S1539" t="str">
        <f t="shared" ref="S1539:S1602" si="24">IF(R1539="Every 3 Months","Quarterly",R1539)</f>
        <v>Annually</v>
      </c>
      <c r="T1539" cm="1">
        <f t="array" ref="T1539">_xlfn.SWITCH(S1539,"Annually",6,"Bi-Weekly",2,"Fortnightly",3,"Monthly",4,"Quarterly",5,"Weekly",1)</f>
        <v>6</v>
      </c>
    </row>
    <row r="1540" spans="1:20" hidden="1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  <c r="S1540" t="str">
        <f t="shared" si="24"/>
        <v>Bi-Weekly</v>
      </c>
      <c r="T1540" cm="1">
        <f t="array" ref="T1540">_xlfn.SWITCH(S1540,"Annually",6,"Bi-Weekly",2,"Fortnightly",3,"Monthly",4,"Quarterly",5,"Weekly",1)</f>
        <v>2</v>
      </c>
    </row>
    <row r="1541" spans="1:20" hidden="1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  <c r="S1541" t="str">
        <f t="shared" si="24"/>
        <v>Quarterly</v>
      </c>
      <c r="T1541" cm="1">
        <f t="array" ref="T1541">_xlfn.SWITCH(S1541,"Annually",6,"Bi-Weekly",2,"Fortnightly",3,"Monthly",4,"Quarterly",5,"Weekly",1)</f>
        <v>5</v>
      </c>
    </row>
    <row r="1542" spans="1:20" hidden="1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  <c r="S1542" t="str">
        <f t="shared" si="24"/>
        <v>Monthly</v>
      </c>
      <c r="T1542" cm="1">
        <f t="array" ref="T1542">_xlfn.SWITCH(S1542,"Annually",6,"Bi-Weekly",2,"Fortnightly",3,"Monthly",4,"Quarterly",5,"Weekly",1)</f>
        <v>4</v>
      </c>
    </row>
    <row r="1543" spans="1:20" hidden="1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  <c r="S1543" t="str">
        <f t="shared" si="24"/>
        <v>Bi-Weekly</v>
      </c>
      <c r="T1543" cm="1">
        <f t="array" ref="T1543">_xlfn.SWITCH(S1543,"Annually",6,"Bi-Weekly",2,"Fortnightly",3,"Monthly",4,"Quarterly",5,"Weekly",1)</f>
        <v>2</v>
      </c>
    </row>
    <row r="1544" spans="1:20" hidden="1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  <c r="S1544" t="str">
        <f t="shared" si="24"/>
        <v>Weekly</v>
      </c>
      <c r="T1544" cm="1">
        <f t="array" ref="T1544">_xlfn.SWITCH(S1544,"Annually",6,"Bi-Weekly",2,"Fortnightly",3,"Monthly",4,"Quarterly",5,"Weekly",1)</f>
        <v>1</v>
      </c>
    </row>
    <row r="1545" spans="1:20" hidden="1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  <c r="S1545" t="str">
        <f t="shared" si="24"/>
        <v>Annually</v>
      </c>
      <c r="T1545" cm="1">
        <f t="array" ref="T1545">_xlfn.SWITCH(S1545,"Annually",6,"Bi-Weekly",2,"Fortnightly",3,"Monthly",4,"Quarterly",5,"Weekly",1)</f>
        <v>6</v>
      </c>
    </row>
    <row r="1546" spans="1:20" hidden="1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  <c r="S1546" t="str">
        <f t="shared" si="24"/>
        <v>Bi-Weekly</v>
      </c>
      <c r="T1546" cm="1">
        <f t="array" ref="T1546">_xlfn.SWITCH(S1546,"Annually",6,"Bi-Weekly",2,"Fortnightly",3,"Monthly",4,"Quarterly",5,"Weekly",1)</f>
        <v>2</v>
      </c>
    </row>
    <row r="1547" spans="1:20" hidden="1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  <c r="S1547" t="str">
        <f t="shared" si="24"/>
        <v>Annually</v>
      </c>
      <c r="T1547" cm="1">
        <f t="array" ref="T1547">_xlfn.SWITCH(S1547,"Annually",6,"Bi-Weekly",2,"Fortnightly",3,"Monthly",4,"Quarterly",5,"Weekly",1)</f>
        <v>6</v>
      </c>
    </row>
    <row r="1548" spans="1:20" hidden="1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  <c r="S1548" t="str">
        <f t="shared" si="24"/>
        <v>Annually</v>
      </c>
      <c r="T1548" cm="1">
        <f t="array" ref="T1548">_xlfn.SWITCH(S1548,"Annually",6,"Bi-Weekly",2,"Fortnightly",3,"Monthly",4,"Quarterly",5,"Weekly",1)</f>
        <v>6</v>
      </c>
    </row>
    <row r="1549" spans="1:20" hidden="1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  <c r="S1549" t="str">
        <f t="shared" si="24"/>
        <v>Quarterly</v>
      </c>
      <c r="T1549" cm="1">
        <f t="array" ref="T1549">_xlfn.SWITCH(S1549,"Annually",6,"Bi-Weekly",2,"Fortnightly",3,"Monthly",4,"Quarterly",5,"Weekly",1)</f>
        <v>5</v>
      </c>
    </row>
    <row r="1550" spans="1:20" hidden="1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  <c r="S1550" t="str">
        <f t="shared" si="24"/>
        <v>Weekly</v>
      </c>
      <c r="T1550" cm="1">
        <f t="array" ref="T1550">_xlfn.SWITCH(S1550,"Annually",6,"Bi-Weekly",2,"Fortnightly",3,"Monthly",4,"Quarterly",5,"Weekly",1)</f>
        <v>1</v>
      </c>
    </row>
    <row r="1551" spans="1:20" hidden="1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  <c r="S1551" t="str">
        <f t="shared" si="24"/>
        <v>Quarterly</v>
      </c>
      <c r="T1551" cm="1">
        <f t="array" ref="T1551">_xlfn.SWITCH(S1551,"Annually",6,"Bi-Weekly",2,"Fortnightly",3,"Monthly",4,"Quarterly",5,"Weekly",1)</f>
        <v>5</v>
      </c>
    </row>
    <row r="1552" spans="1:20" hidden="1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  <c r="S1552" t="str">
        <f t="shared" si="24"/>
        <v>Quarterly</v>
      </c>
      <c r="T1552" cm="1">
        <f t="array" ref="T1552">_xlfn.SWITCH(S1552,"Annually",6,"Bi-Weekly",2,"Fortnightly",3,"Monthly",4,"Quarterly",5,"Weekly",1)</f>
        <v>5</v>
      </c>
    </row>
    <row r="1553" spans="1:20" hidden="1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  <c r="S1553" t="str">
        <f t="shared" si="24"/>
        <v>Monthly</v>
      </c>
      <c r="T1553" cm="1">
        <f t="array" ref="T1553">_xlfn.SWITCH(S1553,"Annually",6,"Bi-Weekly",2,"Fortnightly",3,"Monthly",4,"Quarterly",5,"Weekly",1)</f>
        <v>4</v>
      </c>
    </row>
    <row r="1554" spans="1:20" hidden="1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  <c r="S1554" t="str">
        <f t="shared" si="24"/>
        <v>Monthly</v>
      </c>
      <c r="T1554" cm="1">
        <f t="array" ref="T1554">_xlfn.SWITCH(S1554,"Annually",6,"Bi-Weekly",2,"Fortnightly",3,"Monthly",4,"Quarterly",5,"Weekly",1)</f>
        <v>4</v>
      </c>
    </row>
    <row r="1555" spans="1:20" hidden="1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  <c r="S1555" t="str">
        <f t="shared" si="24"/>
        <v>Quarterly</v>
      </c>
      <c r="T1555" cm="1">
        <f t="array" ref="T1555">_xlfn.SWITCH(S1555,"Annually",6,"Bi-Weekly",2,"Fortnightly",3,"Monthly",4,"Quarterly",5,"Weekly",1)</f>
        <v>5</v>
      </c>
    </row>
    <row r="1556" spans="1:20" hidden="1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  <c r="S1556" t="str">
        <f t="shared" si="24"/>
        <v>Bi-Weekly</v>
      </c>
      <c r="T1556" cm="1">
        <f t="array" ref="T1556">_xlfn.SWITCH(S1556,"Annually",6,"Bi-Weekly",2,"Fortnightly",3,"Monthly",4,"Quarterly",5,"Weekly",1)</f>
        <v>2</v>
      </c>
    </row>
    <row r="1557" spans="1:20" hidden="1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  <c r="S1557" t="str">
        <f t="shared" si="24"/>
        <v>Quarterly</v>
      </c>
      <c r="T1557" cm="1">
        <f t="array" ref="T1557">_xlfn.SWITCH(S1557,"Annually",6,"Bi-Weekly",2,"Fortnightly",3,"Monthly",4,"Quarterly",5,"Weekly",1)</f>
        <v>5</v>
      </c>
    </row>
    <row r="1558" spans="1:20" hidden="1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  <c r="S1558" t="str">
        <f t="shared" si="24"/>
        <v>Quarterly</v>
      </c>
      <c r="T1558" cm="1">
        <f t="array" ref="T1558">_xlfn.SWITCH(S1558,"Annually",6,"Bi-Weekly",2,"Fortnightly",3,"Monthly",4,"Quarterly",5,"Weekly",1)</f>
        <v>5</v>
      </c>
    </row>
    <row r="1559" spans="1:20" hidden="1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  <c r="S1559" t="str">
        <f t="shared" si="24"/>
        <v>Quarterly</v>
      </c>
      <c r="T1559" cm="1">
        <f t="array" ref="T1559">_xlfn.SWITCH(S1559,"Annually",6,"Bi-Weekly",2,"Fortnightly",3,"Monthly",4,"Quarterly",5,"Weekly",1)</f>
        <v>5</v>
      </c>
    </row>
    <row r="1560" spans="1:20" hidden="1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  <c r="S1560" t="str">
        <f t="shared" si="24"/>
        <v>Quarterly</v>
      </c>
      <c r="T1560" cm="1">
        <f t="array" ref="T1560">_xlfn.SWITCH(S1560,"Annually",6,"Bi-Weekly",2,"Fortnightly",3,"Monthly",4,"Quarterly",5,"Weekly",1)</f>
        <v>5</v>
      </c>
    </row>
    <row r="1561" spans="1:20" hidden="1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  <c r="S1561" t="str">
        <f t="shared" si="24"/>
        <v>Fortnightly</v>
      </c>
      <c r="T1561" cm="1">
        <f t="array" ref="T1561">_xlfn.SWITCH(S1561,"Annually",6,"Bi-Weekly",2,"Fortnightly",3,"Monthly",4,"Quarterly",5,"Weekly",1)</f>
        <v>3</v>
      </c>
    </row>
    <row r="1562" spans="1:20" hidden="1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  <c r="S1562" t="str">
        <f t="shared" si="24"/>
        <v>Weekly</v>
      </c>
      <c r="T1562" cm="1">
        <f t="array" ref="T1562">_xlfn.SWITCH(S1562,"Annually",6,"Bi-Weekly",2,"Fortnightly",3,"Monthly",4,"Quarterly",5,"Weekly",1)</f>
        <v>1</v>
      </c>
    </row>
    <row r="1563" spans="1:20" hidden="1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  <c r="S1563" t="str">
        <f t="shared" si="24"/>
        <v>Quarterly</v>
      </c>
      <c r="T1563" cm="1">
        <f t="array" ref="T1563">_xlfn.SWITCH(S1563,"Annually",6,"Bi-Weekly",2,"Fortnightly",3,"Monthly",4,"Quarterly",5,"Weekly",1)</f>
        <v>5</v>
      </c>
    </row>
    <row r="1564" spans="1:20" hidden="1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  <c r="S1564" t="str">
        <f t="shared" si="24"/>
        <v>Bi-Weekly</v>
      </c>
      <c r="T1564" cm="1">
        <f t="array" ref="T1564">_xlfn.SWITCH(S1564,"Annually",6,"Bi-Weekly",2,"Fortnightly",3,"Monthly",4,"Quarterly",5,"Weekly",1)</f>
        <v>2</v>
      </c>
    </row>
    <row r="1565" spans="1:20" hidden="1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  <c r="S1565" t="str">
        <f t="shared" si="24"/>
        <v>Weekly</v>
      </c>
      <c r="T1565" cm="1">
        <f t="array" ref="T1565">_xlfn.SWITCH(S1565,"Annually",6,"Bi-Weekly",2,"Fortnightly",3,"Monthly",4,"Quarterly",5,"Weekly",1)</f>
        <v>1</v>
      </c>
    </row>
    <row r="1566" spans="1:20" hidden="1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  <c r="S1566" t="str">
        <f t="shared" si="24"/>
        <v>Quarterly</v>
      </c>
      <c r="T1566" cm="1">
        <f t="array" ref="T1566">_xlfn.SWITCH(S1566,"Annually",6,"Bi-Weekly",2,"Fortnightly",3,"Monthly",4,"Quarterly",5,"Weekly",1)</f>
        <v>5</v>
      </c>
    </row>
    <row r="1567" spans="1:20" hidden="1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  <c r="S1567" t="str">
        <f t="shared" si="24"/>
        <v>Annually</v>
      </c>
      <c r="T1567" cm="1">
        <f t="array" ref="T1567">_xlfn.SWITCH(S1567,"Annually",6,"Bi-Weekly",2,"Fortnightly",3,"Monthly",4,"Quarterly",5,"Weekly",1)</f>
        <v>6</v>
      </c>
    </row>
    <row r="1568" spans="1:20" hidden="1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  <c r="S1568" t="str">
        <f t="shared" si="24"/>
        <v>Bi-Weekly</v>
      </c>
      <c r="T1568" cm="1">
        <f t="array" ref="T1568">_xlfn.SWITCH(S1568,"Annually",6,"Bi-Weekly",2,"Fortnightly",3,"Monthly",4,"Quarterly",5,"Weekly",1)</f>
        <v>2</v>
      </c>
    </row>
    <row r="1569" spans="1:20" hidden="1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  <c r="S1569" t="str">
        <f t="shared" si="24"/>
        <v>Monthly</v>
      </c>
      <c r="T1569" cm="1">
        <f t="array" ref="T1569">_xlfn.SWITCH(S1569,"Annually",6,"Bi-Weekly",2,"Fortnightly",3,"Monthly",4,"Quarterly",5,"Weekly",1)</f>
        <v>4</v>
      </c>
    </row>
    <row r="1570" spans="1:20" hidden="1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  <c r="S1570" t="str">
        <f t="shared" si="24"/>
        <v>Monthly</v>
      </c>
      <c r="T1570" cm="1">
        <f t="array" ref="T1570">_xlfn.SWITCH(S1570,"Annually",6,"Bi-Weekly",2,"Fortnightly",3,"Monthly",4,"Quarterly",5,"Weekly",1)</f>
        <v>4</v>
      </c>
    </row>
    <row r="1571" spans="1:20" hidden="1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  <c r="S1571" t="str">
        <f t="shared" si="24"/>
        <v>Weekly</v>
      </c>
      <c r="T1571" cm="1">
        <f t="array" ref="T1571">_xlfn.SWITCH(S1571,"Annually",6,"Bi-Weekly",2,"Fortnightly",3,"Monthly",4,"Quarterly",5,"Weekly",1)</f>
        <v>1</v>
      </c>
    </row>
    <row r="1572" spans="1:20" hidden="1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  <c r="S1572" t="str">
        <f t="shared" si="24"/>
        <v>Quarterly</v>
      </c>
      <c r="T1572" cm="1">
        <f t="array" ref="T1572">_xlfn.SWITCH(S1572,"Annually",6,"Bi-Weekly",2,"Fortnightly",3,"Monthly",4,"Quarterly",5,"Weekly",1)</f>
        <v>5</v>
      </c>
    </row>
    <row r="1573" spans="1:20" hidden="1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  <c r="S1573" t="str">
        <f t="shared" si="24"/>
        <v>Fortnightly</v>
      </c>
      <c r="T1573" cm="1">
        <f t="array" ref="T1573">_xlfn.SWITCH(S1573,"Annually",6,"Bi-Weekly",2,"Fortnightly",3,"Monthly",4,"Quarterly",5,"Weekly",1)</f>
        <v>3</v>
      </c>
    </row>
    <row r="1574" spans="1:20" hidden="1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  <c r="S1574" t="str">
        <f t="shared" si="24"/>
        <v>Monthly</v>
      </c>
      <c r="T1574" cm="1">
        <f t="array" ref="T1574">_xlfn.SWITCH(S1574,"Annually",6,"Bi-Weekly",2,"Fortnightly",3,"Monthly",4,"Quarterly",5,"Weekly",1)</f>
        <v>4</v>
      </c>
    </row>
    <row r="1575" spans="1:20" hidden="1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  <c r="S1575" t="str">
        <f t="shared" si="24"/>
        <v>Weekly</v>
      </c>
      <c r="T1575" cm="1">
        <f t="array" ref="T1575">_xlfn.SWITCH(S1575,"Annually",6,"Bi-Weekly",2,"Fortnightly",3,"Monthly",4,"Quarterly",5,"Weekly",1)</f>
        <v>1</v>
      </c>
    </row>
    <row r="1576" spans="1:20" hidden="1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  <c r="S1576" t="str">
        <f t="shared" si="24"/>
        <v>Bi-Weekly</v>
      </c>
      <c r="T1576" cm="1">
        <f t="array" ref="T1576">_xlfn.SWITCH(S1576,"Annually",6,"Bi-Weekly",2,"Fortnightly",3,"Monthly",4,"Quarterly",5,"Weekly",1)</f>
        <v>2</v>
      </c>
    </row>
    <row r="1577" spans="1:20" hidden="1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  <c r="S1577" t="str">
        <f t="shared" si="24"/>
        <v>Fortnightly</v>
      </c>
      <c r="T1577" cm="1">
        <f t="array" ref="T1577">_xlfn.SWITCH(S1577,"Annually",6,"Bi-Weekly",2,"Fortnightly",3,"Monthly",4,"Quarterly",5,"Weekly",1)</f>
        <v>3</v>
      </c>
    </row>
    <row r="1578" spans="1:20" hidden="1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  <c r="S1578" t="str">
        <f t="shared" si="24"/>
        <v>Monthly</v>
      </c>
      <c r="T1578" cm="1">
        <f t="array" ref="T1578">_xlfn.SWITCH(S1578,"Annually",6,"Bi-Weekly",2,"Fortnightly",3,"Monthly",4,"Quarterly",5,"Weekly",1)</f>
        <v>4</v>
      </c>
    </row>
    <row r="1579" spans="1:20" hidden="1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  <c r="S1579" t="str">
        <f t="shared" si="24"/>
        <v>Fortnightly</v>
      </c>
      <c r="T1579" cm="1">
        <f t="array" ref="T1579">_xlfn.SWITCH(S1579,"Annually",6,"Bi-Weekly",2,"Fortnightly",3,"Monthly",4,"Quarterly",5,"Weekly",1)</f>
        <v>3</v>
      </c>
    </row>
    <row r="1580" spans="1:20" hidden="1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  <c r="S1580" t="str">
        <f t="shared" si="24"/>
        <v>Quarterly</v>
      </c>
      <c r="T1580" cm="1">
        <f t="array" ref="T1580">_xlfn.SWITCH(S1580,"Annually",6,"Bi-Weekly",2,"Fortnightly",3,"Monthly",4,"Quarterly",5,"Weekly",1)</f>
        <v>5</v>
      </c>
    </row>
    <row r="1581" spans="1:20" hidden="1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  <c r="S1581" t="str">
        <f t="shared" si="24"/>
        <v>Monthly</v>
      </c>
      <c r="T1581" cm="1">
        <f t="array" ref="T1581">_xlfn.SWITCH(S1581,"Annually",6,"Bi-Weekly",2,"Fortnightly",3,"Monthly",4,"Quarterly",5,"Weekly",1)</f>
        <v>4</v>
      </c>
    </row>
    <row r="1582" spans="1:20" hidden="1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  <c r="S1582" t="str">
        <f t="shared" si="24"/>
        <v>Annually</v>
      </c>
      <c r="T1582" cm="1">
        <f t="array" ref="T1582">_xlfn.SWITCH(S1582,"Annually",6,"Bi-Weekly",2,"Fortnightly",3,"Monthly",4,"Quarterly",5,"Weekly",1)</f>
        <v>6</v>
      </c>
    </row>
    <row r="1583" spans="1:20" hidden="1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  <c r="S1583" t="str">
        <f t="shared" si="24"/>
        <v>Quarterly</v>
      </c>
      <c r="T1583" cm="1">
        <f t="array" ref="T1583">_xlfn.SWITCH(S1583,"Annually",6,"Bi-Weekly",2,"Fortnightly",3,"Monthly",4,"Quarterly",5,"Weekly",1)</f>
        <v>5</v>
      </c>
    </row>
    <row r="1584" spans="1:20" hidden="1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  <c r="S1584" t="str">
        <f t="shared" si="24"/>
        <v>Monthly</v>
      </c>
      <c r="T1584" cm="1">
        <f t="array" ref="T1584">_xlfn.SWITCH(S1584,"Annually",6,"Bi-Weekly",2,"Fortnightly",3,"Monthly",4,"Quarterly",5,"Weekly",1)</f>
        <v>4</v>
      </c>
    </row>
    <row r="1585" spans="1:20" hidden="1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  <c r="S1585" t="str">
        <f t="shared" si="24"/>
        <v>Annually</v>
      </c>
      <c r="T1585" cm="1">
        <f t="array" ref="T1585">_xlfn.SWITCH(S1585,"Annually",6,"Bi-Weekly",2,"Fortnightly",3,"Monthly",4,"Quarterly",5,"Weekly",1)</f>
        <v>6</v>
      </c>
    </row>
    <row r="1586" spans="1:20" hidden="1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  <c r="S1586" t="str">
        <f t="shared" si="24"/>
        <v>Quarterly</v>
      </c>
      <c r="T1586" cm="1">
        <f t="array" ref="T1586">_xlfn.SWITCH(S1586,"Annually",6,"Bi-Weekly",2,"Fortnightly",3,"Monthly",4,"Quarterly",5,"Weekly",1)</f>
        <v>5</v>
      </c>
    </row>
    <row r="1587" spans="1:20" hidden="1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  <c r="S1587" t="str">
        <f t="shared" si="24"/>
        <v>Fortnightly</v>
      </c>
      <c r="T1587" cm="1">
        <f t="array" ref="T1587">_xlfn.SWITCH(S1587,"Annually",6,"Bi-Weekly",2,"Fortnightly",3,"Monthly",4,"Quarterly",5,"Weekly",1)</f>
        <v>3</v>
      </c>
    </row>
    <row r="1588" spans="1:20" hidden="1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  <c r="S1588" t="str">
        <f t="shared" si="24"/>
        <v>Weekly</v>
      </c>
      <c r="T1588" cm="1">
        <f t="array" ref="T1588">_xlfn.SWITCH(S1588,"Annually",6,"Bi-Weekly",2,"Fortnightly",3,"Monthly",4,"Quarterly",5,"Weekly",1)</f>
        <v>1</v>
      </c>
    </row>
    <row r="1589" spans="1:20" hidden="1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  <c r="S1589" t="str">
        <f t="shared" si="24"/>
        <v>Fortnightly</v>
      </c>
      <c r="T1589" cm="1">
        <f t="array" ref="T1589">_xlfn.SWITCH(S1589,"Annually",6,"Bi-Weekly",2,"Fortnightly",3,"Monthly",4,"Quarterly",5,"Weekly",1)</f>
        <v>3</v>
      </c>
    </row>
    <row r="1590" spans="1:20" hidden="1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  <c r="S1590" t="str">
        <f t="shared" si="24"/>
        <v>Monthly</v>
      </c>
      <c r="T1590" cm="1">
        <f t="array" ref="T1590">_xlfn.SWITCH(S1590,"Annually",6,"Bi-Weekly",2,"Fortnightly",3,"Monthly",4,"Quarterly",5,"Weekly",1)</f>
        <v>4</v>
      </c>
    </row>
    <row r="1591" spans="1:20" hidden="1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  <c r="S1591" t="str">
        <f t="shared" si="24"/>
        <v>Weekly</v>
      </c>
      <c r="T1591" cm="1">
        <f t="array" ref="T1591">_xlfn.SWITCH(S1591,"Annually",6,"Bi-Weekly",2,"Fortnightly",3,"Monthly",4,"Quarterly",5,"Weekly",1)</f>
        <v>1</v>
      </c>
    </row>
    <row r="1592" spans="1:20" hidden="1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  <c r="S1592" t="str">
        <f t="shared" si="24"/>
        <v>Annually</v>
      </c>
      <c r="T1592" cm="1">
        <f t="array" ref="T1592">_xlfn.SWITCH(S1592,"Annually",6,"Bi-Weekly",2,"Fortnightly",3,"Monthly",4,"Quarterly",5,"Weekly",1)</f>
        <v>6</v>
      </c>
    </row>
    <row r="1593" spans="1:20" hidden="1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  <c r="S1593" t="str">
        <f t="shared" si="24"/>
        <v>Annually</v>
      </c>
      <c r="T1593" cm="1">
        <f t="array" ref="T1593">_xlfn.SWITCH(S1593,"Annually",6,"Bi-Weekly",2,"Fortnightly",3,"Monthly",4,"Quarterly",5,"Weekly",1)</f>
        <v>6</v>
      </c>
    </row>
    <row r="1594" spans="1:20" hidden="1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  <c r="S1594" t="str">
        <f t="shared" si="24"/>
        <v>Quarterly</v>
      </c>
      <c r="T1594" cm="1">
        <f t="array" ref="T1594">_xlfn.SWITCH(S1594,"Annually",6,"Bi-Weekly",2,"Fortnightly",3,"Monthly",4,"Quarterly",5,"Weekly",1)</f>
        <v>5</v>
      </c>
    </row>
    <row r="1595" spans="1:20" hidden="1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  <c r="S1595" t="str">
        <f t="shared" si="24"/>
        <v>Monthly</v>
      </c>
      <c r="T1595" cm="1">
        <f t="array" ref="T1595">_xlfn.SWITCH(S1595,"Annually",6,"Bi-Weekly",2,"Fortnightly",3,"Monthly",4,"Quarterly",5,"Weekly",1)</f>
        <v>4</v>
      </c>
    </row>
    <row r="1596" spans="1:20" hidden="1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  <c r="S1596" t="str">
        <f t="shared" si="24"/>
        <v>Fortnightly</v>
      </c>
      <c r="T1596" cm="1">
        <f t="array" ref="T1596">_xlfn.SWITCH(S1596,"Annually",6,"Bi-Weekly",2,"Fortnightly",3,"Monthly",4,"Quarterly",5,"Weekly",1)</f>
        <v>3</v>
      </c>
    </row>
    <row r="1597" spans="1:20" hidden="1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  <c r="S1597" t="str">
        <f t="shared" si="24"/>
        <v>Fortnightly</v>
      </c>
      <c r="T1597" cm="1">
        <f t="array" ref="T1597">_xlfn.SWITCH(S1597,"Annually",6,"Bi-Weekly",2,"Fortnightly",3,"Monthly",4,"Quarterly",5,"Weekly",1)</f>
        <v>3</v>
      </c>
    </row>
    <row r="1598" spans="1:20" hidden="1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  <c r="S1598" t="str">
        <f t="shared" si="24"/>
        <v>Monthly</v>
      </c>
      <c r="T1598" cm="1">
        <f t="array" ref="T1598">_xlfn.SWITCH(S1598,"Annually",6,"Bi-Weekly",2,"Fortnightly",3,"Monthly",4,"Quarterly",5,"Weekly",1)</f>
        <v>4</v>
      </c>
    </row>
    <row r="1599" spans="1:20" hidden="1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  <c r="S1599" t="str">
        <f t="shared" si="24"/>
        <v>Quarterly</v>
      </c>
      <c r="T1599" cm="1">
        <f t="array" ref="T1599">_xlfn.SWITCH(S1599,"Annually",6,"Bi-Weekly",2,"Fortnightly",3,"Monthly",4,"Quarterly",5,"Weekly",1)</f>
        <v>5</v>
      </c>
    </row>
    <row r="1600" spans="1:20" hidden="1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  <c r="S1600" t="str">
        <f t="shared" si="24"/>
        <v>Bi-Weekly</v>
      </c>
      <c r="T1600" cm="1">
        <f t="array" ref="T1600">_xlfn.SWITCH(S1600,"Annually",6,"Bi-Weekly",2,"Fortnightly",3,"Monthly",4,"Quarterly",5,"Weekly",1)</f>
        <v>2</v>
      </c>
    </row>
    <row r="1601" spans="1:20" hidden="1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  <c r="S1601" t="str">
        <f t="shared" si="24"/>
        <v>Bi-Weekly</v>
      </c>
      <c r="T1601" cm="1">
        <f t="array" ref="T1601">_xlfn.SWITCH(S1601,"Annually",6,"Bi-Weekly",2,"Fortnightly",3,"Monthly",4,"Quarterly",5,"Weekly",1)</f>
        <v>2</v>
      </c>
    </row>
    <row r="1602" spans="1:20" hidden="1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  <c r="S1602" t="str">
        <f t="shared" si="24"/>
        <v>Weekly</v>
      </c>
      <c r="T1602" cm="1">
        <f t="array" ref="T1602">_xlfn.SWITCH(S1602,"Annually",6,"Bi-Weekly",2,"Fortnightly",3,"Monthly",4,"Quarterly",5,"Weekly",1)</f>
        <v>1</v>
      </c>
    </row>
    <row r="1603" spans="1:20" hidden="1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  <c r="S1603" t="str">
        <f t="shared" ref="S1603:S1666" si="25">IF(R1603="Every 3 Months","Quarterly",R1603)</f>
        <v>Monthly</v>
      </c>
      <c r="T1603" cm="1">
        <f t="array" ref="T1603">_xlfn.SWITCH(S1603,"Annually",6,"Bi-Weekly",2,"Fortnightly",3,"Monthly",4,"Quarterly",5,"Weekly",1)</f>
        <v>4</v>
      </c>
    </row>
    <row r="1604" spans="1:20" hidden="1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  <c r="S1604" t="str">
        <f t="shared" si="25"/>
        <v>Fortnightly</v>
      </c>
      <c r="T1604" cm="1">
        <f t="array" ref="T1604">_xlfn.SWITCH(S1604,"Annually",6,"Bi-Weekly",2,"Fortnightly",3,"Monthly",4,"Quarterly",5,"Weekly",1)</f>
        <v>3</v>
      </c>
    </row>
    <row r="1605" spans="1:20" hidden="1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  <c r="S1605" t="str">
        <f t="shared" si="25"/>
        <v>Bi-Weekly</v>
      </c>
      <c r="T1605" cm="1">
        <f t="array" ref="T1605">_xlfn.SWITCH(S1605,"Annually",6,"Bi-Weekly",2,"Fortnightly",3,"Monthly",4,"Quarterly",5,"Weekly",1)</f>
        <v>2</v>
      </c>
    </row>
    <row r="1606" spans="1:20" hidden="1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  <c r="S1606" t="str">
        <f t="shared" si="25"/>
        <v>Quarterly</v>
      </c>
      <c r="T1606" cm="1">
        <f t="array" ref="T1606">_xlfn.SWITCH(S1606,"Annually",6,"Bi-Weekly",2,"Fortnightly",3,"Monthly",4,"Quarterly",5,"Weekly",1)</f>
        <v>5</v>
      </c>
    </row>
    <row r="1607" spans="1:20" hidden="1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  <c r="S1607" t="str">
        <f t="shared" si="25"/>
        <v>Bi-Weekly</v>
      </c>
      <c r="T1607" cm="1">
        <f t="array" ref="T1607">_xlfn.SWITCH(S1607,"Annually",6,"Bi-Weekly",2,"Fortnightly",3,"Monthly",4,"Quarterly",5,"Weekly",1)</f>
        <v>2</v>
      </c>
    </row>
    <row r="1608" spans="1:20" hidden="1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  <c r="S1608" t="str">
        <f t="shared" si="25"/>
        <v>Fortnightly</v>
      </c>
      <c r="T1608" cm="1">
        <f t="array" ref="T1608">_xlfn.SWITCH(S1608,"Annually",6,"Bi-Weekly",2,"Fortnightly",3,"Monthly",4,"Quarterly",5,"Weekly",1)</f>
        <v>3</v>
      </c>
    </row>
    <row r="1609" spans="1:20" hidden="1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  <c r="S1609" t="str">
        <f t="shared" si="25"/>
        <v>Quarterly</v>
      </c>
      <c r="T1609" cm="1">
        <f t="array" ref="T1609">_xlfn.SWITCH(S1609,"Annually",6,"Bi-Weekly",2,"Fortnightly",3,"Monthly",4,"Quarterly",5,"Weekly",1)</f>
        <v>5</v>
      </c>
    </row>
    <row r="1610" spans="1:20" hidden="1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  <c r="S1610" t="str">
        <f t="shared" si="25"/>
        <v>Bi-Weekly</v>
      </c>
      <c r="T1610" cm="1">
        <f t="array" ref="T1610">_xlfn.SWITCH(S1610,"Annually",6,"Bi-Weekly",2,"Fortnightly",3,"Monthly",4,"Quarterly",5,"Weekly",1)</f>
        <v>2</v>
      </c>
    </row>
    <row r="1611" spans="1:20" hidden="1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  <c r="S1611" t="str">
        <f t="shared" si="25"/>
        <v>Monthly</v>
      </c>
      <c r="T1611" cm="1">
        <f t="array" ref="T1611">_xlfn.SWITCH(S1611,"Annually",6,"Bi-Weekly",2,"Fortnightly",3,"Monthly",4,"Quarterly",5,"Weekly",1)</f>
        <v>4</v>
      </c>
    </row>
    <row r="1612" spans="1:20" hidden="1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  <c r="S1612" t="str">
        <f t="shared" si="25"/>
        <v>Annually</v>
      </c>
      <c r="T1612" cm="1">
        <f t="array" ref="T1612">_xlfn.SWITCH(S1612,"Annually",6,"Bi-Weekly",2,"Fortnightly",3,"Monthly",4,"Quarterly",5,"Weekly",1)</f>
        <v>6</v>
      </c>
    </row>
    <row r="1613" spans="1:20" hidden="1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  <c r="S1613" t="str">
        <f t="shared" si="25"/>
        <v>Monthly</v>
      </c>
      <c r="T1613" cm="1">
        <f t="array" ref="T1613">_xlfn.SWITCH(S1613,"Annually",6,"Bi-Weekly",2,"Fortnightly",3,"Monthly",4,"Quarterly",5,"Weekly",1)</f>
        <v>4</v>
      </c>
    </row>
    <row r="1614" spans="1:20" hidden="1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  <c r="S1614" t="str">
        <f t="shared" si="25"/>
        <v>Monthly</v>
      </c>
      <c r="T1614" cm="1">
        <f t="array" ref="T1614">_xlfn.SWITCH(S1614,"Annually",6,"Bi-Weekly",2,"Fortnightly",3,"Monthly",4,"Quarterly",5,"Weekly",1)</f>
        <v>4</v>
      </c>
    </row>
    <row r="1615" spans="1:20" hidden="1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  <c r="S1615" t="str">
        <f t="shared" si="25"/>
        <v>Fortnightly</v>
      </c>
      <c r="T1615" cm="1">
        <f t="array" ref="T1615">_xlfn.SWITCH(S1615,"Annually",6,"Bi-Weekly",2,"Fortnightly",3,"Monthly",4,"Quarterly",5,"Weekly",1)</f>
        <v>3</v>
      </c>
    </row>
    <row r="1616" spans="1:20" hidden="1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  <c r="S1616" t="str">
        <f t="shared" si="25"/>
        <v>Bi-Weekly</v>
      </c>
      <c r="T1616" cm="1">
        <f t="array" ref="T1616">_xlfn.SWITCH(S1616,"Annually",6,"Bi-Weekly",2,"Fortnightly",3,"Monthly",4,"Quarterly",5,"Weekly",1)</f>
        <v>2</v>
      </c>
    </row>
    <row r="1617" spans="1:20" hidden="1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  <c r="S1617" t="str">
        <f t="shared" si="25"/>
        <v>Bi-Weekly</v>
      </c>
      <c r="T1617" cm="1">
        <f t="array" ref="T1617">_xlfn.SWITCH(S1617,"Annually",6,"Bi-Weekly",2,"Fortnightly",3,"Monthly",4,"Quarterly",5,"Weekly",1)</f>
        <v>2</v>
      </c>
    </row>
    <row r="1618" spans="1:20" hidden="1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  <c r="S1618" t="str">
        <f t="shared" si="25"/>
        <v>Quarterly</v>
      </c>
      <c r="T1618" cm="1">
        <f t="array" ref="T1618">_xlfn.SWITCH(S1618,"Annually",6,"Bi-Weekly",2,"Fortnightly",3,"Monthly",4,"Quarterly",5,"Weekly",1)</f>
        <v>5</v>
      </c>
    </row>
    <row r="1619" spans="1:20" hidden="1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  <c r="S1619" t="str">
        <f t="shared" si="25"/>
        <v>Fortnightly</v>
      </c>
      <c r="T1619" cm="1">
        <f t="array" ref="T1619">_xlfn.SWITCH(S1619,"Annually",6,"Bi-Weekly",2,"Fortnightly",3,"Monthly",4,"Quarterly",5,"Weekly",1)</f>
        <v>3</v>
      </c>
    </row>
    <row r="1620" spans="1:20" hidden="1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  <c r="S1620" t="str">
        <f t="shared" si="25"/>
        <v>Quarterly</v>
      </c>
      <c r="T1620" cm="1">
        <f t="array" ref="T1620">_xlfn.SWITCH(S1620,"Annually",6,"Bi-Weekly",2,"Fortnightly",3,"Monthly",4,"Quarterly",5,"Weekly",1)</f>
        <v>5</v>
      </c>
    </row>
    <row r="1621" spans="1:20" hidden="1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  <c r="S1621" t="str">
        <f t="shared" si="25"/>
        <v>Bi-Weekly</v>
      </c>
      <c r="T1621" cm="1">
        <f t="array" ref="T1621">_xlfn.SWITCH(S1621,"Annually",6,"Bi-Weekly",2,"Fortnightly",3,"Monthly",4,"Quarterly",5,"Weekly",1)</f>
        <v>2</v>
      </c>
    </row>
    <row r="1622" spans="1:20" hidden="1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  <c r="S1622" t="str">
        <f t="shared" si="25"/>
        <v>Quarterly</v>
      </c>
      <c r="T1622" cm="1">
        <f t="array" ref="T1622">_xlfn.SWITCH(S1622,"Annually",6,"Bi-Weekly",2,"Fortnightly",3,"Monthly",4,"Quarterly",5,"Weekly",1)</f>
        <v>5</v>
      </c>
    </row>
    <row r="1623" spans="1:20" hidden="1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  <c r="S1623" t="str">
        <f t="shared" si="25"/>
        <v>Fortnightly</v>
      </c>
      <c r="T1623" cm="1">
        <f t="array" ref="T1623">_xlfn.SWITCH(S1623,"Annually",6,"Bi-Weekly",2,"Fortnightly",3,"Monthly",4,"Quarterly",5,"Weekly",1)</f>
        <v>3</v>
      </c>
    </row>
    <row r="1624" spans="1:20" hidden="1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  <c r="S1624" t="str">
        <f t="shared" si="25"/>
        <v>Quarterly</v>
      </c>
      <c r="T1624" cm="1">
        <f t="array" ref="T1624">_xlfn.SWITCH(S1624,"Annually",6,"Bi-Weekly",2,"Fortnightly",3,"Monthly",4,"Quarterly",5,"Weekly",1)</f>
        <v>5</v>
      </c>
    </row>
    <row r="1625" spans="1:20" hidden="1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  <c r="S1625" t="str">
        <f t="shared" si="25"/>
        <v>Annually</v>
      </c>
      <c r="T1625" cm="1">
        <f t="array" ref="T1625">_xlfn.SWITCH(S1625,"Annually",6,"Bi-Weekly",2,"Fortnightly",3,"Monthly",4,"Quarterly",5,"Weekly",1)</f>
        <v>6</v>
      </c>
    </row>
    <row r="1626" spans="1:20" hidden="1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  <c r="S1626" t="str">
        <f t="shared" si="25"/>
        <v>Quarterly</v>
      </c>
      <c r="T1626" cm="1">
        <f t="array" ref="T1626">_xlfn.SWITCH(S1626,"Annually",6,"Bi-Weekly",2,"Fortnightly",3,"Monthly",4,"Quarterly",5,"Weekly",1)</f>
        <v>5</v>
      </c>
    </row>
    <row r="1627" spans="1:20" hidden="1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  <c r="S1627" t="str">
        <f t="shared" si="25"/>
        <v>Bi-Weekly</v>
      </c>
      <c r="T1627" cm="1">
        <f t="array" ref="T1627">_xlfn.SWITCH(S1627,"Annually",6,"Bi-Weekly",2,"Fortnightly",3,"Monthly",4,"Quarterly",5,"Weekly",1)</f>
        <v>2</v>
      </c>
    </row>
    <row r="1628" spans="1:20" hidden="1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  <c r="S1628" t="str">
        <f t="shared" si="25"/>
        <v>Bi-Weekly</v>
      </c>
      <c r="T1628" cm="1">
        <f t="array" ref="T1628">_xlfn.SWITCH(S1628,"Annually",6,"Bi-Weekly",2,"Fortnightly",3,"Monthly",4,"Quarterly",5,"Weekly",1)</f>
        <v>2</v>
      </c>
    </row>
    <row r="1629" spans="1:20" hidden="1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  <c r="S1629" t="str">
        <f t="shared" si="25"/>
        <v>Annually</v>
      </c>
      <c r="T1629" cm="1">
        <f t="array" ref="T1629">_xlfn.SWITCH(S1629,"Annually",6,"Bi-Weekly",2,"Fortnightly",3,"Monthly",4,"Quarterly",5,"Weekly",1)</f>
        <v>6</v>
      </c>
    </row>
    <row r="1630" spans="1:20" hidden="1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  <c r="S1630" t="str">
        <f t="shared" si="25"/>
        <v>Monthly</v>
      </c>
      <c r="T1630" cm="1">
        <f t="array" ref="T1630">_xlfn.SWITCH(S1630,"Annually",6,"Bi-Weekly",2,"Fortnightly",3,"Monthly",4,"Quarterly",5,"Weekly",1)</f>
        <v>4</v>
      </c>
    </row>
    <row r="1631" spans="1:20" hidden="1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  <c r="S1631" t="str">
        <f t="shared" si="25"/>
        <v>Quarterly</v>
      </c>
      <c r="T1631" cm="1">
        <f t="array" ref="T1631">_xlfn.SWITCH(S1631,"Annually",6,"Bi-Weekly",2,"Fortnightly",3,"Monthly",4,"Quarterly",5,"Weekly",1)</f>
        <v>5</v>
      </c>
    </row>
    <row r="1632" spans="1:20" hidden="1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  <c r="S1632" t="str">
        <f t="shared" si="25"/>
        <v>Quarterly</v>
      </c>
      <c r="T1632" cm="1">
        <f t="array" ref="T1632">_xlfn.SWITCH(S1632,"Annually",6,"Bi-Weekly",2,"Fortnightly",3,"Monthly",4,"Quarterly",5,"Weekly",1)</f>
        <v>5</v>
      </c>
    </row>
    <row r="1633" spans="1:20" hidden="1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  <c r="S1633" t="str">
        <f t="shared" si="25"/>
        <v>Fortnightly</v>
      </c>
      <c r="T1633" cm="1">
        <f t="array" ref="T1633">_xlfn.SWITCH(S1633,"Annually",6,"Bi-Weekly",2,"Fortnightly",3,"Monthly",4,"Quarterly",5,"Weekly",1)</f>
        <v>3</v>
      </c>
    </row>
    <row r="1634" spans="1:20" hidden="1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  <c r="S1634" t="str">
        <f t="shared" si="25"/>
        <v>Quarterly</v>
      </c>
      <c r="T1634" cm="1">
        <f t="array" ref="T1634">_xlfn.SWITCH(S1634,"Annually",6,"Bi-Weekly",2,"Fortnightly",3,"Monthly",4,"Quarterly",5,"Weekly",1)</f>
        <v>5</v>
      </c>
    </row>
    <row r="1635" spans="1:20" hidden="1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  <c r="S1635" t="str">
        <f t="shared" si="25"/>
        <v>Bi-Weekly</v>
      </c>
      <c r="T1635" cm="1">
        <f t="array" ref="T1635">_xlfn.SWITCH(S1635,"Annually",6,"Bi-Weekly",2,"Fortnightly",3,"Monthly",4,"Quarterly",5,"Weekly",1)</f>
        <v>2</v>
      </c>
    </row>
    <row r="1636" spans="1:20" hidden="1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  <c r="S1636" t="str">
        <f t="shared" si="25"/>
        <v>Quarterly</v>
      </c>
      <c r="T1636" cm="1">
        <f t="array" ref="T1636">_xlfn.SWITCH(S1636,"Annually",6,"Bi-Weekly",2,"Fortnightly",3,"Monthly",4,"Quarterly",5,"Weekly",1)</f>
        <v>5</v>
      </c>
    </row>
    <row r="1637" spans="1:20" hidden="1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  <c r="S1637" t="str">
        <f t="shared" si="25"/>
        <v>Annually</v>
      </c>
      <c r="T1637" cm="1">
        <f t="array" ref="T1637">_xlfn.SWITCH(S1637,"Annually",6,"Bi-Weekly",2,"Fortnightly",3,"Monthly",4,"Quarterly",5,"Weekly",1)</f>
        <v>6</v>
      </c>
    </row>
    <row r="1638" spans="1:20" hidden="1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  <c r="S1638" t="str">
        <f t="shared" si="25"/>
        <v>Fortnightly</v>
      </c>
      <c r="T1638" cm="1">
        <f t="array" ref="T1638">_xlfn.SWITCH(S1638,"Annually",6,"Bi-Weekly",2,"Fortnightly",3,"Monthly",4,"Quarterly",5,"Weekly",1)</f>
        <v>3</v>
      </c>
    </row>
    <row r="1639" spans="1:20" hidden="1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  <c r="S1639" t="str">
        <f t="shared" si="25"/>
        <v>Fortnightly</v>
      </c>
      <c r="T1639" cm="1">
        <f t="array" ref="T1639">_xlfn.SWITCH(S1639,"Annually",6,"Bi-Weekly",2,"Fortnightly",3,"Monthly",4,"Quarterly",5,"Weekly",1)</f>
        <v>3</v>
      </c>
    </row>
    <row r="1640" spans="1:20" hidden="1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  <c r="S1640" t="str">
        <f t="shared" si="25"/>
        <v>Weekly</v>
      </c>
      <c r="T1640" cm="1">
        <f t="array" ref="T1640">_xlfn.SWITCH(S1640,"Annually",6,"Bi-Weekly",2,"Fortnightly",3,"Monthly",4,"Quarterly",5,"Weekly",1)</f>
        <v>1</v>
      </c>
    </row>
    <row r="1641" spans="1:20" hidden="1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  <c r="S1641" t="str">
        <f t="shared" si="25"/>
        <v>Annually</v>
      </c>
      <c r="T1641" cm="1">
        <f t="array" ref="T1641">_xlfn.SWITCH(S1641,"Annually",6,"Bi-Weekly",2,"Fortnightly",3,"Monthly",4,"Quarterly",5,"Weekly",1)</f>
        <v>6</v>
      </c>
    </row>
    <row r="1642" spans="1:20" hidden="1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  <c r="S1642" t="str">
        <f t="shared" si="25"/>
        <v>Weekly</v>
      </c>
      <c r="T1642" cm="1">
        <f t="array" ref="T1642">_xlfn.SWITCH(S1642,"Annually",6,"Bi-Weekly",2,"Fortnightly",3,"Monthly",4,"Quarterly",5,"Weekly",1)</f>
        <v>1</v>
      </c>
    </row>
    <row r="1643" spans="1:20" hidden="1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  <c r="S1643" t="str">
        <f t="shared" si="25"/>
        <v>Quarterly</v>
      </c>
      <c r="T1643" cm="1">
        <f t="array" ref="T1643">_xlfn.SWITCH(S1643,"Annually",6,"Bi-Weekly",2,"Fortnightly",3,"Monthly",4,"Quarterly",5,"Weekly",1)</f>
        <v>5</v>
      </c>
    </row>
    <row r="1644" spans="1:20" hidden="1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  <c r="S1644" t="str">
        <f t="shared" si="25"/>
        <v>Fortnightly</v>
      </c>
      <c r="T1644" cm="1">
        <f t="array" ref="T1644">_xlfn.SWITCH(S1644,"Annually",6,"Bi-Weekly",2,"Fortnightly",3,"Monthly",4,"Quarterly",5,"Weekly",1)</f>
        <v>3</v>
      </c>
    </row>
    <row r="1645" spans="1:20" hidden="1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  <c r="S1645" t="str">
        <f t="shared" si="25"/>
        <v>Monthly</v>
      </c>
      <c r="T1645" cm="1">
        <f t="array" ref="T1645">_xlfn.SWITCH(S1645,"Annually",6,"Bi-Weekly",2,"Fortnightly",3,"Monthly",4,"Quarterly",5,"Weekly",1)</f>
        <v>4</v>
      </c>
    </row>
    <row r="1646" spans="1:20" hidden="1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  <c r="S1646" t="str">
        <f t="shared" si="25"/>
        <v>Monthly</v>
      </c>
      <c r="T1646" cm="1">
        <f t="array" ref="T1646">_xlfn.SWITCH(S1646,"Annually",6,"Bi-Weekly",2,"Fortnightly",3,"Monthly",4,"Quarterly",5,"Weekly",1)</f>
        <v>4</v>
      </c>
    </row>
    <row r="1647" spans="1:20" hidden="1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  <c r="S1647" t="str">
        <f t="shared" si="25"/>
        <v>Quarterly</v>
      </c>
      <c r="T1647" cm="1">
        <f t="array" ref="T1647">_xlfn.SWITCH(S1647,"Annually",6,"Bi-Weekly",2,"Fortnightly",3,"Monthly",4,"Quarterly",5,"Weekly",1)</f>
        <v>5</v>
      </c>
    </row>
    <row r="1648" spans="1:20" hidden="1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  <c r="S1648" t="str">
        <f t="shared" si="25"/>
        <v>Quarterly</v>
      </c>
      <c r="T1648" cm="1">
        <f t="array" ref="T1648">_xlfn.SWITCH(S1648,"Annually",6,"Bi-Weekly",2,"Fortnightly",3,"Monthly",4,"Quarterly",5,"Weekly",1)</f>
        <v>5</v>
      </c>
    </row>
    <row r="1649" spans="1:20" hidden="1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  <c r="S1649" t="str">
        <f t="shared" si="25"/>
        <v>Quarterly</v>
      </c>
      <c r="T1649" cm="1">
        <f t="array" ref="T1649">_xlfn.SWITCH(S1649,"Annually",6,"Bi-Weekly",2,"Fortnightly",3,"Monthly",4,"Quarterly",5,"Weekly",1)</f>
        <v>5</v>
      </c>
    </row>
    <row r="1650" spans="1:20" hidden="1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  <c r="S1650" t="str">
        <f t="shared" si="25"/>
        <v>Monthly</v>
      </c>
      <c r="T1650" cm="1">
        <f t="array" ref="T1650">_xlfn.SWITCH(S1650,"Annually",6,"Bi-Weekly",2,"Fortnightly",3,"Monthly",4,"Quarterly",5,"Weekly",1)</f>
        <v>4</v>
      </c>
    </row>
    <row r="1651" spans="1:20" hidden="1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  <c r="S1651" t="str">
        <f t="shared" si="25"/>
        <v>Quarterly</v>
      </c>
      <c r="T1651" cm="1">
        <f t="array" ref="T1651">_xlfn.SWITCH(S1651,"Annually",6,"Bi-Weekly",2,"Fortnightly",3,"Monthly",4,"Quarterly",5,"Weekly",1)</f>
        <v>5</v>
      </c>
    </row>
    <row r="1652" spans="1:20" hidden="1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  <c r="S1652" t="str">
        <f t="shared" si="25"/>
        <v>Fortnightly</v>
      </c>
      <c r="T1652" cm="1">
        <f t="array" ref="T1652">_xlfn.SWITCH(S1652,"Annually",6,"Bi-Weekly",2,"Fortnightly",3,"Monthly",4,"Quarterly",5,"Weekly",1)</f>
        <v>3</v>
      </c>
    </row>
    <row r="1653" spans="1:20" hidden="1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  <c r="S1653" t="str">
        <f t="shared" si="25"/>
        <v>Monthly</v>
      </c>
      <c r="T1653" cm="1">
        <f t="array" ref="T1653">_xlfn.SWITCH(S1653,"Annually",6,"Bi-Weekly",2,"Fortnightly",3,"Monthly",4,"Quarterly",5,"Weekly",1)</f>
        <v>4</v>
      </c>
    </row>
    <row r="1654" spans="1:20" hidden="1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  <c r="S1654" t="str">
        <f t="shared" si="25"/>
        <v>Fortnightly</v>
      </c>
      <c r="T1654" cm="1">
        <f t="array" ref="T1654">_xlfn.SWITCH(S1654,"Annually",6,"Bi-Weekly",2,"Fortnightly",3,"Monthly",4,"Quarterly",5,"Weekly",1)</f>
        <v>3</v>
      </c>
    </row>
    <row r="1655" spans="1:20" hidden="1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  <c r="S1655" t="str">
        <f t="shared" si="25"/>
        <v>Bi-Weekly</v>
      </c>
      <c r="T1655" cm="1">
        <f t="array" ref="T1655">_xlfn.SWITCH(S1655,"Annually",6,"Bi-Weekly",2,"Fortnightly",3,"Monthly",4,"Quarterly",5,"Weekly",1)</f>
        <v>2</v>
      </c>
    </row>
    <row r="1656" spans="1:20" hidden="1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  <c r="S1656" t="str">
        <f t="shared" si="25"/>
        <v>Quarterly</v>
      </c>
      <c r="T1656" cm="1">
        <f t="array" ref="T1656">_xlfn.SWITCH(S1656,"Annually",6,"Bi-Weekly",2,"Fortnightly",3,"Monthly",4,"Quarterly",5,"Weekly",1)</f>
        <v>5</v>
      </c>
    </row>
    <row r="1657" spans="1:20" hidden="1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  <c r="S1657" t="str">
        <f t="shared" si="25"/>
        <v>Monthly</v>
      </c>
      <c r="T1657" cm="1">
        <f t="array" ref="T1657">_xlfn.SWITCH(S1657,"Annually",6,"Bi-Weekly",2,"Fortnightly",3,"Monthly",4,"Quarterly",5,"Weekly",1)</f>
        <v>4</v>
      </c>
    </row>
    <row r="1658" spans="1:20" hidden="1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  <c r="S1658" t="str">
        <f t="shared" si="25"/>
        <v>Quarterly</v>
      </c>
      <c r="T1658" cm="1">
        <f t="array" ref="T1658">_xlfn.SWITCH(S1658,"Annually",6,"Bi-Weekly",2,"Fortnightly",3,"Monthly",4,"Quarterly",5,"Weekly",1)</f>
        <v>5</v>
      </c>
    </row>
    <row r="1659" spans="1:20" hidden="1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  <c r="S1659" t="str">
        <f t="shared" si="25"/>
        <v>Bi-Weekly</v>
      </c>
      <c r="T1659" cm="1">
        <f t="array" ref="T1659">_xlfn.SWITCH(S1659,"Annually",6,"Bi-Weekly",2,"Fortnightly",3,"Monthly",4,"Quarterly",5,"Weekly",1)</f>
        <v>2</v>
      </c>
    </row>
    <row r="1660" spans="1:20" hidden="1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  <c r="S1660" t="str">
        <f t="shared" si="25"/>
        <v>Weekly</v>
      </c>
      <c r="T1660" cm="1">
        <f t="array" ref="T1660">_xlfn.SWITCH(S1660,"Annually",6,"Bi-Weekly",2,"Fortnightly",3,"Monthly",4,"Quarterly",5,"Weekly",1)</f>
        <v>1</v>
      </c>
    </row>
    <row r="1661" spans="1:20" hidden="1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  <c r="S1661" t="str">
        <f t="shared" si="25"/>
        <v>Annually</v>
      </c>
      <c r="T1661" cm="1">
        <f t="array" ref="T1661">_xlfn.SWITCH(S1661,"Annually",6,"Bi-Weekly",2,"Fortnightly",3,"Monthly",4,"Quarterly",5,"Weekly",1)</f>
        <v>6</v>
      </c>
    </row>
    <row r="1662" spans="1:20" hidden="1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  <c r="S1662" t="str">
        <f t="shared" si="25"/>
        <v>Monthly</v>
      </c>
      <c r="T1662" cm="1">
        <f t="array" ref="T1662">_xlfn.SWITCH(S1662,"Annually",6,"Bi-Weekly",2,"Fortnightly",3,"Monthly",4,"Quarterly",5,"Weekly",1)</f>
        <v>4</v>
      </c>
    </row>
    <row r="1663" spans="1:20" hidden="1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  <c r="S1663" t="str">
        <f t="shared" si="25"/>
        <v>Quarterly</v>
      </c>
      <c r="T1663" cm="1">
        <f t="array" ref="T1663">_xlfn.SWITCH(S1663,"Annually",6,"Bi-Weekly",2,"Fortnightly",3,"Monthly",4,"Quarterly",5,"Weekly",1)</f>
        <v>5</v>
      </c>
    </row>
    <row r="1664" spans="1:20" hidden="1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  <c r="S1664" t="str">
        <f t="shared" si="25"/>
        <v>Fortnightly</v>
      </c>
      <c r="T1664" cm="1">
        <f t="array" ref="T1664">_xlfn.SWITCH(S1664,"Annually",6,"Bi-Weekly",2,"Fortnightly",3,"Monthly",4,"Quarterly",5,"Weekly",1)</f>
        <v>3</v>
      </c>
    </row>
    <row r="1665" spans="1:20" hidden="1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  <c r="S1665" t="str">
        <f t="shared" si="25"/>
        <v>Bi-Weekly</v>
      </c>
      <c r="T1665" cm="1">
        <f t="array" ref="T1665">_xlfn.SWITCH(S1665,"Annually",6,"Bi-Weekly",2,"Fortnightly",3,"Monthly",4,"Quarterly",5,"Weekly",1)</f>
        <v>2</v>
      </c>
    </row>
    <row r="1666" spans="1:20" hidden="1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  <c r="S1666" t="str">
        <f t="shared" si="25"/>
        <v>Weekly</v>
      </c>
      <c r="T1666" cm="1">
        <f t="array" ref="T1666">_xlfn.SWITCH(S1666,"Annually",6,"Bi-Weekly",2,"Fortnightly",3,"Monthly",4,"Quarterly",5,"Weekly",1)</f>
        <v>1</v>
      </c>
    </row>
    <row r="1667" spans="1:20" hidden="1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  <c r="S1667" t="str">
        <f t="shared" ref="S1667:S1730" si="26">IF(R1667="Every 3 Months","Quarterly",R1667)</f>
        <v>Monthly</v>
      </c>
      <c r="T1667" cm="1">
        <f t="array" ref="T1667">_xlfn.SWITCH(S1667,"Annually",6,"Bi-Weekly",2,"Fortnightly",3,"Monthly",4,"Quarterly",5,"Weekly",1)</f>
        <v>4</v>
      </c>
    </row>
    <row r="1668" spans="1:20" hidden="1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  <c r="S1668" t="str">
        <f t="shared" si="26"/>
        <v>Annually</v>
      </c>
      <c r="T1668" cm="1">
        <f t="array" ref="T1668">_xlfn.SWITCH(S1668,"Annually",6,"Bi-Weekly",2,"Fortnightly",3,"Monthly",4,"Quarterly",5,"Weekly",1)</f>
        <v>6</v>
      </c>
    </row>
    <row r="1669" spans="1:20" hidden="1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  <c r="S1669" t="str">
        <f t="shared" si="26"/>
        <v>Quarterly</v>
      </c>
      <c r="T1669" cm="1">
        <f t="array" ref="T1669">_xlfn.SWITCH(S1669,"Annually",6,"Bi-Weekly",2,"Fortnightly",3,"Monthly",4,"Quarterly",5,"Weekly",1)</f>
        <v>5</v>
      </c>
    </row>
    <row r="1670" spans="1:20" hidden="1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  <c r="S1670" t="str">
        <f t="shared" si="26"/>
        <v>Fortnightly</v>
      </c>
      <c r="T1670" cm="1">
        <f t="array" ref="T1670">_xlfn.SWITCH(S1670,"Annually",6,"Bi-Weekly",2,"Fortnightly",3,"Monthly",4,"Quarterly",5,"Weekly",1)</f>
        <v>3</v>
      </c>
    </row>
    <row r="1671" spans="1:20" hidden="1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  <c r="S1671" t="str">
        <f t="shared" si="26"/>
        <v>Quarterly</v>
      </c>
      <c r="T1671" cm="1">
        <f t="array" ref="T1671">_xlfn.SWITCH(S1671,"Annually",6,"Bi-Weekly",2,"Fortnightly",3,"Monthly",4,"Quarterly",5,"Weekly",1)</f>
        <v>5</v>
      </c>
    </row>
    <row r="1672" spans="1:20" hidden="1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  <c r="S1672" t="str">
        <f t="shared" si="26"/>
        <v>Weekly</v>
      </c>
      <c r="T1672" cm="1">
        <f t="array" ref="T1672">_xlfn.SWITCH(S1672,"Annually",6,"Bi-Weekly",2,"Fortnightly",3,"Monthly",4,"Quarterly",5,"Weekly",1)</f>
        <v>1</v>
      </c>
    </row>
    <row r="1673" spans="1:20" hidden="1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  <c r="S1673" t="str">
        <f t="shared" si="26"/>
        <v>Weekly</v>
      </c>
      <c r="T1673" cm="1">
        <f t="array" ref="T1673">_xlfn.SWITCH(S1673,"Annually",6,"Bi-Weekly",2,"Fortnightly",3,"Monthly",4,"Quarterly",5,"Weekly",1)</f>
        <v>1</v>
      </c>
    </row>
    <row r="1674" spans="1:20" hidden="1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  <c r="S1674" t="str">
        <f t="shared" si="26"/>
        <v>Quarterly</v>
      </c>
      <c r="T1674" cm="1">
        <f t="array" ref="T1674">_xlfn.SWITCH(S1674,"Annually",6,"Bi-Weekly",2,"Fortnightly",3,"Monthly",4,"Quarterly",5,"Weekly",1)</f>
        <v>5</v>
      </c>
    </row>
    <row r="1675" spans="1:20" hidden="1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  <c r="S1675" t="str">
        <f t="shared" si="26"/>
        <v>Bi-Weekly</v>
      </c>
      <c r="T1675" cm="1">
        <f t="array" ref="T1675">_xlfn.SWITCH(S1675,"Annually",6,"Bi-Weekly",2,"Fortnightly",3,"Monthly",4,"Quarterly",5,"Weekly",1)</f>
        <v>2</v>
      </c>
    </row>
    <row r="1676" spans="1:20" hidden="1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  <c r="S1676" t="str">
        <f t="shared" si="26"/>
        <v>Fortnightly</v>
      </c>
      <c r="T1676" cm="1">
        <f t="array" ref="T1676">_xlfn.SWITCH(S1676,"Annually",6,"Bi-Weekly",2,"Fortnightly",3,"Monthly",4,"Quarterly",5,"Weekly",1)</f>
        <v>3</v>
      </c>
    </row>
    <row r="1677" spans="1:20" hidden="1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  <c r="S1677" t="str">
        <f t="shared" si="26"/>
        <v>Annually</v>
      </c>
      <c r="T1677" cm="1">
        <f t="array" ref="T1677">_xlfn.SWITCH(S1677,"Annually",6,"Bi-Weekly",2,"Fortnightly",3,"Monthly",4,"Quarterly",5,"Weekly",1)</f>
        <v>6</v>
      </c>
    </row>
    <row r="1678" spans="1:20" hidden="1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  <c r="S1678" t="str">
        <f t="shared" si="26"/>
        <v>Weekly</v>
      </c>
      <c r="T1678" cm="1">
        <f t="array" ref="T1678">_xlfn.SWITCH(S1678,"Annually",6,"Bi-Weekly",2,"Fortnightly",3,"Monthly",4,"Quarterly",5,"Weekly",1)</f>
        <v>1</v>
      </c>
    </row>
    <row r="1679" spans="1:20" hidden="1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  <c r="S1679" t="str">
        <f t="shared" si="26"/>
        <v>Weekly</v>
      </c>
      <c r="T1679" cm="1">
        <f t="array" ref="T1679">_xlfn.SWITCH(S1679,"Annually",6,"Bi-Weekly",2,"Fortnightly",3,"Monthly",4,"Quarterly",5,"Weekly",1)</f>
        <v>1</v>
      </c>
    </row>
    <row r="1680" spans="1:20" hidden="1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  <c r="S1680" t="str">
        <f t="shared" si="26"/>
        <v>Fortnightly</v>
      </c>
      <c r="T1680" cm="1">
        <f t="array" ref="T1680">_xlfn.SWITCH(S1680,"Annually",6,"Bi-Weekly",2,"Fortnightly",3,"Monthly",4,"Quarterly",5,"Weekly",1)</f>
        <v>3</v>
      </c>
    </row>
    <row r="1681" spans="1:20" hidden="1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  <c r="S1681" t="str">
        <f t="shared" si="26"/>
        <v>Bi-Weekly</v>
      </c>
      <c r="T1681" cm="1">
        <f t="array" ref="T1681">_xlfn.SWITCH(S1681,"Annually",6,"Bi-Weekly",2,"Fortnightly",3,"Monthly",4,"Quarterly",5,"Weekly",1)</f>
        <v>2</v>
      </c>
    </row>
    <row r="1682" spans="1:20" hidden="1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  <c r="S1682" t="str">
        <f t="shared" si="26"/>
        <v>Annually</v>
      </c>
      <c r="T1682" cm="1">
        <f t="array" ref="T1682">_xlfn.SWITCH(S1682,"Annually",6,"Bi-Weekly",2,"Fortnightly",3,"Monthly",4,"Quarterly",5,"Weekly",1)</f>
        <v>6</v>
      </c>
    </row>
    <row r="1683" spans="1:20" hidden="1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  <c r="S1683" t="str">
        <f t="shared" si="26"/>
        <v>Bi-Weekly</v>
      </c>
      <c r="T1683" cm="1">
        <f t="array" ref="T1683">_xlfn.SWITCH(S1683,"Annually",6,"Bi-Weekly",2,"Fortnightly",3,"Monthly",4,"Quarterly",5,"Weekly",1)</f>
        <v>2</v>
      </c>
    </row>
    <row r="1684" spans="1:20" hidden="1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  <c r="S1684" t="str">
        <f t="shared" si="26"/>
        <v>Bi-Weekly</v>
      </c>
      <c r="T1684" cm="1">
        <f t="array" ref="T1684">_xlfn.SWITCH(S1684,"Annually",6,"Bi-Weekly",2,"Fortnightly",3,"Monthly",4,"Quarterly",5,"Weekly",1)</f>
        <v>2</v>
      </c>
    </row>
    <row r="1685" spans="1:20" hidden="1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  <c r="S1685" t="str">
        <f t="shared" si="26"/>
        <v>Quarterly</v>
      </c>
      <c r="T1685" cm="1">
        <f t="array" ref="T1685">_xlfn.SWITCH(S1685,"Annually",6,"Bi-Weekly",2,"Fortnightly",3,"Monthly",4,"Quarterly",5,"Weekly",1)</f>
        <v>5</v>
      </c>
    </row>
    <row r="1686" spans="1:20" hidden="1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  <c r="S1686" t="str">
        <f t="shared" si="26"/>
        <v>Weekly</v>
      </c>
      <c r="T1686" cm="1">
        <f t="array" ref="T1686">_xlfn.SWITCH(S1686,"Annually",6,"Bi-Weekly",2,"Fortnightly",3,"Monthly",4,"Quarterly",5,"Weekly",1)</f>
        <v>1</v>
      </c>
    </row>
    <row r="1687" spans="1:20" hidden="1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  <c r="S1687" t="str">
        <f t="shared" si="26"/>
        <v>Bi-Weekly</v>
      </c>
      <c r="T1687" cm="1">
        <f t="array" ref="T1687">_xlfn.SWITCH(S1687,"Annually",6,"Bi-Weekly",2,"Fortnightly",3,"Monthly",4,"Quarterly",5,"Weekly",1)</f>
        <v>2</v>
      </c>
    </row>
    <row r="1688" spans="1:20" hidden="1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  <c r="S1688" t="str">
        <f t="shared" si="26"/>
        <v>Annually</v>
      </c>
      <c r="T1688" cm="1">
        <f t="array" ref="T1688">_xlfn.SWITCH(S1688,"Annually",6,"Bi-Weekly",2,"Fortnightly",3,"Monthly",4,"Quarterly",5,"Weekly",1)</f>
        <v>6</v>
      </c>
    </row>
    <row r="1689" spans="1:20" hidden="1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  <c r="S1689" t="str">
        <f t="shared" si="26"/>
        <v>Annually</v>
      </c>
      <c r="T1689" cm="1">
        <f t="array" ref="T1689">_xlfn.SWITCH(S1689,"Annually",6,"Bi-Weekly",2,"Fortnightly",3,"Monthly",4,"Quarterly",5,"Weekly",1)</f>
        <v>6</v>
      </c>
    </row>
    <row r="1690" spans="1:20" hidden="1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  <c r="S1690" t="str">
        <f t="shared" si="26"/>
        <v>Fortnightly</v>
      </c>
      <c r="T1690" cm="1">
        <f t="array" ref="T1690">_xlfn.SWITCH(S1690,"Annually",6,"Bi-Weekly",2,"Fortnightly",3,"Monthly",4,"Quarterly",5,"Weekly",1)</f>
        <v>3</v>
      </c>
    </row>
    <row r="1691" spans="1:20" hidden="1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  <c r="S1691" t="str">
        <f t="shared" si="26"/>
        <v>Monthly</v>
      </c>
      <c r="T1691" cm="1">
        <f t="array" ref="T1691">_xlfn.SWITCH(S1691,"Annually",6,"Bi-Weekly",2,"Fortnightly",3,"Monthly",4,"Quarterly",5,"Weekly",1)</f>
        <v>4</v>
      </c>
    </row>
    <row r="1692" spans="1:20" hidden="1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  <c r="S1692" t="str">
        <f t="shared" si="26"/>
        <v>Annually</v>
      </c>
      <c r="T1692" cm="1">
        <f t="array" ref="T1692">_xlfn.SWITCH(S1692,"Annually",6,"Bi-Weekly",2,"Fortnightly",3,"Monthly",4,"Quarterly",5,"Weekly",1)</f>
        <v>6</v>
      </c>
    </row>
    <row r="1693" spans="1:20" hidden="1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  <c r="S1693" t="str">
        <f t="shared" si="26"/>
        <v>Annually</v>
      </c>
      <c r="T1693" cm="1">
        <f t="array" ref="T1693">_xlfn.SWITCH(S1693,"Annually",6,"Bi-Weekly",2,"Fortnightly",3,"Monthly",4,"Quarterly",5,"Weekly",1)</f>
        <v>6</v>
      </c>
    </row>
    <row r="1694" spans="1:20" hidden="1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  <c r="S1694" t="str">
        <f t="shared" si="26"/>
        <v>Bi-Weekly</v>
      </c>
      <c r="T1694" cm="1">
        <f t="array" ref="T1694">_xlfn.SWITCH(S1694,"Annually",6,"Bi-Weekly",2,"Fortnightly",3,"Monthly",4,"Quarterly",5,"Weekly",1)</f>
        <v>2</v>
      </c>
    </row>
    <row r="1695" spans="1:20" hidden="1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  <c r="S1695" t="str">
        <f t="shared" si="26"/>
        <v>Fortnightly</v>
      </c>
      <c r="T1695" cm="1">
        <f t="array" ref="T1695">_xlfn.SWITCH(S1695,"Annually",6,"Bi-Weekly",2,"Fortnightly",3,"Monthly",4,"Quarterly",5,"Weekly",1)</f>
        <v>3</v>
      </c>
    </row>
    <row r="1696" spans="1:20" hidden="1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  <c r="S1696" t="str">
        <f t="shared" si="26"/>
        <v>Fortnightly</v>
      </c>
      <c r="T1696" cm="1">
        <f t="array" ref="T1696">_xlfn.SWITCH(S1696,"Annually",6,"Bi-Weekly",2,"Fortnightly",3,"Monthly",4,"Quarterly",5,"Weekly",1)</f>
        <v>3</v>
      </c>
    </row>
    <row r="1697" spans="1:20" hidden="1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  <c r="S1697" t="str">
        <f t="shared" si="26"/>
        <v>Fortnightly</v>
      </c>
      <c r="T1697" cm="1">
        <f t="array" ref="T1697">_xlfn.SWITCH(S1697,"Annually",6,"Bi-Weekly",2,"Fortnightly",3,"Monthly",4,"Quarterly",5,"Weekly",1)</f>
        <v>3</v>
      </c>
    </row>
    <row r="1698" spans="1:20" hidden="1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  <c r="S1698" t="str">
        <f t="shared" si="26"/>
        <v>Bi-Weekly</v>
      </c>
      <c r="T1698" cm="1">
        <f t="array" ref="T1698">_xlfn.SWITCH(S1698,"Annually",6,"Bi-Weekly",2,"Fortnightly",3,"Monthly",4,"Quarterly",5,"Weekly",1)</f>
        <v>2</v>
      </c>
    </row>
    <row r="1699" spans="1:20" hidden="1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  <c r="S1699" t="str">
        <f t="shared" si="26"/>
        <v>Quarterly</v>
      </c>
      <c r="T1699" cm="1">
        <f t="array" ref="T1699">_xlfn.SWITCH(S1699,"Annually",6,"Bi-Weekly",2,"Fortnightly",3,"Monthly",4,"Quarterly",5,"Weekly",1)</f>
        <v>5</v>
      </c>
    </row>
    <row r="1700" spans="1:20" hidden="1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  <c r="S1700" t="str">
        <f t="shared" si="26"/>
        <v>Quarterly</v>
      </c>
      <c r="T1700" cm="1">
        <f t="array" ref="T1700">_xlfn.SWITCH(S1700,"Annually",6,"Bi-Weekly",2,"Fortnightly",3,"Monthly",4,"Quarterly",5,"Weekly",1)</f>
        <v>5</v>
      </c>
    </row>
    <row r="1701" spans="1:20" hidden="1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  <c r="S1701" t="str">
        <f t="shared" si="26"/>
        <v>Annually</v>
      </c>
      <c r="T1701" cm="1">
        <f t="array" ref="T1701">_xlfn.SWITCH(S1701,"Annually",6,"Bi-Weekly",2,"Fortnightly",3,"Monthly",4,"Quarterly",5,"Weekly",1)</f>
        <v>6</v>
      </c>
    </row>
    <row r="1702" spans="1:20" hidden="1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  <c r="S1702" t="str">
        <f t="shared" si="26"/>
        <v>Monthly</v>
      </c>
      <c r="T1702" cm="1">
        <f t="array" ref="T1702">_xlfn.SWITCH(S1702,"Annually",6,"Bi-Weekly",2,"Fortnightly",3,"Monthly",4,"Quarterly",5,"Weekly",1)</f>
        <v>4</v>
      </c>
    </row>
    <row r="1703" spans="1:20" hidden="1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  <c r="S1703" t="str">
        <f t="shared" si="26"/>
        <v>Quarterly</v>
      </c>
      <c r="T1703" cm="1">
        <f t="array" ref="T1703">_xlfn.SWITCH(S1703,"Annually",6,"Bi-Weekly",2,"Fortnightly",3,"Monthly",4,"Quarterly",5,"Weekly",1)</f>
        <v>5</v>
      </c>
    </row>
    <row r="1704" spans="1:20" hidden="1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  <c r="S1704" t="str">
        <f t="shared" si="26"/>
        <v>Weekly</v>
      </c>
      <c r="T1704" cm="1">
        <f t="array" ref="T1704">_xlfn.SWITCH(S1704,"Annually",6,"Bi-Weekly",2,"Fortnightly",3,"Monthly",4,"Quarterly",5,"Weekly",1)</f>
        <v>1</v>
      </c>
    </row>
    <row r="1705" spans="1:20" hidden="1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  <c r="S1705" t="str">
        <f t="shared" si="26"/>
        <v>Annually</v>
      </c>
      <c r="T1705" cm="1">
        <f t="array" ref="T1705">_xlfn.SWITCH(S1705,"Annually",6,"Bi-Weekly",2,"Fortnightly",3,"Monthly",4,"Quarterly",5,"Weekly",1)</f>
        <v>6</v>
      </c>
    </row>
    <row r="1706" spans="1:20" hidden="1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  <c r="S1706" t="str">
        <f t="shared" si="26"/>
        <v>Quarterly</v>
      </c>
      <c r="T1706" cm="1">
        <f t="array" ref="T1706">_xlfn.SWITCH(S1706,"Annually",6,"Bi-Weekly",2,"Fortnightly",3,"Monthly",4,"Quarterly",5,"Weekly",1)</f>
        <v>5</v>
      </c>
    </row>
    <row r="1707" spans="1:20" hidden="1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  <c r="S1707" t="str">
        <f t="shared" si="26"/>
        <v>Bi-Weekly</v>
      </c>
      <c r="T1707" cm="1">
        <f t="array" ref="T1707">_xlfn.SWITCH(S1707,"Annually",6,"Bi-Weekly",2,"Fortnightly",3,"Monthly",4,"Quarterly",5,"Weekly",1)</f>
        <v>2</v>
      </c>
    </row>
    <row r="1708" spans="1:20" hidden="1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  <c r="S1708" t="str">
        <f t="shared" si="26"/>
        <v>Fortnightly</v>
      </c>
      <c r="T1708" cm="1">
        <f t="array" ref="T1708">_xlfn.SWITCH(S1708,"Annually",6,"Bi-Weekly",2,"Fortnightly",3,"Monthly",4,"Quarterly",5,"Weekly",1)</f>
        <v>3</v>
      </c>
    </row>
    <row r="1709" spans="1:20" hidden="1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  <c r="S1709" t="str">
        <f t="shared" si="26"/>
        <v>Bi-Weekly</v>
      </c>
      <c r="T1709" cm="1">
        <f t="array" ref="T1709">_xlfn.SWITCH(S1709,"Annually",6,"Bi-Weekly",2,"Fortnightly",3,"Monthly",4,"Quarterly",5,"Weekly",1)</f>
        <v>2</v>
      </c>
    </row>
    <row r="1710" spans="1:20" hidden="1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  <c r="S1710" t="str">
        <f t="shared" si="26"/>
        <v>Quarterly</v>
      </c>
      <c r="T1710" cm="1">
        <f t="array" ref="T1710">_xlfn.SWITCH(S1710,"Annually",6,"Bi-Weekly",2,"Fortnightly",3,"Monthly",4,"Quarterly",5,"Weekly",1)</f>
        <v>5</v>
      </c>
    </row>
    <row r="1711" spans="1:20" hidden="1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  <c r="S1711" t="str">
        <f t="shared" si="26"/>
        <v>Annually</v>
      </c>
      <c r="T1711" cm="1">
        <f t="array" ref="T1711">_xlfn.SWITCH(S1711,"Annually",6,"Bi-Weekly",2,"Fortnightly",3,"Monthly",4,"Quarterly",5,"Weekly",1)</f>
        <v>6</v>
      </c>
    </row>
    <row r="1712" spans="1:20" hidden="1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  <c r="S1712" t="str">
        <f t="shared" si="26"/>
        <v>Quarterly</v>
      </c>
      <c r="T1712" cm="1">
        <f t="array" ref="T1712">_xlfn.SWITCH(S1712,"Annually",6,"Bi-Weekly",2,"Fortnightly",3,"Monthly",4,"Quarterly",5,"Weekly",1)</f>
        <v>5</v>
      </c>
    </row>
    <row r="1713" spans="1:20" hidden="1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  <c r="S1713" t="str">
        <f t="shared" si="26"/>
        <v>Monthly</v>
      </c>
      <c r="T1713" cm="1">
        <f t="array" ref="T1713">_xlfn.SWITCH(S1713,"Annually",6,"Bi-Weekly",2,"Fortnightly",3,"Monthly",4,"Quarterly",5,"Weekly",1)</f>
        <v>4</v>
      </c>
    </row>
    <row r="1714" spans="1:20" hidden="1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  <c r="S1714" t="str">
        <f t="shared" si="26"/>
        <v>Fortnightly</v>
      </c>
      <c r="T1714" cm="1">
        <f t="array" ref="T1714">_xlfn.SWITCH(S1714,"Annually",6,"Bi-Weekly",2,"Fortnightly",3,"Monthly",4,"Quarterly",5,"Weekly",1)</f>
        <v>3</v>
      </c>
    </row>
    <row r="1715" spans="1:20" hidden="1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  <c r="S1715" t="str">
        <f t="shared" si="26"/>
        <v>Quarterly</v>
      </c>
      <c r="T1715" cm="1">
        <f t="array" ref="T1715">_xlfn.SWITCH(S1715,"Annually",6,"Bi-Weekly",2,"Fortnightly",3,"Monthly",4,"Quarterly",5,"Weekly",1)</f>
        <v>5</v>
      </c>
    </row>
    <row r="1716" spans="1:20" hidden="1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  <c r="S1716" t="str">
        <f t="shared" si="26"/>
        <v>Monthly</v>
      </c>
      <c r="T1716" cm="1">
        <f t="array" ref="T1716">_xlfn.SWITCH(S1716,"Annually",6,"Bi-Weekly",2,"Fortnightly",3,"Monthly",4,"Quarterly",5,"Weekly",1)</f>
        <v>4</v>
      </c>
    </row>
    <row r="1717" spans="1:20" hidden="1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  <c r="S1717" t="str">
        <f t="shared" si="26"/>
        <v>Bi-Weekly</v>
      </c>
      <c r="T1717" cm="1">
        <f t="array" ref="T1717">_xlfn.SWITCH(S1717,"Annually",6,"Bi-Weekly",2,"Fortnightly",3,"Monthly",4,"Quarterly",5,"Weekly",1)</f>
        <v>2</v>
      </c>
    </row>
    <row r="1718" spans="1:20" hidden="1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  <c r="S1718" t="str">
        <f t="shared" si="26"/>
        <v>Quarterly</v>
      </c>
      <c r="T1718" cm="1">
        <f t="array" ref="T1718">_xlfn.SWITCH(S1718,"Annually",6,"Bi-Weekly",2,"Fortnightly",3,"Monthly",4,"Quarterly",5,"Weekly",1)</f>
        <v>5</v>
      </c>
    </row>
    <row r="1719" spans="1:20" hidden="1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  <c r="S1719" t="str">
        <f t="shared" si="26"/>
        <v>Bi-Weekly</v>
      </c>
      <c r="T1719" cm="1">
        <f t="array" ref="T1719">_xlfn.SWITCH(S1719,"Annually",6,"Bi-Weekly",2,"Fortnightly",3,"Monthly",4,"Quarterly",5,"Weekly",1)</f>
        <v>2</v>
      </c>
    </row>
    <row r="1720" spans="1:20" hidden="1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  <c r="S1720" t="str">
        <f t="shared" si="26"/>
        <v>Quarterly</v>
      </c>
      <c r="T1720" cm="1">
        <f t="array" ref="T1720">_xlfn.SWITCH(S1720,"Annually",6,"Bi-Weekly",2,"Fortnightly",3,"Monthly",4,"Quarterly",5,"Weekly",1)</f>
        <v>5</v>
      </c>
    </row>
    <row r="1721" spans="1:20" hidden="1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  <c r="S1721" t="str">
        <f t="shared" si="26"/>
        <v>Quarterly</v>
      </c>
      <c r="T1721" cm="1">
        <f t="array" ref="T1721">_xlfn.SWITCH(S1721,"Annually",6,"Bi-Weekly",2,"Fortnightly",3,"Monthly",4,"Quarterly",5,"Weekly",1)</f>
        <v>5</v>
      </c>
    </row>
    <row r="1722" spans="1:20" hidden="1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  <c r="S1722" t="str">
        <f t="shared" si="26"/>
        <v>Bi-Weekly</v>
      </c>
      <c r="T1722" cm="1">
        <f t="array" ref="T1722">_xlfn.SWITCH(S1722,"Annually",6,"Bi-Weekly",2,"Fortnightly",3,"Monthly",4,"Quarterly",5,"Weekly",1)</f>
        <v>2</v>
      </c>
    </row>
    <row r="1723" spans="1:20" hidden="1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  <c r="S1723" t="str">
        <f t="shared" si="26"/>
        <v>Monthly</v>
      </c>
      <c r="T1723" cm="1">
        <f t="array" ref="T1723">_xlfn.SWITCH(S1723,"Annually",6,"Bi-Weekly",2,"Fortnightly",3,"Monthly",4,"Quarterly",5,"Weekly",1)</f>
        <v>4</v>
      </c>
    </row>
    <row r="1724" spans="1:20" hidden="1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  <c r="S1724" t="str">
        <f t="shared" si="26"/>
        <v>Fortnightly</v>
      </c>
      <c r="T1724" cm="1">
        <f t="array" ref="T1724">_xlfn.SWITCH(S1724,"Annually",6,"Bi-Weekly",2,"Fortnightly",3,"Monthly",4,"Quarterly",5,"Weekly",1)</f>
        <v>3</v>
      </c>
    </row>
    <row r="1725" spans="1:20" hidden="1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  <c r="S1725" t="str">
        <f t="shared" si="26"/>
        <v>Annually</v>
      </c>
      <c r="T1725" cm="1">
        <f t="array" ref="T1725">_xlfn.SWITCH(S1725,"Annually",6,"Bi-Weekly",2,"Fortnightly",3,"Monthly",4,"Quarterly",5,"Weekly",1)</f>
        <v>6</v>
      </c>
    </row>
    <row r="1726" spans="1:20" hidden="1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  <c r="S1726" t="str">
        <f t="shared" si="26"/>
        <v>Weekly</v>
      </c>
      <c r="T1726" cm="1">
        <f t="array" ref="T1726">_xlfn.SWITCH(S1726,"Annually",6,"Bi-Weekly",2,"Fortnightly",3,"Monthly",4,"Quarterly",5,"Weekly",1)</f>
        <v>1</v>
      </c>
    </row>
    <row r="1727" spans="1:20" hidden="1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  <c r="S1727" t="str">
        <f t="shared" si="26"/>
        <v>Quarterly</v>
      </c>
      <c r="T1727" cm="1">
        <f t="array" ref="T1727">_xlfn.SWITCH(S1727,"Annually",6,"Bi-Weekly",2,"Fortnightly",3,"Monthly",4,"Quarterly",5,"Weekly",1)</f>
        <v>5</v>
      </c>
    </row>
    <row r="1728" spans="1:20" hidden="1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  <c r="S1728" t="str">
        <f t="shared" si="26"/>
        <v>Weekly</v>
      </c>
      <c r="T1728" cm="1">
        <f t="array" ref="T1728">_xlfn.SWITCH(S1728,"Annually",6,"Bi-Weekly",2,"Fortnightly",3,"Monthly",4,"Quarterly",5,"Weekly",1)</f>
        <v>1</v>
      </c>
    </row>
    <row r="1729" spans="1:20" hidden="1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  <c r="S1729" t="str">
        <f t="shared" si="26"/>
        <v>Monthly</v>
      </c>
      <c r="T1729" cm="1">
        <f t="array" ref="T1729">_xlfn.SWITCH(S1729,"Annually",6,"Bi-Weekly",2,"Fortnightly",3,"Monthly",4,"Quarterly",5,"Weekly",1)</f>
        <v>4</v>
      </c>
    </row>
    <row r="1730" spans="1:20" hidden="1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  <c r="S1730" t="str">
        <f t="shared" si="26"/>
        <v>Quarterly</v>
      </c>
      <c r="T1730" cm="1">
        <f t="array" ref="T1730">_xlfn.SWITCH(S1730,"Annually",6,"Bi-Weekly",2,"Fortnightly",3,"Monthly",4,"Quarterly",5,"Weekly",1)</f>
        <v>5</v>
      </c>
    </row>
    <row r="1731" spans="1:20" hidden="1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  <c r="S1731" t="str">
        <f t="shared" ref="S1731:S1794" si="27">IF(R1731="Every 3 Months","Quarterly",R1731)</f>
        <v>Fortnightly</v>
      </c>
      <c r="T1731" cm="1">
        <f t="array" ref="T1731">_xlfn.SWITCH(S1731,"Annually",6,"Bi-Weekly",2,"Fortnightly",3,"Monthly",4,"Quarterly",5,"Weekly",1)</f>
        <v>3</v>
      </c>
    </row>
    <row r="1732" spans="1:20" hidden="1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  <c r="S1732" t="str">
        <f t="shared" si="27"/>
        <v>Weekly</v>
      </c>
      <c r="T1732" cm="1">
        <f t="array" ref="T1732">_xlfn.SWITCH(S1732,"Annually",6,"Bi-Weekly",2,"Fortnightly",3,"Monthly",4,"Quarterly",5,"Weekly",1)</f>
        <v>1</v>
      </c>
    </row>
    <row r="1733" spans="1:20" hidden="1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  <c r="S1733" t="str">
        <f t="shared" si="27"/>
        <v>Monthly</v>
      </c>
      <c r="T1733" cm="1">
        <f t="array" ref="T1733">_xlfn.SWITCH(S1733,"Annually",6,"Bi-Weekly",2,"Fortnightly",3,"Monthly",4,"Quarterly",5,"Weekly",1)</f>
        <v>4</v>
      </c>
    </row>
    <row r="1734" spans="1:20" hidden="1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  <c r="S1734" t="str">
        <f t="shared" si="27"/>
        <v>Quarterly</v>
      </c>
      <c r="T1734" cm="1">
        <f t="array" ref="T1734">_xlfn.SWITCH(S1734,"Annually",6,"Bi-Weekly",2,"Fortnightly",3,"Monthly",4,"Quarterly",5,"Weekly",1)</f>
        <v>5</v>
      </c>
    </row>
    <row r="1735" spans="1:20" hidden="1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  <c r="S1735" t="str">
        <f t="shared" si="27"/>
        <v>Annually</v>
      </c>
      <c r="T1735" cm="1">
        <f t="array" ref="T1735">_xlfn.SWITCH(S1735,"Annually",6,"Bi-Weekly",2,"Fortnightly",3,"Monthly",4,"Quarterly",5,"Weekly",1)</f>
        <v>6</v>
      </c>
    </row>
    <row r="1736" spans="1:20" hidden="1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  <c r="S1736" t="str">
        <f t="shared" si="27"/>
        <v>Quarterly</v>
      </c>
      <c r="T1736" cm="1">
        <f t="array" ref="T1736">_xlfn.SWITCH(S1736,"Annually",6,"Bi-Weekly",2,"Fortnightly",3,"Monthly",4,"Quarterly",5,"Weekly",1)</f>
        <v>5</v>
      </c>
    </row>
    <row r="1737" spans="1:20" hidden="1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  <c r="S1737" t="str">
        <f t="shared" si="27"/>
        <v>Annually</v>
      </c>
      <c r="T1737" cm="1">
        <f t="array" ref="T1737">_xlfn.SWITCH(S1737,"Annually",6,"Bi-Weekly",2,"Fortnightly",3,"Monthly",4,"Quarterly",5,"Weekly",1)</f>
        <v>6</v>
      </c>
    </row>
    <row r="1738" spans="1:20" hidden="1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  <c r="S1738" t="str">
        <f t="shared" si="27"/>
        <v>Quarterly</v>
      </c>
      <c r="T1738" cm="1">
        <f t="array" ref="T1738">_xlfn.SWITCH(S1738,"Annually",6,"Bi-Weekly",2,"Fortnightly",3,"Monthly",4,"Quarterly",5,"Weekly",1)</f>
        <v>5</v>
      </c>
    </row>
    <row r="1739" spans="1:20" hidden="1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  <c r="S1739" t="str">
        <f t="shared" si="27"/>
        <v>Bi-Weekly</v>
      </c>
      <c r="T1739" cm="1">
        <f t="array" ref="T1739">_xlfn.SWITCH(S1739,"Annually",6,"Bi-Weekly",2,"Fortnightly",3,"Monthly",4,"Quarterly",5,"Weekly",1)</f>
        <v>2</v>
      </c>
    </row>
    <row r="1740" spans="1:20" hidden="1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  <c r="S1740" t="str">
        <f t="shared" si="27"/>
        <v>Weekly</v>
      </c>
      <c r="T1740" cm="1">
        <f t="array" ref="T1740">_xlfn.SWITCH(S1740,"Annually",6,"Bi-Weekly",2,"Fortnightly",3,"Monthly",4,"Quarterly",5,"Weekly",1)</f>
        <v>1</v>
      </c>
    </row>
    <row r="1741" spans="1:20" hidden="1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  <c r="S1741" t="str">
        <f t="shared" si="27"/>
        <v>Weekly</v>
      </c>
      <c r="T1741" cm="1">
        <f t="array" ref="T1741">_xlfn.SWITCH(S1741,"Annually",6,"Bi-Weekly",2,"Fortnightly",3,"Monthly",4,"Quarterly",5,"Weekly",1)</f>
        <v>1</v>
      </c>
    </row>
    <row r="1742" spans="1:20" hidden="1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  <c r="S1742" t="str">
        <f t="shared" si="27"/>
        <v>Quarterly</v>
      </c>
      <c r="T1742" cm="1">
        <f t="array" ref="T1742">_xlfn.SWITCH(S1742,"Annually",6,"Bi-Weekly",2,"Fortnightly",3,"Monthly",4,"Quarterly",5,"Weekly",1)</f>
        <v>5</v>
      </c>
    </row>
    <row r="1743" spans="1:20" hidden="1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  <c r="S1743" t="str">
        <f t="shared" si="27"/>
        <v>Monthly</v>
      </c>
      <c r="T1743" cm="1">
        <f t="array" ref="T1743">_xlfn.SWITCH(S1743,"Annually",6,"Bi-Weekly",2,"Fortnightly",3,"Monthly",4,"Quarterly",5,"Weekly",1)</f>
        <v>4</v>
      </c>
    </row>
    <row r="1744" spans="1:20" hidden="1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  <c r="S1744" t="str">
        <f t="shared" si="27"/>
        <v>Quarterly</v>
      </c>
      <c r="T1744" cm="1">
        <f t="array" ref="T1744">_xlfn.SWITCH(S1744,"Annually",6,"Bi-Weekly",2,"Fortnightly",3,"Monthly",4,"Quarterly",5,"Weekly",1)</f>
        <v>5</v>
      </c>
    </row>
    <row r="1745" spans="1:20" hidden="1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  <c r="S1745" t="str">
        <f t="shared" si="27"/>
        <v>Weekly</v>
      </c>
      <c r="T1745" cm="1">
        <f t="array" ref="T1745">_xlfn.SWITCH(S1745,"Annually",6,"Bi-Weekly",2,"Fortnightly",3,"Monthly",4,"Quarterly",5,"Weekly",1)</f>
        <v>1</v>
      </c>
    </row>
    <row r="1746" spans="1:20" hidden="1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  <c r="S1746" t="str">
        <f t="shared" si="27"/>
        <v>Weekly</v>
      </c>
      <c r="T1746" cm="1">
        <f t="array" ref="T1746">_xlfn.SWITCH(S1746,"Annually",6,"Bi-Weekly",2,"Fortnightly",3,"Monthly",4,"Quarterly",5,"Weekly",1)</f>
        <v>1</v>
      </c>
    </row>
    <row r="1747" spans="1:20" hidden="1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  <c r="S1747" t="str">
        <f t="shared" si="27"/>
        <v>Weekly</v>
      </c>
      <c r="T1747" cm="1">
        <f t="array" ref="T1747">_xlfn.SWITCH(S1747,"Annually",6,"Bi-Weekly",2,"Fortnightly",3,"Monthly",4,"Quarterly",5,"Weekly",1)</f>
        <v>1</v>
      </c>
    </row>
    <row r="1748" spans="1:20" hidden="1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  <c r="S1748" t="str">
        <f t="shared" si="27"/>
        <v>Fortnightly</v>
      </c>
      <c r="T1748" cm="1">
        <f t="array" ref="T1748">_xlfn.SWITCH(S1748,"Annually",6,"Bi-Weekly",2,"Fortnightly",3,"Monthly",4,"Quarterly",5,"Weekly",1)</f>
        <v>3</v>
      </c>
    </row>
    <row r="1749" spans="1:20" hidden="1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  <c r="S1749" t="str">
        <f t="shared" si="27"/>
        <v>Quarterly</v>
      </c>
      <c r="T1749" cm="1">
        <f t="array" ref="T1749">_xlfn.SWITCH(S1749,"Annually",6,"Bi-Weekly",2,"Fortnightly",3,"Monthly",4,"Quarterly",5,"Weekly",1)</f>
        <v>5</v>
      </c>
    </row>
    <row r="1750" spans="1:20" hidden="1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  <c r="S1750" t="str">
        <f t="shared" si="27"/>
        <v>Annually</v>
      </c>
      <c r="T1750" cm="1">
        <f t="array" ref="T1750">_xlfn.SWITCH(S1750,"Annually",6,"Bi-Weekly",2,"Fortnightly",3,"Monthly",4,"Quarterly",5,"Weekly",1)</f>
        <v>6</v>
      </c>
    </row>
    <row r="1751" spans="1:20" hidden="1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  <c r="S1751" t="str">
        <f t="shared" si="27"/>
        <v>Quarterly</v>
      </c>
      <c r="T1751" cm="1">
        <f t="array" ref="T1751">_xlfn.SWITCH(S1751,"Annually",6,"Bi-Weekly",2,"Fortnightly",3,"Monthly",4,"Quarterly",5,"Weekly",1)</f>
        <v>5</v>
      </c>
    </row>
    <row r="1752" spans="1:20" hidden="1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  <c r="S1752" t="str">
        <f t="shared" si="27"/>
        <v>Quarterly</v>
      </c>
      <c r="T1752" cm="1">
        <f t="array" ref="T1752">_xlfn.SWITCH(S1752,"Annually",6,"Bi-Weekly",2,"Fortnightly",3,"Monthly",4,"Quarterly",5,"Weekly",1)</f>
        <v>5</v>
      </c>
    </row>
    <row r="1753" spans="1:20" hidden="1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  <c r="S1753" t="str">
        <f t="shared" si="27"/>
        <v>Annually</v>
      </c>
      <c r="T1753" cm="1">
        <f t="array" ref="T1753">_xlfn.SWITCH(S1753,"Annually",6,"Bi-Weekly",2,"Fortnightly",3,"Monthly",4,"Quarterly",5,"Weekly",1)</f>
        <v>6</v>
      </c>
    </row>
    <row r="1754" spans="1:20" hidden="1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  <c r="S1754" t="str">
        <f t="shared" si="27"/>
        <v>Quarterly</v>
      </c>
      <c r="T1754" cm="1">
        <f t="array" ref="T1754">_xlfn.SWITCH(S1754,"Annually",6,"Bi-Weekly",2,"Fortnightly",3,"Monthly",4,"Quarterly",5,"Weekly",1)</f>
        <v>5</v>
      </c>
    </row>
    <row r="1755" spans="1:20" hidden="1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  <c r="S1755" t="str">
        <f t="shared" si="27"/>
        <v>Fortnightly</v>
      </c>
      <c r="T1755" cm="1">
        <f t="array" ref="T1755">_xlfn.SWITCH(S1755,"Annually",6,"Bi-Weekly",2,"Fortnightly",3,"Monthly",4,"Quarterly",5,"Weekly",1)</f>
        <v>3</v>
      </c>
    </row>
    <row r="1756" spans="1:20" hidden="1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  <c r="S1756" t="str">
        <f t="shared" si="27"/>
        <v>Fortnightly</v>
      </c>
      <c r="T1756" cm="1">
        <f t="array" ref="T1756">_xlfn.SWITCH(S1756,"Annually",6,"Bi-Weekly",2,"Fortnightly",3,"Monthly",4,"Quarterly",5,"Weekly",1)</f>
        <v>3</v>
      </c>
    </row>
    <row r="1757" spans="1:20" hidden="1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  <c r="S1757" t="str">
        <f t="shared" si="27"/>
        <v>Monthly</v>
      </c>
      <c r="T1757" cm="1">
        <f t="array" ref="T1757">_xlfn.SWITCH(S1757,"Annually",6,"Bi-Weekly",2,"Fortnightly",3,"Monthly",4,"Quarterly",5,"Weekly",1)</f>
        <v>4</v>
      </c>
    </row>
    <row r="1758" spans="1:20" hidden="1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  <c r="S1758" t="str">
        <f t="shared" si="27"/>
        <v>Weekly</v>
      </c>
      <c r="T1758" cm="1">
        <f t="array" ref="T1758">_xlfn.SWITCH(S1758,"Annually",6,"Bi-Weekly",2,"Fortnightly",3,"Monthly",4,"Quarterly",5,"Weekly",1)</f>
        <v>1</v>
      </c>
    </row>
    <row r="1759" spans="1:20" hidden="1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  <c r="S1759" t="str">
        <f t="shared" si="27"/>
        <v>Annually</v>
      </c>
      <c r="T1759" cm="1">
        <f t="array" ref="T1759">_xlfn.SWITCH(S1759,"Annually",6,"Bi-Weekly",2,"Fortnightly",3,"Monthly",4,"Quarterly",5,"Weekly",1)</f>
        <v>6</v>
      </c>
    </row>
    <row r="1760" spans="1:20" hidden="1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  <c r="S1760" t="str">
        <f t="shared" si="27"/>
        <v>Bi-Weekly</v>
      </c>
      <c r="T1760" cm="1">
        <f t="array" ref="T1760">_xlfn.SWITCH(S1760,"Annually",6,"Bi-Weekly",2,"Fortnightly",3,"Monthly",4,"Quarterly",5,"Weekly",1)</f>
        <v>2</v>
      </c>
    </row>
    <row r="1761" spans="1:20" hidden="1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  <c r="S1761" t="str">
        <f t="shared" si="27"/>
        <v>Weekly</v>
      </c>
      <c r="T1761" cm="1">
        <f t="array" ref="T1761">_xlfn.SWITCH(S1761,"Annually",6,"Bi-Weekly",2,"Fortnightly",3,"Monthly",4,"Quarterly",5,"Weekly",1)</f>
        <v>1</v>
      </c>
    </row>
    <row r="1762" spans="1:20" hidden="1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  <c r="S1762" t="str">
        <f t="shared" si="27"/>
        <v>Weekly</v>
      </c>
      <c r="T1762" cm="1">
        <f t="array" ref="T1762">_xlfn.SWITCH(S1762,"Annually",6,"Bi-Weekly",2,"Fortnightly",3,"Monthly",4,"Quarterly",5,"Weekly",1)</f>
        <v>1</v>
      </c>
    </row>
    <row r="1763" spans="1:20" hidden="1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  <c r="S1763" t="str">
        <f t="shared" si="27"/>
        <v>Weekly</v>
      </c>
      <c r="T1763" cm="1">
        <f t="array" ref="T1763">_xlfn.SWITCH(S1763,"Annually",6,"Bi-Weekly",2,"Fortnightly",3,"Monthly",4,"Quarterly",5,"Weekly",1)</f>
        <v>1</v>
      </c>
    </row>
    <row r="1764" spans="1:20" hidden="1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  <c r="S1764" t="str">
        <f t="shared" si="27"/>
        <v>Fortnightly</v>
      </c>
      <c r="T1764" cm="1">
        <f t="array" ref="T1764">_xlfn.SWITCH(S1764,"Annually",6,"Bi-Weekly",2,"Fortnightly",3,"Monthly",4,"Quarterly",5,"Weekly",1)</f>
        <v>3</v>
      </c>
    </row>
    <row r="1765" spans="1:20" hidden="1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  <c r="S1765" t="str">
        <f t="shared" si="27"/>
        <v>Annually</v>
      </c>
      <c r="T1765" cm="1">
        <f t="array" ref="T1765">_xlfn.SWITCH(S1765,"Annually",6,"Bi-Weekly",2,"Fortnightly",3,"Monthly",4,"Quarterly",5,"Weekly",1)</f>
        <v>6</v>
      </c>
    </row>
    <row r="1766" spans="1:20" hidden="1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  <c r="S1766" t="str">
        <f t="shared" si="27"/>
        <v>Quarterly</v>
      </c>
      <c r="T1766" cm="1">
        <f t="array" ref="T1766">_xlfn.SWITCH(S1766,"Annually",6,"Bi-Weekly",2,"Fortnightly",3,"Monthly",4,"Quarterly",5,"Weekly",1)</f>
        <v>5</v>
      </c>
    </row>
    <row r="1767" spans="1:20" hidden="1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  <c r="S1767" t="str">
        <f t="shared" si="27"/>
        <v>Quarterly</v>
      </c>
      <c r="T1767" cm="1">
        <f t="array" ref="T1767">_xlfn.SWITCH(S1767,"Annually",6,"Bi-Weekly",2,"Fortnightly",3,"Monthly",4,"Quarterly",5,"Weekly",1)</f>
        <v>5</v>
      </c>
    </row>
    <row r="1768" spans="1:20" hidden="1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  <c r="S1768" t="str">
        <f t="shared" si="27"/>
        <v>Bi-Weekly</v>
      </c>
      <c r="T1768" cm="1">
        <f t="array" ref="T1768">_xlfn.SWITCH(S1768,"Annually",6,"Bi-Weekly",2,"Fortnightly",3,"Monthly",4,"Quarterly",5,"Weekly",1)</f>
        <v>2</v>
      </c>
    </row>
    <row r="1769" spans="1:20" hidden="1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  <c r="S1769" t="str">
        <f t="shared" si="27"/>
        <v>Fortnightly</v>
      </c>
      <c r="T1769" cm="1">
        <f t="array" ref="T1769">_xlfn.SWITCH(S1769,"Annually",6,"Bi-Weekly",2,"Fortnightly",3,"Monthly",4,"Quarterly",5,"Weekly",1)</f>
        <v>3</v>
      </c>
    </row>
    <row r="1770" spans="1:20" hidden="1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  <c r="S1770" t="str">
        <f t="shared" si="27"/>
        <v>Quarterly</v>
      </c>
      <c r="T1770" cm="1">
        <f t="array" ref="T1770">_xlfn.SWITCH(S1770,"Annually",6,"Bi-Weekly",2,"Fortnightly",3,"Monthly",4,"Quarterly",5,"Weekly",1)</f>
        <v>5</v>
      </c>
    </row>
    <row r="1771" spans="1:20" hidden="1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  <c r="S1771" t="str">
        <f t="shared" si="27"/>
        <v>Monthly</v>
      </c>
      <c r="T1771" cm="1">
        <f t="array" ref="T1771">_xlfn.SWITCH(S1771,"Annually",6,"Bi-Weekly",2,"Fortnightly",3,"Monthly",4,"Quarterly",5,"Weekly",1)</f>
        <v>4</v>
      </c>
    </row>
    <row r="1772" spans="1:20" hidden="1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  <c r="S1772" t="str">
        <f t="shared" si="27"/>
        <v>Weekly</v>
      </c>
      <c r="T1772" cm="1">
        <f t="array" ref="T1772">_xlfn.SWITCH(S1772,"Annually",6,"Bi-Weekly",2,"Fortnightly",3,"Monthly",4,"Quarterly",5,"Weekly",1)</f>
        <v>1</v>
      </c>
    </row>
    <row r="1773" spans="1:20" hidden="1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  <c r="S1773" t="str">
        <f t="shared" si="27"/>
        <v>Annually</v>
      </c>
      <c r="T1773" cm="1">
        <f t="array" ref="T1773">_xlfn.SWITCH(S1773,"Annually",6,"Bi-Weekly",2,"Fortnightly",3,"Monthly",4,"Quarterly",5,"Weekly",1)</f>
        <v>6</v>
      </c>
    </row>
    <row r="1774" spans="1:20" hidden="1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  <c r="S1774" t="str">
        <f t="shared" si="27"/>
        <v>Annually</v>
      </c>
      <c r="T1774" cm="1">
        <f t="array" ref="T1774">_xlfn.SWITCH(S1774,"Annually",6,"Bi-Weekly",2,"Fortnightly",3,"Monthly",4,"Quarterly",5,"Weekly",1)</f>
        <v>6</v>
      </c>
    </row>
    <row r="1775" spans="1:20" hidden="1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  <c r="S1775" t="str">
        <f t="shared" si="27"/>
        <v>Annually</v>
      </c>
      <c r="T1775" cm="1">
        <f t="array" ref="T1775">_xlfn.SWITCH(S1775,"Annually",6,"Bi-Weekly",2,"Fortnightly",3,"Monthly",4,"Quarterly",5,"Weekly",1)</f>
        <v>6</v>
      </c>
    </row>
    <row r="1776" spans="1:20" hidden="1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  <c r="S1776" t="str">
        <f t="shared" si="27"/>
        <v>Weekly</v>
      </c>
      <c r="T1776" cm="1">
        <f t="array" ref="T1776">_xlfn.SWITCH(S1776,"Annually",6,"Bi-Weekly",2,"Fortnightly",3,"Monthly",4,"Quarterly",5,"Weekly",1)</f>
        <v>1</v>
      </c>
    </row>
    <row r="1777" spans="1:20" hidden="1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  <c r="S1777" t="str">
        <f t="shared" si="27"/>
        <v>Bi-Weekly</v>
      </c>
      <c r="T1777" cm="1">
        <f t="array" ref="T1777">_xlfn.SWITCH(S1777,"Annually",6,"Bi-Weekly",2,"Fortnightly",3,"Monthly",4,"Quarterly",5,"Weekly",1)</f>
        <v>2</v>
      </c>
    </row>
    <row r="1778" spans="1:20" hidden="1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  <c r="S1778" t="str">
        <f t="shared" si="27"/>
        <v>Quarterly</v>
      </c>
      <c r="T1778" cm="1">
        <f t="array" ref="T1778">_xlfn.SWITCH(S1778,"Annually",6,"Bi-Weekly",2,"Fortnightly",3,"Monthly",4,"Quarterly",5,"Weekly",1)</f>
        <v>5</v>
      </c>
    </row>
    <row r="1779" spans="1:20" hidden="1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  <c r="S1779" t="str">
        <f t="shared" si="27"/>
        <v>Fortnightly</v>
      </c>
      <c r="T1779" cm="1">
        <f t="array" ref="T1779">_xlfn.SWITCH(S1779,"Annually",6,"Bi-Weekly",2,"Fortnightly",3,"Monthly",4,"Quarterly",5,"Weekly",1)</f>
        <v>3</v>
      </c>
    </row>
    <row r="1780" spans="1:20" hidden="1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  <c r="S1780" t="str">
        <f t="shared" si="27"/>
        <v>Bi-Weekly</v>
      </c>
      <c r="T1780" cm="1">
        <f t="array" ref="T1780">_xlfn.SWITCH(S1780,"Annually",6,"Bi-Weekly",2,"Fortnightly",3,"Monthly",4,"Quarterly",5,"Weekly",1)</f>
        <v>2</v>
      </c>
    </row>
    <row r="1781" spans="1:20" hidden="1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  <c r="S1781" t="str">
        <f t="shared" si="27"/>
        <v>Weekly</v>
      </c>
      <c r="T1781" cm="1">
        <f t="array" ref="T1781">_xlfn.SWITCH(S1781,"Annually",6,"Bi-Weekly",2,"Fortnightly",3,"Monthly",4,"Quarterly",5,"Weekly",1)</f>
        <v>1</v>
      </c>
    </row>
    <row r="1782" spans="1:20" hidden="1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  <c r="S1782" t="str">
        <f t="shared" si="27"/>
        <v>Weekly</v>
      </c>
      <c r="T1782" cm="1">
        <f t="array" ref="T1782">_xlfn.SWITCH(S1782,"Annually",6,"Bi-Weekly",2,"Fortnightly",3,"Monthly",4,"Quarterly",5,"Weekly",1)</f>
        <v>1</v>
      </c>
    </row>
    <row r="1783" spans="1:20" hidden="1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  <c r="S1783" t="str">
        <f t="shared" si="27"/>
        <v>Quarterly</v>
      </c>
      <c r="T1783" cm="1">
        <f t="array" ref="T1783">_xlfn.SWITCH(S1783,"Annually",6,"Bi-Weekly",2,"Fortnightly",3,"Monthly",4,"Quarterly",5,"Weekly",1)</f>
        <v>5</v>
      </c>
    </row>
    <row r="1784" spans="1:20" hidden="1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  <c r="S1784" t="str">
        <f t="shared" si="27"/>
        <v>Fortnightly</v>
      </c>
      <c r="T1784" cm="1">
        <f t="array" ref="T1784">_xlfn.SWITCH(S1784,"Annually",6,"Bi-Weekly",2,"Fortnightly",3,"Monthly",4,"Quarterly",5,"Weekly",1)</f>
        <v>3</v>
      </c>
    </row>
    <row r="1785" spans="1:20" hidden="1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  <c r="S1785" t="str">
        <f t="shared" si="27"/>
        <v>Monthly</v>
      </c>
      <c r="T1785" cm="1">
        <f t="array" ref="T1785">_xlfn.SWITCH(S1785,"Annually",6,"Bi-Weekly",2,"Fortnightly",3,"Monthly",4,"Quarterly",5,"Weekly",1)</f>
        <v>4</v>
      </c>
    </row>
    <row r="1786" spans="1:20" hidden="1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  <c r="S1786" t="str">
        <f t="shared" si="27"/>
        <v>Quarterly</v>
      </c>
      <c r="T1786" cm="1">
        <f t="array" ref="T1786">_xlfn.SWITCH(S1786,"Annually",6,"Bi-Weekly",2,"Fortnightly",3,"Monthly",4,"Quarterly",5,"Weekly",1)</f>
        <v>5</v>
      </c>
    </row>
    <row r="1787" spans="1:20" hidden="1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  <c r="S1787" t="str">
        <f t="shared" si="27"/>
        <v>Monthly</v>
      </c>
      <c r="T1787" cm="1">
        <f t="array" ref="T1787">_xlfn.SWITCH(S1787,"Annually",6,"Bi-Weekly",2,"Fortnightly",3,"Monthly",4,"Quarterly",5,"Weekly",1)</f>
        <v>4</v>
      </c>
    </row>
    <row r="1788" spans="1:20" hidden="1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  <c r="S1788" t="str">
        <f t="shared" si="27"/>
        <v>Monthly</v>
      </c>
      <c r="T1788" cm="1">
        <f t="array" ref="T1788">_xlfn.SWITCH(S1788,"Annually",6,"Bi-Weekly",2,"Fortnightly",3,"Monthly",4,"Quarterly",5,"Weekly",1)</f>
        <v>4</v>
      </c>
    </row>
    <row r="1789" spans="1:20" hidden="1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  <c r="S1789" t="str">
        <f t="shared" si="27"/>
        <v>Quarterly</v>
      </c>
      <c r="T1789" cm="1">
        <f t="array" ref="T1789">_xlfn.SWITCH(S1789,"Annually",6,"Bi-Weekly",2,"Fortnightly",3,"Monthly",4,"Quarterly",5,"Weekly",1)</f>
        <v>5</v>
      </c>
    </row>
    <row r="1790" spans="1:20" hidden="1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  <c r="S1790" t="str">
        <f t="shared" si="27"/>
        <v>Bi-Weekly</v>
      </c>
      <c r="T1790" cm="1">
        <f t="array" ref="T1790">_xlfn.SWITCH(S1790,"Annually",6,"Bi-Weekly",2,"Fortnightly",3,"Monthly",4,"Quarterly",5,"Weekly",1)</f>
        <v>2</v>
      </c>
    </row>
    <row r="1791" spans="1:20" hidden="1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  <c r="S1791" t="str">
        <f t="shared" si="27"/>
        <v>Quarterly</v>
      </c>
      <c r="T1791" cm="1">
        <f t="array" ref="T1791">_xlfn.SWITCH(S1791,"Annually",6,"Bi-Weekly",2,"Fortnightly",3,"Monthly",4,"Quarterly",5,"Weekly",1)</f>
        <v>5</v>
      </c>
    </row>
    <row r="1792" spans="1:20" hidden="1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  <c r="S1792" t="str">
        <f t="shared" si="27"/>
        <v>Bi-Weekly</v>
      </c>
      <c r="T1792" cm="1">
        <f t="array" ref="T1792">_xlfn.SWITCH(S1792,"Annually",6,"Bi-Weekly",2,"Fortnightly",3,"Monthly",4,"Quarterly",5,"Weekly",1)</f>
        <v>2</v>
      </c>
    </row>
    <row r="1793" spans="1:20" hidden="1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  <c r="S1793" t="str">
        <f t="shared" si="27"/>
        <v>Annually</v>
      </c>
      <c r="T1793" cm="1">
        <f t="array" ref="T1793">_xlfn.SWITCH(S1793,"Annually",6,"Bi-Weekly",2,"Fortnightly",3,"Monthly",4,"Quarterly",5,"Weekly",1)</f>
        <v>6</v>
      </c>
    </row>
    <row r="1794" spans="1:20" hidden="1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  <c r="S1794" t="str">
        <f t="shared" si="27"/>
        <v>Quarterly</v>
      </c>
      <c r="T1794" cm="1">
        <f t="array" ref="T1794">_xlfn.SWITCH(S1794,"Annually",6,"Bi-Weekly",2,"Fortnightly",3,"Monthly",4,"Quarterly",5,"Weekly",1)</f>
        <v>5</v>
      </c>
    </row>
    <row r="1795" spans="1:20" hidden="1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  <c r="S1795" t="str">
        <f t="shared" ref="S1795:S1858" si="28">IF(R1795="Every 3 Months","Quarterly",R1795)</f>
        <v>Quarterly</v>
      </c>
      <c r="T1795" cm="1">
        <f t="array" ref="T1795">_xlfn.SWITCH(S1795,"Annually",6,"Bi-Weekly",2,"Fortnightly",3,"Monthly",4,"Quarterly",5,"Weekly",1)</f>
        <v>5</v>
      </c>
    </row>
    <row r="1796" spans="1:20" hidden="1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  <c r="S1796" t="str">
        <f t="shared" si="28"/>
        <v>Fortnightly</v>
      </c>
      <c r="T1796" cm="1">
        <f t="array" ref="T1796">_xlfn.SWITCH(S1796,"Annually",6,"Bi-Weekly",2,"Fortnightly",3,"Monthly",4,"Quarterly",5,"Weekly",1)</f>
        <v>3</v>
      </c>
    </row>
    <row r="1797" spans="1:20" hidden="1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  <c r="S1797" t="str">
        <f t="shared" si="28"/>
        <v>Fortnightly</v>
      </c>
      <c r="T1797" cm="1">
        <f t="array" ref="T1797">_xlfn.SWITCH(S1797,"Annually",6,"Bi-Weekly",2,"Fortnightly",3,"Monthly",4,"Quarterly",5,"Weekly",1)</f>
        <v>3</v>
      </c>
    </row>
    <row r="1798" spans="1:20" hidden="1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  <c r="S1798" t="str">
        <f t="shared" si="28"/>
        <v>Weekly</v>
      </c>
      <c r="T1798" cm="1">
        <f t="array" ref="T1798">_xlfn.SWITCH(S1798,"Annually",6,"Bi-Weekly",2,"Fortnightly",3,"Monthly",4,"Quarterly",5,"Weekly",1)</f>
        <v>1</v>
      </c>
    </row>
    <row r="1799" spans="1:20" hidden="1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  <c r="S1799" t="str">
        <f t="shared" si="28"/>
        <v>Weekly</v>
      </c>
      <c r="T1799" cm="1">
        <f t="array" ref="T1799">_xlfn.SWITCH(S1799,"Annually",6,"Bi-Weekly",2,"Fortnightly",3,"Monthly",4,"Quarterly",5,"Weekly",1)</f>
        <v>1</v>
      </c>
    </row>
    <row r="1800" spans="1:20" hidden="1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  <c r="S1800" t="str">
        <f t="shared" si="28"/>
        <v>Weekly</v>
      </c>
      <c r="T1800" cm="1">
        <f t="array" ref="T1800">_xlfn.SWITCH(S1800,"Annually",6,"Bi-Weekly",2,"Fortnightly",3,"Monthly",4,"Quarterly",5,"Weekly",1)</f>
        <v>1</v>
      </c>
    </row>
    <row r="1801" spans="1:20" hidden="1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  <c r="S1801" t="str">
        <f t="shared" si="28"/>
        <v>Weekly</v>
      </c>
      <c r="T1801" cm="1">
        <f t="array" ref="T1801">_xlfn.SWITCH(S1801,"Annually",6,"Bi-Weekly",2,"Fortnightly",3,"Monthly",4,"Quarterly",5,"Weekly",1)</f>
        <v>1</v>
      </c>
    </row>
    <row r="1802" spans="1:20" hidden="1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  <c r="S1802" t="str">
        <f t="shared" si="28"/>
        <v>Weekly</v>
      </c>
      <c r="T1802" cm="1">
        <f t="array" ref="T1802">_xlfn.SWITCH(S1802,"Annually",6,"Bi-Weekly",2,"Fortnightly",3,"Monthly",4,"Quarterly",5,"Weekly",1)</f>
        <v>1</v>
      </c>
    </row>
    <row r="1803" spans="1:20" hidden="1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  <c r="S1803" t="str">
        <f t="shared" si="28"/>
        <v>Fortnightly</v>
      </c>
      <c r="T1803" cm="1">
        <f t="array" ref="T1803">_xlfn.SWITCH(S1803,"Annually",6,"Bi-Weekly",2,"Fortnightly",3,"Monthly",4,"Quarterly",5,"Weekly",1)</f>
        <v>3</v>
      </c>
    </row>
    <row r="1804" spans="1:20" hidden="1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  <c r="S1804" t="str">
        <f t="shared" si="28"/>
        <v>Bi-Weekly</v>
      </c>
      <c r="T1804" cm="1">
        <f t="array" ref="T1804">_xlfn.SWITCH(S1804,"Annually",6,"Bi-Weekly",2,"Fortnightly",3,"Monthly",4,"Quarterly",5,"Weekly",1)</f>
        <v>2</v>
      </c>
    </row>
    <row r="1805" spans="1:20" hidden="1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  <c r="S1805" t="str">
        <f t="shared" si="28"/>
        <v>Fortnightly</v>
      </c>
      <c r="T1805" cm="1">
        <f t="array" ref="T1805">_xlfn.SWITCH(S1805,"Annually",6,"Bi-Weekly",2,"Fortnightly",3,"Monthly",4,"Quarterly",5,"Weekly",1)</f>
        <v>3</v>
      </c>
    </row>
    <row r="1806" spans="1:20" hidden="1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  <c r="S1806" t="str">
        <f t="shared" si="28"/>
        <v>Weekly</v>
      </c>
      <c r="T1806" cm="1">
        <f t="array" ref="T1806">_xlfn.SWITCH(S1806,"Annually",6,"Bi-Weekly",2,"Fortnightly",3,"Monthly",4,"Quarterly",5,"Weekly",1)</f>
        <v>1</v>
      </c>
    </row>
    <row r="1807" spans="1:20" hidden="1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  <c r="S1807" t="str">
        <f t="shared" si="28"/>
        <v>Weekly</v>
      </c>
      <c r="T1807" cm="1">
        <f t="array" ref="T1807">_xlfn.SWITCH(S1807,"Annually",6,"Bi-Weekly",2,"Fortnightly",3,"Monthly",4,"Quarterly",5,"Weekly",1)</f>
        <v>1</v>
      </c>
    </row>
    <row r="1808" spans="1:20" hidden="1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  <c r="S1808" t="str">
        <f t="shared" si="28"/>
        <v>Annually</v>
      </c>
      <c r="T1808" cm="1">
        <f t="array" ref="T1808">_xlfn.SWITCH(S1808,"Annually",6,"Bi-Weekly",2,"Fortnightly",3,"Monthly",4,"Quarterly",5,"Weekly",1)</f>
        <v>6</v>
      </c>
    </row>
    <row r="1809" spans="1:20" hidden="1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  <c r="S1809" t="str">
        <f t="shared" si="28"/>
        <v>Fortnightly</v>
      </c>
      <c r="T1809" cm="1">
        <f t="array" ref="T1809">_xlfn.SWITCH(S1809,"Annually",6,"Bi-Weekly",2,"Fortnightly",3,"Monthly",4,"Quarterly",5,"Weekly",1)</f>
        <v>3</v>
      </c>
    </row>
    <row r="1810" spans="1:20" hidden="1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  <c r="S1810" t="str">
        <f t="shared" si="28"/>
        <v>Monthly</v>
      </c>
      <c r="T1810" cm="1">
        <f t="array" ref="T1810">_xlfn.SWITCH(S1810,"Annually",6,"Bi-Weekly",2,"Fortnightly",3,"Monthly",4,"Quarterly",5,"Weekly",1)</f>
        <v>4</v>
      </c>
    </row>
    <row r="1811" spans="1:20" hidden="1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  <c r="S1811" t="str">
        <f t="shared" si="28"/>
        <v>Fortnightly</v>
      </c>
      <c r="T1811" cm="1">
        <f t="array" ref="T1811">_xlfn.SWITCH(S1811,"Annually",6,"Bi-Weekly",2,"Fortnightly",3,"Monthly",4,"Quarterly",5,"Weekly",1)</f>
        <v>3</v>
      </c>
    </row>
    <row r="1812" spans="1:20" hidden="1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  <c r="S1812" t="str">
        <f t="shared" si="28"/>
        <v>Bi-Weekly</v>
      </c>
      <c r="T1812" cm="1">
        <f t="array" ref="T1812">_xlfn.SWITCH(S1812,"Annually",6,"Bi-Weekly",2,"Fortnightly",3,"Monthly",4,"Quarterly",5,"Weekly",1)</f>
        <v>2</v>
      </c>
    </row>
    <row r="1813" spans="1:20" hidden="1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  <c r="S1813" t="str">
        <f t="shared" si="28"/>
        <v>Annually</v>
      </c>
      <c r="T1813" cm="1">
        <f t="array" ref="T1813">_xlfn.SWITCH(S1813,"Annually",6,"Bi-Weekly",2,"Fortnightly",3,"Monthly",4,"Quarterly",5,"Weekly",1)</f>
        <v>6</v>
      </c>
    </row>
    <row r="1814" spans="1:20" hidden="1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  <c r="S1814" t="str">
        <f t="shared" si="28"/>
        <v>Bi-Weekly</v>
      </c>
      <c r="T1814" cm="1">
        <f t="array" ref="T1814">_xlfn.SWITCH(S1814,"Annually",6,"Bi-Weekly",2,"Fortnightly",3,"Monthly",4,"Quarterly",5,"Weekly",1)</f>
        <v>2</v>
      </c>
    </row>
    <row r="1815" spans="1:20" hidden="1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  <c r="S1815" t="str">
        <f t="shared" si="28"/>
        <v>Weekly</v>
      </c>
      <c r="T1815" cm="1">
        <f t="array" ref="T1815">_xlfn.SWITCH(S1815,"Annually",6,"Bi-Weekly",2,"Fortnightly",3,"Monthly",4,"Quarterly",5,"Weekly",1)</f>
        <v>1</v>
      </c>
    </row>
    <row r="1816" spans="1:20" hidden="1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  <c r="S1816" t="str">
        <f t="shared" si="28"/>
        <v>Quarterly</v>
      </c>
      <c r="T1816" cm="1">
        <f t="array" ref="T1816">_xlfn.SWITCH(S1816,"Annually",6,"Bi-Weekly",2,"Fortnightly",3,"Monthly",4,"Quarterly",5,"Weekly",1)</f>
        <v>5</v>
      </c>
    </row>
    <row r="1817" spans="1:20" hidden="1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  <c r="S1817" t="str">
        <f t="shared" si="28"/>
        <v>Quarterly</v>
      </c>
      <c r="T1817" cm="1">
        <f t="array" ref="T1817">_xlfn.SWITCH(S1817,"Annually",6,"Bi-Weekly",2,"Fortnightly",3,"Monthly",4,"Quarterly",5,"Weekly",1)</f>
        <v>5</v>
      </c>
    </row>
    <row r="1818" spans="1:20" hidden="1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  <c r="S1818" t="str">
        <f t="shared" si="28"/>
        <v>Weekly</v>
      </c>
      <c r="T1818" cm="1">
        <f t="array" ref="T1818">_xlfn.SWITCH(S1818,"Annually",6,"Bi-Weekly",2,"Fortnightly",3,"Monthly",4,"Quarterly",5,"Weekly",1)</f>
        <v>1</v>
      </c>
    </row>
    <row r="1819" spans="1:20" hidden="1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  <c r="S1819" t="str">
        <f t="shared" si="28"/>
        <v>Weekly</v>
      </c>
      <c r="T1819" cm="1">
        <f t="array" ref="T1819">_xlfn.SWITCH(S1819,"Annually",6,"Bi-Weekly",2,"Fortnightly",3,"Monthly",4,"Quarterly",5,"Weekly",1)</f>
        <v>1</v>
      </c>
    </row>
    <row r="1820" spans="1:20" hidden="1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  <c r="S1820" t="str">
        <f t="shared" si="28"/>
        <v>Quarterly</v>
      </c>
      <c r="T1820" cm="1">
        <f t="array" ref="T1820">_xlfn.SWITCH(S1820,"Annually",6,"Bi-Weekly",2,"Fortnightly",3,"Monthly",4,"Quarterly",5,"Weekly",1)</f>
        <v>5</v>
      </c>
    </row>
    <row r="1821" spans="1:20" hidden="1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  <c r="S1821" t="str">
        <f t="shared" si="28"/>
        <v>Quarterly</v>
      </c>
      <c r="T1821" cm="1">
        <f t="array" ref="T1821">_xlfn.SWITCH(S1821,"Annually",6,"Bi-Weekly",2,"Fortnightly",3,"Monthly",4,"Quarterly",5,"Weekly",1)</f>
        <v>5</v>
      </c>
    </row>
    <row r="1822" spans="1:20" hidden="1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  <c r="S1822" t="str">
        <f t="shared" si="28"/>
        <v>Monthly</v>
      </c>
      <c r="T1822" cm="1">
        <f t="array" ref="T1822">_xlfn.SWITCH(S1822,"Annually",6,"Bi-Weekly",2,"Fortnightly",3,"Monthly",4,"Quarterly",5,"Weekly",1)</f>
        <v>4</v>
      </c>
    </row>
    <row r="1823" spans="1:20" hidden="1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  <c r="S1823" t="str">
        <f t="shared" si="28"/>
        <v>Quarterly</v>
      </c>
      <c r="T1823" cm="1">
        <f t="array" ref="T1823">_xlfn.SWITCH(S1823,"Annually",6,"Bi-Weekly",2,"Fortnightly",3,"Monthly",4,"Quarterly",5,"Weekly",1)</f>
        <v>5</v>
      </c>
    </row>
    <row r="1824" spans="1:20" hidden="1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  <c r="S1824" t="str">
        <f t="shared" si="28"/>
        <v>Annually</v>
      </c>
      <c r="T1824" cm="1">
        <f t="array" ref="T1824">_xlfn.SWITCH(S1824,"Annually",6,"Bi-Weekly",2,"Fortnightly",3,"Monthly",4,"Quarterly",5,"Weekly",1)</f>
        <v>6</v>
      </c>
    </row>
    <row r="1825" spans="1:20" hidden="1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  <c r="S1825" t="str">
        <f t="shared" si="28"/>
        <v>Bi-Weekly</v>
      </c>
      <c r="T1825" cm="1">
        <f t="array" ref="T1825">_xlfn.SWITCH(S1825,"Annually",6,"Bi-Weekly",2,"Fortnightly",3,"Monthly",4,"Quarterly",5,"Weekly",1)</f>
        <v>2</v>
      </c>
    </row>
    <row r="1826" spans="1:20" hidden="1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  <c r="S1826" t="str">
        <f t="shared" si="28"/>
        <v>Monthly</v>
      </c>
      <c r="T1826" cm="1">
        <f t="array" ref="T1826">_xlfn.SWITCH(S1826,"Annually",6,"Bi-Weekly",2,"Fortnightly",3,"Monthly",4,"Quarterly",5,"Weekly",1)</f>
        <v>4</v>
      </c>
    </row>
    <row r="1827" spans="1:20" hidden="1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  <c r="S1827" t="str">
        <f t="shared" si="28"/>
        <v>Weekly</v>
      </c>
      <c r="T1827" cm="1">
        <f t="array" ref="T1827">_xlfn.SWITCH(S1827,"Annually",6,"Bi-Weekly",2,"Fortnightly",3,"Monthly",4,"Quarterly",5,"Weekly",1)</f>
        <v>1</v>
      </c>
    </row>
    <row r="1828" spans="1:20" hidden="1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  <c r="S1828" t="str">
        <f t="shared" si="28"/>
        <v>Annually</v>
      </c>
      <c r="T1828" cm="1">
        <f t="array" ref="T1828">_xlfn.SWITCH(S1828,"Annually",6,"Bi-Weekly",2,"Fortnightly",3,"Monthly",4,"Quarterly",5,"Weekly",1)</f>
        <v>6</v>
      </c>
    </row>
    <row r="1829" spans="1:20" hidden="1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  <c r="S1829" t="str">
        <f t="shared" si="28"/>
        <v>Weekly</v>
      </c>
      <c r="T1829" cm="1">
        <f t="array" ref="T1829">_xlfn.SWITCH(S1829,"Annually",6,"Bi-Weekly",2,"Fortnightly",3,"Monthly",4,"Quarterly",5,"Weekly",1)</f>
        <v>1</v>
      </c>
    </row>
    <row r="1830" spans="1:20" hidden="1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  <c r="S1830" t="str">
        <f t="shared" si="28"/>
        <v>Quarterly</v>
      </c>
      <c r="T1830" cm="1">
        <f t="array" ref="T1830">_xlfn.SWITCH(S1830,"Annually",6,"Bi-Weekly",2,"Fortnightly",3,"Monthly",4,"Quarterly",5,"Weekly",1)</f>
        <v>5</v>
      </c>
    </row>
    <row r="1831" spans="1:20" hidden="1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  <c r="S1831" t="str">
        <f t="shared" si="28"/>
        <v>Quarterly</v>
      </c>
      <c r="T1831" cm="1">
        <f t="array" ref="T1831">_xlfn.SWITCH(S1831,"Annually",6,"Bi-Weekly",2,"Fortnightly",3,"Monthly",4,"Quarterly",5,"Weekly",1)</f>
        <v>5</v>
      </c>
    </row>
    <row r="1832" spans="1:20" hidden="1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  <c r="S1832" t="str">
        <f t="shared" si="28"/>
        <v>Annually</v>
      </c>
      <c r="T1832" cm="1">
        <f t="array" ref="T1832">_xlfn.SWITCH(S1832,"Annually",6,"Bi-Weekly",2,"Fortnightly",3,"Monthly",4,"Quarterly",5,"Weekly",1)</f>
        <v>6</v>
      </c>
    </row>
    <row r="1833" spans="1:20" hidden="1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  <c r="S1833" t="str">
        <f t="shared" si="28"/>
        <v>Quarterly</v>
      </c>
      <c r="T1833" cm="1">
        <f t="array" ref="T1833">_xlfn.SWITCH(S1833,"Annually",6,"Bi-Weekly",2,"Fortnightly",3,"Monthly",4,"Quarterly",5,"Weekly",1)</f>
        <v>5</v>
      </c>
    </row>
    <row r="1834" spans="1:20" hidden="1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  <c r="S1834" t="str">
        <f t="shared" si="28"/>
        <v>Monthly</v>
      </c>
      <c r="T1834" cm="1">
        <f t="array" ref="T1834">_xlfn.SWITCH(S1834,"Annually",6,"Bi-Weekly",2,"Fortnightly",3,"Monthly",4,"Quarterly",5,"Weekly",1)</f>
        <v>4</v>
      </c>
    </row>
    <row r="1835" spans="1:20" hidden="1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  <c r="S1835" t="str">
        <f t="shared" si="28"/>
        <v>Fortnightly</v>
      </c>
      <c r="T1835" cm="1">
        <f t="array" ref="T1835">_xlfn.SWITCH(S1835,"Annually",6,"Bi-Weekly",2,"Fortnightly",3,"Monthly",4,"Quarterly",5,"Weekly",1)</f>
        <v>3</v>
      </c>
    </row>
    <row r="1836" spans="1:20" hidden="1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  <c r="S1836" t="str">
        <f t="shared" si="28"/>
        <v>Fortnightly</v>
      </c>
      <c r="T1836" cm="1">
        <f t="array" ref="T1836">_xlfn.SWITCH(S1836,"Annually",6,"Bi-Weekly",2,"Fortnightly",3,"Monthly",4,"Quarterly",5,"Weekly",1)</f>
        <v>3</v>
      </c>
    </row>
    <row r="1837" spans="1:20" hidden="1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  <c r="S1837" t="str">
        <f t="shared" si="28"/>
        <v>Quarterly</v>
      </c>
      <c r="T1837" cm="1">
        <f t="array" ref="T1837">_xlfn.SWITCH(S1837,"Annually",6,"Bi-Weekly",2,"Fortnightly",3,"Monthly",4,"Quarterly",5,"Weekly",1)</f>
        <v>5</v>
      </c>
    </row>
    <row r="1838" spans="1:20" hidden="1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  <c r="S1838" t="str">
        <f t="shared" si="28"/>
        <v>Monthly</v>
      </c>
      <c r="T1838" cm="1">
        <f t="array" ref="T1838">_xlfn.SWITCH(S1838,"Annually",6,"Bi-Weekly",2,"Fortnightly",3,"Monthly",4,"Quarterly",5,"Weekly",1)</f>
        <v>4</v>
      </c>
    </row>
    <row r="1839" spans="1:20" hidden="1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  <c r="S1839" t="str">
        <f t="shared" si="28"/>
        <v>Monthly</v>
      </c>
      <c r="T1839" cm="1">
        <f t="array" ref="T1839">_xlfn.SWITCH(S1839,"Annually",6,"Bi-Weekly",2,"Fortnightly",3,"Monthly",4,"Quarterly",5,"Weekly",1)</f>
        <v>4</v>
      </c>
    </row>
    <row r="1840" spans="1:20" hidden="1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  <c r="S1840" t="str">
        <f t="shared" si="28"/>
        <v>Quarterly</v>
      </c>
      <c r="T1840" cm="1">
        <f t="array" ref="T1840">_xlfn.SWITCH(S1840,"Annually",6,"Bi-Weekly",2,"Fortnightly",3,"Monthly",4,"Quarterly",5,"Weekly",1)</f>
        <v>5</v>
      </c>
    </row>
    <row r="1841" spans="1:20" hidden="1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  <c r="S1841" t="str">
        <f t="shared" si="28"/>
        <v>Annually</v>
      </c>
      <c r="T1841" cm="1">
        <f t="array" ref="T1841">_xlfn.SWITCH(S1841,"Annually",6,"Bi-Weekly",2,"Fortnightly",3,"Monthly",4,"Quarterly",5,"Weekly",1)</f>
        <v>6</v>
      </c>
    </row>
    <row r="1842" spans="1:20" hidden="1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  <c r="S1842" t="str">
        <f t="shared" si="28"/>
        <v>Quarterly</v>
      </c>
      <c r="T1842" cm="1">
        <f t="array" ref="T1842">_xlfn.SWITCH(S1842,"Annually",6,"Bi-Weekly",2,"Fortnightly",3,"Monthly",4,"Quarterly",5,"Weekly",1)</f>
        <v>5</v>
      </c>
    </row>
    <row r="1843" spans="1:20" hidden="1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  <c r="S1843" t="str">
        <f t="shared" si="28"/>
        <v>Quarterly</v>
      </c>
      <c r="T1843" cm="1">
        <f t="array" ref="T1843">_xlfn.SWITCH(S1843,"Annually",6,"Bi-Weekly",2,"Fortnightly",3,"Monthly",4,"Quarterly",5,"Weekly",1)</f>
        <v>5</v>
      </c>
    </row>
    <row r="1844" spans="1:20" hidden="1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  <c r="S1844" t="str">
        <f t="shared" si="28"/>
        <v>Annually</v>
      </c>
      <c r="T1844" cm="1">
        <f t="array" ref="T1844">_xlfn.SWITCH(S1844,"Annually",6,"Bi-Weekly",2,"Fortnightly",3,"Monthly",4,"Quarterly",5,"Weekly",1)</f>
        <v>6</v>
      </c>
    </row>
    <row r="1845" spans="1:20" hidden="1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  <c r="S1845" t="str">
        <f t="shared" si="28"/>
        <v>Monthly</v>
      </c>
      <c r="T1845" cm="1">
        <f t="array" ref="T1845">_xlfn.SWITCH(S1845,"Annually",6,"Bi-Weekly",2,"Fortnightly",3,"Monthly",4,"Quarterly",5,"Weekly",1)</f>
        <v>4</v>
      </c>
    </row>
    <row r="1846" spans="1:20" hidden="1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  <c r="S1846" t="str">
        <f t="shared" si="28"/>
        <v>Annually</v>
      </c>
      <c r="T1846" cm="1">
        <f t="array" ref="T1846">_xlfn.SWITCH(S1846,"Annually",6,"Bi-Weekly",2,"Fortnightly",3,"Monthly",4,"Quarterly",5,"Weekly",1)</f>
        <v>6</v>
      </c>
    </row>
    <row r="1847" spans="1:20" hidden="1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  <c r="S1847" t="str">
        <f t="shared" si="28"/>
        <v>Quarterly</v>
      </c>
      <c r="T1847" cm="1">
        <f t="array" ref="T1847">_xlfn.SWITCH(S1847,"Annually",6,"Bi-Weekly",2,"Fortnightly",3,"Monthly",4,"Quarterly",5,"Weekly",1)</f>
        <v>5</v>
      </c>
    </row>
    <row r="1848" spans="1:20" hidden="1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  <c r="S1848" t="str">
        <f t="shared" si="28"/>
        <v>Quarterly</v>
      </c>
      <c r="T1848" cm="1">
        <f t="array" ref="T1848">_xlfn.SWITCH(S1848,"Annually",6,"Bi-Weekly",2,"Fortnightly",3,"Monthly",4,"Quarterly",5,"Weekly",1)</f>
        <v>5</v>
      </c>
    </row>
    <row r="1849" spans="1:20" hidden="1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  <c r="S1849" t="str">
        <f t="shared" si="28"/>
        <v>Weekly</v>
      </c>
      <c r="T1849" cm="1">
        <f t="array" ref="T1849">_xlfn.SWITCH(S1849,"Annually",6,"Bi-Weekly",2,"Fortnightly",3,"Monthly",4,"Quarterly",5,"Weekly",1)</f>
        <v>1</v>
      </c>
    </row>
    <row r="1850" spans="1:20" hidden="1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  <c r="S1850" t="str">
        <f t="shared" si="28"/>
        <v>Quarterly</v>
      </c>
      <c r="T1850" cm="1">
        <f t="array" ref="T1850">_xlfn.SWITCH(S1850,"Annually",6,"Bi-Weekly",2,"Fortnightly",3,"Monthly",4,"Quarterly",5,"Weekly",1)</f>
        <v>5</v>
      </c>
    </row>
    <row r="1851" spans="1:20" hidden="1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  <c r="S1851" t="str">
        <f t="shared" si="28"/>
        <v>Monthly</v>
      </c>
      <c r="T1851" cm="1">
        <f t="array" ref="T1851">_xlfn.SWITCH(S1851,"Annually",6,"Bi-Weekly",2,"Fortnightly",3,"Monthly",4,"Quarterly",5,"Weekly",1)</f>
        <v>4</v>
      </c>
    </row>
    <row r="1852" spans="1:20" hidden="1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  <c r="S1852" t="str">
        <f t="shared" si="28"/>
        <v>Weekly</v>
      </c>
      <c r="T1852" cm="1">
        <f t="array" ref="T1852">_xlfn.SWITCH(S1852,"Annually",6,"Bi-Weekly",2,"Fortnightly",3,"Monthly",4,"Quarterly",5,"Weekly",1)</f>
        <v>1</v>
      </c>
    </row>
    <row r="1853" spans="1:20" hidden="1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  <c r="S1853" t="str">
        <f t="shared" si="28"/>
        <v>Fortnightly</v>
      </c>
      <c r="T1853" cm="1">
        <f t="array" ref="T1853">_xlfn.SWITCH(S1853,"Annually",6,"Bi-Weekly",2,"Fortnightly",3,"Monthly",4,"Quarterly",5,"Weekly",1)</f>
        <v>3</v>
      </c>
    </row>
    <row r="1854" spans="1:20" hidden="1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  <c r="S1854" t="str">
        <f t="shared" si="28"/>
        <v>Weekly</v>
      </c>
      <c r="T1854" cm="1">
        <f t="array" ref="T1854">_xlfn.SWITCH(S1854,"Annually",6,"Bi-Weekly",2,"Fortnightly",3,"Monthly",4,"Quarterly",5,"Weekly",1)</f>
        <v>1</v>
      </c>
    </row>
    <row r="1855" spans="1:20" hidden="1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  <c r="S1855" t="str">
        <f t="shared" si="28"/>
        <v>Fortnightly</v>
      </c>
      <c r="T1855" cm="1">
        <f t="array" ref="T1855">_xlfn.SWITCH(S1855,"Annually",6,"Bi-Weekly",2,"Fortnightly",3,"Monthly",4,"Quarterly",5,"Weekly",1)</f>
        <v>3</v>
      </c>
    </row>
    <row r="1856" spans="1:20" hidden="1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  <c r="S1856" t="str">
        <f t="shared" si="28"/>
        <v>Annually</v>
      </c>
      <c r="T1856" cm="1">
        <f t="array" ref="T1856">_xlfn.SWITCH(S1856,"Annually",6,"Bi-Weekly",2,"Fortnightly",3,"Monthly",4,"Quarterly",5,"Weekly",1)</f>
        <v>6</v>
      </c>
    </row>
    <row r="1857" spans="1:20" hidden="1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  <c r="S1857" t="str">
        <f t="shared" si="28"/>
        <v>Annually</v>
      </c>
      <c r="T1857" cm="1">
        <f t="array" ref="T1857">_xlfn.SWITCH(S1857,"Annually",6,"Bi-Weekly",2,"Fortnightly",3,"Monthly",4,"Quarterly",5,"Weekly",1)</f>
        <v>6</v>
      </c>
    </row>
    <row r="1858" spans="1:20" hidden="1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  <c r="S1858" t="str">
        <f t="shared" si="28"/>
        <v>Bi-Weekly</v>
      </c>
      <c r="T1858" cm="1">
        <f t="array" ref="T1858">_xlfn.SWITCH(S1858,"Annually",6,"Bi-Weekly",2,"Fortnightly",3,"Monthly",4,"Quarterly",5,"Weekly",1)</f>
        <v>2</v>
      </c>
    </row>
    <row r="1859" spans="1:20" hidden="1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  <c r="S1859" t="str">
        <f t="shared" ref="S1859:S1922" si="29">IF(R1859="Every 3 Months","Quarterly",R1859)</f>
        <v>Monthly</v>
      </c>
      <c r="T1859" cm="1">
        <f t="array" ref="T1859">_xlfn.SWITCH(S1859,"Annually",6,"Bi-Weekly",2,"Fortnightly",3,"Monthly",4,"Quarterly",5,"Weekly",1)</f>
        <v>4</v>
      </c>
    </row>
    <row r="1860" spans="1:20" hidden="1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  <c r="S1860" t="str">
        <f t="shared" si="29"/>
        <v>Annually</v>
      </c>
      <c r="T1860" cm="1">
        <f t="array" ref="T1860">_xlfn.SWITCH(S1860,"Annually",6,"Bi-Weekly",2,"Fortnightly",3,"Monthly",4,"Quarterly",5,"Weekly",1)</f>
        <v>6</v>
      </c>
    </row>
    <row r="1861" spans="1:20" hidden="1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  <c r="S1861" t="str">
        <f t="shared" si="29"/>
        <v>Fortnightly</v>
      </c>
      <c r="T1861" cm="1">
        <f t="array" ref="T1861">_xlfn.SWITCH(S1861,"Annually",6,"Bi-Weekly",2,"Fortnightly",3,"Monthly",4,"Quarterly",5,"Weekly",1)</f>
        <v>3</v>
      </c>
    </row>
    <row r="1862" spans="1:20" hidden="1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  <c r="S1862" t="str">
        <f t="shared" si="29"/>
        <v>Monthly</v>
      </c>
      <c r="T1862" cm="1">
        <f t="array" ref="T1862">_xlfn.SWITCH(S1862,"Annually",6,"Bi-Weekly",2,"Fortnightly",3,"Monthly",4,"Quarterly",5,"Weekly",1)</f>
        <v>4</v>
      </c>
    </row>
    <row r="1863" spans="1:20" hidden="1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  <c r="S1863" t="str">
        <f t="shared" si="29"/>
        <v>Monthly</v>
      </c>
      <c r="T1863" cm="1">
        <f t="array" ref="T1863">_xlfn.SWITCH(S1863,"Annually",6,"Bi-Weekly",2,"Fortnightly",3,"Monthly",4,"Quarterly",5,"Weekly",1)</f>
        <v>4</v>
      </c>
    </row>
    <row r="1864" spans="1:20" hidden="1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  <c r="S1864" t="str">
        <f t="shared" si="29"/>
        <v>Fortnightly</v>
      </c>
      <c r="T1864" cm="1">
        <f t="array" ref="T1864">_xlfn.SWITCH(S1864,"Annually",6,"Bi-Weekly",2,"Fortnightly",3,"Monthly",4,"Quarterly",5,"Weekly",1)</f>
        <v>3</v>
      </c>
    </row>
    <row r="1865" spans="1:20" hidden="1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  <c r="S1865" t="str">
        <f t="shared" si="29"/>
        <v>Monthly</v>
      </c>
      <c r="T1865" cm="1">
        <f t="array" ref="T1865">_xlfn.SWITCH(S1865,"Annually",6,"Bi-Weekly",2,"Fortnightly",3,"Monthly",4,"Quarterly",5,"Weekly",1)</f>
        <v>4</v>
      </c>
    </row>
    <row r="1866" spans="1:20" hidden="1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  <c r="S1866" t="str">
        <f t="shared" si="29"/>
        <v>Quarterly</v>
      </c>
      <c r="T1866" cm="1">
        <f t="array" ref="T1866">_xlfn.SWITCH(S1866,"Annually",6,"Bi-Weekly",2,"Fortnightly",3,"Monthly",4,"Quarterly",5,"Weekly",1)</f>
        <v>5</v>
      </c>
    </row>
    <row r="1867" spans="1:20" hidden="1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  <c r="S1867" t="str">
        <f t="shared" si="29"/>
        <v>Monthly</v>
      </c>
      <c r="T1867" cm="1">
        <f t="array" ref="T1867">_xlfn.SWITCH(S1867,"Annually",6,"Bi-Weekly",2,"Fortnightly",3,"Monthly",4,"Quarterly",5,"Weekly",1)</f>
        <v>4</v>
      </c>
    </row>
    <row r="1868" spans="1:20" hidden="1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  <c r="S1868" t="str">
        <f t="shared" si="29"/>
        <v>Fortnightly</v>
      </c>
      <c r="T1868" cm="1">
        <f t="array" ref="T1868">_xlfn.SWITCH(S1868,"Annually",6,"Bi-Weekly",2,"Fortnightly",3,"Monthly",4,"Quarterly",5,"Weekly",1)</f>
        <v>3</v>
      </c>
    </row>
    <row r="1869" spans="1:20" hidden="1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  <c r="S1869" t="str">
        <f t="shared" si="29"/>
        <v>Quarterly</v>
      </c>
      <c r="T1869" cm="1">
        <f t="array" ref="T1869">_xlfn.SWITCH(S1869,"Annually",6,"Bi-Weekly",2,"Fortnightly",3,"Monthly",4,"Quarterly",5,"Weekly",1)</f>
        <v>5</v>
      </c>
    </row>
    <row r="1870" spans="1:20" hidden="1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  <c r="S1870" t="str">
        <f t="shared" si="29"/>
        <v>Fortnightly</v>
      </c>
      <c r="T1870" cm="1">
        <f t="array" ref="T1870">_xlfn.SWITCH(S1870,"Annually",6,"Bi-Weekly",2,"Fortnightly",3,"Monthly",4,"Quarterly",5,"Weekly",1)</f>
        <v>3</v>
      </c>
    </row>
    <row r="1871" spans="1:20" hidden="1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  <c r="S1871" t="str">
        <f t="shared" si="29"/>
        <v>Quarterly</v>
      </c>
      <c r="T1871" cm="1">
        <f t="array" ref="T1871">_xlfn.SWITCH(S1871,"Annually",6,"Bi-Weekly",2,"Fortnightly",3,"Monthly",4,"Quarterly",5,"Weekly",1)</f>
        <v>5</v>
      </c>
    </row>
    <row r="1872" spans="1:20" hidden="1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  <c r="S1872" t="str">
        <f t="shared" si="29"/>
        <v>Fortnightly</v>
      </c>
      <c r="T1872" cm="1">
        <f t="array" ref="T1872">_xlfn.SWITCH(S1872,"Annually",6,"Bi-Weekly",2,"Fortnightly",3,"Monthly",4,"Quarterly",5,"Weekly",1)</f>
        <v>3</v>
      </c>
    </row>
    <row r="1873" spans="1:20" hidden="1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  <c r="S1873" t="str">
        <f t="shared" si="29"/>
        <v>Quarterly</v>
      </c>
      <c r="T1873" cm="1">
        <f t="array" ref="T1873">_xlfn.SWITCH(S1873,"Annually",6,"Bi-Weekly",2,"Fortnightly",3,"Monthly",4,"Quarterly",5,"Weekly",1)</f>
        <v>5</v>
      </c>
    </row>
    <row r="1874" spans="1:20" hidden="1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  <c r="S1874" t="str">
        <f t="shared" si="29"/>
        <v>Monthly</v>
      </c>
      <c r="T1874" cm="1">
        <f t="array" ref="T1874">_xlfn.SWITCH(S1874,"Annually",6,"Bi-Weekly",2,"Fortnightly",3,"Monthly",4,"Quarterly",5,"Weekly",1)</f>
        <v>4</v>
      </c>
    </row>
    <row r="1875" spans="1:20" hidden="1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  <c r="S1875" t="str">
        <f t="shared" si="29"/>
        <v>Weekly</v>
      </c>
      <c r="T1875" cm="1">
        <f t="array" ref="T1875">_xlfn.SWITCH(S1875,"Annually",6,"Bi-Weekly",2,"Fortnightly",3,"Monthly",4,"Quarterly",5,"Weekly",1)</f>
        <v>1</v>
      </c>
    </row>
    <row r="1876" spans="1:20" hidden="1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  <c r="S1876" t="str">
        <f t="shared" si="29"/>
        <v>Weekly</v>
      </c>
      <c r="T1876" cm="1">
        <f t="array" ref="T1876">_xlfn.SWITCH(S1876,"Annually",6,"Bi-Weekly",2,"Fortnightly",3,"Monthly",4,"Quarterly",5,"Weekly",1)</f>
        <v>1</v>
      </c>
    </row>
    <row r="1877" spans="1:20" hidden="1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  <c r="S1877" t="str">
        <f t="shared" si="29"/>
        <v>Quarterly</v>
      </c>
      <c r="T1877" cm="1">
        <f t="array" ref="T1877">_xlfn.SWITCH(S1877,"Annually",6,"Bi-Weekly",2,"Fortnightly",3,"Monthly",4,"Quarterly",5,"Weekly",1)</f>
        <v>5</v>
      </c>
    </row>
    <row r="1878" spans="1:20" hidden="1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  <c r="S1878" t="str">
        <f t="shared" si="29"/>
        <v>Quarterly</v>
      </c>
      <c r="T1878" cm="1">
        <f t="array" ref="T1878">_xlfn.SWITCH(S1878,"Annually",6,"Bi-Weekly",2,"Fortnightly",3,"Monthly",4,"Quarterly",5,"Weekly",1)</f>
        <v>5</v>
      </c>
    </row>
    <row r="1879" spans="1:20" hidden="1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  <c r="S1879" t="str">
        <f t="shared" si="29"/>
        <v>Annually</v>
      </c>
      <c r="T1879" cm="1">
        <f t="array" ref="T1879">_xlfn.SWITCH(S1879,"Annually",6,"Bi-Weekly",2,"Fortnightly",3,"Monthly",4,"Quarterly",5,"Weekly",1)</f>
        <v>6</v>
      </c>
    </row>
    <row r="1880" spans="1:20" hidden="1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  <c r="S1880" t="str">
        <f t="shared" si="29"/>
        <v>Monthly</v>
      </c>
      <c r="T1880" cm="1">
        <f t="array" ref="T1880">_xlfn.SWITCH(S1880,"Annually",6,"Bi-Weekly",2,"Fortnightly",3,"Monthly",4,"Quarterly",5,"Weekly",1)</f>
        <v>4</v>
      </c>
    </row>
    <row r="1881" spans="1:20" hidden="1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  <c r="S1881" t="str">
        <f t="shared" si="29"/>
        <v>Bi-Weekly</v>
      </c>
      <c r="T1881" cm="1">
        <f t="array" ref="T1881">_xlfn.SWITCH(S1881,"Annually",6,"Bi-Weekly",2,"Fortnightly",3,"Monthly",4,"Quarterly",5,"Weekly",1)</f>
        <v>2</v>
      </c>
    </row>
    <row r="1882" spans="1:20" hidden="1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  <c r="S1882" t="str">
        <f t="shared" si="29"/>
        <v>Monthly</v>
      </c>
      <c r="T1882" cm="1">
        <f t="array" ref="T1882">_xlfn.SWITCH(S1882,"Annually",6,"Bi-Weekly",2,"Fortnightly",3,"Monthly",4,"Quarterly",5,"Weekly",1)</f>
        <v>4</v>
      </c>
    </row>
    <row r="1883" spans="1:20" hidden="1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  <c r="S1883" t="str">
        <f t="shared" si="29"/>
        <v>Bi-Weekly</v>
      </c>
      <c r="T1883" cm="1">
        <f t="array" ref="T1883">_xlfn.SWITCH(S1883,"Annually",6,"Bi-Weekly",2,"Fortnightly",3,"Monthly",4,"Quarterly",5,"Weekly",1)</f>
        <v>2</v>
      </c>
    </row>
    <row r="1884" spans="1:20" hidden="1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  <c r="S1884" t="str">
        <f t="shared" si="29"/>
        <v>Quarterly</v>
      </c>
      <c r="T1884" cm="1">
        <f t="array" ref="T1884">_xlfn.SWITCH(S1884,"Annually",6,"Bi-Weekly",2,"Fortnightly",3,"Monthly",4,"Quarterly",5,"Weekly",1)</f>
        <v>5</v>
      </c>
    </row>
    <row r="1885" spans="1:20" hidden="1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  <c r="S1885" t="str">
        <f t="shared" si="29"/>
        <v>Fortnightly</v>
      </c>
      <c r="T1885" cm="1">
        <f t="array" ref="T1885">_xlfn.SWITCH(S1885,"Annually",6,"Bi-Weekly",2,"Fortnightly",3,"Monthly",4,"Quarterly",5,"Weekly",1)</f>
        <v>3</v>
      </c>
    </row>
    <row r="1886" spans="1:20" hidden="1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  <c r="S1886" t="str">
        <f t="shared" si="29"/>
        <v>Bi-Weekly</v>
      </c>
      <c r="T1886" cm="1">
        <f t="array" ref="T1886">_xlfn.SWITCH(S1886,"Annually",6,"Bi-Weekly",2,"Fortnightly",3,"Monthly",4,"Quarterly",5,"Weekly",1)</f>
        <v>2</v>
      </c>
    </row>
    <row r="1887" spans="1:20" hidden="1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  <c r="S1887" t="str">
        <f t="shared" si="29"/>
        <v>Monthly</v>
      </c>
      <c r="T1887" cm="1">
        <f t="array" ref="T1887">_xlfn.SWITCH(S1887,"Annually",6,"Bi-Weekly",2,"Fortnightly",3,"Monthly",4,"Quarterly",5,"Weekly",1)</f>
        <v>4</v>
      </c>
    </row>
    <row r="1888" spans="1:20" hidden="1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  <c r="S1888" t="str">
        <f t="shared" si="29"/>
        <v>Bi-Weekly</v>
      </c>
      <c r="T1888" cm="1">
        <f t="array" ref="T1888">_xlfn.SWITCH(S1888,"Annually",6,"Bi-Weekly",2,"Fortnightly",3,"Monthly",4,"Quarterly",5,"Weekly",1)</f>
        <v>2</v>
      </c>
    </row>
    <row r="1889" spans="1:20" hidden="1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  <c r="S1889" t="str">
        <f t="shared" si="29"/>
        <v>Monthly</v>
      </c>
      <c r="T1889" cm="1">
        <f t="array" ref="T1889">_xlfn.SWITCH(S1889,"Annually",6,"Bi-Weekly",2,"Fortnightly",3,"Monthly",4,"Quarterly",5,"Weekly",1)</f>
        <v>4</v>
      </c>
    </row>
    <row r="1890" spans="1:20" hidden="1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  <c r="S1890" t="str">
        <f t="shared" si="29"/>
        <v>Weekly</v>
      </c>
      <c r="T1890" cm="1">
        <f t="array" ref="T1890">_xlfn.SWITCH(S1890,"Annually",6,"Bi-Weekly",2,"Fortnightly",3,"Monthly",4,"Quarterly",5,"Weekly",1)</f>
        <v>1</v>
      </c>
    </row>
    <row r="1891" spans="1:20" hidden="1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  <c r="S1891" t="str">
        <f t="shared" si="29"/>
        <v>Weekly</v>
      </c>
      <c r="T1891" cm="1">
        <f t="array" ref="T1891">_xlfn.SWITCH(S1891,"Annually",6,"Bi-Weekly",2,"Fortnightly",3,"Monthly",4,"Quarterly",5,"Weekly",1)</f>
        <v>1</v>
      </c>
    </row>
    <row r="1892" spans="1:20" hidden="1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  <c r="S1892" t="str">
        <f t="shared" si="29"/>
        <v>Weekly</v>
      </c>
      <c r="T1892" cm="1">
        <f t="array" ref="T1892">_xlfn.SWITCH(S1892,"Annually",6,"Bi-Weekly",2,"Fortnightly",3,"Monthly",4,"Quarterly",5,"Weekly",1)</f>
        <v>1</v>
      </c>
    </row>
    <row r="1893" spans="1:20" hidden="1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  <c r="S1893" t="str">
        <f t="shared" si="29"/>
        <v>Quarterly</v>
      </c>
      <c r="T1893" cm="1">
        <f t="array" ref="T1893">_xlfn.SWITCH(S1893,"Annually",6,"Bi-Weekly",2,"Fortnightly",3,"Monthly",4,"Quarterly",5,"Weekly",1)</f>
        <v>5</v>
      </c>
    </row>
    <row r="1894" spans="1:20" hidden="1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  <c r="S1894" t="str">
        <f t="shared" si="29"/>
        <v>Weekly</v>
      </c>
      <c r="T1894" cm="1">
        <f t="array" ref="T1894">_xlfn.SWITCH(S1894,"Annually",6,"Bi-Weekly",2,"Fortnightly",3,"Monthly",4,"Quarterly",5,"Weekly",1)</f>
        <v>1</v>
      </c>
    </row>
    <row r="1895" spans="1:20" hidden="1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  <c r="S1895" t="str">
        <f t="shared" si="29"/>
        <v>Fortnightly</v>
      </c>
      <c r="T1895" cm="1">
        <f t="array" ref="T1895">_xlfn.SWITCH(S1895,"Annually",6,"Bi-Weekly",2,"Fortnightly",3,"Monthly",4,"Quarterly",5,"Weekly",1)</f>
        <v>3</v>
      </c>
    </row>
    <row r="1896" spans="1:20" hidden="1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  <c r="S1896" t="str">
        <f t="shared" si="29"/>
        <v>Bi-Weekly</v>
      </c>
      <c r="T1896" cm="1">
        <f t="array" ref="T1896">_xlfn.SWITCH(S1896,"Annually",6,"Bi-Weekly",2,"Fortnightly",3,"Monthly",4,"Quarterly",5,"Weekly",1)</f>
        <v>2</v>
      </c>
    </row>
    <row r="1897" spans="1:20" hidden="1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  <c r="S1897" t="str">
        <f t="shared" si="29"/>
        <v>Monthly</v>
      </c>
      <c r="T1897" cm="1">
        <f t="array" ref="T1897">_xlfn.SWITCH(S1897,"Annually",6,"Bi-Weekly",2,"Fortnightly",3,"Monthly",4,"Quarterly",5,"Weekly",1)</f>
        <v>4</v>
      </c>
    </row>
    <row r="1898" spans="1:20" hidden="1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  <c r="S1898" t="str">
        <f t="shared" si="29"/>
        <v>Monthly</v>
      </c>
      <c r="T1898" cm="1">
        <f t="array" ref="T1898">_xlfn.SWITCH(S1898,"Annually",6,"Bi-Weekly",2,"Fortnightly",3,"Monthly",4,"Quarterly",5,"Weekly",1)</f>
        <v>4</v>
      </c>
    </row>
    <row r="1899" spans="1:20" hidden="1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  <c r="S1899" t="str">
        <f t="shared" si="29"/>
        <v>Fortnightly</v>
      </c>
      <c r="T1899" cm="1">
        <f t="array" ref="T1899">_xlfn.SWITCH(S1899,"Annually",6,"Bi-Weekly",2,"Fortnightly",3,"Monthly",4,"Quarterly",5,"Weekly",1)</f>
        <v>3</v>
      </c>
    </row>
    <row r="1900" spans="1:20" hidden="1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  <c r="S1900" t="str">
        <f t="shared" si="29"/>
        <v>Monthly</v>
      </c>
      <c r="T1900" cm="1">
        <f t="array" ref="T1900">_xlfn.SWITCH(S1900,"Annually",6,"Bi-Weekly",2,"Fortnightly",3,"Monthly",4,"Quarterly",5,"Weekly",1)</f>
        <v>4</v>
      </c>
    </row>
    <row r="1901" spans="1:20" hidden="1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  <c r="S1901" t="str">
        <f t="shared" si="29"/>
        <v>Weekly</v>
      </c>
      <c r="T1901" cm="1">
        <f t="array" ref="T1901">_xlfn.SWITCH(S1901,"Annually",6,"Bi-Weekly",2,"Fortnightly",3,"Monthly",4,"Quarterly",5,"Weekly",1)</f>
        <v>1</v>
      </c>
    </row>
    <row r="1902" spans="1:20" hidden="1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  <c r="S1902" t="str">
        <f t="shared" si="29"/>
        <v>Quarterly</v>
      </c>
      <c r="T1902" cm="1">
        <f t="array" ref="T1902">_xlfn.SWITCH(S1902,"Annually",6,"Bi-Weekly",2,"Fortnightly",3,"Monthly",4,"Quarterly",5,"Weekly",1)</f>
        <v>5</v>
      </c>
    </row>
    <row r="1903" spans="1:20" hidden="1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  <c r="S1903" t="str">
        <f t="shared" si="29"/>
        <v>Quarterly</v>
      </c>
      <c r="T1903" cm="1">
        <f t="array" ref="T1903">_xlfn.SWITCH(S1903,"Annually",6,"Bi-Weekly",2,"Fortnightly",3,"Monthly",4,"Quarterly",5,"Weekly",1)</f>
        <v>5</v>
      </c>
    </row>
    <row r="1904" spans="1:20" hidden="1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  <c r="S1904" t="str">
        <f t="shared" si="29"/>
        <v>Monthly</v>
      </c>
      <c r="T1904" cm="1">
        <f t="array" ref="T1904">_xlfn.SWITCH(S1904,"Annually",6,"Bi-Weekly",2,"Fortnightly",3,"Monthly",4,"Quarterly",5,"Weekly",1)</f>
        <v>4</v>
      </c>
    </row>
    <row r="1905" spans="1:20" hidden="1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  <c r="S1905" t="str">
        <f t="shared" si="29"/>
        <v>Weekly</v>
      </c>
      <c r="T1905" cm="1">
        <f t="array" ref="T1905">_xlfn.SWITCH(S1905,"Annually",6,"Bi-Weekly",2,"Fortnightly",3,"Monthly",4,"Quarterly",5,"Weekly",1)</f>
        <v>1</v>
      </c>
    </row>
    <row r="1906" spans="1:20" hidden="1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  <c r="S1906" t="str">
        <f t="shared" si="29"/>
        <v>Monthly</v>
      </c>
      <c r="T1906" cm="1">
        <f t="array" ref="T1906">_xlfn.SWITCH(S1906,"Annually",6,"Bi-Weekly",2,"Fortnightly",3,"Monthly",4,"Quarterly",5,"Weekly",1)</f>
        <v>4</v>
      </c>
    </row>
    <row r="1907" spans="1:20" hidden="1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  <c r="S1907" t="str">
        <f t="shared" si="29"/>
        <v>Fortnightly</v>
      </c>
      <c r="T1907" cm="1">
        <f t="array" ref="T1907">_xlfn.SWITCH(S1907,"Annually",6,"Bi-Weekly",2,"Fortnightly",3,"Monthly",4,"Quarterly",5,"Weekly",1)</f>
        <v>3</v>
      </c>
    </row>
    <row r="1908" spans="1:20" hidden="1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  <c r="S1908" t="str">
        <f t="shared" si="29"/>
        <v>Fortnightly</v>
      </c>
      <c r="T1908" cm="1">
        <f t="array" ref="T1908">_xlfn.SWITCH(S1908,"Annually",6,"Bi-Weekly",2,"Fortnightly",3,"Monthly",4,"Quarterly",5,"Weekly",1)</f>
        <v>3</v>
      </c>
    </row>
    <row r="1909" spans="1:20" hidden="1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  <c r="S1909" t="str">
        <f t="shared" si="29"/>
        <v>Quarterly</v>
      </c>
      <c r="T1909" cm="1">
        <f t="array" ref="T1909">_xlfn.SWITCH(S1909,"Annually",6,"Bi-Weekly",2,"Fortnightly",3,"Monthly",4,"Quarterly",5,"Weekly",1)</f>
        <v>5</v>
      </c>
    </row>
    <row r="1910" spans="1:20" hidden="1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  <c r="S1910" t="str">
        <f t="shared" si="29"/>
        <v>Bi-Weekly</v>
      </c>
      <c r="T1910" cm="1">
        <f t="array" ref="T1910">_xlfn.SWITCH(S1910,"Annually",6,"Bi-Weekly",2,"Fortnightly",3,"Monthly",4,"Quarterly",5,"Weekly",1)</f>
        <v>2</v>
      </c>
    </row>
    <row r="1911" spans="1:20" hidden="1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  <c r="S1911" t="str">
        <f t="shared" si="29"/>
        <v>Monthly</v>
      </c>
      <c r="T1911" cm="1">
        <f t="array" ref="T1911">_xlfn.SWITCH(S1911,"Annually",6,"Bi-Weekly",2,"Fortnightly",3,"Monthly",4,"Quarterly",5,"Weekly",1)</f>
        <v>4</v>
      </c>
    </row>
    <row r="1912" spans="1:20" hidden="1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  <c r="S1912" t="str">
        <f t="shared" si="29"/>
        <v>Quarterly</v>
      </c>
      <c r="T1912" cm="1">
        <f t="array" ref="T1912">_xlfn.SWITCH(S1912,"Annually",6,"Bi-Weekly",2,"Fortnightly",3,"Monthly",4,"Quarterly",5,"Weekly",1)</f>
        <v>5</v>
      </c>
    </row>
    <row r="1913" spans="1:20" hidden="1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  <c r="S1913" t="str">
        <f t="shared" si="29"/>
        <v>Bi-Weekly</v>
      </c>
      <c r="T1913" cm="1">
        <f t="array" ref="T1913">_xlfn.SWITCH(S1913,"Annually",6,"Bi-Weekly",2,"Fortnightly",3,"Monthly",4,"Quarterly",5,"Weekly",1)</f>
        <v>2</v>
      </c>
    </row>
    <row r="1914" spans="1:20" hidden="1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  <c r="S1914" t="str">
        <f t="shared" si="29"/>
        <v>Bi-Weekly</v>
      </c>
      <c r="T1914" cm="1">
        <f t="array" ref="T1914">_xlfn.SWITCH(S1914,"Annually",6,"Bi-Weekly",2,"Fortnightly",3,"Monthly",4,"Quarterly",5,"Weekly",1)</f>
        <v>2</v>
      </c>
    </row>
    <row r="1915" spans="1:20" hidden="1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  <c r="S1915" t="str">
        <f t="shared" si="29"/>
        <v>Annually</v>
      </c>
      <c r="T1915" cm="1">
        <f t="array" ref="T1915">_xlfn.SWITCH(S1915,"Annually",6,"Bi-Weekly",2,"Fortnightly",3,"Monthly",4,"Quarterly",5,"Weekly",1)</f>
        <v>6</v>
      </c>
    </row>
    <row r="1916" spans="1:20" hidden="1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  <c r="S1916" t="str">
        <f t="shared" si="29"/>
        <v>Fortnightly</v>
      </c>
      <c r="T1916" cm="1">
        <f t="array" ref="T1916">_xlfn.SWITCH(S1916,"Annually",6,"Bi-Weekly",2,"Fortnightly",3,"Monthly",4,"Quarterly",5,"Weekly",1)</f>
        <v>3</v>
      </c>
    </row>
    <row r="1917" spans="1:20" hidden="1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  <c r="S1917" t="str">
        <f t="shared" si="29"/>
        <v>Weekly</v>
      </c>
      <c r="T1917" cm="1">
        <f t="array" ref="T1917">_xlfn.SWITCH(S1917,"Annually",6,"Bi-Weekly",2,"Fortnightly",3,"Monthly",4,"Quarterly",5,"Weekly",1)</f>
        <v>1</v>
      </c>
    </row>
    <row r="1918" spans="1:20" hidden="1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  <c r="S1918" t="str">
        <f t="shared" si="29"/>
        <v>Bi-Weekly</v>
      </c>
      <c r="T1918" cm="1">
        <f t="array" ref="T1918">_xlfn.SWITCH(S1918,"Annually",6,"Bi-Weekly",2,"Fortnightly",3,"Monthly",4,"Quarterly",5,"Weekly",1)</f>
        <v>2</v>
      </c>
    </row>
    <row r="1919" spans="1:20" hidden="1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  <c r="S1919" t="str">
        <f t="shared" si="29"/>
        <v>Bi-Weekly</v>
      </c>
      <c r="T1919" cm="1">
        <f t="array" ref="T1919">_xlfn.SWITCH(S1919,"Annually",6,"Bi-Weekly",2,"Fortnightly",3,"Monthly",4,"Quarterly",5,"Weekly",1)</f>
        <v>2</v>
      </c>
    </row>
    <row r="1920" spans="1:20" hidden="1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  <c r="S1920" t="str">
        <f t="shared" si="29"/>
        <v>Monthly</v>
      </c>
      <c r="T1920" cm="1">
        <f t="array" ref="T1920">_xlfn.SWITCH(S1920,"Annually",6,"Bi-Weekly",2,"Fortnightly",3,"Monthly",4,"Quarterly",5,"Weekly",1)</f>
        <v>4</v>
      </c>
    </row>
    <row r="1921" spans="1:20" hidden="1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  <c r="S1921" t="str">
        <f t="shared" si="29"/>
        <v>Bi-Weekly</v>
      </c>
      <c r="T1921" cm="1">
        <f t="array" ref="T1921">_xlfn.SWITCH(S1921,"Annually",6,"Bi-Weekly",2,"Fortnightly",3,"Monthly",4,"Quarterly",5,"Weekly",1)</f>
        <v>2</v>
      </c>
    </row>
    <row r="1922" spans="1:20" hidden="1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  <c r="S1922" t="str">
        <f t="shared" si="29"/>
        <v>Quarterly</v>
      </c>
      <c r="T1922" cm="1">
        <f t="array" ref="T1922">_xlfn.SWITCH(S1922,"Annually",6,"Bi-Weekly",2,"Fortnightly",3,"Monthly",4,"Quarterly",5,"Weekly",1)</f>
        <v>5</v>
      </c>
    </row>
    <row r="1923" spans="1:20" hidden="1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  <c r="S1923" t="str">
        <f t="shared" ref="S1923:S1986" si="30">IF(R1923="Every 3 Months","Quarterly",R1923)</f>
        <v>Annually</v>
      </c>
      <c r="T1923" cm="1">
        <f t="array" ref="T1923">_xlfn.SWITCH(S1923,"Annually",6,"Bi-Weekly",2,"Fortnightly",3,"Monthly",4,"Quarterly",5,"Weekly",1)</f>
        <v>6</v>
      </c>
    </row>
    <row r="1924" spans="1:20" hidden="1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  <c r="S1924" t="str">
        <f t="shared" si="30"/>
        <v>Monthly</v>
      </c>
      <c r="T1924" cm="1">
        <f t="array" ref="T1924">_xlfn.SWITCH(S1924,"Annually",6,"Bi-Weekly",2,"Fortnightly",3,"Monthly",4,"Quarterly",5,"Weekly",1)</f>
        <v>4</v>
      </c>
    </row>
    <row r="1925" spans="1:20" hidden="1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  <c r="S1925" t="str">
        <f t="shared" si="30"/>
        <v>Annually</v>
      </c>
      <c r="T1925" cm="1">
        <f t="array" ref="T1925">_xlfn.SWITCH(S1925,"Annually",6,"Bi-Weekly",2,"Fortnightly",3,"Monthly",4,"Quarterly",5,"Weekly",1)</f>
        <v>6</v>
      </c>
    </row>
    <row r="1926" spans="1:20" hidden="1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  <c r="S1926" t="str">
        <f t="shared" si="30"/>
        <v>Quarterly</v>
      </c>
      <c r="T1926" cm="1">
        <f t="array" ref="T1926">_xlfn.SWITCH(S1926,"Annually",6,"Bi-Weekly",2,"Fortnightly",3,"Monthly",4,"Quarterly",5,"Weekly",1)</f>
        <v>5</v>
      </c>
    </row>
    <row r="1927" spans="1:20" hidden="1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  <c r="S1927" t="str">
        <f t="shared" si="30"/>
        <v>Fortnightly</v>
      </c>
      <c r="T1927" cm="1">
        <f t="array" ref="T1927">_xlfn.SWITCH(S1927,"Annually",6,"Bi-Weekly",2,"Fortnightly",3,"Monthly",4,"Quarterly",5,"Weekly",1)</f>
        <v>3</v>
      </c>
    </row>
    <row r="1928" spans="1:20" hidden="1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  <c r="S1928" t="str">
        <f t="shared" si="30"/>
        <v>Annually</v>
      </c>
      <c r="T1928" cm="1">
        <f t="array" ref="T1928">_xlfn.SWITCH(S1928,"Annually",6,"Bi-Weekly",2,"Fortnightly",3,"Monthly",4,"Quarterly",5,"Weekly",1)</f>
        <v>6</v>
      </c>
    </row>
    <row r="1929" spans="1:20" hidden="1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  <c r="S1929" t="str">
        <f t="shared" si="30"/>
        <v>Quarterly</v>
      </c>
      <c r="T1929" cm="1">
        <f t="array" ref="T1929">_xlfn.SWITCH(S1929,"Annually",6,"Bi-Weekly",2,"Fortnightly",3,"Monthly",4,"Quarterly",5,"Weekly",1)</f>
        <v>5</v>
      </c>
    </row>
    <row r="1930" spans="1:20" hidden="1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  <c r="S1930" t="str">
        <f t="shared" si="30"/>
        <v>Weekly</v>
      </c>
      <c r="T1930" cm="1">
        <f t="array" ref="T1930">_xlfn.SWITCH(S1930,"Annually",6,"Bi-Weekly",2,"Fortnightly",3,"Monthly",4,"Quarterly",5,"Weekly",1)</f>
        <v>1</v>
      </c>
    </row>
    <row r="1931" spans="1:20" hidden="1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  <c r="S1931" t="str">
        <f t="shared" si="30"/>
        <v>Quarterly</v>
      </c>
      <c r="T1931" cm="1">
        <f t="array" ref="T1931">_xlfn.SWITCH(S1931,"Annually",6,"Bi-Weekly",2,"Fortnightly",3,"Monthly",4,"Quarterly",5,"Weekly",1)</f>
        <v>5</v>
      </c>
    </row>
    <row r="1932" spans="1:20" hidden="1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  <c r="S1932" t="str">
        <f t="shared" si="30"/>
        <v>Weekly</v>
      </c>
      <c r="T1932" cm="1">
        <f t="array" ref="T1932">_xlfn.SWITCH(S1932,"Annually",6,"Bi-Weekly",2,"Fortnightly",3,"Monthly",4,"Quarterly",5,"Weekly",1)</f>
        <v>1</v>
      </c>
    </row>
    <row r="1933" spans="1:20" hidden="1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  <c r="S1933" t="str">
        <f t="shared" si="30"/>
        <v>Quarterly</v>
      </c>
      <c r="T1933" cm="1">
        <f t="array" ref="T1933">_xlfn.SWITCH(S1933,"Annually",6,"Bi-Weekly",2,"Fortnightly",3,"Monthly",4,"Quarterly",5,"Weekly",1)</f>
        <v>5</v>
      </c>
    </row>
    <row r="1934" spans="1:20" hidden="1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  <c r="S1934" t="str">
        <f t="shared" si="30"/>
        <v>Quarterly</v>
      </c>
      <c r="T1934" cm="1">
        <f t="array" ref="T1934">_xlfn.SWITCH(S1934,"Annually",6,"Bi-Weekly",2,"Fortnightly",3,"Monthly",4,"Quarterly",5,"Weekly",1)</f>
        <v>5</v>
      </c>
    </row>
    <row r="1935" spans="1:20" hidden="1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  <c r="S1935" t="str">
        <f t="shared" si="30"/>
        <v>Annually</v>
      </c>
      <c r="T1935" cm="1">
        <f t="array" ref="T1935">_xlfn.SWITCH(S1935,"Annually",6,"Bi-Weekly",2,"Fortnightly",3,"Monthly",4,"Quarterly",5,"Weekly",1)</f>
        <v>6</v>
      </c>
    </row>
    <row r="1936" spans="1:20" hidden="1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  <c r="S1936" t="str">
        <f t="shared" si="30"/>
        <v>Annually</v>
      </c>
      <c r="T1936" cm="1">
        <f t="array" ref="T1936">_xlfn.SWITCH(S1936,"Annually",6,"Bi-Weekly",2,"Fortnightly",3,"Monthly",4,"Quarterly",5,"Weekly",1)</f>
        <v>6</v>
      </c>
    </row>
    <row r="1937" spans="1:20" hidden="1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  <c r="S1937" t="str">
        <f t="shared" si="30"/>
        <v>Fortnightly</v>
      </c>
      <c r="T1937" cm="1">
        <f t="array" ref="T1937">_xlfn.SWITCH(S1937,"Annually",6,"Bi-Weekly",2,"Fortnightly",3,"Monthly",4,"Quarterly",5,"Weekly",1)</f>
        <v>3</v>
      </c>
    </row>
    <row r="1938" spans="1:20" hidden="1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  <c r="S1938" t="str">
        <f t="shared" si="30"/>
        <v>Quarterly</v>
      </c>
      <c r="T1938" cm="1">
        <f t="array" ref="T1938">_xlfn.SWITCH(S1938,"Annually",6,"Bi-Weekly",2,"Fortnightly",3,"Monthly",4,"Quarterly",5,"Weekly",1)</f>
        <v>5</v>
      </c>
    </row>
    <row r="1939" spans="1:20" hidden="1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  <c r="S1939" t="str">
        <f t="shared" si="30"/>
        <v>Monthly</v>
      </c>
      <c r="T1939" cm="1">
        <f t="array" ref="T1939">_xlfn.SWITCH(S1939,"Annually",6,"Bi-Weekly",2,"Fortnightly",3,"Monthly",4,"Quarterly",5,"Weekly",1)</f>
        <v>4</v>
      </c>
    </row>
    <row r="1940" spans="1:20" hidden="1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  <c r="S1940" t="str">
        <f t="shared" si="30"/>
        <v>Bi-Weekly</v>
      </c>
      <c r="T1940" cm="1">
        <f t="array" ref="T1940">_xlfn.SWITCH(S1940,"Annually",6,"Bi-Weekly",2,"Fortnightly",3,"Monthly",4,"Quarterly",5,"Weekly",1)</f>
        <v>2</v>
      </c>
    </row>
    <row r="1941" spans="1:20" hidden="1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  <c r="S1941" t="str">
        <f t="shared" si="30"/>
        <v>Quarterly</v>
      </c>
      <c r="T1941" cm="1">
        <f t="array" ref="T1941">_xlfn.SWITCH(S1941,"Annually",6,"Bi-Weekly",2,"Fortnightly",3,"Monthly",4,"Quarterly",5,"Weekly",1)</f>
        <v>5</v>
      </c>
    </row>
    <row r="1942" spans="1:20" hidden="1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  <c r="S1942" t="str">
        <f t="shared" si="30"/>
        <v>Fortnightly</v>
      </c>
      <c r="T1942" cm="1">
        <f t="array" ref="T1942">_xlfn.SWITCH(S1942,"Annually",6,"Bi-Weekly",2,"Fortnightly",3,"Monthly",4,"Quarterly",5,"Weekly",1)</f>
        <v>3</v>
      </c>
    </row>
    <row r="1943" spans="1:20" hidden="1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  <c r="S1943" t="str">
        <f t="shared" si="30"/>
        <v>Quarterly</v>
      </c>
      <c r="T1943" cm="1">
        <f t="array" ref="T1943">_xlfn.SWITCH(S1943,"Annually",6,"Bi-Weekly",2,"Fortnightly",3,"Monthly",4,"Quarterly",5,"Weekly",1)</f>
        <v>5</v>
      </c>
    </row>
    <row r="1944" spans="1:20" hidden="1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  <c r="S1944" t="str">
        <f t="shared" si="30"/>
        <v>Monthly</v>
      </c>
      <c r="T1944" cm="1">
        <f t="array" ref="T1944">_xlfn.SWITCH(S1944,"Annually",6,"Bi-Weekly",2,"Fortnightly",3,"Monthly",4,"Quarterly",5,"Weekly",1)</f>
        <v>4</v>
      </c>
    </row>
    <row r="1945" spans="1:20" hidden="1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  <c r="S1945" t="str">
        <f t="shared" si="30"/>
        <v>Annually</v>
      </c>
      <c r="T1945" cm="1">
        <f t="array" ref="T1945">_xlfn.SWITCH(S1945,"Annually",6,"Bi-Weekly",2,"Fortnightly",3,"Monthly",4,"Quarterly",5,"Weekly",1)</f>
        <v>6</v>
      </c>
    </row>
    <row r="1946" spans="1:20" hidden="1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  <c r="S1946" t="str">
        <f t="shared" si="30"/>
        <v>Quarterly</v>
      </c>
      <c r="T1946" cm="1">
        <f t="array" ref="T1946">_xlfn.SWITCH(S1946,"Annually",6,"Bi-Weekly",2,"Fortnightly",3,"Monthly",4,"Quarterly",5,"Weekly",1)</f>
        <v>5</v>
      </c>
    </row>
    <row r="1947" spans="1:20" hidden="1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  <c r="S1947" t="str">
        <f t="shared" si="30"/>
        <v>Quarterly</v>
      </c>
      <c r="T1947" cm="1">
        <f t="array" ref="T1947">_xlfn.SWITCH(S1947,"Annually",6,"Bi-Weekly",2,"Fortnightly",3,"Monthly",4,"Quarterly",5,"Weekly",1)</f>
        <v>5</v>
      </c>
    </row>
    <row r="1948" spans="1:20" hidden="1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  <c r="S1948" t="str">
        <f t="shared" si="30"/>
        <v>Quarterly</v>
      </c>
      <c r="T1948" cm="1">
        <f t="array" ref="T1948">_xlfn.SWITCH(S1948,"Annually",6,"Bi-Weekly",2,"Fortnightly",3,"Monthly",4,"Quarterly",5,"Weekly",1)</f>
        <v>5</v>
      </c>
    </row>
    <row r="1949" spans="1:20" hidden="1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  <c r="S1949" t="str">
        <f t="shared" si="30"/>
        <v>Monthly</v>
      </c>
      <c r="T1949" cm="1">
        <f t="array" ref="T1949">_xlfn.SWITCH(S1949,"Annually",6,"Bi-Weekly",2,"Fortnightly",3,"Monthly",4,"Quarterly",5,"Weekly",1)</f>
        <v>4</v>
      </c>
    </row>
    <row r="1950" spans="1:20" hidden="1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  <c r="S1950" t="str">
        <f t="shared" si="30"/>
        <v>Bi-Weekly</v>
      </c>
      <c r="T1950" cm="1">
        <f t="array" ref="T1950">_xlfn.SWITCH(S1950,"Annually",6,"Bi-Weekly",2,"Fortnightly",3,"Monthly",4,"Quarterly",5,"Weekly",1)</f>
        <v>2</v>
      </c>
    </row>
    <row r="1951" spans="1:20" hidden="1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  <c r="S1951" t="str">
        <f t="shared" si="30"/>
        <v>Quarterly</v>
      </c>
      <c r="T1951" cm="1">
        <f t="array" ref="T1951">_xlfn.SWITCH(S1951,"Annually",6,"Bi-Weekly",2,"Fortnightly",3,"Monthly",4,"Quarterly",5,"Weekly",1)</f>
        <v>5</v>
      </c>
    </row>
    <row r="1952" spans="1:20" hidden="1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  <c r="S1952" t="str">
        <f t="shared" si="30"/>
        <v>Quarterly</v>
      </c>
      <c r="T1952" cm="1">
        <f t="array" ref="T1952">_xlfn.SWITCH(S1952,"Annually",6,"Bi-Weekly",2,"Fortnightly",3,"Monthly",4,"Quarterly",5,"Weekly",1)</f>
        <v>5</v>
      </c>
    </row>
    <row r="1953" spans="1:20" hidden="1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  <c r="S1953" t="str">
        <f t="shared" si="30"/>
        <v>Bi-Weekly</v>
      </c>
      <c r="T1953" cm="1">
        <f t="array" ref="T1953">_xlfn.SWITCH(S1953,"Annually",6,"Bi-Weekly",2,"Fortnightly",3,"Monthly",4,"Quarterly",5,"Weekly",1)</f>
        <v>2</v>
      </c>
    </row>
    <row r="1954" spans="1:20" hidden="1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  <c r="S1954" t="str">
        <f t="shared" si="30"/>
        <v>Bi-Weekly</v>
      </c>
      <c r="T1954" cm="1">
        <f t="array" ref="T1954">_xlfn.SWITCH(S1954,"Annually",6,"Bi-Weekly",2,"Fortnightly",3,"Monthly",4,"Quarterly",5,"Weekly",1)</f>
        <v>2</v>
      </c>
    </row>
    <row r="1955" spans="1:20" hidden="1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  <c r="S1955" t="str">
        <f t="shared" si="30"/>
        <v>Fortnightly</v>
      </c>
      <c r="T1955" cm="1">
        <f t="array" ref="T1955">_xlfn.SWITCH(S1955,"Annually",6,"Bi-Weekly",2,"Fortnightly",3,"Monthly",4,"Quarterly",5,"Weekly",1)</f>
        <v>3</v>
      </c>
    </row>
    <row r="1956" spans="1:20" hidden="1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  <c r="S1956" t="str">
        <f t="shared" si="30"/>
        <v>Quarterly</v>
      </c>
      <c r="T1956" cm="1">
        <f t="array" ref="T1956">_xlfn.SWITCH(S1956,"Annually",6,"Bi-Weekly",2,"Fortnightly",3,"Monthly",4,"Quarterly",5,"Weekly",1)</f>
        <v>5</v>
      </c>
    </row>
    <row r="1957" spans="1:20" hidden="1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  <c r="S1957" t="str">
        <f t="shared" si="30"/>
        <v>Monthly</v>
      </c>
      <c r="T1957" cm="1">
        <f t="array" ref="T1957">_xlfn.SWITCH(S1957,"Annually",6,"Bi-Weekly",2,"Fortnightly",3,"Monthly",4,"Quarterly",5,"Weekly",1)</f>
        <v>4</v>
      </c>
    </row>
    <row r="1958" spans="1:20" hidden="1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  <c r="S1958" t="str">
        <f t="shared" si="30"/>
        <v>Fortnightly</v>
      </c>
      <c r="T1958" cm="1">
        <f t="array" ref="T1958">_xlfn.SWITCH(S1958,"Annually",6,"Bi-Weekly",2,"Fortnightly",3,"Monthly",4,"Quarterly",5,"Weekly",1)</f>
        <v>3</v>
      </c>
    </row>
    <row r="1959" spans="1:20" hidden="1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  <c r="S1959" t="str">
        <f t="shared" si="30"/>
        <v>Bi-Weekly</v>
      </c>
      <c r="T1959" cm="1">
        <f t="array" ref="T1959">_xlfn.SWITCH(S1959,"Annually",6,"Bi-Weekly",2,"Fortnightly",3,"Monthly",4,"Quarterly",5,"Weekly",1)</f>
        <v>2</v>
      </c>
    </row>
    <row r="1960" spans="1:20" hidden="1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  <c r="S1960" t="str">
        <f t="shared" si="30"/>
        <v>Quarterly</v>
      </c>
      <c r="T1960" cm="1">
        <f t="array" ref="T1960">_xlfn.SWITCH(S1960,"Annually",6,"Bi-Weekly",2,"Fortnightly",3,"Monthly",4,"Quarterly",5,"Weekly",1)</f>
        <v>5</v>
      </c>
    </row>
    <row r="1961" spans="1:20" hidden="1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  <c r="S1961" t="str">
        <f t="shared" si="30"/>
        <v>Quarterly</v>
      </c>
      <c r="T1961" cm="1">
        <f t="array" ref="T1961">_xlfn.SWITCH(S1961,"Annually",6,"Bi-Weekly",2,"Fortnightly",3,"Monthly",4,"Quarterly",5,"Weekly",1)</f>
        <v>5</v>
      </c>
    </row>
    <row r="1962" spans="1:20" hidden="1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  <c r="S1962" t="str">
        <f t="shared" si="30"/>
        <v>Annually</v>
      </c>
      <c r="T1962" cm="1">
        <f t="array" ref="T1962">_xlfn.SWITCH(S1962,"Annually",6,"Bi-Weekly",2,"Fortnightly",3,"Monthly",4,"Quarterly",5,"Weekly",1)</f>
        <v>6</v>
      </c>
    </row>
    <row r="1963" spans="1:20" hidden="1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  <c r="S1963" t="str">
        <f t="shared" si="30"/>
        <v>Quarterly</v>
      </c>
      <c r="T1963" cm="1">
        <f t="array" ref="T1963">_xlfn.SWITCH(S1963,"Annually",6,"Bi-Weekly",2,"Fortnightly",3,"Monthly",4,"Quarterly",5,"Weekly",1)</f>
        <v>5</v>
      </c>
    </row>
    <row r="1964" spans="1:20" hidden="1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  <c r="S1964" t="str">
        <f t="shared" si="30"/>
        <v>Fortnightly</v>
      </c>
      <c r="T1964" cm="1">
        <f t="array" ref="T1964">_xlfn.SWITCH(S1964,"Annually",6,"Bi-Weekly",2,"Fortnightly",3,"Monthly",4,"Quarterly",5,"Weekly",1)</f>
        <v>3</v>
      </c>
    </row>
    <row r="1965" spans="1:20" hidden="1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  <c r="S1965" t="str">
        <f t="shared" si="30"/>
        <v>Weekly</v>
      </c>
      <c r="T1965" cm="1">
        <f t="array" ref="T1965">_xlfn.SWITCH(S1965,"Annually",6,"Bi-Weekly",2,"Fortnightly",3,"Monthly",4,"Quarterly",5,"Weekly",1)</f>
        <v>1</v>
      </c>
    </row>
    <row r="1966" spans="1:20" hidden="1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  <c r="S1966" t="str">
        <f t="shared" si="30"/>
        <v>Monthly</v>
      </c>
      <c r="T1966" cm="1">
        <f t="array" ref="T1966">_xlfn.SWITCH(S1966,"Annually",6,"Bi-Weekly",2,"Fortnightly",3,"Monthly",4,"Quarterly",5,"Weekly",1)</f>
        <v>4</v>
      </c>
    </row>
    <row r="1967" spans="1:20" hidden="1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  <c r="S1967" t="str">
        <f t="shared" si="30"/>
        <v>Quarterly</v>
      </c>
      <c r="T1967" cm="1">
        <f t="array" ref="T1967">_xlfn.SWITCH(S1967,"Annually",6,"Bi-Weekly",2,"Fortnightly",3,"Monthly",4,"Quarterly",5,"Weekly",1)</f>
        <v>5</v>
      </c>
    </row>
    <row r="1968" spans="1:20" hidden="1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  <c r="S1968" t="str">
        <f t="shared" si="30"/>
        <v>Fortnightly</v>
      </c>
      <c r="T1968" cm="1">
        <f t="array" ref="T1968">_xlfn.SWITCH(S1968,"Annually",6,"Bi-Weekly",2,"Fortnightly",3,"Monthly",4,"Quarterly",5,"Weekly",1)</f>
        <v>3</v>
      </c>
    </row>
    <row r="1969" spans="1:20" hidden="1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  <c r="S1969" t="str">
        <f t="shared" si="30"/>
        <v>Annually</v>
      </c>
      <c r="T1969" cm="1">
        <f t="array" ref="T1969">_xlfn.SWITCH(S1969,"Annually",6,"Bi-Weekly",2,"Fortnightly",3,"Monthly",4,"Quarterly",5,"Weekly",1)</f>
        <v>6</v>
      </c>
    </row>
    <row r="1970" spans="1:20" hidden="1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  <c r="S1970" t="str">
        <f t="shared" si="30"/>
        <v>Weekly</v>
      </c>
      <c r="T1970" cm="1">
        <f t="array" ref="T1970">_xlfn.SWITCH(S1970,"Annually",6,"Bi-Weekly",2,"Fortnightly",3,"Monthly",4,"Quarterly",5,"Weekly",1)</f>
        <v>1</v>
      </c>
    </row>
    <row r="1971" spans="1:20" hidden="1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  <c r="S1971" t="str">
        <f t="shared" si="30"/>
        <v>Fortnightly</v>
      </c>
      <c r="T1971" cm="1">
        <f t="array" ref="T1971">_xlfn.SWITCH(S1971,"Annually",6,"Bi-Weekly",2,"Fortnightly",3,"Monthly",4,"Quarterly",5,"Weekly",1)</f>
        <v>3</v>
      </c>
    </row>
    <row r="1972" spans="1:20" hidden="1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  <c r="S1972" t="str">
        <f t="shared" si="30"/>
        <v>Bi-Weekly</v>
      </c>
      <c r="T1972" cm="1">
        <f t="array" ref="T1972">_xlfn.SWITCH(S1972,"Annually",6,"Bi-Weekly",2,"Fortnightly",3,"Monthly",4,"Quarterly",5,"Weekly",1)</f>
        <v>2</v>
      </c>
    </row>
    <row r="1973" spans="1:20" hidden="1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  <c r="S1973" t="str">
        <f t="shared" si="30"/>
        <v>Monthly</v>
      </c>
      <c r="T1973" cm="1">
        <f t="array" ref="T1973">_xlfn.SWITCH(S1973,"Annually",6,"Bi-Weekly",2,"Fortnightly",3,"Monthly",4,"Quarterly",5,"Weekly",1)</f>
        <v>4</v>
      </c>
    </row>
    <row r="1974" spans="1:20" hidden="1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  <c r="S1974" t="str">
        <f t="shared" si="30"/>
        <v>Quarterly</v>
      </c>
      <c r="T1974" cm="1">
        <f t="array" ref="T1974">_xlfn.SWITCH(S1974,"Annually",6,"Bi-Weekly",2,"Fortnightly",3,"Monthly",4,"Quarterly",5,"Weekly",1)</f>
        <v>5</v>
      </c>
    </row>
    <row r="1975" spans="1:20" hidden="1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  <c r="S1975" t="str">
        <f t="shared" si="30"/>
        <v>Quarterly</v>
      </c>
      <c r="T1975" cm="1">
        <f t="array" ref="T1975">_xlfn.SWITCH(S1975,"Annually",6,"Bi-Weekly",2,"Fortnightly",3,"Monthly",4,"Quarterly",5,"Weekly",1)</f>
        <v>5</v>
      </c>
    </row>
    <row r="1976" spans="1:20" hidden="1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  <c r="S1976" t="str">
        <f t="shared" si="30"/>
        <v>Fortnightly</v>
      </c>
      <c r="T1976" cm="1">
        <f t="array" ref="T1976">_xlfn.SWITCH(S1976,"Annually",6,"Bi-Weekly",2,"Fortnightly",3,"Monthly",4,"Quarterly",5,"Weekly",1)</f>
        <v>3</v>
      </c>
    </row>
    <row r="1977" spans="1:20" hidden="1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  <c r="S1977" t="str">
        <f t="shared" si="30"/>
        <v>Quarterly</v>
      </c>
      <c r="T1977" cm="1">
        <f t="array" ref="T1977">_xlfn.SWITCH(S1977,"Annually",6,"Bi-Weekly",2,"Fortnightly",3,"Monthly",4,"Quarterly",5,"Weekly",1)</f>
        <v>5</v>
      </c>
    </row>
    <row r="1978" spans="1:20" hidden="1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  <c r="S1978" t="str">
        <f t="shared" si="30"/>
        <v>Fortnightly</v>
      </c>
      <c r="T1978" cm="1">
        <f t="array" ref="T1978">_xlfn.SWITCH(S1978,"Annually",6,"Bi-Weekly",2,"Fortnightly",3,"Monthly",4,"Quarterly",5,"Weekly",1)</f>
        <v>3</v>
      </c>
    </row>
    <row r="1979" spans="1:20" hidden="1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  <c r="S1979" t="str">
        <f t="shared" si="30"/>
        <v>Annually</v>
      </c>
      <c r="T1979" cm="1">
        <f t="array" ref="T1979">_xlfn.SWITCH(S1979,"Annually",6,"Bi-Weekly",2,"Fortnightly",3,"Monthly",4,"Quarterly",5,"Weekly",1)</f>
        <v>6</v>
      </c>
    </row>
    <row r="1980" spans="1:20" hidden="1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  <c r="S1980" t="str">
        <f t="shared" si="30"/>
        <v>Quarterly</v>
      </c>
      <c r="T1980" cm="1">
        <f t="array" ref="T1980">_xlfn.SWITCH(S1980,"Annually",6,"Bi-Weekly",2,"Fortnightly",3,"Monthly",4,"Quarterly",5,"Weekly",1)</f>
        <v>5</v>
      </c>
    </row>
    <row r="1981" spans="1:20" hidden="1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  <c r="S1981" t="str">
        <f t="shared" si="30"/>
        <v>Fortnightly</v>
      </c>
      <c r="T1981" cm="1">
        <f t="array" ref="T1981">_xlfn.SWITCH(S1981,"Annually",6,"Bi-Weekly",2,"Fortnightly",3,"Monthly",4,"Quarterly",5,"Weekly",1)</f>
        <v>3</v>
      </c>
    </row>
    <row r="1982" spans="1:20" hidden="1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  <c r="S1982" t="str">
        <f t="shared" si="30"/>
        <v>Fortnightly</v>
      </c>
      <c r="T1982" cm="1">
        <f t="array" ref="T1982">_xlfn.SWITCH(S1982,"Annually",6,"Bi-Weekly",2,"Fortnightly",3,"Monthly",4,"Quarterly",5,"Weekly",1)</f>
        <v>3</v>
      </c>
    </row>
    <row r="1983" spans="1:20" hidden="1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  <c r="S1983" t="str">
        <f t="shared" si="30"/>
        <v>Quarterly</v>
      </c>
      <c r="T1983" cm="1">
        <f t="array" ref="T1983">_xlfn.SWITCH(S1983,"Annually",6,"Bi-Weekly",2,"Fortnightly",3,"Monthly",4,"Quarterly",5,"Weekly",1)</f>
        <v>5</v>
      </c>
    </row>
    <row r="1984" spans="1:20" hidden="1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  <c r="S1984" t="str">
        <f t="shared" si="30"/>
        <v>Monthly</v>
      </c>
      <c r="T1984" cm="1">
        <f t="array" ref="T1984">_xlfn.SWITCH(S1984,"Annually",6,"Bi-Weekly",2,"Fortnightly",3,"Monthly",4,"Quarterly",5,"Weekly",1)</f>
        <v>4</v>
      </c>
    </row>
    <row r="1985" spans="1:20" hidden="1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  <c r="S1985" t="str">
        <f t="shared" si="30"/>
        <v>Quarterly</v>
      </c>
      <c r="T1985" cm="1">
        <f t="array" ref="T1985">_xlfn.SWITCH(S1985,"Annually",6,"Bi-Weekly",2,"Fortnightly",3,"Monthly",4,"Quarterly",5,"Weekly",1)</f>
        <v>5</v>
      </c>
    </row>
    <row r="1986" spans="1:20" hidden="1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  <c r="S1986" t="str">
        <f t="shared" si="30"/>
        <v>Fortnightly</v>
      </c>
      <c r="T1986" cm="1">
        <f t="array" ref="T1986">_xlfn.SWITCH(S1986,"Annually",6,"Bi-Weekly",2,"Fortnightly",3,"Monthly",4,"Quarterly",5,"Weekly",1)</f>
        <v>3</v>
      </c>
    </row>
    <row r="1987" spans="1:20" hidden="1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  <c r="S1987" t="str">
        <f t="shared" ref="S1987:S2050" si="31">IF(R1987="Every 3 Months","Quarterly",R1987)</f>
        <v>Fortnightly</v>
      </c>
      <c r="T1987" cm="1">
        <f t="array" ref="T1987">_xlfn.SWITCH(S1987,"Annually",6,"Bi-Weekly",2,"Fortnightly",3,"Monthly",4,"Quarterly",5,"Weekly",1)</f>
        <v>3</v>
      </c>
    </row>
    <row r="1988" spans="1:20" hidden="1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  <c r="S1988" t="str">
        <f t="shared" si="31"/>
        <v>Quarterly</v>
      </c>
      <c r="T1988" cm="1">
        <f t="array" ref="T1988">_xlfn.SWITCH(S1988,"Annually",6,"Bi-Weekly",2,"Fortnightly",3,"Monthly",4,"Quarterly",5,"Weekly",1)</f>
        <v>5</v>
      </c>
    </row>
    <row r="1989" spans="1:20" hidden="1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  <c r="S1989" t="str">
        <f t="shared" si="31"/>
        <v>Quarterly</v>
      </c>
      <c r="T1989" cm="1">
        <f t="array" ref="T1989">_xlfn.SWITCH(S1989,"Annually",6,"Bi-Weekly",2,"Fortnightly",3,"Monthly",4,"Quarterly",5,"Weekly",1)</f>
        <v>5</v>
      </c>
    </row>
    <row r="1990" spans="1:20" hidden="1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  <c r="S1990" t="str">
        <f t="shared" si="31"/>
        <v>Weekly</v>
      </c>
      <c r="T1990" cm="1">
        <f t="array" ref="T1990">_xlfn.SWITCH(S1990,"Annually",6,"Bi-Weekly",2,"Fortnightly",3,"Monthly",4,"Quarterly",5,"Weekly",1)</f>
        <v>1</v>
      </c>
    </row>
    <row r="1991" spans="1:20" hidden="1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  <c r="S1991" t="str">
        <f t="shared" si="31"/>
        <v>Bi-Weekly</v>
      </c>
      <c r="T1991" cm="1">
        <f t="array" ref="T1991">_xlfn.SWITCH(S1991,"Annually",6,"Bi-Weekly",2,"Fortnightly",3,"Monthly",4,"Quarterly",5,"Weekly",1)</f>
        <v>2</v>
      </c>
    </row>
    <row r="1992" spans="1:20" hidden="1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  <c r="S1992" t="str">
        <f t="shared" si="31"/>
        <v>Annually</v>
      </c>
      <c r="T1992" cm="1">
        <f t="array" ref="T1992">_xlfn.SWITCH(S1992,"Annually",6,"Bi-Weekly",2,"Fortnightly",3,"Monthly",4,"Quarterly",5,"Weekly",1)</f>
        <v>6</v>
      </c>
    </row>
    <row r="1993" spans="1:20" hidden="1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  <c r="S1993" t="str">
        <f t="shared" si="31"/>
        <v>Quarterly</v>
      </c>
      <c r="T1993" cm="1">
        <f t="array" ref="T1993">_xlfn.SWITCH(S1993,"Annually",6,"Bi-Weekly",2,"Fortnightly",3,"Monthly",4,"Quarterly",5,"Weekly",1)</f>
        <v>5</v>
      </c>
    </row>
    <row r="1994" spans="1:20" hidden="1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  <c r="S1994" t="str">
        <f t="shared" si="31"/>
        <v>Monthly</v>
      </c>
      <c r="T1994" cm="1">
        <f t="array" ref="T1994">_xlfn.SWITCH(S1994,"Annually",6,"Bi-Weekly",2,"Fortnightly",3,"Monthly",4,"Quarterly",5,"Weekly",1)</f>
        <v>4</v>
      </c>
    </row>
    <row r="1995" spans="1:20" hidden="1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  <c r="S1995" t="str">
        <f t="shared" si="31"/>
        <v>Weekly</v>
      </c>
      <c r="T1995" cm="1">
        <f t="array" ref="T1995">_xlfn.SWITCH(S1995,"Annually",6,"Bi-Weekly",2,"Fortnightly",3,"Monthly",4,"Quarterly",5,"Weekly",1)</f>
        <v>1</v>
      </c>
    </row>
    <row r="1996" spans="1:20" hidden="1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  <c r="S1996" t="str">
        <f t="shared" si="31"/>
        <v>Weekly</v>
      </c>
      <c r="T1996" cm="1">
        <f t="array" ref="T1996">_xlfn.SWITCH(S1996,"Annually",6,"Bi-Weekly",2,"Fortnightly",3,"Monthly",4,"Quarterly",5,"Weekly",1)</f>
        <v>1</v>
      </c>
    </row>
    <row r="1997" spans="1:20" hidden="1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  <c r="S1997" t="str">
        <f t="shared" si="31"/>
        <v>Quarterly</v>
      </c>
      <c r="T1997" cm="1">
        <f t="array" ref="T1997">_xlfn.SWITCH(S1997,"Annually",6,"Bi-Weekly",2,"Fortnightly",3,"Monthly",4,"Quarterly",5,"Weekly",1)</f>
        <v>5</v>
      </c>
    </row>
    <row r="1998" spans="1:20" hidden="1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  <c r="S1998" t="str">
        <f t="shared" si="31"/>
        <v>Quarterly</v>
      </c>
      <c r="T1998" cm="1">
        <f t="array" ref="T1998">_xlfn.SWITCH(S1998,"Annually",6,"Bi-Weekly",2,"Fortnightly",3,"Monthly",4,"Quarterly",5,"Weekly",1)</f>
        <v>5</v>
      </c>
    </row>
    <row r="1999" spans="1:20" hidden="1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  <c r="S1999" t="str">
        <f t="shared" si="31"/>
        <v>Bi-Weekly</v>
      </c>
      <c r="T1999" cm="1">
        <f t="array" ref="T1999">_xlfn.SWITCH(S1999,"Annually",6,"Bi-Weekly",2,"Fortnightly",3,"Monthly",4,"Quarterly",5,"Weekly",1)</f>
        <v>2</v>
      </c>
    </row>
    <row r="2000" spans="1:20" hidden="1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  <c r="S2000" t="str">
        <f t="shared" si="31"/>
        <v>Quarterly</v>
      </c>
      <c r="T2000" cm="1">
        <f t="array" ref="T2000">_xlfn.SWITCH(S2000,"Annually",6,"Bi-Weekly",2,"Fortnightly",3,"Monthly",4,"Quarterly",5,"Weekly",1)</f>
        <v>5</v>
      </c>
    </row>
    <row r="2001" spans="1:20" hidden="1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  <c r="S2001" t="str">
        <f t="shared" si="31"/>
        <v>Monthly</v>
      </c>
      <c r="T2001" cm="1">
        <f t="array" ref="T2001">_xlfn.SWITCH(S2001,"Annually",6,"Bi-Weekly",2,"Fortnightly",3,"Monthly",4,"Quarterly",5,"Weekly",1)</f>
        <v>4</v>
      </c>
    </row>
    <row r="2002" spans="1:20" hidden="1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  <c r="S2002" t="str">
        <f t="shared" si="31"/>
        <v>Bi-Weekly</v>
      </c>
      <c r="T2002" cm="1">
        <f t="array" ref="T2002">_xlfn.SWITCH(S2002,"Annually",6,"Bi-Weekly",2,"Fortnightly",3,"Monthly",4,"Quarterly",5,"Weekly",1)</f>
        <v>2</v>
      </c>
    </row>
    <row r="2003" spans="1:20" hidden="1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  <c r="S2003" t="str">
        <f t="shared" si="31"/>
        <v>Fortnightly</v>
      </c>
      <c r="T2003" cm="1">
        <f t="array" ref="T2003">_xlfn.SWITCH(S2003,"Annually",6,"Bi-Weekly",2,"Fortnightly",3,"Monthly",4,"Quarterly",5,"Weekly",1)</f>
        <v>3</v>
      </c>
    </row>
    <row r="2004" spans="1:20" hidden="1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  <c r="S2004" t="str">
        <f t="shared" si="31"/>
        <v>Quarterly</v>
      </c>
      <c r="T2004" cm="1">
        <f t="array" ref="T2004">_xlfn.SWITCH(S2004,"Annually",6,"Bi-Weekly",2,"Fortnightly",3,"Monthly",4,"Quarterly",5,"Weekly",1)</f>
        <v>5</v>
      </c>
    </row>
    <row r="2005" spans="1:20" hidden="1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  <c r="S2005" t="str">
        <f t="shared" si="31"/>
        <v>Quarterly</v>
      </c>
      <c r="T2005" cm="1">
        <f t="array" ref="T2005">_xlfn.SWITCH(S2005,"Annually",6,"Bi-Weekly",2,"Fortnightly",3,"Monthly",4,"Quarterly",5,"Weekly",1)</f>
        <v>5</v>
      </c>
    </row>
    <row r="2006" spans="1:20" hidden="1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  <c r="S2006" t="str">
        <f t="shared" si="31"/>
        <v>Bi-Weekly</v>
      </c>
      <c r="T2006" cm="1">
        <f t="array" ref="T2006">_xlfn.SWITCH(S2006,"Annually",6,"Bi-Weekly",2,"Fortnightly",3,"Monthly",4,"Quarterly",5,"Weekly",1)</f>
        <v>2</v>
      </c>
    </row>
    <row r="2007" spans="1:20" hidden="1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  <c r="S2007" t="str">
        <f t="shared" si="31"/>
        <v>Fortnightly</v>
      </c>
      <c r="T2007" cm="1">
        <f t="array" ref="T2007">_xlfn.SWITCH(S2007,"Annually",6,"Bi-Weekly",2,"Fortnightly",3,"Monthly",4,"Quarterly",5,"Weekly",1)</f>
        <v>3</v>
      </c>
    </row>
    <row r="2008" spans="1:20" hidden="1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  <c r="S2008" t="str">
        <f t="shared" si="31"/>
        <v>Annually</v>
      </c>
      <c r="T2008" cm="1">
        <f t="array" ref="T2008">_xlfn.SWITCH(S2008,"Annually",6,"Bi-Weekly",2,"Fortnightly",3,"Monthly",4,"Quarterly",5,"Weekly",1)</f>
        <v>6</v>
      </c>
    </row>
    <row r="2009" spans="1:20" hidden="1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  <c r="S2009" t="str">
        <f t="shared" si="31"/>
        <v>Quarterly</v>
      </c>
      <c r="T2009" cm="1">
        <f t="array" ref="T2009">_xlfn.SWITCH(S2009,"Annually",6,"Bi-Weekly",2,"Fortnightly",3,"Monthly",4,"Quarterly",5,"Weekly",1)</f>
        <v>5</v>
      </c>
    </row>
    <row r="2010" spans="1:20" hidden="1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  <c r="S2010" t="str">
        <f t="shared" si="31"/>
        <v>Quarterly</v>
      </c>
      <c r="T2010" cm="1">
        <f t="array" ref="T2010">_xlfn.SWITCH(S2010,"Annually",6,"Bi-Weekly",2,"Fortnightly",3,"Monthly",4,"Quarterly",5,"Weekly",1)</f>
        <v>5</v>
      </c>
    </row>
    <row r="2011" spans="1:20" hidden="1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  <c r="S2011" t="str">
        <f t="shared" si="31"/>
        <v>Bi-Weekly</v>
      </c>
      <c r="T2011" cm="1">
        <f t="array" ref="T2011">_xlfn.SWITCH(S2011,"Annually",6,"Bi-Weekly",2,"Fortnightly",3,"Monthly",4,"Quarterly",5,"Weekly",1)</f>
        <v>2</v>
      </c>
    </row>
    <row r="2012" spans="1:20" hidden="1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  <c r="S2012" t="str">
        <f t="shared" si="31"/>
        <v>Bi-Weekly</v>
      </c>
      <c r="T2012" cm="1">
        <f t="array" ref="T2012">_xlfn.SWITCH(S2012,"Annually",6,"Bi-Weekly",2,"Fortnightly",3,"Monthly",4,"Quarterly",5,"Weekly",1)</f>
        <v>2</v>
      </c>
    </row>
    <row r="2013" spans="1:20" hidden="1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  <c r="S2013" t="str">
        <f t="shared" si="31"/>
        <v>Monthly</v>
      </c>
      <c r="T2013" cm="1">
        <f t="array" ref="T2013">_xlfn.SWITCH(S2013,"Annually",6,"Bi-Weekly",2,"Fortnightly",3,"Monthly",4,"Quarterly",5,"Weekly",1)</f>
        <v>4</v>
      </c>
    </row>
    <row r="2014" spans="1:20" hidden="1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  <c r="S2014" t="str">
        <f t="shared" si="31"/>
        <v>Fortnightly</v>
      </c>
      <c r="T2014" cm="1">
        <f t="array" ref="T2014">_xlfn.SWITCH(S2014,"Annually",6,"Bi-Weekly",2,"Fortnightly",3,"Monthly",4,"Quarterly",5,"Weekly",1)</f>
        <v>3</v>
      </c>
    </row>
    <row r="2015" spans="1:20" hidden="1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  <c r="S2015" t="str">
        <f t="shared" si="31"/>
        <v>Quarterly</v>
      </c>
      <c r="T2015" cm="1">
        <f t="array" ref="T2015">_xlfn.SWITCH(S2015,"Annually",6,"Bi-Weekly",2,"Fortnightly",3,"Monthly",4,"Quarterly",5,"Weekly",1)</f>
        <v>5</v>
      </c>
    </row>
    <row r="2016" spans="1:20" hidden="1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  <c r="S2016" t="str">
        <f t="shared" si="31"/>
        <v>Bi-Weekly</v>
      </c>
      <c r="T2016" cm="1">
        <f t="array" ref="T2016">_xlfn.SWITCH(S2016,"Annually",6,"Bi-Weekly",2,"Fortnightly",3,"Monthly",4,"Quarterly",5,"Weekly",1)</f>
        <v>2</v>
      </c>
    </row>
    <row r="2017" spans="1:20" hidden="1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  <c r="S2017" t="str">
        <f t="shared" si="31"/>
        <v>Fortnightly</v>
      </c>
      <c r="T2017" cm="1">
        <f t="array" ref="T2017">_xlfn.SWITCH(S2017,"Annually",6,"Bi-Weekly",2,"Fortnightly",3,"Monthly",4,"Quarterly",5,"Weekly",1)</f>
        <v>3</v>
      </c>
    </row>
    <row r="2018" spans="1:20" hidden="1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  <c r="S2018" t="str">
        <f t="shared" si="31"/>
        <v>Fortnightly</v>
      </c>
      <c r="T2018" cm="1">
        <f t="array" ref="T2018">_xlfn.SWITCH(S2018,"Annually",6,"Bi-Weekly",2,"Fortnightly",3,"Monthly",4,"Quarterly",5,"Weekly",1)</f>
        <v>3</v>
      </c>
    </row>
    <row r="2019" spans="1:20" hidden="1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  <c r="S2019" t="str">
        <f t="shared" si="31"/>
        <v>Quarterly</v>
      </c>
      <c r="T2019" cm="1">
        <f t="array" ref="T2019">_xlfn.SWITCH(S2019,"Annually",6,"Bi-Weekly",2,"Fortnightly",3,"Monthly",4,"Quarterly",5,"Weekly",1)</f>
        <v>5</v>
      </c>
    </row>
    <row r="2020" spans="1:20" hidden="1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  <c r="S2020" t="str">
        <f t="shared" si="31"/>
        <v>Weekly</v>
      </c>
      <c r="T2020" cm="1">
        <f t="array" ref="T2020">_xlfn.SWITCH(S2020,"Annually",6,"Bi-Weekly",2,"Fortnightly",3,"Monthly",4,"Quarterly",5,"Weekly",1)</f>
        <v>1</v>
      </c>
    </row>
    <row r="2021" spans="1:20" hidden="1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  <c r="S2021" t="str">
        <f t="shared" si="31"/>
        <v>Fortnightly</v>
      </c>
      <c r="T2021" cm="1">
        <f t="array" ref="T2021">_xlfn.SWITCH(S2021,"Annually",6,"Bi-Weekly",2,"Fortnightly",3,"Monthly",4,"Quarterly",5,"Weekly",1)</f>
        <v>3</v>
      </c>
    </row>
    <row r="2022" spans="1:20" hidden="1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  <c r="S2022" t="str">
        <f t="shared" si="31"/>
        <v>Quarterly</v>
      </c>
      <c r="T2022" cm="1">
        <f t="array" ref="T2022">_xlfn.SWITCH(S2022,"Annually",6,"Bi-Weekly",2,"Fortnightly",3,"Monthly",4,"Quarterly",5,"Weekly",1)</f>
        <v>5</v>
      </c>
    </row>
    <row r="2023" spans="1:20" hidden="1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  <c r="S2023" t="str">
        <f t="shared" si="31"/>
        <v>Quarterly</v>
      </c>
      <c r="T2023" cm="1">
        <f t="array" ref="T2023">_xlfn.SWITCH(S2023,"Annually",6,"Bi-Weekly",2,"Fortnightly",3,"Monthly",4,"Quarterly",5,"Weekly",1)</f>
        <v>5</v>
      </c>
    </row>
    <row r="2024" spans="1:20" hidden="1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  <c r="S2024" t="str">
        <f t="shared" si="31"/>
        <v>Bi-Weekly</v>
      </c>
      <c r="T2024" cm="1">
        <f t="array" ref="T2024">_xlfn.SWITCH(S2024,"Annually",6,"Bi-Weekly",2,"Fortnightly",3,"Monthly",4,"Quarterly",5,"Weekly",1)</f>
        <v>2</v>
      </c>
    </row>
    <row r="2025" spans="1:20" hidden="1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  <c r="S2025" t="str">
        <f t="shared" si="31"/>
        <v>Bi-Weekly</v>
      </c>
      <c r="T2025" cm="1">
        <f t="array" ref="T2025">_xlfn.SWITCH(S2025,"Annually",6,"Bi-Weekly",2,"Fortnightly",3,"Monthly",4,"Quarterly",5,"Weekly",1)</f>
        <v>2</v>
      </c>
    </row>
    <row r="2026" spans="1:20" hidden="1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  <c r="S2026" t="str">
        <f t="shared" si="31"/>
        <v>Weekly</v>
      </c>
      <c r="T2026" cm="1">
        <f t="array" ref="T2026">_xlfn.SWITCH(S2026,"Annually",6,"Bi-Weekly",2,"Fortnightly",3,"Monthly",4,"Quarterly",5,"Weekly",1)</f>
        <v>1</v>
      </c>
    </row>
    <row r="2027" spans="1:20" hidden="1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  <c r="S2027" t="str">
        <f t="shared" si="31"/>
        <v>Fortnightly</v>
      </c>
      <c r="T2027" cm="1">
        <f t="array" ref="T2027">_xlfn.SWITCH(S2027,"Annually",6,"Bi-Weekly",2,"Fortnightly",3,"Monthly",4,"Quarterly",5,"Weekly",1)</f>
        <v>3</v>
      </c>
    </row>
    <row r="2028" spans="1:20" hidden="1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  <c r="S2028" t="str">
        <f t="shared" si="31"/>
        <v>Quarterly</v>
      </c>
      <c r="T2028" cm="1">
        <f t="array" ref="T2028">_xlfn.SWITCH(S2028,"Annually",6,"Bi-Weekly",2,"Fortnightly",3,"Monthly",4,"Quarterly",5,"Weekly",1)</f>
        <v>5</v>
      </c>
    </row>
    <row r="2029" spans="1:20" hidden="1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  <c r="S2029" t="str">
        <f t="shared" si="31"/>
        <v>Quarterly</v>
      </c>
      <c r="T2029" cm="1">
        <f t="array" ref="T2029">_xlfn.SWITCH(S2029,"Annually",6,"Bi-Weekly",2,"Fortnightly",3,"Monthly",4,"Quarterly",5,"Weekly",1)</f>
        <v>5</v>
      </c>
    </row>
    <row r="2030" spans="1:20" hidden="1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  <c r="S2030" t="str">
        <f t="shared" si="31"/>
        <v>Bi-Weekly</v>
      </c>
      <c r="T2030" cm="1">
        <f t="array" ref="T2030">_xlfn.SWITCH(S2030,"Annually",6,"Bi-Weekly",2,"Fortnightly",3,"Monthly",4,"Quarterly",5,"Weekly",1)</f>
        <v>2</v>
      </c>
    </row>
    <row r="2031" spans="1:20" hidden="1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  <c r="S2031" t="str">
        <f t="shared" si="31"/>
        <v>Quarterly</v>
      </c>
      <c r="T2031" cm="1">
        <f t="array" ref="T2031">_xlfn.SWITCH(S2031,"Annually",6,"Bi-Weekly",2,"Fortnightly",3,"Monthly",4,"Quarterly",5,"Weekly",1)</f>
        <v>5</v>
      </c>
    </row>
    <row r="2032" spans="1:20" hidden="1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  <c r="S2032" t="str">
        <f t="shared" si="31"/>
        <v>Monthly</v>
      </c>
      <c r="T2032" cm="1">
        <f t="array" ref="T2032">_xlfn.SWITCH(S2032,"Annually",6,"Bi-Weekly",2,"Fortnightly",3,"Monthly",4,"Quarterly",5,"Weekly",1)</f>
        <v>4</v>
      </c>
    </row>
    <row r="2033" spans="1:20" hidden="1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  <c r="S2033" t="str">
        <f t="shared" si="31"/>
        <v>Monthly</v>
      </c>
      <c r="T2033" cm="1">
        <f t="array" ref="T2033">_xlfn.SWITCH(S2033,"Annually",6,"Bi-Weekly",2,"Fortnightly",3,"Monthly",4,"Quarterly",5,"Weekly",1)</f>
        <v>4</v>
      </c>
    </row>
    <row r="2034" spans="1:20" hidden="1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  <c r="S2034" t="str">
        <f t="shared" si="31"/>
        <v>Annually</v>
      </c>
      <c r="T2034" cm="1">
        <f t="array" ref="T2034">_xlfn.SWITCH(S2034,"Annually",6,"Bi-Weekly",2,"Fortnightly",3,"Monthly",4,"Quarterly",5,"Weekly",1)</f>
        <v>6</v>
      </c>
    </row>
    <row r="2035" spans="1:20" hidden="1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  <c r="S2035" t="str">
        <f t="shared" si="31"/>
        <v>Annually</v>
      </c>
      <c r="T2035" cm="1">
        <f t="array" ref="T2035">_xlfn.SWITCH(S2035,"Annually",6,"Bi-Weekly",2,"Fortnightly",3,"Monthly",4,"Quarterly",5,"Weekly",1)</f>
        <v>6</v>
      </c>
    </row>
    <row r="2036" spans="1:20" hidden="1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  <c r="S2036" t="str">
        <f t="shared" si="31"/>
        <v>Monthly</v>
      </c>
      <c r="T2036" cm="1">
        <f t="array" ref="T2036">_xlfn.SWITCH(S2036,"Annually",6,"Bi-Weekly",2,"Fortnightly",3,"Monthly",4,"Quarterly",5,"Weekly",1)</f>
        <v>4</v>
      </c>
    </row>
    <row r="2037" spans="1:20" hidden="1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  <c r="S2037" t="str">
        <f t="shared" si="31"/>
        <v>Weekly</v>
      </c>
      <c r="T2037" cm="1">
        <f t="array" ref="T2037">_xlfn.SWITCH(S2037,"Annually",6,"Bi-Weekly",2,"Fortnightly",3,"Monthly",4,"Quarterly",5,"Weekly",1)</f>
        <v>1</v>
      </c>
    </row>
    <row r="2038" spans="1:20" hidden="1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  <c r="S2038" t="str">
        <f t="shared" si="31"/>
        <v>Weekly</v>
      </c>
      <c r="T2038" cm="1">
        <f t="array" ref="T2038">_xlfn.SWITCH(S2038,"Annually",6,"Bi-Weekly",2,"Fortnightly",3,"Monthly",4,"Quarterly",5,"Weekly",1)</f>
        <v>1</v>
      </c>
    </row>
    <row r="2039" spans="1:20" hidden="1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  <c r="S2039" t="str">
        <f t="shared" si="31"/>
        <v>Bi-Weekly</v>
      </c>
      <c r="T2039" cm="1">
        <f t="array" ref="T2039">_xlfn.SWITCH(S2039,"Annually",6,"Bi-Weekly",2,"Fortnightly",3,"Monthly",4,"Quarterly",5,"Weekly",1)</f>
        <v>2</v>
      </c>
    </row>
    <row r="2040" spans="1:20" hidden="1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  <c r="S2040" t="str">
        <f t="shared" si="31"/>
        <v>Fortnightly</v>
      </c>
      <c r="T2040" cm="1">
        <f t="array" ref="T2040">_xlfn.SWITCH(S2040,"Annually",6,"Bi-Weekly",2,"Fortnightly",3,"Monthly",4,"Quarterly",5,"Weekly",1)</f>
        <v>3</v>
      </c>
    </row>
    <row r="2041" spans="1:20" hidden="1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  <c r="S2041" t="str">
        <f t="shared" si="31"/>
        <v>Bi-Weekly</v>
      </c>
      <c r="T2041" cm="1">
        <f t="array" ref="T2041">_xlfn.SWITCH(S2041,"Annually",6,"Bi-Weekly",2,"Fortnightly",3,"Monthly",4,"Quarterly",5,"Weekly",1)</f>
        <v>2</v>
      </c>
    </row>
    <row r="2042" spans="1:20" hidden="1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  <c r="S2042" t="str">
        <f t="shared" si="31"/>
        <v>Quarterly</v>
      </c>
      <c r="T2042" cm="1">
        <f t="array" ref="T2042">_xlfn.SWITCH(S2042,"Annually",6,"Bi-Weekly",2,"Fortnightly",3,"Monthly",4,"Quarterly",5,"Weekly",1)</f>
        <v>5</v>
      </c>
    </row>
    <row r="2043" spans="1:20" hidden="1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  <c r="S2043" t="str">
        <f t="shared" si="31"/>
        <v>Bi-Weekly</v>
      </c>
      <c r="T2043" cm="1">
        <f t="array" ref="T2043">_xlfn.SWITCH(S2043,"Annually",6,"Bi-Weekly",2,"Fortnightly",3,"Monthly",4,"Quarterly",5,"Weekly",1)</f>
        <v>2</v>
      </c>
    </row>
    <row r="2044" spans="1:20" hidden="1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  <c r="S2044" t="str">
        <f t="shared" si="31"/>
        <v>Monthly</v>
      </c>
      <c r="T2044" cm="1">
        <f t="array" ref="T2044">_xlfn.SWITCH(S2044,"Annually",6,"Bi-Weekly",2,"Fortnightly",3,"Monthly",4,"Quarterly",5,"Weekly",1)</f>
        <v>4</v>
      </c>
    </row>
    <row r="2045" spans="1:20" hidden="1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  <c r="S2045" t="str">
        <f t="shared" si="31"/>
        <v>Weekly</v>
      </c>
      <c r="T2045" cm="1">
        <f t="array" ref="T2045">_xlfn.SWITCH(S2045,"Annually",6,"Bi-Weekly",2,"Fortnightly",3,"Monthly",4,"Quarterly",5,"Weekly",1)</f>
        <v>1</v>
      </c>
    </row>
    <row r="2046" spans="1:20" hidden="1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  <c r="S2046" t="str">
        <f t="shared" si="31"/>
        <v>Fortnightly</v>
      </c>
      <c r="T2046" cm="1">
        <f t="array" ref="T2046">_xlfn.SWITCH(S2046,"Annually",6,"Bi-Weekly",2,"Fortnightly",3,"Monthly",4,"Quarterly",5,"Weekly",1)</f>
        <v>3</v>
      </c>
    </row>
    <row r="2047" spans="1:20" hidden="1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  <c r="S2047" t="str">
        <f t="shared" si="31"/>
        <v>Quarterly</v>
      </c>
      <c r="T2047" cm="1">
        <f t="array" ref="T2047">_xlfn.SWITCH(S2047,"Annually",6,"Bi-Weekly",2,"Fortnightly",3,"Monthly",4,"Quarterly",5,"Weekly",1)</f>
        <v>5</v>
      </c>
    </row>
    <row r="2048" spans="1:20" hidden="1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  <c r="S2048" t="str">
        <f t="shared" si="31"/>
        <v>Quarterly</v>
      </c>
      <c r="T2048" cm="1">
        <f t="array" ref="T2048">_xlfn.SWITCH(S2048,"Annually",6,"Bi-Weekly",2,"Fortnightly",3,"Monthly",4,"Quarterly",5,"Weekly",1)</f>
        <v>5</v>
      </c>
    </row>
    <row r="2049" spans="1:20" hidden="1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  <c r="S2049" t="str">
        <f t="shared" si="31"/>
        <v>Annually</v>
      </c>
      <c r="T2049" cm="1">
        <f t="array" ref="T2049">_xlfn.SWITCH(S2049,"Annually",6,"Bi-Weekly",2,"Fortnightly",3,"Monthly",4,"Quarterly",5,"Weekly",1)</f>
        <v>6</v>
      </c>
    </row>
    <row r="2050" spans="1:20" hidden="1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  <c r="S2050" t="str">
        <f t="shared" si="31"/>
        <v>Quarterly</v>
      </c>
      <c r="T2050" cm="1">
        <f t="array" ref="T2050">_xlfn.SWITCH(S2050,"Annually",6,"Bi-Weekly",2,"Fortnightly",3,"Monthly",4,"Quarterly",5,"Weekly",1)</f>
        <v>5</v>
      </c>
    </row>
    <row r="2051" spans="1:20" hidden="1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  <c r="S2051" t="str">
        <f t="shared" ref="S2051:S2114" si="32">IF(R2051="Every 3 Months","Quarterly",R2051)</f>
        <v>Annually</v>
      </c>
      <c r="T2051" cm="1">
        <f t="array" ref="T2051">_xlfn.SWITCH(S2051,"Annually",6,"Bi-Weekly",2,"Fortnightly",3,"Monthly",4,"Quarterly",5,"Weekly",1)</f>
        <v>6</v>
      </c>
    </row>
    <row r="2052" spans="1:20" hidden="1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  <c r="S2052" t="str">
        <f t="shared" si="32"/>
        <v>Annually</v>
      </c>
      <c r="T2052" cm="1">
        <f t="array" ref="T2052">_xlfn.SWITCH(S2052,"Annually",6,"Bi-Weekly",2,"Fortnightly",3,"Monthly",4,"Quarterly",5,"Weekly",1)</f>
        <v>6</v>
      </c>
    </row>
    <row r="2053" spans="1:20" hidden="1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  <c r="S2053" t="str">
        <f t="shared" si="32"/>
        <v>Monthly</v>
      </c>
      <c r="T2053" cm="1">
        <f t="array" ref="T2053">_xlfn.SWITCH(S2053,"Annually",6,"Bi-Weekly",2,"Fortnightly",3,"Monthly",4,"Quarterly",5,"Weekly",1)</f>
        <v>4</v>
      </c>
    </row>
    <row r="2054" spans="1:20" hidden="1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  <c r="S2054" t="str">
        <f t="shared" si="32"/>
        <v>Annually</v>
      </c>
      <c r="T2054" cm="1">
        <f t="array" ref="T2054">_xlfn.SWITCH(S2054,"Annually",6,"Bi-Weekly",2,"Fortnightly",3,"Monthly",4,"Quarterly",5,"Weekly",1)</f>
        <v>6</v>
      </c>
    </row>
    <row r="2055" spans="1:20" hidden="1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  <c r="S2055" t="str">
        <f t="shared" si="32"/>
        <v>Fortnightly</v>
      </c>
      <c r="T2055" cm="1">
        <f t="array" ref="T2055">_xlfn.SWITCH(S2055,"Annually",6,"Bi-Weekly",2,"Fortnightly",3,"Monthly",4,"Quarterly",5,"Weekly",1)</f>
        <v>3</v>
      </c>
    </row>
    <row r="2056" spans="1:20" hidden="1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  <c r="S2056" t="str">
        <f t="shared" si="32"/>
        <v>Annually</v>
      </c>
      <c r="T2056" cm="1">
        <f t="array" ref="T2056">_xlfn.SWITCH(S2056,"Annually",6,"Bi-Weekly",2,"Fortnightly",3,"Monthly",4,"Quarterly",5,"Weekly",1)</f>
        <v>6</v>
      </c>
    </row>
    <row r="2057" spans="1:20" hidden="1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  <c r="S2057" t="str">
        <f t="shared" si="32"/>
        <v>Weekly</v>
      </c>
      <c r="T2057" cm="1">
        <f t="array" ref="T2057">_xlfn.SWITCH(S2057,"Annually",6,"Bi-Weekly",2,"Fortnightly",3,"Monthly",4,"Quarterly",5,"Weekly",1)</f>
        <v>1</v>
      </c>
    </row>
    <row r="2058" spans="1:20" hidden="1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  <c r="S2058" t="str">
        <f t="shared" si="32"/>
        <v>Monthly</v>
      </c>
      <c r="T2058" cm="1">
        <f t="array" ref="T2058">_xlfn.SWITCH(S2058,"Annually",6,"Bi-Weekly",2,"Fortnightly",3,"Monthly",4,"Quarterly",5,"Weekly",1)</f>
        <v>4</v>
      </c>
    </row>
    <row r="2059" spans="1:20" hidden="1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  <c r="S2059" t="str">
        <f t="shared" si="32"/>
        <v>Quarterly</v>
      </c>
      <c r="T2059" cm="1">
        <f t="array" ref="T2059">_xlfn.SWITCH(S2059,"Annually",6,"Bi-Weekly",2,"Fortnightly",3,"Monthly",4,"Quarterly",5,"Weekly",1)</f>
        <v>5</v>
      </c>
    </row>
    <row r="2060" spans="1:20" hidden="1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  <c r="S2060" t="str">
        <f t="shared" si="32"/>
        <v>Quarterly</v>
      </c>
      <c r="T2060" cm="1">
        <f t="array" ref="T2060">_xlfn.SWITCH(S2060,"Annually",6,"Bi-Weekly",2,"Fortnightly",3,"Monthly",4,"Quarterly",5,"Weekly",1)</f>
        <v>5</v>
      </c>
    </row>
    <row r="2061" spans="1:20" hidden="1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  <c r="S2061" t="str">
        <f t="shared" si="32"/>
        <v>Weekly</v>
      </c>
      <c r="T2061" cm="1">
        <f t="array" ref="T2061">_xlfn.SWITCH(S2061,"Annually",6,"Bi-Weekly",2,"Fortnightly",3,"Monthly",4,"Quarterly",5,"Weekly",1)</f>
        <v>1</v>
      </c>
    </row>
    <row r="2062" spans="1:20" hidden="1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  <c r="S2062" t="str">
        <f t="shared" si="32"/>
        <v>Quarterly</v>
      </c>
      <c r="T2062" cm="1">
        <f t="array" ref="T2062">_xlfn.SWITCH(S2062,"Annually",6,"Bi-Weekly",2,"Fortnightly",3,"Monthly",4,"Quarterly",5,"Weekly",1)</f>
        <v>5</v>
      </c>
    </row>
    <row r="2063" spans="1:20" hidden="1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  <c r="S2063" t="str">
        <f t="shared" si="32"/>
        <v>Annually</v>
      </c>
      <c r="T2063" cm="1">
        <f t="array" ref="T2063">_xlfn.SWITCH(S2063,"Annually",6,"Bi-Weekly",2,"Fortnightly",3,"Monthly",4,"Quarterly",5,"Weekly",1)</f>
        <v>6</v>
      </c>
    </row>
    <row r="2064" spans="1:20" hidden="1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  <c r="S2064" t="str">
        <f t="shared" si="32"/>
        <v>Quarterly</v>
      </c>
      <c r="T2064" cm="1">
        <f t="array" ref="T2064">_xlfn.SWITCH(S2064,"Annually",6,"Bi-Weekly",2,"Fortnightly",3,"Monthly",4,"Quarterly",5,"Weekly",1)</f>
        <v>5</v>
      </c>
    </row>
    <row r="2065" spans="1:20" hidden="1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  <c r="S2065" t="str">
        <f t="shared" si="32"/>
        <v>Monthly</v>
      </c>
      <c r="T2065" cm="1">
        <f t="array" ref="T2065">_xlfn.SWITCH(S2065,"Annually",6,"Bi-Weekly",2,"Fortnightly",3,"Monthly",4,"Quarterly",5,"Weekly",1)</f>
        <v>4</v>
      </c>
    </row>
    <row r="2066" spans="1:20" hidden="1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  <c r="S2066" t="str">
        <f t="shared" si="32"/>
        <v>Monthly</v>
      </c>
      <c r="T2066" cm="1">
        <f t="array" ref="T2066">_xlfn.SWITCH(S2066,"Annually",6,"Bi-Weekly",2,"Fortnightly",3,"Monthly",4,"Quarterly",5,"Weekly",1)</f>
        <v>4</v>
      </c>
    </row>
    <row r="2067" spans="1:20" hidden="1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  <c r="S2067" t="str">
        <f t="shared" si="32"/>
        <v>Bi-Weekly</v>
      </c>
      <c r="T2067" cm="1">
        <f t="array" ref="T2067">_xlfn.SWITCH(S2067,"Annually",6,"Bi-Weekly",2,"Fortnightly",3,"Monthly",4,"Quarterly",5,"Weekly",1)</f>
        <v>2</v>
      </c>
    </row>
    <row r="2068" spans="1:20" hidden="1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  <c r="S2068" t="str">
        <f t="shared" si="32"/>
        <v>Fortnightly</v>
      </c>
      <c r="T2068" cm="1">
        <f t="array" ref="T2068">_xlfn.SWITCH(S2068,"Annually",6,"Bi-Weekly",2,"Fortnightly",3,"Monthly",4,"Quarterly",5,"Weekly",1)</f>
        <v>3</v>
      </c>
    </row>
    <row r="2069" spans="1:20" hidden="1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  <c r="S2069" t="str">
        <f t="shared" si="32"/>
        <v>Fortnightly</v>
      </c>
      <c r="T2069" cm="1">
        <f t="array" ref="T2069">_xlfn.SWITCH(S2069,"Annually",6,"Bi-Weekly",2,"Fortnightly",3,"Monthly",4,"Quarterly",5,"Weekly",1)</f>
        <v>3</v>
      </c>
    </row>
    <row r="2070" spans="1:20" hidden="1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  <c r="S2070" t="str">
        <f t="shared" si="32"/>
        <v>Monthly</v>
      </c>
      <c r="T2070" cm="1">
        <f t="array" ref="T2070">_xlfn.SWITCH(S2070,"Annually",6,"Bi-Weekly",2,"Fortnightly",3,"Monthly",4,"Quarterly",5,"Weekly",1)</f>
        <v>4</v>
      </c>
    </row>
    <row r="2071" spans="1:20" hidden="1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  <c r="S2071" t="str">
        <f t="shared" si="32"/>
        <v>Quarterly</v>
      </c>
      <c r="T2071" cm="1">
        <f t="array" ref="T2071">_xlfn.SWITCH(S2071,"Annually",6,"Bi-Weekly",2,"Fortnightly",3,"Monthly",4,"Quarterly",5,"Weekly",1)</f>
        <v>5</v>
      </c>
    </row>
    <row r="2072" spans="1:20" hidden="1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  <c r="S2072" t="str">
        <f t="shared" si="32"/>
        <v>Monthly</v>
      </c>
      <c r="T2072" cm="1">
        <f t="array" ref="T2072">_xlfn.SWITCH(S2072,"Annually",6,"Bi-Weekly",2,"Fortnightly",3,"Monthly",4,"Quarterly",5,"Weekly",1)</f>
        <v>4</v>
      </c>
    </row>
    <row r="2073" spans="1:20" hidden="1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  <c r="S2073" t="str">
        <f t="shared" si="32"/>
        <v>Quarterly</v>
      </c>
      <c r="T2073" cm="1">
        <f t="array" ref="T2073">_xlfn.SWITCH(S2073,"Annually",6,"Bi-Weekly",2,"Fortnightly",3,"Monthly",4,"Quarterly",5,"Weekly",1)</f>
        <v>5</v>
      </c>
    </row>
    <row r="2074" spans="1:20" hidden="1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  <c r="S2074" t="str">
        <f t="shared" si="32"/>
        <v>Weekly</v>
      </c>
      <c r="T2074" cm="1">
        <f t="array" ref="T2074">_xlfn.SWITCH(S2074,"Annually",6,"Bi-Weekly",2,"Fortnightly",3,"Monthly",4,"Quarterly",5,"Weekly",1)</f>
        <v>1</v>
      </c>
    </row>
    <row r="2075" spans="1:20" hidden="1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  <c r="S2075" t="str">
        <f t="shared" si="32"/>
        <v>Quarterly</v>
      </c>
      <c r="T2075" cm="1">
        <f t="array" ref="T2075">_xlfn.SWITCH(S2075,"Annually",6,"Bi-Weekly",2,"Fortnightly",3,"Monthly",4,"Quarterly",5,"Weekly",1)</f>
        <v>5</v>
      </c>
    </row>
    <row r="2076" spans="1:20" hidden="1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  <c r="S2076" t="str">
        <f t="shared" si="32"/>
        <v>Fortnightly</v>
      </c>
      <c r="T2076" cm="1">
        <f t="array" ref="T2076">_xlfn.SWITCH(S2076,"Annually",6,"Bi-Weekly",2,"Fortnightly",3,"Monthly",4,"Quarterly",5,"Weekly",1)</f>
        <v>3</v>
      </c>
    </row>
    <row r="2077" spans="1:20" hidden="1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  <c r="S2077" t="str">
        <f t="shared" si="32"/>
        <v>Monthly</v>
      </c>
      <c r="T2077" cm="1">
        <f t="array" ref="T2077">_xlfn.SWITCH(S2077,"Annually",6,"Bi-Weekly",2,"Fortnightly",3,"Monthly",4,"Quarterly",5,"Weekly",1)</f>
        <v>4</v>
      </c>
    </row>
    <row r="2078" spans="1:20" hidden="1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  <c r="S2078" t="str">
        <f t="shared" si="32"/>
        <v>Bi-Weekly</v>
      </c>
      <c r="T2078" cm="1">
        <f t="array" ref="T2078">_xlfn.SWITCH(S2078,"Annually",6,"Bi-Weekly",2,"Fortnightly",3,"Monthly",4,"Quarterly",5,"Weekly",1)</f>
        <v>2</v>
      </c>
    </row>
    <row r="2079" spans="1:20" hidden="1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  <c r="S2079" t="str">
        <f t="shared" si="32"/>
        <v>Annually</v>
      </c>
      <c r="T2079" cm="1">
        <f t="array" ref="T2079">_xlfn.SWITCH(S2079,"Annually",6,"Bi-Weekly",2,"Fortnightly",3,"Monthly",4,"Quarterly",5,"Weekly",1)</f>
        <v>6</v>
      </c>
    </row>
    <row r="2080" spans="1:20" hidden="1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  <c r="S2080" t="str">
        <f t="shared" si="32"/>
        <v>Weekly</v>
      </c>
      <c r="T2080" cm="1">
        <f t="array" ref="T2080">_xlfn.SWITCH(S2080,"Annually",6,"Bi-Weekly",2,"Fortnightly",3,"Monthly",4,"Quarterly",5,"Weekly",1)</f>
        <v>1</v>
      </c>
    </row>
    <row r="2081" spans="1:20" hidden="1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  <c r="S2081" t="str">
        <f t="shared" si="32"/>
        <v>Quarterly</v>
      </c>
      <c r="T2081" cm="1">
        <f t="array" ref="T2081">_xlfn.SWITCH(S2081,"Annually",6,"Bi-Weekly",2,"Fortnightly",3,"Monthly",4,"Quarterly",5,"Weekly",1)</f>
        <v>5</v>
      </c>
    </row>
    <row r="2082" spans="1:20" hidden="1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  <c r="S2082" t="str">
        <f t="shared" si="32"/>
        <v>Bi-Weekly</v>
      </c>
      <c r="T2082" cm="1">
        <f t="array" ref="T2082">_xlfn.SWITCH(S2082,"Annually",6,"Bi-Weekly",2,"Fortnightly",3,"Monthly",4,"Quarterly",5,"Weekly",1)</f>
        <v>2</v>
      </c>
    </row>
    <row r="2083" spans="1:20" hidden="1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  <c r="S2083" t="str">
        <f t="shared" si="32"/>
        <v>Bi-Weekly</v>
      </c>
      <c r="T2083" cm="1">
        <f t="array" ref="T2083">_xlfn.SWITCH(S2083,"Annually",6,"Bi-Weekly",2,"Fortnightly",3,"Monthly",4,"Quarterly",5,"Weekly",1)</f>
        <v>2</v>
      </c>
    </row>
    <row r="2084" spans="1:20" hidden="1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  <c r="S2084" t="str">
        <f t="shared" si="32"/>
        <v>Quarterly</v>
      </c>
      <c r="T2084" cm="1">
        <f t="array" ref="T2084">_xlfn.SWITCH(S2084,"Annually",6,"Bi-Weekly",2,"Fortnightly",3,"Monthly",4,"Quarterly",5,"Weekly",1)</f>
        <v>5</v>
      </c>
    </row>
    <row r="2085" spans="1:20" hidden="1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  <c r="S2085" t="str">
        <f t="shared" si="32"/>
        <v>Fortnightly</v>
      </c>
      <c r="T2085" cm="1">
        <f t="array" ref="T2085">_xlfn.SWITCH(S2085,"Annually",6,"Bi-Weekly",2,"Fortnightly",3,"Monthly",4,"Quarterly",5,"Weekly",1)</f>
        <v>3</v>
      </c>
    </row>
    <row r="2086" spans="1:20" hidden="1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  <c r="S2086" t="str">
        <f t="shared" si="32"/>
        <v>Quarterly</v>
      </c>
      <c r="T2086" cm="1">
        <f t="array" ref="T2086">_xlfn.SWITCH(S2086,"Annually",6,"Bi-Weekly",2,"Fortnightly",3,"Monthly",4,"Quarterly",5,"Weekly",1)</f>
        <v>5</v>
      </c>
    </row>
    <row r="2087" spans="1:20" hidden="1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  <c r="S2087" t="str">
        <f t="shared" si="32"/>
        <v>Weekly</v>
      </c>
      <c r="T2087" cm="1">
        <f t="array" ref="T2087">_xlfn.SWITCH(S2087,"Annually",6,"Bi-Weekly",2,"Fortnightly",3,"Monthly",4,"Quarterly",5,"Weekly",1)</f>
        <v>1</v>
      </c>
    </row>
    <row r="2088" spans="1:20" hidden="1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  <c r="S2088" t="str">
        <f t="shared" si="32"/>
        <v>Quarterly</v>
      </c>
      <c r="T2088" cm="1">
        <f t="array" ref="T2088">_xlfn.SWITCH(S2088,"Annually",6,"Bi-Weekly",2,"Fortnightly",3,"Monthly",4,"Quarterly",5,"Weekly",1)</f>
        <v>5</v>
      </c>
    </row>
    <row r="2089" spans="1:20" hidden="1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  <c r="S2089" t="str">
        <f t="shared" si="32"/>
        <v>Weekly</v>
      </c>
      <c r="T2089" cm="1">
        <f t="array" ref="T2089">_xlfn.SWITCH(S2089,"Annually",6,"Bi-Weekly",2,"Fortnightly",3,"Monthly",4,"Quarterly",5,"Weekly",1)</f>
        <v>1</v>
      </c>
    </row>
    <row r="2090" spans="1:20" hidden="1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  <c r="S2090" t="str">
        <f t="shared" si="32"/>
        <v>Annually</v>
      </c>
      <c r="T2090" cm="1">
        <f t="array" ref="T2090">_xlfn.SWITCH(S2090,"Annually",6,"Bi-Weekly",2,"Fortnightly",3,"Monthly",4,"Quarterly",5,"Weekly",1)</f>
        <v>6</v>
      </c>
    </row>
    <row r="2091" spans="1:20" hidden="1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  <c r="S2091" t="str">
        <f t="shared" si="32"/>
        <v>Quarterly</v>
      </c>
      <c r="T2091" cm="1">
        <f t="array" ref="T2091">_xlfn.SWITCH(S2091,"Annually",6,"Bi-Weekly",2,"Fortnightly",3,"Monthly",4,"Quarterly",5,"Weekly",1)</f>
        <v>5</v>
      </c>
    </row>
    <row r="2092" spans="1:20" hidden="1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  <c r="S2092" t="str">
        <f t="shared" si="32"/>
        <v>Monthly</v>
      </c>
      <c r="T2092" cm="1">
        <f t="array" ref="T2092">_xlfn.SWITCH(S2092,"Annually",6,"Bi-Weekly",2,"Fortnightly",3,"Monthly",4,"Quarterly",5,"Weekly",1)</f>
        <v>4</v>
      </c>
    </row>
    <row r="2093" spans="1:20" hidden="1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  <c r="S2093" t="str">
        <f t="shared" si="32"/>
        <v>Quarterly</v>
      </c>
      <c r="T2093" cm="1">
        <f t="array" ref="T2093">_xlfn.SWITCH(S2093,"Annually",6,"Bi-Weekly",2,"Fortnightly",3,"Monthly",4,"Quarterly",5,"Weekly",1)</f>
        <v>5</v>
      </c>
    </row>
    <row r="2094" spans="1:20" hidden="1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  <c r="S2094" t="str">
        <f t="shared" si="32"/>
        <v>Weekly</v>
      </c>
      <c r="T2094" cm="1">
        <f t="array" ref="T2094">_xlfn.SWITCH(S2094,"Annually",6,"Bi-Weekly",2,"Fortnightly",3,"Monthly",4,"Quarterly",5,"Weekly",1)</f>
        <v>1</v>
      </c>
    </row>
    <row r="2095" spans="1:20" hidden="1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  <c r="S2095" t="str">
        <f t="shared" si="32"/>
        <v>Annually</v>
      </c>
      <c r="T2095" cm="1">
        <f t="array" ref="T2095">_xlfn.SWITCH(S2095,"Annually",6,"Bi-Weekly",2,"Fortnightly",3,"Monthly",4,"Quarterly",5,"Weekly",1)</f>
        <v>6</v>
      </c>
    </row>
    <row r="2096" spans="1:20" hidden="1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  <c r="S2096" t="str">
        <f t="shared" si="32"/>
        <v>Annually</v>
      </c>
      <c r="T2096" cm="1">
        <f t="array" ref="T2096">_xlfn.SWITCH(S2096,"Annually",6,"Bi-Weekly",2,"Fortnightly",3,"Monthly",4,"Quarterly",5,"Weekly",1)</f>
        <v>6</v>
      </c>
    </row>
    <row r="2097" spans="1:20" hidden="1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  <c r="S2097" t="str">
        <f t="shared" si="32"/>
        <v>Fortnightly</v>
      </c>
      <c r="T2097" cm="1">
        <f t="array" ref="T2097">_xlfn.SWITCH(S2097,"Annually",6,"Bi-Weekly",2,"Fortnightly",3,"Monthly",4,"Quarterly",5,"Weekly",1)</f>
        <v>3</v>
      </c>
    </row>
    <row r="2098" spans="1:20" hidden="1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  <c r="S2098" t="str">
        <f t="shared" si="32"/>
        <v>Annually</v>
      </c>
      <c r="T2098" cm="1">
        <f t="array" ref="T2098">_xlfn.SWITCH(S2098,"Annually",6,"Bi-Weekly",2,"Fortnightly",3,"Monthly",4,"Quarterly",5,"Weekly",1)</f>
        <v>6</v>
      </c>
    </row>
    <row r="2099" spans="1:20" hidden="1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  <c r="S2099" t="str">
        <f t="shared" si="32"/>
        <v>Weekly</v>
      </c>
      <c r="T2099" cm="1">
        <f t="array" ref="T2099">_xlfn.SWITCH(S2099,"Annually",6,"Bi-Weekly",2,"Fortnightly",3,"Monthly",4,"Quarterly",5,"Weekly",1)</f>
        <v>1</v>
      </c>
    </row>
    <row r="2100" spans="1:20" hidden="1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  <c r="S2100" t="str">
        <f t="shared" si="32"/>
        <v>Quarterly</v>
      </c>
      <c r="T2100" cm="1">
        <f t="array" ref="T2100">_xlfn.SWITCH(S2100,"Annually",6,"Bi-Weekly",2,"Fortnightly",3,"Monthly",4,"Quarterly",5,"Weekly",1)</f>
        <v>5</v>
      </c>
    </row>
    <row r="2101" spans="1:20" hidden="1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  <c r="S2101" t="str">
        <f t="shared" si="32"/>
        <v>Annually</v>
      </c>
      <c r="T2101" cm="1">
        <f t="array" ref="T2101">_xlfn.SWITCH(S2101,"Annually",6,"Bi-Weekly",2,"Fortnightly",3,"Monthly",4,"Quarterly",5,"Weekly",1)</f>
        <v>6</v>
      </c>
    </row>
    <row r="2102" spans="1:20" hidden="1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  <c r="S2102" t="str">
        <f t="shared" si="32"/>
        <v>Fortnightly</v>
      </c>
      <c r="T2102" cm="1">
        <f t="array" ref="T2102">_xlfn.SWITCH(S2102,"Annually",6,"Bi-Weekly",2,"Fortnightly",3,"Monthly",4,"Quarterly",5,"Weekly",1)</f>
        <v>3</v>
      </c>
    </row>
    <row r="2103" spans="1:20" hidden="1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  <c r="S2103" t="str">
        <f t="shared" si="32"/>
        <v>Bi-Weekly</v>
      </c>
      <c r="T2103" cm="1">
        <f t="array" ref="T2103">_xlfn.SWITCH(S2103,"Annually",6,"Bi-Weekly",2,"Fortnightly",3,"Monthly",4,"Quarterly",5,"Weekly",1)</f>
        <v>2</v>
      </c>
    </row>
    <row r="2104" spans="1:20" hidden="1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  <c r="S2104" t="str">
        <f t="shared" si="32"/>
        <v>Monthly</v>
      </c>
      <c r="T2104" cm="1">
        <f t="array" ref="T2104">_xlfn.SWITCH(S2104,"Annually",6,"Bi-Weekly",2,"Fortnightly",3,"Monthly",4,"Quarterly",5,"Weekly",1)</f>
        <v>4</v>
      </c>
    </row>
    <row r="2105" spans="1:20" hidden="1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  <c r="S2105" t="str">
        <f t="shared" si="32"/>
        <v>Weekly</v>
      </c>
      <c r="T2105" cm="1">
        <f t="array" ref="T2105">_xlfn.SWITCH(S2105,"Annually",6,"Bi-Weekly",2,"Fortnightly",3,"Monthly",4,"Quarterly",5,"Weekly",1)</f>
        <v>1</v>
      </c>
    </row>
    <row r="2106" spans="1:20" hidden="1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  <c r="S2106" t="str">
        <f t="shared" si="32"/>
        <v>Weekly</v>
      </c>
      <c r="T2106" cm="1">
        <f t="array" ref="T2106">_xlfn.SWITCH(S2106,"Annually",6,"Bi-Weekly",2,"Fortnightly",3,"Monthly",4,"Quarterly",5,"Weekly",1)</f>
        <v>1</v>
      </c>
    </row>
    <row r="2107" spans="1:20" hidden="1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  <c r="S2107" t="str">
        <f t="shared" si="32"/>
        <v>Bi-Weekly</v>
      </c>
      <c r="T2107" cm="1">
        <f t="array" ref="T2107">_xlfn.SWITCH(S2107,"Annually",6,"Bi-Weekly",2,"Fortnightly",3,"Monthly",4,"Quarterly",5,"Weekly",1)</f>
        <v>2</v>
      </c>
    </row>
    <row r="2108" spans="1:20" hidden="1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  <c r="S2108" t="str">
        <f t="shared" si="32"/>
        <v>Quarterly</v>
      </c>
      <c r="T2108" cm="1">
        <f t="array" ref="T2108">_xlfn.SWITCH(S2108,"Annually",6,"Bi-Weekly",2,"Fortnightly",3,"Monthly",4,"Quarterly",5,"Weekly",1)</f>
        <v>5</v>
      </c>
    </row>
    <row r="2109" spans="1:20" hidden="1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  <c r="S2109" t="str">
        <f t="shared" si="32"/>
        <v>Quarterly</v>
      </c>
      <c r="T2109" cm="1">
        <f t="array" ref="T2109">_xlfn.SWITCH(S2109,"Annually",6,"Bi-Weekly",2,"Fortnightly",3,"Monthly",4,"Quarterly",5,"Weekly",1)</f>
        <v>5</v>
      </c>
    </row>
    <row r="2110" spans="1:20" hidden="1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  <c r="S2110" t="str">
        <f t="shared" si="32"/>
        <v>Quarterly</v>
      </c>
      <c r="T2110" cm="1">
        <f t="array" ref="T2110">_xlfn.SWITCH(S2110,"Annually",6,"Bi-Weekly",2,"Fortnightly",3,"Monthly",4,"Quarterly",5,"Weekly",1)</f>
        <v>5</v>
      </c>
    </row>
    <row r="2111" spans="1:20" hidden="1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  <c r="S2111" t="str">
        <f t="shared" si="32"/>
        <v>Quarterly</v>
      </c>
      <c r="T2111" cm="1">
        <f t="array" ref="T2111">_xlfn.SWITCH(S2111,"Annually",6,"Bi-Weekly",2,"Fortnightly",3,"Monthly",4,"Quarterly",5,"Weekly",1)</f>
        <v>5</v>
      </c>
    </row>
    <row r="2112" spans="1:20" hidden="1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  <c r="S2112" t="str">
        <f t="shared" si="32"/>
        <v>Quarterly</v>
      </c>
      <c r="T2112" cm="1">
        <f t="array" ref="T2112">_xlfn.SWITCH(S2112,"Annually",6,"Bi-Weekly",2,"Fortnightly",3,"Monthly",4,"Quarterly",5,"Weekly",1)</f>
        <v>5</v>
      </c>
    </row>
    <row r="2113" spans="1:20" hidden="1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  <c r="S2113" t="str">
        <f t="shared" si="32"/>
        <v>Annually</v>
      </c>
      <c r="T2113" cm="1">
        <f t="array" ref="T2113">_xlfn.SWITCH(S2113,"Annually",6,"Bi-Weekly",2,"Fortnightly",3,"Monthly",4,"Quarterly",5,"Weekly",1)</f>
        <v>6</v>
      </c>
    </row>
    <row r="2114" spans="1:20" hidden="1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  <c r="S2114" t="str">
        <f t="shared" si="32"/>
        <v>Fortnightly</v>
      </c>
      <c r="T2114" cm="1">
        <f t="array" ref="T2114">_xlfn.SWITCH(S2114,"Annually",6,"Bi-Weekly",2,"Fortnightly",3,"Monthly",4,"Quarterly",5,"Weekly",1)</f>
        <v>3</v>
      </c>
    </row>
    <row r="2115" spans="1:20" hidden="1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  <c r="S2115" t="str">
        <f t="shared" ref="S2115:S2178" si="33">IF(R2115="Every 3 Months","Quarterly",R2115)</f>
        <v>Quarterly</v>
      </c>
      <c r="T2115" cm="1">
        <f t="array" ref="T2115">_xlfn.SWITCH(S2115,"Annually",6,"Bi-Weekly",2,"Fortnightly",3,"Monthly",4,"Quarterly",5,"Weekly",1)</f>
        <v>5</v>
      </c>
    </row>
    <row r="2116" spans="1:20" hidden="1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  <c r="S2116" t="str">
        <f t="shared" si="33"/>
        <v>Annually</v>
      </c>
      <c r="T2116" cm="1">
        <f t="array" ref="T2116">_xlfn.SWITCH(S2116,"Annually",6,"Bi-Weekly",2,"Fortnightly",3,"Monthly",4,"Quarterly",5,"Weekly",1)</f>
        <v>6</v>
      </c>
    </row>
    <row r="2117" spans="1:20" hidden="1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  <c r="S2117" t="str">
        <f t="shared" si="33"/>
        <v>Bi-Weekly</v>
      </c>
      <c r="T2117" cm="1">
        <f t="array" ref="T2117">_xlfn.SWITCH(S2117,"Annually",6,"Bi-Weekly",2,"Fortnightly",3,"Monthly",4,"Quarterly",5,"Weekly",1)</f>
        <v>2</v>
      </c>
    </row>
    <row r="2118" spans="1:20" hidden="1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  <c r="S2118" t="str">
        <f t="shared" si="33"/>
        <v>Bi-Weekly</v>
      </c>
      <c r="T2118" cm="1">
        <f t="array" ref="T2118">_xlfn.SWITCH(S2118,"Annually",6,"Bi-Weekly",2,"Fortnightly",3,"Monthly",4,"Quarterly",5,"Weekly",1)</f>
        <v>2</v>
      </c>
    </row>
    <row r="2119" spans="1:20" hidden="1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  <c r="S2119" t="str">
        <f t="shared" si="33"/>
        <v>Annually</v>
      </c>
      <c r="T2119" cm="1">
        <f t="array" ref="T2119">_xlfn.SWITCH(S2119,"Annually",6,"Bi-Weekly",2,"Fortnightly",3,"Monthly",4,"Quarterly",5,"Weekly",1)</f>
        <v>6</v>
      </c>
    </row>
    <row r="2120" spans="1:20" hidden="1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  <c r="S2120" t="str">
        <f t="shared" si="33"/>
        <v>Quarterly</v>
      </c>
      <c r="T2120" cm="1">
        <f t="array" ref="T2120">_xlfn.SWITCH(S2120,"Annually",6,"Bi-Weekly",2,"Fortnightly",3,"Monthly",4,"Quarterly",5,"Weekly",1)</f>
        <v>5</v>
      </c>
    </row>
    <row r="2121" spans="1:20" hidden="1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  <c r="S2121" t="str">
        <f t="shared" si="33"/>
        <v>Bi-Weekly</v>
      </c>
      <c r="T2121" cm="1">
        <f t="array" ref="T2121">_xlfn.SWITCH(S2121,"Annually",6,"Bi-Weekly",2,"Fortnightly",3,"Monthly",4,"Quarterly",5,"Weekly",1)</f>
        <v>2</v>
      </c>
    </row>
    <row r="2122" spans="1:20" hidden="1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  <c r="S2122" t="str">
        <f t="shared" si="33"/>
        <v>Quarterly</v>
      </c>
      <c r="T2122" cm="1">
        <f t="array" ref="T2122">_xlfn.SWITCH(S2122,"Annually",6,"Bi-Weekly",2,"Fortnightly",3,"Monthly",4,"Quarterly",5,"Weekly",1)</f>
        <v>5</v>
      </c>
    </row>
    <row r="2123" spans="1:20" hidden="1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  <c r="S2123" t="str">
        <f t="shared" si="33"/>
        <v>Monthly</v>
      </c>
      <c r="T2123" cm="1">
        <f t="array" ref="T2123">_xlfn.SWITCH(S2123,"Annually",6,"Bi-Weekly",2,"Fortnightly",3,"Monthly",4,"Quarterly",5,"Weekly",1)</f>
        <v>4</v>
      </c>
    </row>
    <row r="2124" spans="1:20" hidden="1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  <c r="S2124" t="str">
        <f t="shared" si="33"/>
        <v>Weekly</v>
      </c>
      <c r="T2124" cm="1">
        <f t="array" ref="T2124">_xlfn.SWITCH(S2124,"Annually",6,"Bi-Weekly",2,"Fortnightly",3,"Monthly",4,"Quarterly",5,"Weekly",1)</f>
        <v>1</v>
      </c>
    </row>
    <row r="2125" spans="1:20" hidden="1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  <c r="S2125" t="str">
        <f t="shared" si="33"/>
        <v>Bi-Weekly</v>
      </c>
      <c r="T2125" cm="1">
        <f t="array" ref="T2125">_xlfn.SWITCH(S2125,"Annually",6,"Bi-Weekly",2,"Fortnightly",3,"Monthly",4,"Quarterly",5,"Weekly",1)</f>
        <v>2</v>
      </c>
    </row>
    <row r="2126" spans="1:20" hidden="1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  <c r="S2126" t="str">
        <f t="shared" si="33"/>
        <v>Quarterly</v>
      </c>
      <c r="T2126" cm="1">
        <f t="array" ref="T2126">_xlfn.SWITCH(S2126,"Annually",6,"Bi-Weekly",2,"Fortnightly",3,"Monthly",4,"Quarterly",5,"Weekly",1)</f>
        <v>5</v>
      </c>
    </row>
    <row r="2127" spans="1:20" hidden="1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  <c r="S2127" t="str">
        <f t="shared" si="33"/>
        <v>Quarterly</v>
      </c>
      <c r="T2127" cm="1">
        <f t="array" ref="T2127">_xlfn.SWITCH(S2127,"Annually",6,"Bi-Weekly",2,"Fortnightly",3,"Monthly",4,"Quarterly",5,"Weekly",1)</f>
        <v>5</v>
      </c>
    </row>
    <row r="2128" spans="1:20" hidden="1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  <c r="S2128" t="str">
        <f t="shared" si="33"/>
        <v>Monthly</v>
      </c>
      <c r="T2128" cm="1">
        <f t="array" ref="T2128">_xlfn.SWITCH(S2128,"Annually",6,"Bi-Weekly",2,"Fortnightly",3,"Monthly",4,"Quarterly",5,"Weekly",1)</f>
        <v>4</v>
      </c>
    </row>
    <row r="2129" spans="1:20" hidden="1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  <c r="S2129" t="str">
        <f t="shared" si="33"/>
        <v>Weekly</v>
      </c>
      <c r="T2129" cm="1">
        <f t="array" ref="T2129">_xlfn.SWITCH(S2129,"Annually",6,"Bi-Weekly",2,"Fortnightly",3,"Monthly",4,"Quarterly",5,"Weekly",1)</f>
        <v>1</v>
      </c>
    </row>
    <row r="2130" spans="1:20" hidden="1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  <c r="S2130" t="str">
        <f t="shared" si="33"/>
        <v>Weekly</v>
      </c>
      <c r="T2130" cm="1">
        <f t="array" ref="T2130">_xlfn.SWITCH(S2130,"Annually",6,"Bi-Weekly",2,"Fortnightly",3,"Monthly",4,"Quarterly",5,"Weekly",1)</f>
        <v>1</v>
      </c>
    </row>
    <row r="2131" spans="1:20" hidden="1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  <c r="S2131" t="str">
        <f t="shared" si="33"/>
        <v>Quarterly</v>
      </c>
      <c r="T2131" cm="1">
        <f t="array" ref="T2131">_xlfn.SWITCH(S2131,"Annually",6,"Bi-Weekly",2,"Fortnightly",3,"Monthly",4,"Quarterly",5,"Weekly",1)</f>
        <v>5</v>
      </c>
    </row>
    <row r="2132" spans="1:20" hidden="1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  <c r="S2132" t="str">
        <f t="shared" si="33"/>
        <v>Annually</v>
      </c>
      <c r="T2132" cm="1">
        <f t="array" ref="T2132">_xlfn.SWITCH(S2132,"Annually",6,"Bi-Weekly",2,"Fortnightly",3,"Monthly",4,"Quarterly",5,"Weekly",1)</f>
        <v>6</v>
      </c>
    </row>
    <row r="2133" spans="1:20" hidden="1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  <c r="S2133" t="str">
        <f t="shared" si="33"/>
        <v>Fortnightly</v>
      </c>
      <c r="T2133" cm="1">
        <f t="array" ref="T2133">_xlfn.SWITCH(S2133,"Annually",6,"Bi-Weekly",2,"Fortnightly",3,"Monthly",4,"Quarterly",5,"Weekly",1)</f>
        <v>3</v>
      </c>
    </row>
    <row r="2134" spans="1:20" hidden="1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  <c r="S2134" t="str">
        <f t="shared" si="33"/>
        <v>Weekly</v>
      </c>
      <c r="T2134" cm="1">
        <f t="array" ref="T2134">_xlfn.SWITCH(S2134,"Annually",6,"Bi-Weekly",2,"Fortnightly",3,"Monthly",4,"Quarterly",5,"Weekly",1)</f>
        <v>1</v>
      </c>
    </row>
    <row r="2135" spans="1:20" hidden="1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  <c r="S2135" t="str">
        <f t="shared" si="33"/>
        <v>Annually</v>
      </c>
      <c r="T2135" cm="1">
        <f t="array" ref="T2135">_xlfn.SWITCH(S2135,"Annually",6,"Bi-Weekly",2,"Fortnightly",3,"Monthly",4,"Quarterly",5,"Weekly",1)</f>
        <v>6</v>
      </c>
    </row>
    <row r="2136" spans="1:20" hidden="1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  <c r="S2136" t="str">
        <f t="shared" si="33"/>
        <v>Fortnightly</v>
      </c>
      <c r="T2136" cm="1">
        <f t="array" ref="T2136">_xlfn.SWITCH(S2136,"Annually",6,"Bi-Weekly",2,"Fortnightly",3,"Monthly",4,"Quarterly",5,"Weekly",1)</f>
        <v>3</v>
      </c>
    </row>
    <row r="2137" spans="1:20" hidden="1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  <c r="S2137" t="str">
        <f t="shared" si="33"/>
        <v>Quarterly</v>
      </c>
      <c r="T2137" cm="1">
        <f t="array" ref="T2137">_xlfn.SWITCH(S2137,"Annually",6,"Bi-Weekly",2,"Fortnightly",3,"Monthly",4,"Quarterly",5,"Weekly",1)</f>
        <v>5</v>
      </c>
    </row>
    <row r="2138" spans="1:20" hidden="1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  <c r="S2138" t="str">
        <f t="shared" si="33"/>
        <v>Fortnightly</v>
      </c>
      <c r="T2138" cm="1">
        <f t="array" ref="T2138">_xlfn.SWITCH(S2138,"Annually",6,"Bi-Weekly",2,"Fortnightly",3,"Monthly",4,"Quarterly",5,"Weekly",1)</f>
        <v>3</v>
      </c>
    </row>
    <row r="2139" spans="1:20" hidden="1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  <c r="S2139" t="str">
        <f t="shared" si="33"/>
        <v>Quarterly</v>
      </c>
      <c r="T2139" cm="1">
        <f t="array" ref="T2139">_xlfn.SWITCH(S2139,"Annually",6,"Bi-Weekly",2,"Fortnightly",3,"Monthly",4,"Quarterly",5,"Weekly",1)</f>
        <v>5</v>
      </c>
    </row>
    <row r="2140" spans="1:20" hidden="1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  <c r="S2140" t="str">
        <f t="shared" si="33"/>
        <v>Quarterly</v>
      </c>
      <c r="T2140" cm="1">
        <f t="array" ref="T2140">_xlfn.SWITCH(S2140,"Annually",6,"Bi-Weekly",2,"Fortnightly",3,"Monthly",4,"Quarterly",5,"Weekly",1)</f>
        <v>5</v>
      </c>
    </row>
    <row r="2141" spans="1:20" hidden="1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  <c r="S2141" t="str">
        <f t="shared" si="33"/>
        <v>Weekly</v>
      </c>
      <c r="T2141" cm="1">
        <f t="array" ref="T2141">_xlfn.SWITCH(S2141,"Annually",6,"Bi-Weekly",2,"Fortnightly",3,"Monthly",4,"Quarterly",5,"Weekly",1)</f>
        <v>1</v>
      </c>
    </row>
    <row r="2142" spans="1:20" hidden="1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  <c r="S2142" t="str">
        <f t="shared" si="33"/>
        <v>Fortnightly</v>
      </c>
      <c r="T2142" cm="1">
        <f t="array" ref="T2142">_xlfn.SWITCH(S2142,"Annually",6,"Bi-Weekly",2,"Fortnightly",3,"Monthly",4,"Quarterly",5,"Weekly",1)</f>
        <v>3</v>
      </c>
    </row>
    <row r="2143" spans="1:20" hidden="1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  <c r="S2143" t="str">
        <f t="shared" si="33"/>
        <v>Annually</v>
      </c>
      <c r="T2143" cm="1">
        <f t="array" ref="T2143">_xlfn.SWITCH(S2143,"Annually",6,"Bi-Weekly",2,"Fortnightly",3,"Monthly",4,"Quarterly",5,"Weekly",1)</f>
        <v>6</v>
      </c>
    </row>
    <row r="2144" spans="1:20" hidden="1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  <c r="S2144" t="str">
        <f t="shared" si="33"/>
        <v>Quarterly</v>
      </c>
      <c r="T2144" cm="1">
        <f t="array" ref="T2144">_xlfn.SWITCH(S2144,"Annually",6,"Bi-Weekly",2,"Fortnightly",3,"Monthly",4,"Quarterly",5,"Weekly",1)</f>
        <v>5</v>
      </c>
    </row>
    <row r="2145" spans="1:20" hidden="1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  <c r="S2145" t="str">
        <f t="shared" si="33"/>
        <v>Bi-Weekly</v>
      </c>
      <c r="T2145" cm="1">
        <f t="array" ref="T2145">_xlfn.SWITCH(S2145,"Annually",6,"Bi-Weekly",2,"Fortnightly",3,"Monthly",4,"Quarterly",5,"Weekly",1)</f>
        <v>2</v>
      </c>
    </row>
    <row r="2146" spans="1:20" hidden="1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  <c r="S2146" t="str">
        <f t="shared" si="33"/>
        <v>Quarterly</v>
      </c>
      <c r="T2146" cm="1">
        <f t="array" ref="T2146">_xlfn.SWITCH(S2146,"Annually",6,"Bi-Weekly",2,"Fortnightly",3,"Monthly",4,"Quarterly",5,"Weekly",1)</f>
        <v>5</v>
      </c>
    </row>
    <row r="2147" spans="1:20" hidden="1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  <c r="S2147" t="str">
        <f t="shared" si="33"/>
        <v>Annually</v>
      </c>
      <c r="T2147" cm="1">
        <f t="array" ref="T2147">_xlfn.SWITCH(S2147,"Annually",6,"Bi-Weekly",2,"Fortnightly",3,"Monthly",4,"Quarterly",5,"Weekly",1)</f>
        <v>6</v>
      </c>
    </row>
    <row r="2148" spans="1:20" hidden="1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  <c r="S2148" t="str">
        <f t="shared" si="33"/>
        <v>Quarterly</v>
      </c>
      <c r="T2148" cm="1">
        <f t="array" ref="T2148">_xlfn.SWITCH(S2148,"Annually",6,"Bi-Weekly",2,"Fortnightly",3,"Monthly",4,"Quarterly",5,"Weekly",1)</f>
        <v>5</v>
      </c>
    </row>
    <row r="2149" spans="1:20" hidden="1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  <c r="S2149" t="str">
        <f t="shared" si="33"/>
        <v>Fortnightly</v>
      </c>
      <c r="T2149" cm="1">
        <f t="array" ref="T2149">_xlfn.SWITCH(S2149,"Annually",6,"Bi-Weekly",2,"Fortnightly",3,"Monthly",4,"Quarterly",5,"Weekly",1)</f>
        <v>3</v>
      </c>
    </row>
    <row r="2150" spans="1:20" hidden="1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  <c r="S2150" t="str">
        <f t="shared" si="33"/>
        <v>Bi-Weekly</v>
      </c>
      <c r="T2150" cm="1">
        <f t="array" ref="T2150">_xlfn.SWITCH(S2150,"Annually",6,"Bi-Weekly",2,"Fortnightly",3,"Monthly",4,"Quarterly",5,"Weekly",1)</f>
        <v>2</v>
      </c>
    </row>
    <row r="2151" spans="1:20" hidden="1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  <c r="S2151" t="str">
        <f t="shared" si="33"/>
        <v>Weekly</v>
      </c>
      <c r="T2151" cm="1">
        <f t="array" ref="T2151">_xlfn.SWITCH(S2151,"Annually",6,"Bi-Weekly",2,"Fortnightly",3,"Monthly",4,"Quarterly",5,"Weekly",1)</f>
        <v>1</v>
      </c>
    </row>
    <row r="2152" spans="1:20" hidden="1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  <c r="S2152" t="str">
        <f t="shared" si="33"/>
        <v>Weekly</v>
      </c>
      <c r="T2152" cm="1">
        <f t="array" ref="T2152">_xlfn.SWITCH(S2152,"Annually",6,"Bi-Weekly",2,"Fortnightly",3,"Monthly",4,"Quarterly",5,"Weekly",1)</f>
        <v>1</v>
      </c>
    </row>
    <row r="2153" spans="1:20" hidden="1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  <c r="S2153" t="str">
        <f t="shared" si="33"/>
        <v>Monthly</v>
      </c>
      <c r="T2153" cm="1">
        <f t="array" ref="T2153">_xlfn.SWITCH(S2153,"Annually",6,"Bi-Weekly",2,"Fortnightly",3,"Monthly",4,"Quarterly",5,"Weekly",1)</f>
        <v>4</v>
      </c>
    </row>
    <row r="2154" spans="1:20" hidden="1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  <c r="S2154" t="str">
        <f t="shared" si="33"/>
        <v>Bi-Weekly</v>
      </c>
      <c r="T2154" cm="1">
        <f t="array" ref="T2154">_xlfn.SWITCH(S2154,"Annually",6,"Bi-Weekly",2,"Fortnightly",3,"Monthly",4,"Quarterly",5,"Weekly",1)</f>
        <v>2</v>
      </c>
    </row>
    <row r="2155" spans="1:20" hidden="1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  <c r="S2155" t="str">
        <f t="shared" si="33"/>
        <v>Annually</v>
      </c>
      <c r="T2155" cm="1">
        <f t="array" ref="T2155">_xlfn.SWITCH(S2155,"Annually",6,"Bi-Weekly",2,"Fortnightly",3,"Monthly",4,"Quarterly",5,"Weekly",1)</f>
        <v>6</v>
      </c>
    </row>
    <row r="2156" spans="1:20" hidden="1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  <c r="S2156" t="str">
        <f t="shared" si="33"/>
        <v>Quarterly</v>
      </c>
      <c r="T2156" cm="1">
        <f t="array" ref="T2156">_xlfn.SWITCH(S2156,"Annually",6,"Bi-Weekly",2,"Fortnightly",3,"Monthly",4,"Quarterly",5,"Weekly",1)</f>
        <v>5</v>
      </c>
    </row>
    <row r="2157" spans="1:20" hidden="1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  <c r="S2157" t="str">
        <f t="shared" si="33"/>
        <v>Monthly</v>
      </c>
      <c r="T2157" cm="1">
        <f t="array" ref="T2157">_xlfn.SWITCH(S2157,"Annually",6,"Bi-Weekly",2,"Fortnightly",3,"Monthly",4,"Quarterly",5,"Weekly",1)</f>
        <v>4</v>
      </c>
    </row>
    <row r="2158" spans="1:20" hidden="1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  <c r="S2158" t="str">
        <f t="shared" si="33"/>
        <v>Bi-Weekly</v>
      </c>
      <c r="T2158" cm="1">
        <f t="array" ref="T2158">_xlfn.SWITCH(S2158,"Annually",6,"Bi-Weekly",2,"Fortnightly",3,"Monthly",4,"Quarterly",5,"Weekly",1)</f>
        <v>2</v>
      </c>
    </row>
    <row r="2159" spans="1:20" hidden="1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  <c r="S2159" t="str">
        <f t="shared" si="33"/>
        <v>Fortnightly</v>
      </c>
      <c r="T2159" cm="1">
        <f t="array" ref="T2159">_xlfn.SWITCH(S2159,"Annually",6,"Bi-Weekly",2,"Fortnightly",3,"Monthly",4,"Quarterly",5,"Weekly",1)</f>
        <v>3</v>
      </c>
    </row>
    <row r="2160" spans="1:20" hidden="1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  <c r="S2160" t="str">
        <f t="shared" si="33"/>
        <v>Fortnightly</v>
      </c>
      <c r="T2160" cm="1">
        <f t="array" ref="T2160">_xlfn.SWITCH(S2160,"Annually",6,"Bi-Weekly",2,"Fortnightly",3,"Monthly",4,"Quarterly",5,"Weekly",1)</f>
        <v>3</v>
      </c>
    </row>
    <row r="2161" spans="1:20" hidden="1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  <c r="S2161" t="str">
        <f t="shared" si="33"/>
        <v>Annually</v>
      </c>
      <c r="T2161" cm="1">
        <f t="array" ref="T2161">_xlfn.SWITCH(S2161,"Annually",6,"Bi-Weekly",2,"Fortnightly",3,"Monthly",4,"Quarterly",5,"Weekly",1)</f>
        <v>6</v>
      </c>
    </row>
    <row r="2162" spans="1:20" hidden="1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  <c r="S2162" t="str">
        <f t="shared" si="33"/>
        <v>Annually</v>
      </c>
      <c r="T2162" cm="1">
        <f t="array" ref="T2162">_xlfn.SWITCH(S2162,"Annually",6,"Bi-Weekly",2,"Fortnightly",3,"Monthly",4,"Quarterly",5,"Weekly",1)</f>
        <v>6</v>
      </c>
    </row>
    <row r="2163" spans="1:20" hidden="1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  <c r="S2163" t="str">
        <f t="shared" si="33"/>
        <v>Fortnightly</v>
      </c>
      <c r="T2163" cm="1">
        <f t="array" ref="T2163">_xlfn.SWITCH(S2163,"Annually",6,"Bi-Weekly",2,"Fortnightly",3,"Monthly",4,"Quarterly",5,"Weekly",1)</f>
        <v>3</v>
      </c>
    </row>
    <row r="2164" spans="1:20" hidden="1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  <c r="S2164" t="str">
        <f t="shared" si="33"/>
        <v>Weekly</v>
      </c>
      <c r="T2164" cm="1">
        <f t="array" ref="T2164">_xlfn.SWITCH(S2164,"Annually",6,"Bi-Weekly",2,"Fortnightly",3,"Monthly",4,"Quarterly",5,"Weekly",1)</f>
        <v>1</v>
      </c>
    </row>
    <row r="2165" spans="1:20" hidden="1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  <c r="S2165" t="str">
        <f t="shared" si="33"/>
        <v>Monthly</v>
      </c>
      <c r="T2165" cm="1">
        <f t="array" ref="T2165">_xlfn.SWITCH(S2165,"Annually",6,"Bi-Weekly",2,"Fortnightly",3,"Monthly",4,"Quarterly",5,"Weekly",1)</f>
        <v>4</v>
      </c>
    </row>
    <row r="2166" spans="1:20" hidden="1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  <c r="S2166" t="str">
        <f t="shared" si="33"/>
        <v>Bi-Weekly</v>
      </c>
      <c r="T2166" cm="1">
        <f t="array" ref="T2166">_xlfn.SWITCH(S2166,"Annually",6,"Bi-Weekly",2,"Fortnightly",3,"Monthly",4,"Quarterly",5,"Weekly",1)</f>
        <v>2</v>
      </c>
    </row>
    <row r="2167" spans="1:20" hidden="1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  <c r="S2167" t="str">
        <f t="shared" si="33"/>
        <v>Quarterly</v>
      </c>
      <c r="T2167" cm="1">
        <f t="array" ref="T2167">_xlfn.SWITCH(S2167,"Annually",6,"Bi-Weekly",2,"Fortnightly",3,"Monthly",4,"Quarterly",5,"Weekly",1)</f>
        <v>5</v>
      </c>
    </row>
    <row r="2168" spans="1:20" hidden="1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  <c r="S2168" t="str">
        <f t="shared" si="33"/>
        <v>Bi-Weekly</v>
      </c>
      <c r="T2168" cm="1">
        <f t="array" ref="T2168">_xlfn.SWITCH(S2168,"Annually",6,"Bi-Weekly",2,"Fortnightly",3,"Monthly",4,"Quarterly",5,"Weekly",1)</f>
        <v>2</v>
      </c>
    </row>
    <row r="2169" spans="1:20" hidden="1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  <c r="S2169" t="str">
        <f t="shared" si="33"/>
        <v>Fortnightly</v>
      </c>
      <c r="T2169" cm="1">
        <f t="array" ref="T2169">_xlfn.SWITCH(S2169,"Annually",6,"Bi-Weekly",2,"Fortnightly",3,"Monthly",4,"Quarterly",5,"Weekly",1)</f>
        <v>3</v>
      </c>
    </row>
    <row r="2170" spans="1:20" hidden="1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  <c r="S2170" t="str">
        <f t="shared" si="33"/>
        <v>Quarterly</v>
      </c>
      <c r="T2170" cm="1">
        <f t="array" ref="T2170">_xlfn.SWITCH(S2170,"Annually",6,"Bi-Weekly",2,"Fortnightly",3,"Monthly",4,"Quarterly",5,"Weekly",1)</f>
        <v>5</v>
      </c>
    </row>
    <row r="2171" spans="1:20" hidden="1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  <c r="S2171" t="str">
        <f t="shared" si="33"/>
        <v>Bi-Weekly</v>
      </c>
      <c r="T2171" cm="1">
        <f t="array" ref="T2171">_xlfn.SWITCH(S2171,"Annually",6,"Bi-Weekly",2,"Fortnightly",3,"Monthly",4,"Quarterly",5,"Weekly",1)</f>
        <v>2</v>
      </c>
    </row>
    <row r="2172" spans="1:20" hidden="1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  <c r="S2172" t="str">
        <f t="shared" si="33"/>
        <v>Quarterly</v>
      </c>
      <c r="T2172" cm="1">
        <f t="array" ref="T2172">_xlfn.SWITCH(S2172,"Annually",6,"Bi-Weekly",2,"Fortnightly",3,"Monthly",4,"Quarterly",5,"Weekly",1)</f>
        <v>5</v>
      </c>
    </row>
    <row r="2173" spans="1:20" hidden="1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  <c r="S2173" t="str">
        <f t="shared" si="33"/>
        <v>Fortnightly</v>
      </c>
      <c r="T2173" cm="1">
        <f t="array" ref="T2173">_xlfn.SWITCH(S2173,"Annually",6,"Bi-Weekly",2,"Fortnightly",3,"Monthly",4,"Quarterly",5,"Weekly",1)</f>
        <v>3</v>
      </c>
    </row>
    <row r="2174" spans="1:20" hidden="1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  <c r="S2174" t="str">
        <f t="shared" si="33"/>
        <v>Fortnightly</v>
      </c>
      <c r="T2174" cm="1">
        <f t="array" ref="T2174">_xlfn.SWITCH(S2174,"Annually",6,"Bi-Weekly",2,"Fortnightly",3,"Monthly",4,"Quarterly",5,"Weekly",1)</f>
        <v>3</v>
      </c>
    </row>
    <row r="2175" spans="1:20" hidden="1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  <c r="S2175" t="str">
        <f t="shared" si="33"/>
        <v>Quarterly</v>
      </c>
      <c r="T2175" cm="1">
        <f t="array" ref="T2175">_xlfn.SWITCH(S2175,"Annually",6,"Bi-Weekly",2,"Fortnightly",3,"Monthly",4,"Quarterly",5,"Weekly",1)</f>
        <v>5</v>
      </c>
    </row>
    <row r="2176" spans="1:20" hidden="1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  <c r="S2176" t="str">
        <f t="shared" si="33"/>
        <v>Annually</v>
      </c>
      <c r="T2176" cm="1">
        <f t="array" ref="T2176">_xlfn.SWITCH(S2176,"Annually",6,"Bi-Weekly",2,"Fortnightly",3,"Monthly",4,"Quarterly",5,"Weekly",1)</f>
        <v>6</v>
      </c>
    </row>
    <row r="2177" spans="1:20" hidden="1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  <c r="S2177" t="str">
        <f t="shared" si="33"/>
        <v>Fortnightly</v>
      </c>
      <c r="T2177" cm="1">
        <f t="array" ref="T2177">_xlfn.SWITCH(S2177,"Annually",6,"Bi-Weekly",2,"Fortnightly",3,"Monthly",4,"Quarterly",5,"Weekly",1)</f>
        <v>3</v>
      </c>
    </row>
    <row r="2178" spans="1:20" hidden="1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  <c r="S2178" t="str">
        <f t="shared" si="33"/>
        <v>Quarterly</v>
      </c>
      <c r="T2178" cm="1">
        <f t="array" ref="T2178">_xlfn.SWITCH(S2178,"Annually",6,"Bi-Weekly",2,"Fortnightly",3,"Monthly",4,"Quarterly",5,"Weekly",1)</f>
        <v>5</v>
      </c>
    </row>
    <row r="2179" spans="1:20" hidden="1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  <c r="S2179" t="str">
        <f t="shared" ref="S2179:S2242" si="34">IF(R2179="Every 3 Months","Quarterly",R2179)</f>
        <v>Bi-Weekly</v>
      </c>
      <c r="T2179" cm="1">
        <f t="array" ref="T2179">_xlfn.SWITCH(S2179,"Annually",6,"Bi-Weekly",2,"Fortnightly",3,"Monthly",4,"Quarterly",5,"Weekly",1)</f>
        <v>2</v>
      </c>
    </row>
    <row r="2180" spans="1:20" hidden="1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  <c r="S2180" t="str">
        <f t="shared" si="34"/>
        <v>Annually</v>
      </c>
      <c r="T2180" cm="1">
        <f t="array" ref="T2180">_xlfn.SWITCH(S2180,"Annually",6,"Bi-Weekly",2,"Fortnightly",3,"Monthly",4,"Quarterly",5,"Weekly",1)</f>
        <v>6</v>
      </c>
    </row>
    <row r="2181" spans="1:20" hidden="1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  <c r="S2181" t="str">
        <f t="shared" si="34"/>
        <v>Monthly</v>
      </c>
      <c r="T2181" cm="1">
        <f t="array" ref="T2181">_xlfn.SWITCH(S2181,"Annually",6,"Bi-Weekly",2,"Fortnightly",3,"Monthly",4,"Quarterly",5,"Weekly",1)</f>
        <v>4</v>
      </c>
    </row>
    <row r="2182" spans="1:20" hidden="1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  <c r="S2182" t="str">
        <f t="shared" si="34"/>
        <v>Quarterly</v>
      </c>
      <c r="T2182" cm="1">
        <f t="array" ref="T2182">_xlfn.SWITCH(S2182,"Annually",6,"Bi-Weekly",2,"Fortnightly",3,"Monthly",4,"Quarterly",5,"Weekly",1)</f>
        <v>5</v>
      </c>
    </row>
    <row r="2183" spans="1:20" hidden="1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  <c r="S2183" t="str">
        <f t="shared" si="34"/>
        <v>Bi-Weekly</v>
      </c>
      <c r="T2183" cm="1">
        <f t="array" ref="T2183">_xlfn.SWITCH(S2183,"Annually",6,"Bi-Weekly",2,"Fortnightly",3,"Monthly",4,"Quarterly",5,"Weekly",1)</f>
        <v>2</v>
      </c>
    </row>
    <row r="2184" spans="1:20" hidden="1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  <c r="S2184" t="str">
        <f t="shared" si="34"/>
        <v>Bi-Weekly</v>
      </c>
      <c r="T2184" cm="1">
        <f t="array" ref="T2184">_xlfn.SWITCH(S2184,"Annually",6,"Bi-Weekly",2,"Fortnightly",3,"Monthly",4,"Quarterly",5,"Weekly",1)</f>
        <v>2</v>
      </c>
    </row>
    <row r="2185" spans="1:20" hidden="1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  <c r="S2185" t="str">
        <f t="shared" si="34"/>
        <v>Monthly</v>
      </c>
      <c r="T2185" cm="1">
        <f t="array" ref="T2185">_xlfn.SWITCH(S2185,"Annually",6,"Bi-Weekly",2,"Fortnightly",3,"Monthly",4,"Quarterly",5,"Weekly",1)</f>
        <v>4</v>
      </c>
    </row>
    <row r="2186" spans="1:20" hidden="1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  <c r="S2186" t="str">
        <f t="shared" si="34"/>
        <v>Quarterly</v>
      </c>
      <c r="T2186" cm="1">
        <f t="array" ref="T2186">_xlfn.SWITCH(S2186,"Annually",6,"Bi-Weekly",2,"Fortnightly",3,"Monthly",4,"Quarterly",5,"Weekly",1)</f>
        <v>5</v>
      </c>
    </row>
    <row r="2187" spans="1:20" hidden="1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  <c r="S2187" t="str">
        <f t="shared" si="34"/>
        <v>Quarterly</v>
      </c>
      <c r="T2187" cm="1">
        <f t="array" ref="T2187">_xlfn.SWITCH(S2187,"Annually",6,"Bi-Weekly",2,"Fortnightly",3,"Monthly",4,"Quarterly",5,"Weekly",1)</f>
        <v>5</v>
      </c>
    </row>
    <row r="2188" spans="1:20" hidden="1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  <c r="S2188" t="str">
        <f t="shared" si="34"/>
        <v>Quarterly</v>
      </c>
      <c r="T2188" cm="1">
        <f t="array" ref="T2188">_xlfn.SWITCH(S2188,"Annually",6,"Bi-Weekly",2,"Fortnightly",3,"Monthly",4,"Quarterly",5,"Weekly",1)</f>
        <v>5</v>
      </c>
    </row>
    <row r="2189" spans="1:20" hidden="1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  <c r="S2189" t="str">
        <f t="shared" si="34"/>
        <v>Annually</v>
      </c>
      <c r="T2189" cm="1">
        <f t="array" ref="T2189">_xlfn.SWITCH(S2189,"Annually",6,"Bi-Weekly",2,"Fortnightly",3,"Monthly",4,"Quarterly",5,"Weekly",1)</f>
        <v>6</v>
      </c>
    </row>
    <row r="2190" spans="1:20" hidden="1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  <c r="S2190" t="str">
        <f t="shared" si="34"/>
        <v>Weekly</v>
      </c>
      <c r="T2190" cm="1">
        <f t="array" ref="T2190">_xlfn.SWITCH(S2190,"Annually",6,"Bi-Weekly",2,"Fortnightly",3,"Monthly",4,"Quarterly",5,"Weekly",1)</f>
        <v>1</v>
      </c>
    </row>
    <row r="2191" spans="1:20" hidden="1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  <c r="S2191" t="str">
        <f t="shared" si="34"/>
        <v>Bi-Weekly</v>
      </c>
      <c r="T2191" cm="1">
        <f t="array" ref="T2191">_xlfn.SWITCH(S2191,"Annually",6,"Bi-Weekly",2,"Fortnightly",3,"Monthly",4,"Quarterly",5,"Weekly",1)</f>
        <v>2</v>
      </c>
    </row>
    <row r="2192" spans="1:20" hidden="1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  <c r="S2192" t="str">
        <f t="shared" si="34"/>
        <v>Annually</v>
      </c>
      <c r="T2192" cm="1">
        <f t="array" ref="T2192">_xlfn.SWITCH(S2192,"Annually",6,"Bi-Weekly",2,"Fortnightly",3,"Monthly",4,"Quarterly",5,"Weekly",1)</f>
        <v>6</v>
      </c>
    </row>
    <row r="2193" spans="1:20" hidden="1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  <c r="S2193" t="str">
        <f t="shared" si="34"/>
        <v>Bi-Weekly</v>
      </c>
      <c r="T2193" cm="1">
        <f t="array" ref="T2193">_xlfn.SWITCH(S2193,"Annually",6,"Bi-Weekly",2,"Fortnightly",3,"Monthly",4,"Quarterly",5,"Weekly",1)</f>
        <v>2</v>
      </c>
    </row>
    <row r="2194" spans="1:20" hidden="1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  <c r="S2194" t="str">
        <f t="shared" si="34"/>
        <v>Monthly</v>
      </c>
      <c r="T2194" cm="1">
        <f t="array" ref="T2194">_xlfn.SWITCH(S2194,"Annually",6,"Bi-Weekly",2,"Fortnightly",3,"Monthly",4,"Quarterly",5,"Weekly",1)</f>
        <v>4</v>
      </c>
    </row>
    <row r="2195" spans="1:20" hidden="1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  <c r="S2195" t="str">
        <f t="shared" si="34"/>
        <v>Monthly</v>
      </c>
      <c r="T2195" cm="1">
        <f t="array" ref="T2195">_xlfn.SWITCH(S2195,"Annually",6,"Bi-Weekly",2,"Fortnightly",3,"Monthly",4,"Quarterly",5,"Weekly",1)</f>
        <v>4</v>
      </c>
    </row>
    <row r="2196" spans="1:20" hidden="1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  <c r="S2196" t="str">
        <f t="shared" si="34"/>
        <v>Quarterly</v>
      </c>
      <c r="T2196" cm="1">
        <f t="array" ref="T2196">_xlfn.SWITCH(S2196,"Annually",6,"Bi-Weekly",2,"Fortnightly",3,"Monthly",4,"Quarterly",5,"Weekly",1)</f>
        <v>5</v>
      </c>
    </row>
    <row r="2197" spans="1:20" hidden="1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  <c r="S2197" t="str">
        <f t="shared" si="34"/>
        <v>Monthly</v>
      </c>
      <c r="T2197" cm="1">
        <f t="array" ref="T2197">_xlfn.SWITCH(S2197,"Annually",6,"Bi-Weekly",2,"Fortnightly",3,"Monthly",4,"Quarterly",5,"Weekly",1)</f>
        <v>4</v>
      </c>
    </row>
    <row r="2198" spans="1:20" hidden="1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  <c r="S2198" t="str">
        <f t="shared" si="34"/>
        <v>Weekly</v>
      </c>
      <c r="T2198" cm="1">
        <f t="array" ref="T2198">_xlfn.SWITCH(S2198,"Annually",6,"Bi-Weekly",2,"Fortnightly",3,"Monthly",4,"Quarterly",5,"Weekly",1)</f>
        <v>1</v>
      </c>
    </row>
    <row r="2199" spans="1:20" hidden="1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  <c r="S2199" t="str">
        <f t="shared" si="34"/>
        <v>Monthly</v>
      </c>
      <c r="T2199" cm="1">
        <f t="array" ref="T2199">_xlfn.SWITCH(S2199,"Annually",6,"Bi-Weekly",2,"Fortnightly",3,"Monthly",4,"Quarterly",5,"Weekly",1)</f>
        <v>4</v>
      </c>
    </row>
    <row r="2200" spans="1:20" hidden="1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  <c r="S2200" t="str">
        <f t="shared" si="34"/>
        <v>Monthly</v>
      </c>
      <c r="T2200" cm="1">
        <f t="array" ref="T2200">_xlfn.SWITCH(S2200,"Annually",6,"Bi-Weekly",2,"Fortnightly",3,"Monthly",4,"Quarterly",5,"Weekly",1)</f>
        <v>4</v>
      </c>
    </row>
    <row r="2201" spans="1:20" hidden="1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  <c r="S2201" t="str">
        <f t="shared" si="34"/>
        <v>Monthly</v>
      </c>
      <c r="T2201" cm="1">
        <f t="array" ref="T2201">_xlfn.SWITCH(S2201,"Annually",6,"Bi-Weekly",2,"Fortnightly",3,"Monthly",4,"Quarterly",5,"Weekly",1)</f>
        <v>4</v>
      </c>
    </row>
    <row r="2202" spans="1:20" hidden="1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  <c r="S2202" t="str">
        <f t="shared" si="34"/>
        <v>Quarterly</v>
      </c>
      <c r="T2202" cm="1">
        <f t="array" ref="T2202">_xlfn.SWITCH(S2202,"Annually",6,"Bi-Weekly",2,"Fortnightly",3,"Monthly",4,"Quarterly",5,"Weekly",1)</f>
        <v>5</v>
      </c>
    </row>
    <row r="2203" spans="1:20" hidden="1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  <c r="S2203" t="str">
        <f t="shared" si="34"/>
        <v>Annually</v>
      </c>
      <c r="T2203" cm="1">
        <f t="array" ref="T2203">_xlfn.SWITCH(S2203,"Annually",6,"Bi-Weekly",2,"Fortnightly",3,"Monthly",4,"Quarterly",5,"Weekly",1)</f>
        <v>6</v>
      </c>
    </row>
    <row r="2204" spans="1:20" hidden="1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  <c r="S2204" t="str">
        <f t="shared" si="34"/>
        <v>Weekly</v>
      </c>
      <c r="T2204" cm="1">
        <f t="array" ref="T2204">_xlfn.SWITCH(S2204,"Annually",6,"Bi-Weekly",2,"Fortnightly",3,"Monthly",4,"Quarterly",5,"Weekly",1)</f>
        <v>1</v>
      </c>
    </row>
    <row r="2205" spans="1:20" hidden="1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  <c r="S2205" t="str">
        <f t="shared" si="34"/>
        <v>Quarterly</v>
      </c>
      <c r="T2205" cm="1">
        <f t="array" ref="T2205">_xlfn.SWITCH(S2205,"Annually",6,"Bi-Weekly",2,"Fortnightly",3,"Monthly",4,"Quarterly",5,"Weekly",1)</f>
        <v>5</v>
      </c>
    </row>
    <row r="2206" spans="1:20" hidden="1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  <c r="S2206" t="str">
        <f t="shared" si="34"/>
        <v>Monthly</v>
      </c>
      <c r="T2206" cm="1">
        <f t="array" ref="T2206">_xlfn.SWITCH(S2206,"Annually",6,"Bi-Weekly",2,"Fortnightly",3,"Monthly",4,"Quarterly",5,"Weekly",1)</f>
        <v>4</v>
      </c>
    </row>
    <row r="2207" spans="1:20" hidden="1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  <c r="S2207" t="str">
        <f t="shared" si="34"/>
        <v>Weekly</v>
      </c>
      <c r="T2207" cm="1">
        <f t="array" ref="T2207">_xlfn.SWITCH(S2207,"Annually",6,"Bi-Weekly",2,"Fortnightly",3,"Monthly",4,"Quarterly",5,"Weekly",1)</f>
        <v>1</v>
      </c>
    </row>
    <row r="2208" spans="1:20" hidden="1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  <c r="S2208" t="str">
        <f t="shared" si="34"/>
        <v>Fortnightly</v>
      </c>
      <c r="T2208" cm="1">
        <f t="array" ref="T2208">_xlfn.SWITCH(S2208,"Annually",6,"Bi-Weekly",2,"Fortnightly",3,"Monthly",4,"Quarterly",5,"Weekly",1)</f>
        <v>3</v>
      </c>
    </row>
    <row r="2209" spans="1:20" hidden="1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  <c r="S2209" t="str">
        <f t="shared" si="34"/>
        <v>Annually</v>
      </c>
      <c r="T2209" cm="1">
        <f t="array" ref="T2209">_xlfn.SWITCH(S2209,"Annually",6,"Bi-Weekly",2,"Fortnightly",3,"Monthly",4,"Quarterly",5,"Weekly",1)</f>
        <v>6</v>
      </c>
    </row>
    <row r="2210" spans="1:20" hidden="1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  <c r="S2210" t="str">
        <f t="shared" si="34"/>
        <v>Monthly</v>
      </c>
      <c r="T2210" cm="1">
        <f t="array" ref="T2210">_xlfn.SWITCH(S2210,"Annually",6,"Bi-Weekly",2,"Fortnightly",3,"Monthly",4,"Quarterly",5,"Weekly",1)</f>
        <v>4</v>
      </c>
    </row>
    <row r="2211" spans="1:20" hidden="1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  <c r="S2211" t="str">
        <f t="shared" si="34"/>
        <v>Quarterly</v>
      </c>
      <c r="T2211" cm="1">
        <f t="array" ref="T2211">_xlfn.SWITCH(S2211,"Annually",6,"Bi-Weekly",2,"Fortnightly",3,"Monthly",4,"Quarterly",5,"Weekly",1)</f>
        <v>5</v>
      </c>
    </row>
    <row r="2212" spans="1:20" hidden="1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  <c r="S2212" t="str">
        <f t="shared" si="34"/>
        <v>Fortnightly</v>
      </c>
      <c r="T2212" cm="1">
        <f t="array" ref="T2212">_xlfn.SWITCH(S2212,"Annually",6,"Bi-Weekly",2,"Fortnightly",3,"Monthly",4,"Quarterly",5,"Weekly",1)</f>
        <v>3</v>
      </c>
    </row>
    <row r="2213" spans="1:20" hidden="1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  <c r="S2213" t="str">
        <f t="shared" si="34"/>
        <v>Quarterly</v>
      </c>
      <c r="T2213" cm="1">
        <f t="array" ref="T2213">_xlfn.SWITCH(S2213,"Annually",6,"Bi-Weekly",2,"Fortnightly",3,"Monthly",4,"Quarterly",5,"Weekly",1)</f>
        <v>5</v>
      </c>
    </row>
    <row r="2214" spans="1:20" hidden="1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  <c r="S2214" t="str">
        <f t="shared" si="34"/>
        <v>Quarterly</v>
      </c>
      <c r="T2214" cm="1">
        <f t="array" ref="T2214">_xlfn.SWITCH(S2214,"Annually",6,"Bi-Weekly",2,"Fortnightly",3,"Monthly",4,"Quarterly",5,"Weekly",1)</f>
        <v>5</v>
      </c>
    </row>
    <row r="2215" spans="1:20" hidden="1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  <c r="S2215" t="str">
        <f t="shared" si="34"/>
        <v>Quarterly</v>
      </c>
      <c r="T2215" cm="1">
        <f t="array" ref="T2215">_xlfn.SWITCH(S2215,"Annually",6,"Bi-Weekly",2,"Fortnightly",3,"Monthly",4,"Quarterly",5,"Weekly",1)</f>
        <v>5</v>
      </c>
    </row>
    <row r="2216" spans="1:20" hidden="1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  <c r="S2216" t="str">
        <f t="shared" si="34"/>
        <v>Weekly</v>
      </c>
      <c r="T2216" cm="1">
        <f t="array" ref="T2216">_xlfn.SWITCH(S2216,"Annually",6,"Bi-Weekly",2,"Fortnightly",3,"Monthly",4,"Quarterly",5,"Weekly",1)</f>
        <v>1</v>
      </c>
    </row>
    <row r="2217" spans="1:20" hidden="1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  <c r="S2217" t="str">
        <f t="shared" si="34"/>
        <v>Fortnightly</v>
      </c>
      <c r="T2217" cm="1">
        <f t="array" ref="T2217">_xlfn.SWITCH(S2217,"Annually",6,"Bi-Weekly",2,"Fortnightly",3,"Monthly",4,"Quarterly",5,"Weekly",1)</f>
        <v>3</v>
      </c>
    </row>
    <row r="2218" spans="1:20" hidden="1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  <c r="S2218" t="str">
        <f t="shared" si="34"/>
        <v>Bi-Weekly</v>
      </c>
      <c r="T2218" cm="1">
        <f t="array" ref="T2218">_xlfn.SWITCH(S2218,"Annually",6,"Bi-Weekly",2,"Fortnightly",3,"Monthly",4,"Quarterly",5,"Weekly",1)</f>
        <v>2</v>
      </c>
    </row>
    <row r="2219" spans="1:20" hidden="1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  <c r="S2219" t="str">
        <f t="shared" si="34"/>
        <v>Fortnightly</v>
      </c>
      <c r="T2219" cm="1">
        <f t="array" ref="T2219">_xlfn.SWITCH(S2219,"Annually",6,"Bi-Weekly",2,"Fortnightly",3,"Monthly",4,"Quarterly",5,"Weekly",1)</f>
        <v>3</v>
      </c>
    </row>
    <row r="2220" spans="1:20" hidden="1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  <c r="S2220" t="str">
        <f t="shared" si="34"/>
        <v>Quarterly</v>
      </c>
      <c r="T2220" cm="1">
        <f t="array" ref="T2220">_xlfn.SWITCH(S2220,"Annually",6,"Bi-Weekly",2,"Fortnightly",3,"Monthly",4,"Quarterly",5,"Weekly",1)</f>
        <v>5</v>
      </c>
    </row>
    <row r="2221" spans="1:20" hidden="1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  <c r="S2221" t="str">
        <f t="shared" si="34"/>
        <v>Fortnightly</v>
      </c>
      <c r="T2221" cm="1">
        <f t="array" ref="T2221">_xlfn.SWITCH(S2221,"Annually",6,"Bi-Weekly",2,"Fortnightly",3,"Monthly",4,"Quarterly",5,"Weekly",1)</f>
        <v>3</v>
      </c>
    </row>
    <row r="2222" spans="1:20" hidden="1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  <c r="S2222" t="str">
        <f t="shared" si="34"/>
        <v>Annually</v>
      </c>
      <c r="T2222" cm="1">
        <f t="array" ref="T2222">_xlfn.SWITCH(S2222,"Annually",6,"Bi-Weekly",2,"Fortnightly",3,"Monthly",4,"Quarterly",5,"Weekly",1)</f>
        <v>6</v>
      </c>
    </row>
    <row r="2223" spans="1:20" hidden="1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  <c r="S2223" t="str">
        <f t="shared" si="34"/>
        <v>Annually</v>
      </c>
      <c r="T2223" cm="1">
        <f t="array" ref="T2223">_xlfn.SWITCH(S2223,"Annually",6,"Bi-Weekly",2,"Fortnightly",3,"Monthly",4,"Quarterly",5,"Weekly",1)</f>
        <v>6</v>
      </c>
    </row>
    <row r="2224" spans="1:20" hidden="1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  <c r="S2224" t="str">
        <f t="shared" si="34"/>
        <v>Weekly</v>
      </c>
      <c r="T2224" cm="1">
        <f t="array" ref="T2224">_xlfn.SWITCH(S2224,"Annually",6,"Bi-Weekly",2,"Fortnightly",3,"Monthly",4,"Quarterly",5,"Weekly",1)</f>
        <v>1</v>
      </c>
    </row>
    <row r="2225" spans="1:20" hidden="1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  <c r="S2225" t="str">
        <f t="shared" si="34"/>
        <v>Quarterly</v>
      </c>
      <c r="T2225" cm="1">
        <f t="array" ref="T2225">_xlfn.SWITCH(S2225,"Annually",6,"Bi-Weekly",2,"Fortnightly",3,"Monthly",4,"Quarterly",5,"Weekly",1)</f>
        <v>5</v>
      </c>
    </row>
    <row r="2226" spans="1:20" hidden="1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  <c r="S2226" t="str">
        <f t="shared" si="34"/>
        <v>Quarterly</v>
      </c>
      <c r="T2226" cm="1">
        <f t="array" ref="T2226">_xlfn.SWITCH(S2226,"Annually",6,"Bi-Weekly",2,"Fortnightly",3,"Monthly",4,"Quarterly",5,"Weekly",1)</f>
        <v>5</v>
      </c>
    </row>
    <row r="2227" spans="1:20" hidden="1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  <c r="S2227" t="str">
        <f t="shared" si="34"/>
        <v>Annually</v>
      </c>
      <c r="T2227" cm="1">
        <f t="array" ref="T2227">_xlfn.SWITCH(S2227,"Annually",6,"Bi-Weekly",2,"Fortnightly",3,"Monthly",4,"Quarterly",5,"Weekly",1)</f>
        <v>6</v>
      </c>
    </row>
    <row r="2228" spans="1:20" hidden="1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  <c r="S2228" t="str">
        <f t="shared" si="34"/>
        <v>Annually</v>
      </c>
      <c r="T2228" cm="1">
        <f t="array" ref="T2228">_xlfn.SWITCH(S2228,"Annually",6,"Bi-Weekly",2,"Fortnightly",3,"Monthly",4,"Quarterly",5,"Weekly",1)</f>
        <v>6</v>
      </c>
    </row>
    <row r="2229" spans="1:20" hidden="1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  <c r="S2229" t="str">
        <f t="shared" si="34"/>
        <v>Fortnightly</v>
      </c>
      <c r="T2229" cm="1">
        <f t="array" ref="T2229">_xlfn.SWITCH(S2229,"Annually",6,"Bi-Weekly",2,"Fortnightly",3,"Monthly",4,"Quarterly",5,"Weekly",1)</f>
        <v>3</v>
      </c>
    </row>
    <row r="2230" spans="1:20" hidden="1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  <c r="S2230" t="str">
        <f t="shared" si="34"/>
        <v>Weekly</v>
      </c>
      <c r="T2230" cm="1">
        <f t="array" ref="T2230">_xlfn.SWITCH(S2230,"Annually",6,"Bi-Weekly",2,"Fortnightly",3,"Monthly",4,"Quarterly",5,"Weekly",1)</f>
        <v>1</v>
      </c>
    </row>
    <row r="2231" spans="1:20" hidden="1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  <c r="S2231" t="str">
        <f t="shared" si="34"/>
        <v>Monthly</v>
      </c>
      <c r="T2231" cm="1">
        <f t="array" ref="T2231">_xlfn.SWITCH(S2231,"Annually",6,"Bi-Weekly",2,"Fortnightly",3,"Monthly",4,"Quarterly",5,"Weekly",1)</f>
        <v>4</v>
      </c>
    </row>
    <row r="2232" spans="1:20" hidden="1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  <c r="S2232" t="str">
        <f t="shared" si="34"/>
        <v>Fortnightly</v>
      </c>
      <c r="T2232" cm="1">
        <f t="array" ref="T2232">_xlfn.SWITCH(S2232,"Annually",6,"Bi-Weekly",2,"Fortnightly",3,"Monthly",4,"Quarterly",5,"Weekly",1)</f>
        <v>3</v>
      </c>
    </row>
    <row r="2233" spans="1:20" hidden="1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  <c r="S2233" t="str">
        <f t="shared" si="34"/>
        <v>Weekly</v>
      </c>
      <c r="T2233" cm="1">
        <f t="array" ref="T2233">_xlfn.SWITCH(S2233,"Annually",6,"Bi-Weekly",2,"Fortnightly",3,"Monthly",4,"Quarterly",5,"Weekly",1)</f>
        <v>1</v>
      </c>
    </row>
    <row r="2234" spans="1:20" hidden="1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  <c r="S2234" t="str">
        <f t="shared" si="34"/>
        <v>Fortnightly</v>
      </c>
      <c r="T2234" cm="1">
        <f t="array" ref="T2234">_xlfn.SWITCH(S2234,"Annually",6,"Bi-Weekly",2,"Fortnightly",3,"Monthly",4,"Quarterly",5,"Weekly",1)</f>
        <v>3</v>
      </c>
    </row>
    <row r="2235" spans="1:20" hidden="1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  <c r="S2235" t="str">
        <f t="shared" si="34"/>
        <v>Monthly</v>
      </c>
      <c r="T2235" cm="1">
        <f t="array" ref="T2235">_xlfn.SWITCH(S2235,"Annually",6,"Bi-Weekly",2,"Fortnightly",3,"Monthly",4,"Quarterly",5,"Weekly",1)</f>
        <v>4</v>
      </c>
    </row>
    <row r="2236" spans="1:20" hidden="1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  <c r="S2236" t="str">
        <f t="shared" si="34"/>
        <v>Weekly</v>
      </c>
      <c r="T2236" cm="1">
        <f t="array" ref="T2236">_xlfn.SWITCH(S2236,"Annually",6,"Bi-Weekly",2,"Fortnightly",3,"Monthly",4,"Quarterly",5,"Weekly",1)</f>
        <v>1</v>
      </c>
    </row>
    <row r="2237" spans="1:20" hidden="1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  <c r="S2237" t="str">
        <f t="shared" si="34"/>
        <v>Annually</v>
      </c>
      <c r="T2237" cm="1">
        <f t="array" ref="T2237">_xlfn.SWITCH(S2237,"Annually",6,"Bi-Weekly",2,"Fortnightly",3,"Monthly",4,"Quarterly",5,"Weekly",1)</f>
        <v>6</v>
      </c>
    </row>
    <row r="2238" spans="1:20" hidden="1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  <c r="S2238" t="str">
        <f t="shared" si="34"/>
        <v>Fortnightly</v>
      </c>
      <c r="T2238" cm="1">
        <f t="array" ref="T2238">_xlfn.SWITCH(S2238,"Annually",6,"Bi-Weekly",2,"Fortnightly",3,"Monthly",4,"Quarterly",5,"Weekly",1)</f>
        <v>3</v>
      </c>
    </row>
    <row r="2239" spans="1:20" hidden="1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  <c r="S2239" t="str">
        <f t="shared" si="34"/>
        <v>Quarterly</v>
      </c>
      <c r="T2239" cm="1">
        <f t="array" ref="T2239">_xlfn.SWITCH(S2239,"Annually",6,"Bi-Weekly",2,"Fortnightly",3,"Monthly",4,"Quarterly",5,"Weekly",1)</f>
        <v>5</v>
      </c>
    </row>
    <row r="2240" spans="1:20" hidden="1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  <c r="S2240" t="str">
        <f t="shared" si="34"/>
        <v>Weekly</v>
      </c>
      <c r="T2240" cm="1">
        <f t="array" ref="T2240">_xlfn.SWITCH(S2240,"Annually",6,"Bi-Weekly",2,"Fortnightly",3,"Monthly",4,"Quarterly",5,"Weekly",1)</f>
        <v>1</v>
      </c>
    </row>
    <row r="2241" spans="1:20" hidden="1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  <c r="S2241" t="str">
        <f t="shared" si="34"/>
        <v>Quarterly</v>
      </c>
      <c r="T2241" cm="1">
        <f t="array" ref="T2241">_xlfn.SWITCH(S2241,"Annually",6,"Bi-Weekly",2,"Fortnightly",3,"Monthly",4,"Quarterly",5,"Weekly",1)</f>
        <v>5</v>
      </c>
    </row>
    <row r="2242" spans="1:20" hidden="1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  <c r="S2242" t="str">
        <f t="shared" si="34"/>
        <v>Quarterly</v>
      </c>
      <c r="T2242" cm="1">
        <f t="array" ref="T2242">_xlfn.SWITCH(S2242,"Annually",6,"Bi-Weekly",2,"Fortnightly",3,"Monthly",4,"Quarterly",5,"Weekly",1)</f>
        <v>5</v>
      </c>
    </row>
    <row r="2243" spans="1:20" hidden="1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  <c r="S2243" t="str">
        <f t="shared" ref="S2243:S2306" si="35">IF(R2243="Every 3 Months","Quarterly",R2243)</f>
        <v>Bi-Weekly</v>
      </c>
      <c r="T2243" cm="1">
        <f t="array" ref="T2243">_xlfn.SWITCH(S2243,"Annually",6,"Bi-Weekly",2,"Fortnightly",3,"Monthly",4,"Quarterly",5,"Weekly",1)</f>
        <v>2</v>
      </c>
    </row>
    <row r="2244" spans="1:20" hidden="1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  <c r="S2244" t="str">
        <f t="shared" si="35"/>
        <v>Bi-Weekly</v>
      </c>
      <c r="T2244" cm="1">
        <f t="array" ref="T2244">_xlfn.SWITCH(S2244,"Annually",6,"Bi-Weekly",2,"Fortnightly",3,"Monthly",4,"Quarterly",5,"Weekly",1)</f>
        <v>2</v>
      </c>
    </row>
    <row r="2245" spans="1:20" hidden="1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  <c r="S2245" t="str">
        <f t="shared" si="35"/>
        <v>Annually</v>
      </c>
      <c r="T2245" cm="1">
        <f t="array" ref="T2245">_xlfn.SWITCH(S2245,"Annually",6,"Bi-Weekly",2,"Fortnightly",3,"Monthly",4,"Quarterly",5,"Weekly",1)</f>
        <v>6</v>
      </c>
    </row>
    <row r="2246" spans="1:20" hidden="1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  <c r="S2246" t="str">
        <f t="shared" si="35"/>
        <v>Annually</v>
      </c>
      <c r="T2246" cm="1">
        <f t="array" ref="T2246">_xlfn.SWITCH(S2246,"Annually",6,"Bi-Weekly",2,"Fortnightly",3,"Monthly",4,"Quarterly",5,"Weekly",1)</f>
        <v>6</v>
      </c>
    </row>
    <row r="2247" spans="1:20" hidden="1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  <c r="S2247" t="str">
        <f t="shared" si="35"/>
        <v>Fortnightly</v>
      </c>
      <c r="T2247" cm="1">
        <f t="array" ref="T2247">_xlfn.SWITCH(S2247,"Annually",6,"Bi-Weekly",2,"Fortnightly",3,"Monthly",4,"Quarterly",5,"Weekly",1)</f>
        <v>3</v>
      </c>
    </row>
    <row r="2248" spans="1:20" hidden="1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  <c r="S2248" t="str">
        <f t="shared" si="35"/>
        <v>Quarterly</v>
      </c>
      <c r="T2248" cm="1">
        <f t="array" ref="T2248">_xlfn.SWITCH(S2248,"Annually",6,"Bi-Weekly",2,"Fortnightly",3,"Monthly",4,"Quarterly",5,"Weekly",1)</f>
        <v>5</v>
      </c>
    </row>
    <row r="2249" spans="1:20" hidden="1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  <c r="S2249" t="str">
        <f t="shared" si="35"/>
        <v>Annually</v>
      </c>
      <c r="T2249" cm="1">
        <f t="array" ref="T2249">_xlfn.SWITCH(S2249,"Annually",6,"Bi-Weekly",2,"Fortnightly",3,"Monthly",4,"Quarterly",5,"Weekly",1)</f>
        <v>6</v>
      </c>
    </row>
    <row r="2250" spans="1:20" hidden="1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  <c r="S2250" t="str">
        <f t="shared" si="35"/>
        <v>Fortnightly</v>
      </c>
      <c r="T2250" cm="1">
        <f t="array" ref="T2250">_xlfn.SWITCH(S2250,"Annually",6,"Bi-Weekly",2,"Fortnightly",3,"Monthly",4,"Quarterly",5,"Weekly",1)</f>
        <v>3</v>
      </c>
    </row>
    <row r="2251" spans="1:20" hidden="1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  <c r="S2251" t="str">
        <f t="shared" si="35"/>
        <v>Weekly</v>
      </c>
      <c r="T2251" cm="1">
        <f t="array" ref="T2251">_xlfn.SWITCH(S2251,"Annually",6,"Bi-Weekly",2,"Fortnightly",3,"Monthly",4,"Quarterly",5,"Weekly",1)</f>
        <v>1</v>
      </c>
    </row>
    <row r="2252" spans="1:20" hidden="1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  <c r="S2252" t="str">
        <f t="shared" si="35"/>
        <v>Weekly</v>
      </c>
      <c r="T2252" cm="1">
        <f t="array" ref="T2252">_xlfn.SWITCH(S2252,"Annually",6,"Bi-Weekly",2,"Fortnightly",3,"Monthly",4,"Quarterly",5,"Weekly",1)</f>
        <v>1</v>
      </c>
    </row>
    <row r="2253" spans="1:20" hidden="1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  <c r="S2253" t="str">
        <f t="shared" si="35"/>
        <v>Monthly</v>
      </c>
      <c r="T2253" cm="1">
        <f t="array" ref="T2253">_xlfn.SWITCH(S2253,"Annually",6,"Bi-Weekly",2,"Fortnightly",3,"Monthly",4,"Quarterly",5,"Weekly",1)</f>
        <v>4</v>
      </c>
    </row>
    <row r="2254" spans="1:20" hidden="1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  <c r="S2254" t="str">
        <f t="shared" si="35"/>
        <v>Annually</v>
      </c>
      <c r="T2254" cm="1">
        <f t="array" ref="T2254">_xlfn.SWITCH(S2254,"Annually",6,"Bi-Weekly",2,"Fortnightly",3,"Monthly",4,"Quarterly",5,"Weekly",1)</f>
        <v>6</v>
      </c>
    </row>
    <row r="2255" spans="1:20" hidden="1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  <c r="S2255" t="str">
        <f t="shared" si="35"/>
        <v>Monthly</v>
      </c>
      <c r="T2255" cm="1">
        <f t="array" ref="T2255">_xlfn.SWITCH(S2255,"Annually",6,"Bi-Weekly",2,"Fortnightly",3,"Monthly",4,"Quarterly",5,"Weekly",1)</f>
        <v>4</v>
      </c>
    </row>
    <row r="2256" spans="1:20" hidden="1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  <c r="S2256" t="str">
        <f t="shared" si="35"/>
        <v>Quarterly</v>
      </c>
      <c r="T2256" cm="1">
        <f t="array" ref="T2256">_xlfn.SWITCH(S2256,"Annually",6,"Bi-Weekly",2,"Fortnightly",3,"Monthly",4,"Quarterly",5,"Weekly",1)</f>
        <v>5</v>
      </c>
    </row>
    <row r="2257" spans="1:20" hidden="1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  <c r="S2257" t="str">
        <f t="shared" si="35"/>
        <v>Quarterly</v>
      </c>
      <c r="T2257" cm="1">
        <f t="array" ref="T2257">_xlfn.SWITCH(S2257,"Annually",6,"Bi-Weekly",2,"Fortnightly",3,"Monthly",4,"Quarterly",5,"Weekly",1)</f>
        <v>5</v>
      </c>
    </row>
    <row r="2258" spans="1:20" hidden="1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  <c r="S2258" t="str">
        <f t="shared" si="35"/>
        <v>Quarterly</v>
      </c>
      <c r="T2258" cm="1">
        <f t="array" ref="T2258">_xlfn.SWITCH(S2258,"Annually",6,"Bi-Weekly",2,"Fortnightly",3,"Monthly",4,"Quarterly",5,"Weekly",1)</f>
        <v>5</v>
      </c>
    </row>
    <row r="2259" spans="1:20" hidden="1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  <c r="S2259" t="str">
        <f t="shared" si="35"/>
        <v>Annually</v>
      </c>
      <c r="T2259" cm="1">
        <f t="array" ref="T2259">_xlfn.SWITCH(S2259,"Annually",6,"Bi-Weekly",2,"Fortnightly",3,"Monthly",4,"Quarterly",5,"Weekly",1)</f>
        <v>6</v>
      </c>
    </row>
    <row r="2260" spans="1:20" hidden="1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  <c r="S2260" t="str">
        <f t="shared" si="35"/>
        <v>Quarterly</v>
      </c>
      <c r="T2260" cm="1">
        <f t="array" ref="T2260">_xlfn.SWITCH(S2260,"Annually",6,"Bi-Weekly",2,"Fortnightly",3,"Monthly",4,"Quarterly",5,"Weekly",1)</f>
        <v>5</v>
      </c>
    </row>
    <row r="2261" spans="1:20" hidden="1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  <c r="S2261" t="str">
        <f t="shared" si="35"/>
        <v>Annually</v>
      </c>
      <c r="T2261" cm="1">
        <f t="array" ref="T2261">_xlfn.SWITCH(S2261,"Annually",6,"Bi-Weekly",2,"Fortnightly",3,"Monthly",4,"Quarterly",5,"Weekly",1)</f>
        <v>6</v>
      </c>
    </row>
    <row r="2262" spans="1:20" hidden="1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  <c r="S2262" t="str">
        <f t="shared" si="35"/>
        <v>Quarterly</v>
      </c>
      <c r="T2262" cm="1">
        <f t="array" ref="T2262">_xlfn.SWITCH(S2262,"Annually",6,"Bi-Weekly",2,"Fortnightly",3,"Monthly",4,"Quarterly",5,"Weekly",1)</f>
        <v>5</v>
      </c>
    </row>
    <row r="2263" spans="1:20" hidden="1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  <c r="S2263" t="str">
        <f t="shared" si="35"/>
        <v>Fortnightly</v>
      </c>
      <c r="T2263" cm="1">
        <f t="array" ref="T2263">_xlfn.SWITCH(S2263,"Annually",6,"Bi-Weekly",2,"Fortnightly",3,"Monthly",4,"Quarterly",5,"Weekly",1)</f>
        <v>3</v>
      </c>
    </row>
    <row r="2264" spans="1:20" hidden="1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  <c r="S2264" t="str">
        <f t="shared" si="35"/>
        <v>Monthly</v>
      </c>
      <c r="T2264" cm="1">
        <f t="array" ref="T2264">_xlfn.SWITCH(S2264,"Annually",6,"Bi-Weekly",2,"Fortnightly",3,"Monthly",4,"Quarterly",5,"Weekly",1)</f>
        <v>4</v>
      </c>
    </row>
    <row r="2265" spans="1:20" hidden="1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  <c r="S2265" t="str">
        <f t="shared" si="35"/>
        <v>Quarterly</v>
      </c>
      <c r="T2265" cm="1">
        <f t="array" ref="T2265">_xlfn.SWITCH(S2265,"Annually",6,"Bi-Weekly",2,"Fortnightly",3,"Monthly",4,"Quarterly",5,"Weekly",1)</f>
        <v>5</v>
      </c>
    </row>
    <row r="2266" spans="1:20" hidden="1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  <c r="S2266" t="str">
        <f t="shared" si="35"/>
        <v>Monthly</v>
      </c>
      <c r="T2266" cm="1">
        <f t="array" ref="T2266">_xlfn.SWITCH(S2266,"Annually",6,"Bi-Weekly",2,"Fortnightly",3,"Monthly",4,"Quarterly",5,"Weekly",1)</f>
        <v>4</v>
      </c>
    </row>
    <row r="2267" spans="1:20" hidden="1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  <c r="S2267" t="str">
        <f t="shared" si="35"/>
        <v>Quarterly</v>
      </c>
      <c r="T2267" cm="1">
        <f t="array" ref="T2267">_xlfn.SWITCH(S2267,"Annually",6,"Bi-Weekly",2,"Fortnightly",3,"Monthly",4,"Quarterly",5,"Weekly",1)</f>
        <v>5</v>
      </c>
    </row>
    <row r="2268" spans="1:20" hidden="1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  <c r="S2268" t="str">
        <f t="shared" si="35"/>
        <v>Weekly</v>
      </c>
      <c r="T2268" cm="1">
        <f t="array" ref="T2268">_xlfn.SWITCH(S2268,"Annually",6,"Bi-Weekly",2,"Fortnightly",3,"Monthly",4,"Quarterly",5,"Weekly",1)</f>
        <v>1</v>
      </c>
    </row>
    <row r="2269" spans="1:20" hidden="1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  <c r="S2269" t="str">
        <f t="shared" si="35"/>
        <v>Weekly</v>
      </c>
      <c r="T2269" cm="1">
        <f t="array" ref="T2269">_xlfn.SWITCH(S2269,"Annually",6,"Bi-Weekly",2,"Fortnightly",3,"Monthly",4,"Quarterly",5,"Weekly",1)</f>
        <v>1</v>
      </c>
    </row>
    <row r="2270" spans="1:20" hidden="1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  <c r="S2270" t="str">
        <f t="shared" si="35"/>
        <v>Monthly</v>
      </c>
      <c r="T2270" cm="1">
        <f t="array" ref="T2270">_xlfn.SWITCH(S2270,"Annually",6,"Bi-Weekly",2,"Fortnightly",3,"Monthly",4,"Quarterly",5,"Weekly",1)</f>
        <v>4</v>
      </c>
    </row>
    <row r="2271" spans="1:20" hidden="1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  <c r="S2271" t="str">
        <f t="shared" si="35"/>
        <v>Annually</v>
      </c>
      <c r="T2271" cm="1">
        <f t="array" ref="T2271">_xlfn.SWITCH(S2271,"Annually",6,"Bi-Weekly",2,"Fortnightly",3,"Monthly",4,"Quarterly",5,"Weekly",1)</f>
        <v>6</v>
      </c>
    </row>
    <row r="2272" spans="1:20" hidden="1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  <c r="S2272" t="str">
        <f t="shared" si="35"/>
        <v>Weekly</v>
      </c>
      <c r="T2272" cm="1">
        <f t="array" ref="T2272">_xlfn.SWITCH(S2272,"Annually",6,"Bi-Weekly",2,"Fortnightly",3,"Monthly",4,"Quarterly",5,"Weekly",1)</f>
        <v>1</v>
      </c>
    </row>
    <row r="2273" spans="1:20" hidden="1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  <c r="S2273" t="str">
        <f t="shared" si="35"/>
        <v>Quarterly</v>
      </c>
      <c r="T2273" cm="1">
        <f t="array" ref="T2273">_xlfn.SWITCH(S2273,"Annually",6,"Bi-Weekly",2,"Fortnightly",3,"Monthly",4,"Quarterly",5,"Weekly",1)</f>
        <v>5</v>
      </c>
    </row>
    <row r="2274" spans="1:20" hidden="1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  <c r="S2274" t="str">
        <f t="shared" si="35"/>
        <v>Monthly</v>
      </c>
      <c r="T2274" cm="1">
        <f t="array" ref="T2274">_xlfn.SWITCH(S2274,"Annually",6,"Bi-Weekly",2,"Fortnightly",3,"Monthly",4,"Quarterly",5,"Weekly",1)</f>
        <v>4</v>
      </c>
    </row>
    <row r="2275" spans="1:20" hidden="1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  <c r="S2275" t="str">
        <f t="shared" si="35"/>
        <v>Bi-Weekly</v>
      </c>
      <c r="T2275" cm="1">
        <f t="array" ref="T2275">_xlfn.SWITCH(S2275,"Annually",6,"Bi-Weekly",2,"Fortnightly",3,"Monthly",4,"Quarterly",5,"Weekly",1)</f>
        <v>2</v>
      </c>
    </row>
    <row r="2276" spans="1:20" hidden="1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  <c r="S2276" t="str">
        <f t="shared" si="35"/>
        <v>Fortnightly</v>
      </c>
      <c r="T2276" cm="1">
        <f t="array" ref="T2276">_xlfn.SWITCH(S2276,"Annually",6,"Bi-Weekly",2,"Fortnightly",3,"Monthly",4,"Quarterly",5,"Weekly",1)</f>
        <v>3</v>
      </c>
    </row>
    <row r="2277" spans="1:20" hidden="1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  <c r="S2277" t="str">
        <f t="shared" si="35"/>
        <v>Weekly</v>
      </c>
      <c r="T2277" cm="1">
        <f t="array" ref="T2277">_xlfn.SWITCH(S2277,"Annually",6,"Bi-Weekly",2,"Fortnightly",3,"Monthly",4,"Quarterly",5,"Weekly",1)</f>
        <v>1</v>
      </c>
    </row>
    <row r="2278" spans="1:20" hidden="1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  <c r="S2278" t="str">
        <f t="shared" si="35"/>
        <v>Weekly</v>
      </c>
      <c r="T2278" cm="1">
        <f t="array" ref="T2278">_xlfn.SWITCH(S2278,"Annually",6,"Bi-Weekly",2,"Fortnightly",3,"Monthly",4,"Quarterly",5,"Weekly",1)</f>
        <v>1</v>
      </c>
    </row>
    <row r="2279" spans="1:20" hidden="1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  <c r="S2279" t="str">
        <f t="shared" si="35"/>
        <v>Quarterly</v>
      </c>
      <c r="T2279" cm="1">
        <f t="array" ref="T2279">_xlfn.SWITCH(S2279,"Annually",6,"Bi-Weekly",2,"Fortnightly",3,"Monthly",4,"Quarterly",5,"Weekly",1)</f>
        <v>5</v>
      </c>
    </row>
    <row r="2280" spans="1:20" hidden="1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  <c r="S2280" t="str">
        <f t="shared" si="35"/>
        <v>Quarterly</v>
      </c>
      <c r="T2280" cm="1">
        <f t="array" ref="T2280">_xlfn.SWITCH(S2280,"Annually",6,"Bi-Weekly",2,"Fortnightly",3,"Monthly",4,"Quarterly",5,"Weekly",1)</f>
        <v>5</v>
      </c>
    </row>
    <row r="2281" spans="1:20" hidden="1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  <c r="S2281" t="str">
        <f t="shared" si="35"/>
        <v>Quarterly</v>
      </c>
      <c r="T2281" cm="1">
        <f t="array" ref="T2281">_xlfn.SWITCH(S2281,"Annually",6,"Bi-Weekly",2,"Fortnightly",3,"Monthly",4,"Quarterly",5,"Weekly",1)</f>
        <v>5</v>
      </c>
    </row>
    <row r="2282" spans="1:20" hidden="1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  <c r="S2282" t="str">
        <f t="shared" si="35"/>
        <v>Fortnightly</v>
      </c>
      <c r="T2282" cm="1">
        <f t="array" ref="T2282">_xlfn.SWITCH(S2282,"Annually",6,"Bi-Weekly",2,"Fortnightly",3,"Monthly",4,"Quarterly",5,"Weekly",1)</f>
        <v>3</v>
      </c>
    </row>
    <row r="2283" spans="1:20" hidden="1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  <c r="S2283" t="str">
        <f t="shared" si="35"/>
        <v>Annually</v>
      </c>
      <c r="T2283" cm="1">
        <f t="array" ref="T2283">_xlfn.SWITCH(S2283,"Annually",6,"Bi-Weekly",2,"Fortnightly",3,"Monthly",4,"Quarterly",5,"Weekly",1)</f>
        <v>6</v>
      </c>
    </row>
    <row r="2284" spans="1:20" hidden="1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  <c r="S2284" t="str">
        <f t="shared" si="35"/>
        <v>Annually</v>
      </c>
      <c r="T2284" cm="1">
        <f t="array" ref="T2284">_xlfn.SWITCH(S2284,"Annually",6,"Bi-Weekly",2,"Fortnightly",3,"Monthly",4,"Quarterly",5,"Weekly",1)</f>
        <v>6</v>
      </c>
    </row>
    <row r="2285" spans="1:20" hidden="1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  <c r="S2285" t="str">
        <f t="shared" si="35"/>
        <v>Fortnightly</v>
      </c>
      <c r="T2285" cm="1">
        <f t="array" ref="T2285">_xlfn.SWITCH(S2285,"Annually",6,"Bi-Weekly",2,"Fortnightly",3,"Monthly",4,"Quarterly",5,"Weekly",1)</f>
        <v>3</v>
      </c>
    </row>
    <row r="2286" spans="1:20" hidden="1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  <c r="S2286" t="str">
        <f t="shared" si="35"/>
        <v>Annually</v>
      </c>
      <c r="T2286" cm="1">
        <f t="array" ref="T2286">_xlfn.SWITCH(S2286,"Annually",6,"Bi-Weekly",2,"Fortnightly",3,"Monthly",4,"Quarterly",5,"Weekly",1)</f>
        <v>6</v>
      </c>
    </row>
    <row r="2287" spans="1:20" hidden="1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  <c r="S2287" t="str">
        <f t="shared" si="35"/>
        <v>Quarterly</v>
      </c>
      <c r="T2287" cm="1">
        <f t="array" ref="T2287">_xlfn.SWITCH(S2287,"Annually",6,"Bi-Weekly",2,"Fortnightly",3,"Monthly",4,"Quarterly",5,"Weekly",1)</f>
        <v>5</v>
      </c>
    </row>
    <row r="2288" spans="1:20" hidden="1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  <c r="S2288" t="str">
        <f t="shared" si="35"/>
        <v>Quarterly</v>
      </c>
      <c r="T2288" cm="1">
        <f t="array" ref="T2288">_xlfn.SWITCH(S2288,"Annually",6,"Bi-Weekly",2,"Fortnightly",3,"Monthly",4,"Quarterly",5,"Weekly",1)</f>
        <v>5</v>
      </c>
    </row>
    <row r="2289" spans="1:20" hidden="1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  <c r="S2289" t="str">
        <f t="shared" si="35"/>
        <v>Annually</v>
      </c>
      <c r="T2289" cm="1">
        <f t="array" ref="T2289">_xlfn.SWITCH(S2289,"Annually",6,"Bi-Weekly",2,"Fortnightly",3,"Monthly",4,"Quarterly",5,"Weekly",1)</f>
        <v>6</v>
      </c>
    </row>
    <row r="2290" spans="1:20" hidden="1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  <c r="S2290" t="str">
        <f t="shared" si="35"/>
        <v>Weekly</v>
      </c>
      <c r="T2290" cm="1">
        <f t="array" ref="T2290">_xlfn.SWITCH(S2290,"Annually",6,"Bi-Weekly",2,"Fortnightly",3,"Monthly",4,"Quarterly",5,"Weekly",1)</f>
        <v>1</v>
      </c>
    </row>
    <row r="2291" spans="1:20" hidden="1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  <c r="S2291" t="str">
        <f t="shared" si="35"/>
        <v>Weekly</v>
      </c>
      <c r="T2291" cm="1">
        <f t="array" ref="T2291">_xlfn.SWITCH(S2291,"Annually",6,"Bi-Weekly",2,"Fortnightly",3,"Monthly",4,"Quarterly",5,"Weekly",1)</f>
        <v>1</v>
      </c>
    </row>
    <row r="2292" spans="1:20" hidden="1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  <c r="S2292" t="str">
        <f t="shared" si="35"/>
        <v>Quarterly</v>
      </c>
      <c r="T2292" cm="1">
        <f t="array" ref="T2292">_xlfn.SWITCH(S2292,"Annually",6,"Bi-Weekly",2,"Fortnightly",3,"Monthly",4,"Quarterly",5,"Weekly",1)</f>
        <v>5</v>
      </c>
    </row>
    <row r="2293" spans="1:20" hidden="1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  <c r="S2293" t="str">
        <f t="shared" si="35"/>
        <v>Quarterly</v>
      </c>
      <c r="T2293" cm="1">
        <f t="array" ref="T2293">_xlfn.SWITCH(S2293,"Annually",6,"Bi-Weekly",2,"Fortnightly",3,"Monthly",4,"Quarterly",5,"Weekly",1)</f>
        <v>5</v>
      </c>
    </row>
    <row r="2294" spans="1:20" hidden="1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  <c r="S2294" t="str">
        <f t="shared" si="35"/>
        <v>Monthly</v>
      </c>
      <c r="T2294" cm="1">
        <f t="array" ref="T2294">_xlfn.SWITCH(S2294,"Annually",6,"Bi-Weekly",2,"Fortnightly",3,"Monthly",4,"Quarterly",5,"Weekly",1)</f>
        <v>4</v>
      </c>
    </row>
    <row r="2295" spans="1:20" hidden="1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  <c r="S2295" t="str">
        <f t="shared" si="35"/>
        <v>Quarterly</v>
      </c>
      <c r="T2295" cm="1">
        <f t="array" ref="T2295">_xlfn.SWITCH(S2295,"Annually",6,"Bi-Weekly",2,"Fortnightly",3,"Monthly",4,"Quarterly",5,"Weekly",1)</f>
        <v>5</v>
      </c>
    </row>
    <row r="2296" spans="1:20" hidden="1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  <c r="S2296" t="str">
        <f t="shared" si="35"/>
        <v>Annually</v>
      </c>
      <c r="T2296" cm="1">
        <f t="array" ref="T2296">_xlfn.SWITCH(S2296,"Annually",6,"Bi-Weekly",2,"Fortnightly",3,"Monthly",4,"Quarterly",5,"Weekly",1)</f>
        <v>6</v>
      </c>
    </row>
    <row r="2297" spans="1:20" hidden="1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  <c r="S2297" t="str">
        <f t="shared" si="35"/>
        <v>Quarterly</v>
      </c>
      <c r="T2297" cm="1">
        <f t="array" ref="T2297">_xlfn.SWITCH(S2297,"Annually",6,"Bi-Weekly",2,"Fortnightly",3,"Monthly",4,"Quarterly",5,"Weekly",1)</f>
        <v>5</v>
      </c>
    </row>
    <row r="2298" spans="1:20" hidden="1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  <c r="S2298" t="str">
        <f t="shared" si="35"/>
        <v>Quarterly</v>
      </c>
      <c r="T2298" cm="1">
        <f t="array" ref="T2298">_xlfn.SWITCH(S2298,"Annually",6,"Bi-Weekly",2,"Fortnightly",3,"Monthly",4,"Quarterly",5,"Weekly",1)</f>
        <v>5</v>
      </c>
    </row>
    <row r="2299" spans="1:20" hidden="1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  <c r="S2299" t="str">
        <f t="shared" si="35"/>
        <v>Quarterly</v>
      </c>
      <c r="T2299" cm="1">
        <f t="array" ref="T2299">_xlfn.SWITCH(S2299,"Annually",6,"Bi-Weekly",2,"Fortnightly",3,"Monthly",4,"Quarterly",5,"Weekly",1)</f>
        <v>5</v>
      </c>
    </row>
    <row r="2300" spans="1:20" hidden="1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  <c r="S2300" t="str">
        <f t="shared" si="35"/>
        <v>Quarterly</v>
      </c>
      <c r="T2300" cm="1">
        <f t="array" ref="T2300">_xlfn.SWITCH(S2300,"Annually",6,"Bi-Weekly",2,"Fortnightly",3,"Monthly",4,"Quarterly",5,"Weekly",1)</f>
        <v>5</v>
      </c>
    </row>
    <row r="2301" spans="1:20" hidden="1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  <c r="S2301" t="str">
        <f t="shared" si="35"/>
        <v>Quarterly</v>
      </c>
      <c r="T2301" cm="1">
        <f t="array" ref="T2301">_xlfn.SWITCH(S2301,"Annually",6,"Bi-Weekly",2,"Fortnightly",3,"Monthly",4,"Quarterly",5,"Weekly",1)</f>
        <v>5</v>
      </c>
    </row>
    <row r="2302" spans="1:20" hidden="1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  <c r="S2302" t="str">
        <f t="shared" si="35"/>
        <v>Monthly</v>
      </c>
      <c r="T2302" cm="1">
        <f t="array" ref="T2302">_xlfn.SWITCH(S2302,"Annually",6,"Bi-Weekly",2,"Fortnightly",3,"Monthly",4,"Quarterly",5,"Weekly",1)</f>
        <v>4</v>
      </c>
    </row>
    <row r="2303" spans="1:20" hidden="1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  <c r="S2303" t="str">
        <f t="shared" si="35"/>
        <v>Annually</v>
      </c>
      <c r="T2303" cm="1">
        <f t="array" ref="T2303">_xlfn.SWITCH(S2303,"Annually",6,"Bi-Weekly",2,"Fortnightly",3,"Monthly",4,"Quarterly",5,"Weekly",1)</f>
        <v>6</v>
      </c>
    </row>
    <row r="2304" spans="1:20" hidden="1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  <c r="S2304" t="str">
        <f t="shared" si="35"/>
        <v>Monthly</v>
      </c>
      <c r="T2304" cm="1">
        <f t="array" ref="T2304">_xlfn.SWITCH(S2304,"Annually",6,"Bi-Weekly",2,"Fortnightly",3,"Monthly",4,"Quarterly",5,"Weekly",1)</f>
        <v>4</v>
      </c>
    </row>
    <row r="2305" spans="1:20" hidden="1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  <c r="S2305" t="str">
        <f t="shared" si="35"/>
        <v>Fortnightly</v>
      </c>
      <c r="T2305" cm="1">
        <f t="array" ref="T2305">_xlfn.SWITCH(S2305,"Annually",6,"Bi-Weekly",2,"Fortnightly",3,"Monthly",4,"Quarterly",5,"Weekly",1)</f>
        <v>3</v>
      </c>
    </row>
    <row r="2306" spans="1:20" hidden="1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  <c r="S2306" t="str">
        <f t="shared" si="35"/>
        <v>Fortnightly</v>
      </c>
      <c r="T2306" cm="1">
        <f t="array" ref="T2306">_xlfn.SWITCH(S2306,"Annually",6,"Bi-Weekly",2,"Fortnightly",3,"Monthly",4,"Quarterly",5,"Weekly",1)</f>
        <v>3</v>
      </c>
    </row>
    <row r="2307" spans="1:20" hidden="1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  <c r="S2307" t="str">
        <f t="shared" ref="S2307:S2370" si="36">IF(R2307="Every 3 Months","Quarterly",R2307)</f>
        <v>Weekly</v>
      </c>
      <c r="T2307" cm="1">
        <f t="array" ref="T2307">_xlfn.SWITCH(S2307,"Annually",6,"Bi-Weekly",2,"Fortnightly",3,"Monthly",4,"Quarterly",5,"Weekly",1)</f>
        <v>1</v>
      </c>
    </row>
    <row r="2308" spans="1:20" hidden="1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  <c r="S2308" t="str">
        <f t="shared" si="36"/>
        <v>Bi-Weekly</v>
      </c>
      <c r="T2308" cm="1">
        <f t="array" ref="T2308">_xlfn.SWITCH(S2308,"Annually",6,"Bi-Weekly",2,"Fortnightly",3,"Monthly",4,"Quarterly",5,"Weekly",1)</f>
        <v>2</v>
      </c>
    </row>
    <row r="2309" spans="1:20" hidden="1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  <c r="S2309" t="str">
        <f t="shared" si="36"/>
        <v>Annually</v>
      </c>
      <c r="T2309" cm="1">
        <f t="array" ref="T2309">_xlfn.SWITCH(S2309,"Annually",6,"Bi-Weekly",2,"Fortnightly",3,"Monthly",4,"Quarterly",5,"Weekly",1)</f>
        <v>6</v>
      </c>
    </row>
    <row r="2310" spans="1:20" hidden="1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  <c r="S2310" t="str">
        <f t="shared" si="36"/>
        <v>Quarterly</v>
      </c>
      <c r="T2310" cm="1">
        <f t="array" ref="T2310">_xlfn.SWITCH(S2310,"Annually",6,"Bi-Weekly",2,"Fortnightly",3,"Monthly",4,"Quarterly",5,"Weekly",1)</f>
        <v>5</v>
      </c>
    </row>
    <row r="2311" spans="1:20" hidden="1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  <c r="S2311" t="str">
        <f t="shared" si="36"/>
        <v>Quarterly</v>
      </c>
      <c r="T2311" cm="1">
        <f t="array" ref="T2311">_xlfn.SWITCH(S2311,"Annually",6,"Bi-Weekly",2,"Fortnightly",3,"Monthly",4,"Quarterly",5,"Weekly",1)</f>
        <v>5</v>
      </c>
    </row>
    <row r="2312" spans="1:20" hidden="1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  <c r="S2312" t="str">
        <f t="shared" si="36"/>
        <v>Monthly</v>
      </c>
      <c r="T2312" cm="1">
        <f t="array" ref="T2312">_xlfn.SWITCH(S2312,"Annually",6,"Bi-Weekly",2,"Fortnightly",3,"Monthly",4,"Quarterly",5,"Weekly",1)</f>
        <v>4</v>
      </c>
    </row>
    <row r="2313" spans="1:20" hidden="1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  <c r="S2313" t="str">
        <f t="shared" si="36"/>
        <v>Quarterly</v>
      </c>
      <c r="T2313" cm="1">
        <f t="array" ref="T2313">_xlfn.SWITCH(S2313,"Annually",6,"Bi-Weekly",2,"Fortnightly",3,"Monthly",4,"Quarterly",5,"Weekly",1)</f>
        <v>5</v>
      </c>
    </row>
    <row r="2314" spans="1:20" hidden="1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  <c r="S2314" t="str">
        <f t="shared" si="36"/>
        <v>Quarterly</v>
      </c>
      <c r="T2314" cm="1">
        <f t="array" ref="T2314">_xlfn.SWITCH(S2314,"Annually",6,"Bi-Weekly",2,"Fortnightly",3,"Monthly",4,"Quarterly",5,"Weekly",1)</f>
        <v>5</v>
      </c>
    </row>
    <row r="2315" spans="1:20" hidden="1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  <c r="S2315" t="str">
        <f t="shared" si="36"/>
        <v>Fortnightly</v>
      </c>
      <c r="T2315" cm="1">
        <f t="array" ref="T2315">_xlfn.SWITCH(S2315,"Annually",6,"Bi-Weekly",2,"Fortnightly",3,"Monthly",4,"Quarterly",5,"Weekly",1)</f>
        <v>3</v>
      </c>
    </row>
    <row r="2316" spans="1:20" hidden="1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  <c r="S2316" t="str">
        <f t="shared" si="36"/>
        <v>Quarterly</v>
      </c>
      <c r="T2316" cm="1">
        <f t="array" ref="T2316">_xlfn.SWITCH(S2316,"Annually",6,"Bi-Weekly",2,"Fortnightly",3,"Monthly",4,"Quarterly",5,"Weekly",1)</f>
        <v>5</v>
      </c>
    </row>
    <row r="2317" spans="1:20" hidden="1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  <c r="S2317" t="str">
        <f t="shared" si="36"/>
        <v>Quarterly</v>
      </c>
      <c r="T2317" cm="1">
        <f t="array" ref="T2317">_xlfn.SWITCH(S2317,"Annually",6,"Bi-Weekly",2,"Fortnightly",3,"Monthly",4,"Quarterly",5,"Weekly",1)</f>
        <v>5</v>
      </c>
    </row>
    <row r="2318" spans="1:20" hidden="1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  <c r="S2318" t="str">
        <f t="shared" si="36"/>
        <v>Annually</v>
      </c>
      <c r="T2318" cm="1">
        <f t="array" ref="T2318">_xlfn.SWITCH(S2318,"Annually",6,"Bi-Weekly",2,"Fortnightly",3,"Monthly",4,"Quarterly",5,"Weekly",1)</f>
        <v>6</v>
      </c>
    </row>
    <row r="2319" spans="1:20" hidden="1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  <c r="S2319" t="str">
        <f t="shared" si="36"/>
        <v>Monthly</v>
      </c>
      <c r="T2319" cm="1">
        <f t="array" ref="T2319">_xlfn.SWITCH(S2319,"Annually",6,"Bi-Weekly",2,"Fortnightly",3,"Monthly",4,"Quarterly",5,"Weekly",1)</f>
        <v>4</v>
      </c>
    </row>
    <row r="2320" spans="1:20" hidden="1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  <c r="S2320" t="str">
        <f t="shared" si="36"/>
        <v>Annually</v>
      </c>
      <c r="T2320" cm="1">
        <f t="array" ref="T2320">_xlfn.SWITCH(S2320,"Annually",6,"Bi-Weekly",2,"Fortnightly",3,"Monthly",4,"Quarterly",5,"Weekly",1)</f>
        <v>6</v>
      </c>
    </row>
    <row r="2321" spans="1:20" hidden="1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  <c r="S2321" t="str">
        <f t="shared" si="36"/>
        <v>Monthly</v>
      </c>
      <c r="T2321" cm="1">
        <f t="array" ref="T2321">_xlfn.SWITCH(S2321,"Annually",6,"Bi-Weekly",2,"Fortnightly",3,"Monthly",4,"Quarterly",5,"Weekly",1)</f>
        <v>4</v>
      </c>
    </row>
    <row r="2322" spans="1:20" hidden="1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  <c r="S2322" t="str">
        <f t="shared" si="36"/>
        <v>Quarterly</v>
      </c>
      <c r="T2322" cm="1">
        <f t="array" ref="T2322">_xlfn.SWITCH(S2322,"Annually",6,"Bi-Weekly",2,"Fortnightly",3,"Monthly",4,"Quarterly",5,"Weekly",1)</f>
        <v>5</v>
      </c>
    </row>
    <row r="2323" spans="1:20" hidden="1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  <c r="S2323" t="str">
        <f t="shared" si="36"/>
        <v>Fortnightly</v>
      </c>
      <c r="T2323" cm="1">
        <f t="array" ref="T2323">_xlfn.SWITCH(S2323,"Annually",6,"Bi-Weekly",2,"Fortnightly",3,"Monthly",4,"Quarterly",5,"Weekly",1)</f>
        <v>3</v>
      </c>
    </row>
    <row r="2324" spans="1:20" hidden="1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  <c r="S2324" t="str">
        <f t="shared" si="36"/>
        <v>Fortnightly</v>
      </c>
      <c r="T2324" cm="1">
        <f t="array" ref="T2324">_xlfn.SWITCH(S2324,"Annually",6,"Bi-Weekly",2,"Fortnightly",3,"Monthly",4,"Quarterly",5,"Weekly",1)</f>
        <v>3</v>
      </c>
    </row>
    <row r="2325" spans="1:20" hidden="1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  <c r="S2325" t="str">
        <f t="shared" si="36"/>
        <v>Monthly</v>
      </c>
      <c r="T2325" cm="1">
        <f t="array" ref="T2325">_xlfn.SWITCH(S2325,"Annually",6,"Bi-Weekly",2,"Fortnightly",3,"Monthly",4,"Quarterly",5,"Weekly",1)</f>
        <v>4</v>
      </c>
    </row>
    <row r="2326" spans="1:20" hidden="1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  <c r="S2326" t="str">
        <f t="shared" si="36"/>
        <v>Annually</v>
      </c>
      <c r="T2326" cm="1">
        <f t="array" ref="T2326">_xlfn.SWITCH(S2326,"Annually",6,"Bi-Weekly",2,"Fortnightly",3,"Monthly",4,"Quarterly",5,"Weekly",1)</f>
        <v>6</v>
      </c>
    </row>
    <row r="2327" spans="1:20" hidden="1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  <c r="S2327" t="str">
        <f t="shared" si="36"/>
        <v>Weekly</v>
      </c>
      <c r="T2327" cm="1">
        <f t="array" ref="T2327">_xlfn.SWITCH(S2327,"Annually",6,"Bi-Weekly",2,"Fortnightly",3,"Monthly",4,"Quarterly",5,"Weekly",1)</f>
        <v>1</v>
      </c>
    </row>
    <row r="2328" spans="1:20" hidden="1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  <c r="S2328" t="str">
        <f t="shared" si="36"/>
        <v>Annually</v>
      </c>
      <c r="T2328" cm="1">
        <f t="array" ref="T2328">_xlfn.SWITCH(S2328,"Annually",6,"Bi-Weekly",2,"Fortnightly",3,"Monthly",4,"Quarterly",5,"Weekly",1)</f>
        <v>6</v>
      </c>
    </row>
    <row r="2329" spans="1:20" hidden="1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  <c r="S2329" t="str">
        <f t="shared" si="36"/>
        <v>Bi-Weekly</v>
      </c>
      <c r="T2329" cm="1">
        <f t="array" ref="T2329">_xlfn.SWITCH(S2329,"Annually",6,"Bi-Weekly",2,"Fortnightly",3,"Monthly",4,"Quarterly",5,"Weekly",1)</f>
        <v>2</v>
      </c>
    </row>
    <row r="2330" spans="1:20" hidden="1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  <c r="S2330" t="str">
        <f t="shared" si="36"/>
        <v>Bi-Weekly</v>
      </c>
      <c r="T2330" cm="1">
        <f t="array" ref="T2330">_xlfn.SWITCH(S2330,"Annually",6,"Bi-Weekly",2,"Fortnightly",3,"Monthly",4,"Quarterly",5,"Weekly",1)</f>
        <v>2</v>
      </c>
    </row>
    <row r="2331" spans="1:20" hidden="1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  <c r="S2331" t="str">
        <f t="shared" si="36"/>
        <v>Annually</v>
      </c>
      <c r="T2331" cm="1">
        <f t="array" ref="T2331">_xlfn.SWITCH(S2331,"Annually",6,"Bi-Weekly",2,"Fortnightly",3,"Monthly",4,"Quarterly",5,"Weekly",1)</f>
        <v>6</v>
      </c>
    </row>
    <row r="2332" spans="1:20" hidden="1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  <c r="S2332" t="str">
        <f t="shared" si="36"/>
        <v>Quarterly</v>
      </c>
      <c r="T2332" cm="1">
        <f t="array" ref="T2332">_xlfn.SWITCH(S2332,"Annually",6,"Bi-Weekly",2,"Fortnightly",3,"Monthly",4,"Quarterly",5,"Weekly",1)</f>
        <v>5</v>
      </c>
    </row>
    <row r="2333" spans="1:20" hidden="1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  <c r="S2333" t="str">
        <f t="shared" si="36"/>
        <v>Bi-Weekly</v>
      </c>
      <c r="T2333" cm="1">
        <f t="array" ref="T2333">_xlfn.SWITCH(S2333,"Annually",6,"Bi-Weekly",2,"Fortnightly",3,"Monthly",4,"Quarterly",5,"Weekly",1)</f>
        <v>2</v>
      </c>
    </row>
    <row r="2334" spans="1:20" hidden="1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  <c r="S2334" t="str">
        <f t="shared" si="36"/>
        <v>Monthly</v>
      </c>
      <c r="T2334" cm="1">
        <f t="array" ref="T2334">_xlfn.SWITCH(S2334,"Annually",6,"Bi-Weekly",2,"Fortnightly",3,"Monthly",4,"Quarterly",5,"Weekly",1)</f>
        <v>4</v>
      </c>
    </row>
    <row r="2335" spans="1:20" hidden="1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  <c r="S2335" t="str">
        <f t="shared" si="36"/>
        <v>Quarterly</v>
      </c>
      <c r="T2335" cm="1">
        <f t="array" ref="T2335">_xlfn.SWITCH(S2335,"Annually",6,"Bi-Weekly",2,"Fortnightly",3,"Monthly",4,"Quarterly",5,"Weekly",1)</f>
        <v>5</v>
      </c>
    </row>
    <row r="2336" spans="1:20" hidden="1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  <c r="S2336" t="str">
        <f t="shared" si="36"/>
        <v>Monthly</v>
      </c>
      <c r="T2336" cm="1">
        <f t="array" ref="T2336">_xlfn.SWITCH(S2336,"Annually",6,"Bi-Weekly",2,"Fortnightly",3,"Monthly",4,"Quarterly",5,"Weekly",1)</f>
        <v>4</v>
      </c>
    </row>
    <row r="2337" spans="1:20" hidden="1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  <c r="S2337" t="str">
        <f t="shared" si="36"/>
        <v>Fortnightly</v>
      </c>
      <c r="T2337" cm="1">
        <f t="array" ref="T2337">_xlfn.SWITCH(S2337,"Annually",6,"Bi-Weekly",2,"Fortnightly",3,"Monthly",4,"Quarterly",5,"Weekly",1)</f>
        <v>3</v>
      </c>
    </row>
    <row r="2338" spans="1:20" hidden="1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  <c r="S2338" t="str">
        <f t="shared" si="36"/>
        <v>Weekly</v>
      </c>
      <c r="T2338" cm="1">
        <f t="array" ref="T2338">_xlfn.SWITCH(S2338,"Annually",6,"Bi-Weekly",2,"Fortnightly",3,"Monthly",4,"Quarterly",5,"Weekly",1)</f>
        <v>1</v>
      </c>
    </row>
    <row r="2339" spans="1:20" hidden="1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  <c r="S2339" t="str">
        <f t="shared" si="36"/>
        <v>Annually</v>
      </c>
      <c r="T2339" cm="1">
        <f t="array" ref="T2339">_xlfn.SWITCH(S2339,"Annually",6,"Bi-Weekly",2,"Fortnightly",3,"Monthly",4,"Quarterly",5,"Weekly",1)</f>
        <v>6</v>
      </c>
    </row>
    <row r="2340" spans="1:20" hidden="1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  <c r="S2340" t="str">
        <f t="shared" si="36"/>
        <v>Quarterly</v>
      </c>
      <c r="T2340" cm="1">
        <f t="array" ref="T2340">_xlfn.SWITCH(S2340,"Annually",6,"Bi-Weekly",2,"Fortnightly",3,"Monthly",4,"Quarterly",5,"Weekly",1)</f>
        <v>5</v>
      </c>
    </row>
    <row r="2341" spans="1:20" hidden="1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  <c r="S2341" t="str">
        <f t="shared" si="36"/>
        <v>Quarterly</v>
      </c>
      <c r="T2341" cm="1">
        <f t="array" ref="T2341">_xlfn.SWITCH(S2341,"Annually",6,"Bi-Weekly",2,"Fortnightly",3,"Monthly",4,"Quarterly",5,"Weekly",1)</f>
        <v>5</v>
      </c>
    </row>
    <row r="2342" spans="1:20" hidden="1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  <c r="S2342" t="str">
        <f t="shared" si="36"/>
        <v>Fortnightly</v>
      </c>
      <c r="T2342" cm="1">
        <f t="array" ref="T2342">_xlfn.SWITCH(S2342,"Annually",6,"Bi-Weekly",2,"Fortnightly",3,"Monthly",4,"Quarterly",5,"Weekly",1)</f>
        <v>3</v>
      </c>
    </row>
    <row r="2343" spans="1:20" hidden="1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  <c r="S2343" t="str">
        <f t="shared" si="36"/>
        <v>Quarterly</v>
      </c>
      <c r="T2343" cm="1">
        <f t="array" ref="T2343">_xlfn.SWITCH(S2343,"Annually",6,"Bi-Weekly",2,"Fortnightly",3,"Monthly",4,"Quarterly",5,"Weekly",1)</f>
        <v>5</v>
      </c>
    </row>
    <row r="2344" spans="1:20" hidden="1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  <c r="S2344" t="str">
        <f t="shared" si="36"/>
        <v>Fortnightly</v>
      </c>
      <c r="T2344" cm="1">
        <f t="array" ref="T2344">_xlfn.SWITCH(S2344,"Annually",6,"Bi-Weekly",2,"Fortnightly",3,"Monthly",4,"Quarterly",5,"Weekly",1)</f>
        <v>3</v>
      </c>
    </row>
    <row r="2345" spans="1:20" hidden="1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  <c r="S2345" t="str">
        <f t="shared" si="36"/>
        <v>Monthly</v>
      </c>
      <c r="T2345" cm="1">
        <f t="array" ref="T2345">_xlfn.SWITCH(S2345,"Annually",6,"Bi-Weekly",2,"Fortnightly",3,"Monthly",4,"Quarterly",5,"Weekly",1)</f>
        <v>4</v>
      </c>
    </row>
    <row r="2346" spans="1:20" hidden="1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  <c r="S2346" t="str">
        <f t="shared" si="36"/>
        <v>Bi-Weekly</v>
      </c>
      <c r="T2346" cm="1">
        <f t="array" ref="T2346">_xlfn.SWITCH(S2346,"Annually",6,"Bi-Weekly",2,"Fortnightly",3,"Monthly",4,"Quarterly",5,"Weekly",1)</f>
        <v>2</v>
      </c>
    </row>
    <row r="2347" spans="1:20" hidden="1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  <c r="S2347" t="str">
        <f t="shared" si="36"/>
        <v>Quarterly</v>
      </c>
      <c r="T2347" cm="1">
        <f t="array" ref="T2347">_xlfn.SWITCH(S2347,"Annually",6,"Bi-Weekly",2,"Fortnightly",3,"Monthly",4,"Quarterly",5,"Weekly",1)</f>
        <v>5</v>
      </c>
    </row>
    <row r="2348" spans="1:20" hidden="1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  <c r="S2348" t="str">
        <f t="shared" si="36"/>
        <v>Fortnightly</v>
      </c>
      <c r="T2348" cm="1">
        <f t="array" ref="T2348">_xlfn.SWITCH(S2348,"Annually",6,"Bi-Weekly",2,"Fortnightly",3,"Monthly",4,"Quarterly",5,"Weekly",1)</f>
        <v>3</v>
      </c>
    </row>
    <row r="2349" spans="1:20" hidden="1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  <c r="S2349" t="str">
        <f t="shared" si="36"/>
        <v>Quarterly</v>
      </c>
      <c r="T2349" cm="1">
        <f t="array" ref="T2349">_xlfn.SWITCH(S2349,"Annually",6,"Bi-Weekly",2,"Fortnightly",3,"Monthly",4,"Quarterly",5,"Weekly",1)</f>
        <v>5</v>
      </c>
    </row>
    <row r="2350" spans="1:20" hidden="1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  <c r="S2350" t="str">
        <f t="shared" si="36"/>
        <v>Quarterly</v>
      </c>
      <c r="T2350" cm="1">
        <f t="array" ref="T2350">_xlfn.SWITCH(S2350,"Annually",6,"Bi-Weekly",2,"Fortnightly",3,"Monthly",4,"Quarterly",5,"Weekly",1)</f>
        <v>5</v>
      </c>
    </row>
    <row r="2351" spans="1:20" hidden="1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  <c r="S2351" t="str">
        <f t="shared" si="36"/>
        <v>Quarterly</v>
      </c>
      <c r="T2351" cm="1">
        <f t="array" ref="T2351">_xlfn.SWITCH(S2351,"Annually",6,"Bi-Weekly",2,"Fortnightly",3,"Monthly",4,"Quarterly",5,"Weekly",1)</f>
        <v>5</v>
      </c>
    </row>
    <row r="2352" spans="1:20" hidden="1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  <c r="S2352" t="str">
        <f t="shared" si="36"/>
        <v>Annually</v>
      </c>
      <c r="T2352" cm="1">
        <f t="array" ref="T2352">_xlfn.SWITCH(S2352,"Annually",6,"Bi-Weekly",2,"Fortnightly",3,"Monthly",4,"Quarterly",5,"Weekly",1)</f>
        <v>6</v>
      </c>
    </row>
    <row r="2353" spans="1:20" hidden="1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  <c r="S2353" t="str">
        <f t="shared" si="36"/>
        <v>Bi-Weekly</v>
      </c>
      <c r="T2353" cm="1">
        <f t="array" ref="T2353">_xlfn.SWITCH(S2353,"Annually",6,"Bi-Weekly",2,"Fortnightly",3,"Monthly",4,"Quarterly",5,"Weekly",1)</f>
        <v>2</v>
      </c>
    </row>
    <row r="2354" spans="1:20" hidden="1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  <c r="S2354" t="str">
        <f t="shared" si="36"/>
        <v>Quarterly</v>
      </c>
      <c r="T2354" cm="1">
        <f t="array" ref="T2354">_xlfn.SWITCH(S2354,"Annually",6,"Bi-Weekly",2,"Fortnightly",3,"Monthly",4,"Quarterly",5,"Weekly",1)</f>
        <v>5</v>
      </c>
    </row>
    <row r="2355" spans="1:20" hidden="1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  <c r="S2355" t="str">
        <f t="shared" si="36"/>
        <v>Quarterly</v>
      </c>
      <c r="T2355" cm="1">
        <f t="array" ref="T2355">_xlfn.SWITCH(S2355,"Annually",6,"Bi-Weekly",2,"Fortnightly",3,"Monthly",4,"Quarterly",5,"Weekly",1)</f>
        <v>5</v>
      </c>
    </row>
    <row r="2356" spans="1:20" hidden="1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  <c r="S2356" t="str">
        <f t="shared" si="36"/>
        <v>Monthly</v>
      </c>
      <c r="T2356" cm="1">
        <f t="array" ref="T2356">_xlfn.SWITCH(S2356,"Annually",6,"Bi-Weekly",2,"Fortnightly",3,"Monthly",4,"Quarterly",5,"Weekly",1)</f>
        <v>4</v>
      </c>
    </row>
    <row r="2357" spans="1:20" hidden="1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  <c r="S2357" t="str">
        <f t="shared" si="36"/>
        <v>Monthly</v>
      </c>
      <c r="T2357" cm="1">
        <f t="array" ref="T2357">_xlfn.SWITCH(S2357,"Annually",6,"Bi-Weekly",2,"Fortnightly",3,"Monthly",4,"Quarterly",5,"Weekly",1)</f>
        <v>4</v>
      </c>
    </row>
    <row r="2358" spans="1:20" hidden="1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  <c r="S2358" t="str">
        <f t="shared" si="36"/>
        <v>Quarterly</v>
      </c>
      <c r="T2358" cm="1">
        <f t="array" ref="T2358">_xlfn.SWITCH(S2358,"Annually",6,"Bi-Weekly",2,"Fortnightly",3,"Monthly",4,"Quarterly",5,"Weekly",1)</f>
        <v>5</v>
      </c>
    </row>
    <row r="2359" spans="1:20" hidden="1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  <c r="S2359" t="str">
        <f t="shared" si="36"/>
        <v>Bi-Weekly</v>
      </c>
      <c r="T2359" cm="1">
        <f t="array" ref="T2359">_xlfn.SWITCH(S2359,"Annually",6,"Bi-Weekly",2,"Fortnightly",3,"Monthly",4,"Quarterly",5,"Weekly",1)</f>
        <v>2</v>
      </c>
    </row>
    <row r="2360" spans="1:20" hidden="1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  <c r="S2360" t="str">
        <f t="shared" si="36"/>
        <v>Quarterly</v>
      </c>
      <c r="T2360" cm="1">
        <f t="array" ref="T2360">_xlfn.SWITCH(S2360,"Annually",6,"Bi-Weekly",2,"Fortnightly",3,"Monthly",4,"Quarterly",5,"Weekly",1)</f>
        <v>5</v>
      </c>
    </row>
    <row r="2361" spans="1:20" hidden="1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  <c r="S2361" t="str">
        <f t="shared" si="36"/>
        <v>Quarterly</v>
      </c>
      <c r="T2361" cm="1">
        <f t="array" ref="T2361">_xlfn.SWITCH(S2361,"Annually",6,"Bi-Weekly",2,"Fortnightly",3,"Monthly",4,"Quarterly",5,"Weekly",1)</f>
        <v>5</v>
      </c>
    </row>
    <row r="2362" spans="1:20" hidden="1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  <c r="S2362" t="str">
        <f t="shared" si="36"/>
        <v>Quarterly</v>
      </c>
      <c r="T2362" cm="1">
        <f t="array" ref="T2362">_xlfn.SWITCH(S2362,"Annually",6,"Bi-Weekly",2,"Fortnightly",3,"Monthly",4,"Quarterly",5,"Weekly",1)</f>
        <v>5</v>
      </c>
    </row>
    <row r="2363" spans="1:20" hidden="1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  <c r="S2363" t="str">
        <f t="shared" si="36"/>
        <v>Quarterly</v>
      </c>
      <c r="T2363" cm="1">
        <f t="array" ref="T2363">_xlfn.SWITCH(S2363,"Annually",6,"Bi-Weekly",2,"Fortnightly",3,"Monthly",4,"Quarterly",5,"Weekly",1)</f>
        <v>5</v>
      </c>
    </row>
    <row r="2364" spans="1:20" hidden="1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  <c r="S2364" t="str">
        <f t="shared" si="36"/>
        <v>Monthly</v>
      </c>
      <c r="T2364" cm="1">
        <f t="array" ref="T2364">_xlfn.SWITCH(S2364,"Annually",6,"Bi-Weekly",2,"Fortnightly",3,"Monthly",4,"Quarterly",5,"Weekly",1)</f>
        <v>4</v>
      </c>
    </row>
    <row r="2365" spans="1:20" hidden="1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  <c r="S2365" t="str">
        <f t="shared" si="36"/>
        <v>Bi-Weekly</v>
      </c>
      <c r="T2365" cm="1">
        <f t="array" ref="T2365">_xlfn.SWITCH(S2365,"Annually",6,"Bi-Weekly",2,"Fortnightly",3,"Monthly",4,"Quarterly",5,"Weekly",1)</f>
        <v>2</v>
      </c>
    </row>
    <row r="2366" spans="1:20" hidden="1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  <c r="S2366" t="str">
        <f t="shared" si="36"/>
        <v>Quarterly</v>
      </c>
      <c r="T2366" cm="1">
        <f t="array" ref="T2366">_xlfn.SWITCH(S2366,"Annually",6,"Bi-Weekly",2,"Fortnightly",3,"Monthly",4,"Quarterly",5,"Weekly",1)</f>
        <v>5</v>
      </c>
    </row>
    <row r="2367" spans="1:20" hidden="1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  <c r="S2367" t="str">
        <f t="shared" si="36"/>
        <v>Monthly</v>
      </c>
      <c r="T2367" cm="1">
        <f t="array" ref="T2367">_xlfn.SWITCH(S2367,"Annually",6,"Bi-Weekly",2,"Fortnightly",3,"Monthly",4,"Quarterly",5,"Weekly",1)</f>
        <v>4</v>
      </c>
    </row>
    <row r="2368" spans="1:20" hidden="1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  <c r="S2368" t="str">
        <f t="shared" si="36"/>
        <v>Fortnightly</v>
      </c>
      <c r="T2368" cm="1">
        <f t="array" ref="T2368">_xlfn.SWITCH(S2368,"Annually",6,"Bi-Weekly",2,"Fortnightly",3,"Monthly",4,"Quarterly",5,"Weekly",1)</f>
        <v>3</v>
      </c>
    </row>
    <row r="2369" spans="1:20" hidden="1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  <c r="S2369" t="str">
        <f t="shared" si="36"/>
        <v>Bi-Weekly</v>
      </c>
      <c r="T2369" cm="1">
        <f t="array" ref="T2369">_xlfn.SWITCH(S2369,"Annually",6,"Bi-Weekly",2,"Fortnightly",3,"Monthly",4,"Quarterly",5,"Weekly",1)</f>
        <v>2</v>
      </c>
    </row>
    <row r="2370" spans="1:20" hidden="1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  <c r="S2370" t="str">
        <f t="shared" si="36"/>
        <v>Quarterly</v>
      </c>
      <c r="T2370" cm="1">
        <f t="array" ref="T2370">_xlfn.SWITCH(S2370,"Annually",6,"Bi-Weekly",2,"Fortnightly",3,"Monthly",4,"Quarterly",5,"Weekly",1)</f>
        <v>5</v>
      </c>
    </row>
    <row r="2371" spans="1:20" hidden="1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  <c r="S2371" t="str">
        <f t="shared" ref="S2371:S2434" si="37">IF(R2371="Every 3 Months","Quarterly",R2371)</f>
        <v>Monthly</v>
      </c>
      <c r="T2371" cm="1">
        <f t="array" ref="T2371">_xlfn.SWITCH(S2371,"Annually",6,"Bi-Weekly",2,"Fortnightly",3,"Monthly",4,"Quarterly",5,"Weekly",1)</f>
        <v>4</v>
      </c>
    </row>
    <row r="2372" spans="1:20" hidden="1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  <c r="S2372" t="str">
        <f t="shared" si="37"/>
        <v>Weekly</v>
      </c>
      <c r="T2372" cm="1">
        <f t="array" ref="T2372">_xlfn.SWITCH(S2372,"Annually",6,"Bi-Weekly",2,"Fortnightly",3,"Monthly",4,"Quarterly",5,"Weekly",1)</f>
        <v>1</v>
      </c>
    </row>
    <row r="2373" spans="1:20" hidden="1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  <c r="S2373" t="str">
        <f t="shared" si="37"/>
        <v>Annually</v>
      </c>
      <c r="T2373" cm="1">
        <f t="array" ref="T2373">_xlfn.SWITCH(S2373,"Annually",6,"Bi-Weekly",2,"Fortnightly",3,"Monthly",4,"Quarterly",5,"Weekly",1)</f>
        <v>6</v>
      </c>
    </row>
    <row r="2374" spans="1:20" hidden="1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  <c r="S2374" t="str">
        <f t="shared" si="37"/>
        <v>Fortnightly</v>
      </c>
      <c r="T2374" cm="1">
        <f t="array" ref="T2374">_xlfn.SWITCH(S2374,"Annually",6,"Bi-Weekly",2,"Fortnightly",3,"Monthly",4,"Quarterly",5,"Weekly",1)</f>
        <v>3</v>
      </c>
    </row>
    <row r="2375" spans="1:20" hidden="1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  <c r="S2375" t="str">
        <f t="shared" si="37"/>
        <v>Quarterly</v>
      </c>
      <c r="T2375" cm="1">
        <f t="array" ref="T2375">_xlfn.SWITCH(S2375,"Annually",6,"Bi-Weekly",2,"Fortnightly",3,"Monthly",4,"Quarterly",5,"Weekly",1)</f>
        <v>5</v>
      </c>
    </row>
    <row r="2376" spans="1:20" hidden="1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  <c r="S2376" t="str">
        <f t="shared" si="37"/>
        <v>Monthly</v>
      </c>
      <c r="T2376" cm="1">
        <f t="array" ref="T2376">_xlfn.SWITCH(S2376,"Annually",6,"Bi-Weekly",2,"Fortnightly",3,"Monthly",4,"Quarterly",5,"Weekly",1)</f>
        <v>4</v>
      </c>
    </row>
    <row r="2377" spans="1:20" hidden="1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  <c r="S2377" t="str">
        <f t="shared" si="37"/>
        <v>Quarterly</v>
      </c>
      <c r="T2377" cm="1">
        <f t="array" ref="T2377">_xlfn.SWITCH(S2377,"Annually",6,"Bi-Weekly",2,"Fortnightly",3,"Monthly",4,"Quarterly",5,"Weekly",1)</f>
        <v>5</v>
      </c>
    </row>
    <row r="2378" spans="1:20" hidden="1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  <c r="S2378" t="str">
        <f t="shared" si="37"/>
        <v>Weekly</v>
      </c>
      <c r="T2378" cm="1">
        <f t="array" ref="T2378">_xlfn.SWITCH(S2378,"Annually",6,"Bi-Weekly",2,"Fortnightly",3,"Monthly",4,"Quarterly",5,"Weekly",1)</f>
        <v>1</v>
      </c>
    </row>
    <row r="2379" spans="1:20" hidden="1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  <c r="S2379" t="str">
        <f t="shared" si="37"/>
        <v>Annually</v>
      </c>
      <c r="T2379" cm="1">
        <f t="array" ref="T2379">_xlfn.SWITCH(S2379,"Annually",6,"Bi-Weekly",2,"Fortnightly",3,"Monthly",4,"Quarterly",5,"Weekly",1)</f>
        <v>6</v>
      </c>
    </row>
    <row r="2380" spans="1:20" hidden="1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  <c r="S2380" t="str">
        <f t="shared" si="37"/>
        <v>Bi-Weekly</v>
      </c>
      <c r="T2380" cm="1">
        <f t="array" ref="T2380">_xlfn.SWITCH(S2380,"Annually",6,"Bi-Weekly",2,"Fortnightly",3,"Monthly",4,"Quarterly",5,"Weekly",1)</f>
        <v>2</v>
      </c>
    </row>
    <row r="2381" spans="1:20" hidden="1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  <c r="S2381" t="str">
        <f t="shared" si="37"/>
        <v>Monthly</v>
      </c>
      <c r="T2381" cm="1">
        <f t="array" ref="T2381">_xlfn.SWITCH(S2381,"Annually",6,"Bi-Weekly",2,"Fortnightly",3,"Monthly",4,"Quarterly",5,"Weekly",1)</f>
        <v>4</v>
      </c>
    </row>
    <row r="2382" spans="1:20" hidden="1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  <c r="S2382" t="str">
        <f t="shared" si="37"/>
        <v>Fortnightly</v>
      </c>
      <c r="T2382" cm="1">
        <f t="array" ref="T2382">_xlfn.SWITCH(S2382,"Annually",6,"Bi-Weekly",2,"Fortnightly",3,"Monthly",4,"Quarterly",5,"Weekly",1)</f>
        <v>3</v>
      </c>
    </row>
    <row r="2383" spans="1:20" hidden="1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  <c r="S2383" t="str">
        <f t="shared" si="37"/>
        <v>Annually</v>
      </c>
      <c r="T2383" cm="1">
        <f t="array" ref="T2383">_xlfn.SWITCH(S2383,"Annually",6,"Bi-Weekly",2,"Fortnightly",3,"Monthly",4,"Quarterly",5,"Weekly",1)</f>
        <v>6</v>
      </c>
    </row>
    <row r="2384" spans="1:20" hidden="1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  <c r="S2384" t="str">
        <f t="shared" si="37"/>
        <v>Weekly</v>
      </c>
      <c r="T2384" cm="1">
        <f t="array" ref="T2384">_xlfn.SWITCH(S2384,"Annually",6,"Bi-Weekly",2,"Fortnightly",3,"Monthly",4,"Quarterly",5,"Weekly",1)</f>
        <v>1</v>
      </c>
    </row>
    <row r="2385" spans="1:20" hidden="1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  <c r="S2385" t="str">
        <f t="shared" si="37"/>
        <v>Annually</v>
      </c>
      <c r="T2385" cm="1">
        <f t="array" ref="T2385">_xlfn.SWITCH(S2385,"Annually",6,"Bi-Weekly",2,"Fortnightly",3,"Monthly",4,"Quarterly",5,"Weekly",1)</f>
        <v>6</v>
      </c>
    </row>
    <row r="2386" spans="1:20" hidden="1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  <c r="S2386" t="str">
        <f t="shared" si="37"/>
        <v>Quarterly</v>
      </c>
      <c r="T2386" cm="1">
        <f t="array" ref="T2386">_xlfn.SWITCH(S2386,"Annually",6,"Bi-Weekly",2,"Fortnightly",3,"Monthly",4,"Quarterly",5,"Weekly",1)</f>
        <v>5</v>
      </c>
    </row>
    <row r="2387" spans="1:20" hidden="1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  <c r="S2387" t="str">
        <f t="shared" si="37"/>
        <v>Weekly</v>
      </c>
      <c r="T2387" cm="1">
        <f t="array" ref="T2387">_xlfn.SWITCH(S2387,"Annually",6,"Bi-Weekly",2,"Fortnightly",3,"Monthly",4,"Quarterly",5,"Weekly",1)</f>
        <v>1</v>
      </c>
    </row>
    <row r="2388" spans="1:20" hidden="1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  <c r="S2388" t="str">
        <f t="shared" si="37"/>
        <v>Monthly</v>
      </c>
      <c r="T2388" cm="1">
        <f t="array" ref="T2388">_xlfn.SWITCH(S2388,"Annually",6,"Bi-Weekly",2,"Fortnightly",3,"Monthly",4,"Quarterly",5,"Weekly",1)</f>
        <v>4</v>
      </c>
    </row>
    <row r="2389" spans="1:20" hidden="1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  <c r="S2389" t="str">
        <f t="shared" si="37"/>
        <v>Monthly</v>
      </c>
      <c r="T2389" cm="1">
        <f t="array" ref="T2389">_xlfn.SWITCH(S2389,"Annually",6,"Bi-Weekly",2,"Fortnightly",3,"Monthly",4,"Quarterly",5,"Weekly",1)</f>
        <v>4</v>
      </c>
    </row>
    <row r="2390" spans="1:20" hidden="1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  <c r="S2390" t="str">
        <f t="shared" si="37"/>
        <v>Annually</v>
      </c>
      <c r="T2390" cm="1">
        <f t="array" ref="T2390">_xlfn.SWITCH(S2390,"Annually",6,"Bi-Weekly",2,"Fortnightly",3,"Monthly",4,"Quarterly",5,"Weekly",1)</f>
        <v>6</v>
      </c>
    </row>
    <row r="2391" spans="1:20" hidden="1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  <c r="S2391" t="str">
        <f t="shared" si="37"/>
        <v>Quarterly</v>
      </c>
      <c r="T2391" cm="1">
        <f t="array" ref="T2391">_xlfn.SWITCH(S2391,"Annually",6,"Bi-Weekly",2,"Fortnightly",3,"Monthly",4,"Quarterly",5,"Weekly",1)</f>
        <v>5</v>
      </c>
    </row>
    <row r="2392" spans="1:20" hidden="1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  <c r="S2392" t="str">
        <f t="shared" si="37"/>
        <v>Fortnightly</v>
      </c>
      <c r="T2392" cm="1">
        <f t="array" ref="T2392">_xlfn.SWITCH(S2392,"Annually",6,"Bi-Weekly",2,"Fortnightly",3,"Monthly",4,"Quarterly",5,"Weekly",1)</f>
        <v>3</v>
      </c>
    </row>
    <row r="2393" spans="1:20" hidden="1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  <c r="S2393" t="str">
        <f t="shared" si="37"/>
        <v>Quarterly</v>
      </c>
      <c r="T2393" cm="1">
        <f t="array" ref="T2393">_xlfn.SWITCH(S2393,"Annually",6,"Bi-Weekly",2,"Fortnightly",3,"Monthly",4,"Quarterly",5,"Weekly",1)</f>
        <v>5</v>
      </c>
    </row>
    <row r="2394" spans="1:20" hidden="1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  <c r="S2394" t="str">
        <f t="shared" si="37"/>
        <v>Annually</v>
      </c>
      <c r="T2394" cm="1">
        <f t="array" ref="T2394">_xlfn.SWITCH(S2394,"Annually",6,"Bi-Weekly",2,"Fortnightly",3,"Monthly",4,"Quarterly",5,"Weekly",1)</f>
        <v>6</v>
      </c>
    </row>
    <row r="2395" spans="1:20" hidden="1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  <c r="S2395" t="str">
        <f t="shared" si="37"/>
        <v>Quarterly</v>
      </c>
      <c r="T2395" cm="1">
        <f t="array" ref="T2395">_xlfn.SWITCH(S2395,"Annually",6,"Bi-Weekly",2,"Fortnightly",3,"Monthly",4,"Quarterly",5,"Weekly",1)</f>
        <v>5</v>
      </c>
    </row>
    <row r="2396" spans="1:20" hidden="1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  <c r="S2396" t="str">
        <f t="shared" si="37"/>
        <v>Fortnightly</v>
      </c>
      <c r="T2396" cm="1">
        <f t="array" ref="T2396">_xlfn.SWITCH(S2396,"Annually",6,"Bi-Weekly",2,"Fortnightly",3,"Monthly",4,"Quarterly",5,"Weekly",1)</f>
        <v>3</v>
      </c>
    </row>
    <row r="2397" spans="1:20" hidden="1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  <c r="S2397" t="str">
        <f t="shared" si="37"/>
        <v>Bi-Weekly</v>
      </c>
      <c r="T2397" cm="1">
        <f t="array" ref="T2397">_xlfn.SWITCH(S2397,"Annually",6,"Bi-Weekly",2,"Fortnightly",3,"Monthly",4,"Quarterly",5,"Weekly",1)</f>
        <v>2</v>
      </c>
    </row>
    <row r="2398" spans="1:20" hidden="1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  <c r="S2398" t="str">
        <f t="shared" si="37"/>
        <v>Weekly</v>
      </c>
      <c r="T2398" cm="1">
        <f t="array" ref="T2398">_xlfn.SWITCH(S2398,"Annually",6,"Bi-Weekly",2,"Fortnightly",3,"Monthly",4,"Quarterly",5,"Weekly",1)</f>
        <v>1</v>
      </c>
    </row>
    <row r="2399" spans="1:20" hidden="1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  <c r="S2399" t="str">
        <f t="shared" si="37"/>
        <v>Monthly</v>
      </c>
      <c r="T2399" cm="1">
        <f t="array" ref="T2399">_xlfn.SWITCH(S2399,"Annually",6,"Bi-Weekly",2,"Fortnightly",3,"Monthly",4,"Quarterly",5,"Weekly",1)</f>
        <v>4</v>
      </c>
    </row>
    <row r="2400" spans="1:20" hidden="1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  <c r="S2400" t="str">
        <f t="shared" si="37"/>
        <v>Fortnightly</v>
      </c>
      <c r="T2400" cm="1">
        <f t="array" ref="T2400">_xlfn.SWITCH(S2400,"Annually",6,"Bi-Weekly",2,"Fortnightly",3,"Monthly",4,"Quarterly",5,"Weekly",1)</f>
        <v>3</v>
      </c>
    </row>
    <row r="2401" spans="1:20" hidden="1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  <c r="S2401" t="str">
        <f t="shared" si="37"/>
        <v>Monthly</v>
      </c>
      <c r="T2401" cm="1">
        <f t="array" ref="T2401">_xlfn.SWITCH(S2401,"Annually",6,"Bi-Weekly",2,"Fortnightly",3,"Monthly",4,"Quarterly",5,"Weekly",1)</f>
        <v>4</v>
      </c>
    </row>
    <row r="2402" spans="1:20" hidden="1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  <c r="S2402" t="str">
        <f t="shared" si="37"/>
        <v>Bi-Weekly</v>
      </c>
      <c r="T2402" cm="1">
        <f t="array" ref="T2402">_xlfn.SWITCH(S2402,"Annually",6,"Bi-Weekly",2,"Fortnightly",3,"Monthly",4,"Quarterly",5,"Weekly",1)</f>
        <v>2</v>
      </c>
    </row>
    <row r="2403" spans="1:20" hidden="1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  <c r="S2403" t="str">
        <f t="shared" si="37"/>
        <v>Bi-Weekly</v>
      </c>
      <c r="T2403" cm="1">
        <f t="array" ref="T2403">_xlfn.SWITCH(S2403,"Annually",6,"Bi-Weekly",2,"Fortnightly",3,"Monthly",4,"Quarterly",5,"Weekly",1)</f>
        <v>2</v>
      </c>
    </row>
    <row r="2404" spans="1:20" hidden="1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  <c r="S2404" t="str">
        <f t="shared" si="37"/>
        <v>Weekly</v>
      </c>
      <c r="T2404" cm="1">
        <f t="array" ref="T2404">_xlfn.SWITCH(S2404,"Annually",6,"Bi-Weekly",2,"Fortnightly",3,"Monthly",4,"Quarterly",5,"Weekly",1)</f>
        <v>1</v>
      </c>
    </row>
    <row r="2405" spans="1:20" hidden="1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  <c r="S2405" t="str">
        <f t="shared" si="37"/>
        <v>Weekly</v>
      </c>
      <c r="T2405" cm="1">
        <f t="array" ref="T2405">_xlfn.SWITCH(S2405,"Annually",6,"Bi-Weekly",2,"Fortnightly",3,"Monthly",4,"Quarterly",5,"Weekly",1)</f>
        <v>1</v>
      </c>
    </row>
    <row r="2406" spans="1:20" hidden="1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  <c r="S2406" t="str">
        <f t="shared" si="37"/>
        <v>Bi-Weekly</v>
      </c>
      <c r="T2406" cm="1">
        <f t="array" ref="T2406">_xlfn.SWITCH(S2406,"Annually",6,"Bi-Weekly",2,"Fortnightly",3,"Monthly",4,"Quarterly",5,"Weekly",1)</f>
        <v>2</v>
      </c>
    </row>
    <row r="2407" spans="1:20" hidden="1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  <c r="S2407" t="str">
        <f t="shared" si="37"/>
        <v>Quarterly</v>
      </c>
      <c r="T2407" cm="1">
        <f t="array" ref="T2407">_xlfn.SWITCH(S2407,"Annually",6,"Bi-Weekly",2,"Fortnightly",3,"Monthly",4,"Quarterly",5,"Weekly",1)</f>
        <v>5</v>
      </c>
    </row>
    <row r="2408" spans="1:20" hidden="1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  <c r="S2408" t="str">
        <f t="shared" si="37"/>
        <v>Weekly</v>
      </c>
      <c r="T2408" cm="1">
        <f t="array" ref="T2408">_xlfn.SWITCH(S2408,"Annually",6,"Bi-Weekly",2,"Fortnightly",3,"Monthly",4,"Quarterly",5,"Weekly",1)</f>
        <v>1</v>
      </c>
    </row>
    <row r="2409" spans="1:20" hidden="1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  <c r="S2409" t="str">
        <f t="shared" si="37"/>
        <v>Bi-Weekly</v>
      </c>
      <c r="T2409" cm="1">
        <f t="array" ref="T2409">_xlfn.SWITCH(S2409,"Annually",6,"Bi-Weekly",2,"Fortnightly",3,"Monthly",4,"Quarterly",5,"Weekly",1)</f>
        <v>2</v>
      </c>
    </row>
    <row r="2410" spans="1:20" hidden="1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  <c r="S2410" t="str">
        <f t="shared" si="37"/>
        <v>Quarterly</v>
      </c>
      <c r="T2410" cm="1">
        <f t="array" ref="T2410">_xlfn.SWITCH(S2410,"Annually",6,"Bi-Weekly",2,"Fortnightly",3,"Monthly",4,"Quarterly",5,"Weekly",1)</f>
        <v>5</v>
      </c>
    </row>
    <row r="2411" spans="1:20" hidden="1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  <c r="S2411" t="str">
        <f t="shared" si="37"/>
        <v>Quarterly</v>
      </c>
      <c r="T2411" cm="1">
        <f t="array" ref="T2411">_xlfn.SWITCH(S2411,"Annually",6,"Bi-Weekly",2,"Fortnightly",3,"Monthly",4,"Quarterly",5,"Weekly",1)</f>
        <v>5</v>
      </c>
    </row>
    <row r="2412" spans="1:20" hidden="1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  <c r="S2412" t="str">
        <f t="shared" si="37"/>
        <v>Monthly</v>
      </c>
      <c r="T2412" cm="1">
        <f t="array" ref="T2412">_xlfn.SWITCH(S2412,"Annually",6,"Bi-Weekly",2,"Fortnightly",3,"Monthly",4,"Quarterly",5,"Weekly",1)</f>
        <v>4</v>
      </c>
    </row>
    <row r="2413" spans="1:20" hidden="1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  <c r="S2413" t="str">
        <f t="shared" si="37"/>
        <v>Quarterly</v>
      </c>
      <c r="T2413" cm="1">
        <f t="array" ref="T2413">_xlfn.SWITCH(S2413,"Annually",6,"Bi-Weekly",2,"Fortnightly",3,"Monthly",4,"Quarterly",5,"Weekly",1)</f>
        <v>5</v>
      </c>
    </row>
    <row r="2414" spans="1:20" hidden="1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  <c r="S2414" t="str">
        <f t="shared" si="37"/>
        <v>Bi-Weekly</v>
      </c>
      <c r="T2414" cm="1">
        <f t="array" ref="T2414">_xlfn.SWITCH(S2414,"Annually",6,"Bi-Weekly",2,"Fortnightly",3,"Monthly",4,"Quarterly",5,"Weekly",1)</f>
        <v>2</v>
      </c>
    </row>
    <row r="2415" spans="1:20" hidden="1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  <c r="S2415" t="str">
        <f t="shared" si="37"/>
        <v>Weekly</v>
      </c>
      <c r="T2415" cm="1">
        <f t="array" ref="T2415">_xlfn.SWITCH(S2415,"Annually",6,"Bi-Weekly",2,"Fortnightly",3,"Monthly",4,"Quarterly",5,"Weekly",1)</f>
        <v>1</v>
      </c>
    </row>
    <row r="2416" spans="1:20" hidden="1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  <c r="S2416" t="str">
        <f t="shared" si="37"/>
        <v>Bi-Weekly</v>
      </c>
      <c r="T2416" cm="1">
        <f t="array" ref="T2416">_xlfn.SWITCH(S2416,"Annually",6,"Bi-Weekly",2,"Fortnightly",3,"Monthly",4,"Quarterly",5,"Weekly",1)</f>
        <v>2</v>
      </c>
    </row>
    <row r="2417" spans="1:20" hidden="1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  <c r="S2417" t="str">
        <f t="shared" si="37"/>
        <v>Weekly</v>
      </c>
      <c r="T2417" cm="1">
        <f t="array" ref="T2417">_xlfn.SWITCH(S2417,"Annually",6,"Bi-Weekly",2,"Fortnightly",3,"Monthly",4,"Quarterly",5,"Weekly",1)</f>
        <v>1</v>
      </c>
    </row>
    <row r="2418" spans="1:20" hidden="1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  <c r="S2418" t="str">
        <f t="shared" si="37"/>
        <v>Quarterly</v>
      </c>
      <c r="T2418" cm="1">
        <f t="array" ref="T2418">_xlfn.SWITCH(S2418,"Annually",6,"Bi-Weekly",2,"Fortnightly",3,"Monthly",4,"Quarterly",5,"Weekly",1)</f>
        <v>5</v>
      </c>
    </row>
    <row r="2419" spans="1:20" hidden="1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  <c r="S2419" t="str">
        <f t="shared" si="37"/>
        <v>Fortnightly</v>
      </c>
      <c r="T2419" cm="1">
        <f t="array" ref="T2419">_xlfn.SWITCH(S2419,"Annually",6,"Bi-Weekly",2,"Fortnightly",3,"Monthly",4,"Quarterly",5,"Weekly",1)</f>
        <v>3</v>
      </c>
    </row>
    <row r="2420" spans="1:20" hidden="1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  <c r="S2420" t="str">
        <f t="shared" si="37"/>
        <v>Quarterly</v>
      </c>
      <c r="T2420" cm="1">
        <f t="array" ref="T2420">_xlfn.SWITCH(S2420,"Annually",6,"Bi-Weekly",2,"Fortnightly",3,"Monthly",4,"Quarterly",5,"Weekly",1)</f>
        <v>5</v>
      </c>
    </row>
    <row r="2421" spans="1:20" hidden="1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  <c r="S2421" t="str">
        <f t="shared" si="37"/>
        <v>Quarterly</v>
      </c>
      <c r="T2421" cm="1">
        <f t="array" ref="T2421">_xlfn.SWITCH(S2421,"Annually",6,"Bi-Weekly",2,"Fortnightly",3,"Monthly",4,"Quarterly",5,"Weekly",1)</f>
        <v>5</v>
      </c>
    </row>
    <row r="2422" spans="1:20" hidden="1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  <c r="S2422" t="str">
        <f t="shared" si="37"/>
        <v>Annually</v>
      </c>
      <c r="T2422" cm="1">
        <f t="array" ref="T2422">_xlfn.SWITCH(S2422,"Annually",6,"Bi-Weekly",2,"Fortnightly",3,"Monthly",4,"Quarterly",5,"Weekly",1)</f>
        <v>6</v>
      </c>
    </row>
    <row r="2423" spans="1:20" hidden="1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  <c r="S2423" t="str">
        <f t="shared" si="37"/>
        <v>Quarterly</v>
      </c>
      <c r="T2423" cm="1">
        <f t="array" ref="T2423">_xlfn.SWITCH(S2423,"Annually",6,"Bi-Weekly",2,"Fortnightly",3,"Monthly",4,"Quarterly",5,"Weekly",1)</f>
        <v>5</v>
      </c>
    </row>
    <row r="2424" spans="1:20" hidden="1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  <c r="S2424" t="str">
        <f t="shared" si="37"/>
        <v>Weekly</v>
      </c>
      <c r="T2424" cm="1">
        <f t="array" ref="T2424">_xlfn.SWITCH(S2424,"Annually",6,"Bi-Weekly",2,"Fortnightly",3,"Monthly",4,"Quarterly",5,"Weekly",1)</f>
        <v>1</v>
      </c>
    </row>
    <row r="2425" spans="1:20" hidden="1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  <c r="S2425" t="str">
        <f t="shared" si="37"/>
        <v>Quarterly</v>
      </c>
      <c r="T2425" cm="1">
        <f t="array" ref="T2425">_xlfn.SWITCH(S2425,"Annually",6,"Bi-Weekly",2,"Fortnightly",3,"Monthly",4,"Quarterly",5,"Weekly",1)</f>
        <v>5</v>
      </c>
    </row>
    <row r="2426" spans="1:20" hidden="1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  <c r="S2426" t="str">
        <f t="shared" si="37"/>
        <v>Bi-Weekly</v>
      </c>
      <c r="T2426" cm="1">
        <f t="array" ref="T2426">_xlfn.SWITCH(S2426,"Annually",6,"Bi-Weekly",2,"Fortnightly",3,"Monthly",4,"Quarterly",5,"Weekly",1)</f>
        <v>2</v>
      </c>
    </row>
    <row r="2427" spans="1:20" hidden="1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  <c r="S2427" t="str">
        <f t="shared" si="37"/>
        <v>Quarterly</v>
      </c>
      <c r="T2427" cm="1">
        <f t="array" ref="T2427">_xlfn.SWITCH(S2427,"Annually",6,"Bi-Weekly",2,"Fortnightly",3,"Monthly",4,"Quarterly",5,"Weekly",1)</f>
        <v>5</v>
      </c>
    </row>
    <row r="2428" spans="1:20" hidden="1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  <c r="S2428" t="str">
        <f t="shared" si="37"/>
        <v>Quarterly</v>
      </c>
      <c r="T2428" cm="1">
        <f t="array" ref="T2428">_xlfn.SWITCH(S2428,"Annually",6,"Bi-Weekly",2,"Fortnightly",3,"Monthly",4,"Quarterly",5,"Weekly",1)</f>
        <v>5</v>
      </c>
    </row>
    <row r="2429" spans="1:20" hidden="1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  <c r="S2429" t="str">
        <f t="shared" si="37"/>
        <v>Quarterly</v>
      </c>
      <c r="T2429" cm="1">
        <f t="array" ref="T2429">_xlfn.SWITCH(S2429,"Annually",6,"Bi-Weekly",2,"Fortnightly",3,"Monthly",4,"Quarterly",5,"Weekly",1)</f>
        <v>5</v>
      </c>
    </row>
    <row r="2430" spans="1:20" hidden="1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  <c r="S2430" t="str">
        <f t="shared" si="37"/>
        <v>Annually</v>
      </c>
      <c r="T2430" cm="1">
        <f t="array" ref="T2430">_xlfn.SWITCH(S2430,"Annually",6,"Bi-Weekly",2,"Fortnightly",3,"Monthly",4,"Quarterly",5,"Weekly",1)</f>
        <v>6</v>
      </c>
    </row>
    <row r="2431" spans="1:20" hidden="1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  <c r="S2431" t="str">
        <f t="shared" si="37"/>
        <v>Fortnightly</v>
      </c>
      <c r="T2431" cm="1">
        <f t="array" ref="T2431">_xlfn.SWITCH(S2431,"Annually",6,"Bi-Weekly",2,"Fortnightly",3,"Monthly",4,"Quarterly",5,"Weekly",1)</f>
        <v>3</v>
      </c>
    </row>
    <row r="2432" spans="1:20" hidden="1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  <c r="S2432" t="str">
        <f t="shared" si="37"/>
        <v>Quarterly</v>
      </c>
      <c r="T2432" cm="1">
        <f t="array" ref="T2432">_xlfn.SWITCH(S2432,"Annually",6,"Bi-Weekly",2,"Fortnightly",3,"Monthly",4,"Quarterly",5,"Weekly",1)</f>
        <v>5</v>
      </c>
    </row>
    <row r="2433" spans="1:20" hidden="1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  <c r="S2433" t="str">
        <f t="shared" si="37"/>
        <v>Quarterly</v>
      </c>
      <c r="T2433" cm="1">
        <f t="array" ref="T2433">_xlfn.SWITCH(S2433,"Annually",6,"Bi-Weekly",2,"Fortnightly",3,"Monthly",4,"Quarterly",5,"Weekly",1)</f>
        <v>5</v>
      </c>
    </row>
    <row r="2434" spans="1:20" hidden="1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  <c r="S2434" t="str">
        <f t="shared" si="37"/>
        <v>Monthly</v>
      </c>
      <c r="T2434" cm="1">
        <f t="array" ref="T2434">_xlfn.SWITCH(S2434,"Annually",6,"Bi-Weekly",2,"Fortnightly",3,"Monthly",4,"Quarterly",5,"Weekly",1)</f>
        <v>4</v>
      </c>
    </row>
    <row r="2435" spans="1:20" hidden="1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  <c r="S2435" t="str">
        <f t="shared" ref="S2435:S2498" si="38">IF(R2435="Every 3 Months","Quarterly",R2435)</f>
        <v>Bi-Weekly</v>
      </c>
      <c r="T2435" cm="1">
        <f t="array" ref="T2435">_xlfn.SWITCH(S2435,"Annually",6,"Bi-Weekly",2,"Fortnightly",3,"Monthly",4,"Quarterly",5,"Weekly",1)</f>
        <v>2</v>
      </c>
    </row>
    <row r="2436" spans="1:20" hidden="1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  <c r="S2436" t="str">
        <f t="shared" si="38"/>
        <v>Monthly</v>
      </c>
      <c r="T2436" cm="1">
        <f t="array" ref="T2436">_xlfn.SWITCH(S2436,"Annually",6,"Bi-Weekly",2,"Fortnightly",3,"Monthly",4,"Quarterly",5,"Weekly",1)</f>
        <v>4</v>
      </c>
    </row>
    <row r="2437" spans="1:20" hidden="1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  <c r="S2437" t="str">
        <f t="shared" si="38"/>
        <v>Bi-Weekly</v>
      </c>
      <c r="T2437" cm="1">
        <f t="array" ref="T2437">_xlfn.SWITCH(S2437,"Annually",6,"Bi-Weekly",2,"Fortnightly",3,"Monthly",4,"Quarterly",5,"Weekly",1)</f>
        <v>2</v>
      </c>
    </row>
    <row r="2438" spans="1:20" hidden="1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  <c r="S2438" t="str">
        <f t="shared" si="38"/>
        <v>Quarterly</v>
      </c>
      <c r="T2438" cm="1">
        <f t="array" ref="T2438">_xlfn.SWITCH(S2438,"Annually",6,"Bi-Weekly",2,"Fortnightly",3,"Monthly",4,"Quarterly",5,"Weekly",1)</f>
        <v>5</v>
      </c>
    </row>
    <row r="2439" spans="1:20" hidden="1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  <c r="S2439" t="str">
        <f t="shared" si="38"/>
        <v>Weekly</v>
      </c>
      <c r="T2439" cm="1">
        <f t="array" ref="T2439">_xlfn.SWITCH(S2439,"Annually",6,"Bi-Weekly",2,"Fortnightly",3,"Monthly",4,"Quarterly",5,"Weekly",1)</f>
        <v>1</v>
      </c>
    </row>
    <row r="2440" spans="1:20" hidden="1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  <c r="S2440" t="str">
        <f t="shared" si="38"/>
        <v>Weekly</v>
      </c>
      <c r="T2440" cm="1">
        <f t="array" ref="T2440">_xlfn.SWITCH(S2440,"Annually",6,"Bi-Weekly",2,"Fortnightly",3,"Monthly",4,"Quarterly",5,"Weekly",1)</f>
        <v>1</v>
      </c>
    </row>
    <row r="2441" spans="1:20" hidden="1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  <c r="S2441" t="str">
        <f t="shared" si="38"/>
        <v>Annually</v>
      </c>
      <c r="T2441" cm="1">
        <f t="array" ref="T2441">_xlfn.SWITCH(S2441,"Annually",6,"Bi-Weekly",2,"Fortnightly",3,"Monthly",4,"Quarterly",5,"Weekly",1)</f>
        <v>6</v>
      </c>
    </row>
    <row r="2442" spans="1:20" hidden="1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  <c r="S2442" t="str">
        <f t="shared" si="38"/>
        <v>Annually</v>
      </c>
      <c r="T2442" cm="1">
        <f t="array" ref="T2442">_xlfn.SWITCH(S2442,"Annually",6,"Bi-Weekly",2,"Fortnightly",3,"Monthly",4,"Quarterly",5,"Weekly",1)</f>
        <v>6</v>
      </c>
    </row>
    <row r="2443" spans="1:20" hidden="1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  <c r="S2443" t="str">
        <f t="shared" si="38"/>
        <v>Monthly</v>
      </c>
      <c r="T2443" cm="1">
        <f t="array" ref="T2443">_xlfn.SWITCH(S2443,"Annually",6,"Bi-Weekly",2,"Fortnightly",3,"Monthly",4,"Quarterly",5,"Weekly",1)</f>
        <v>4</v>
      </c>
    </row>
    <row r="2444" spans="1:20" hidden="1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  <c r="S2444" t="str">
        <f t="shared" si="38"/>
        <v>Bi-Weekly</v>
      </c>
      <c r="T2444" cm="1">
        <f t="array" ref="T2444">_xlfn.SWITCH(S2444,"Annually",6,"Bi-Weekly",2,"Fortnightly",3,"Monthly",4,"Quarterly",5,"Weekly",1)</f>
        <v>2</v>
      </c>
    </row>
    <row r="2445" spans="1:20" hidden="1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  <c r="S2445" t="str">
        <f t="shared" si="38"/>
        <v>Bi-Weekly</v>
      </c>
      <c r="T2445" cm="1">
        <f t="array" ref="T2445">_xlfn.SWITCH(S2445,"Annually",6,"Bi-Weekly",2,"Fortnightly",3,"Monthly",4,"Quarterly",5,"Weekly",1)</f>
        <v>2</v>
      </c>
    </row>
    <row r="2446" spans="1:20" hidden="1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  <c r="S2446" t="str">
        <f t="shared" si="38"/>
        <v>Bi-Weekly</v>
      </c>
      <c r="T2446" cm="1">
        <f t="array" ref="T2446">_xlfn.SWITCH(S2446,"Annually",6,"Bi-Weekly",2,"Fortnightly",3,"Monthly",4,"Quarterly",5,"Weekly",1)</f>
        <v>2</v>
      </c>
    </row>
    <row r="2447" spans="1:20" hidden="1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  <c r="S2447" t="str">
        <f t="shared" si="38"/>
        <v>Weekly</v>
      </c>
      <c r="T2447" cm="1">
        <f t="array" ref="T2447">_xlfn.SWITCH(S2447,"Annually",6,"Bi-Weekly",2,"Fortnightly",3,"Monthly",4,"Quarterly",5,"Weekly",1)</f>
        <v>1</v>
      </c>
    </row>
    <row r="2448" spans="1:20" hidden="1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  <c r="S2448" t="str">
        <f t="shared" si="38"/>
        <v>Monthly</v>
      </c>
      <c r="T2448" cm="1">
        <f t="array" ref="T2448">_xlfn.SWITCH(S2448,"Annually",6,"Bi-Weekly",2,"Fortnightly",3,"Monthly",4,"Quarterly",5,"Weekly",1)</f>
        <v>4</v>
      </c>
    </row>
    <row r="2449" spans="1:20" hidden="1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  <c r="S2449" t="str">
        <f t="shared" si="38"/>
        <v>Fortnightly</v>
      </c>
      <c r="T2449" cm="1">
        <f t="array" ref="T2449">_xlfn.SWITCH(S2449,"Annually",6,"Bi-Weekly",2,"Fortnightly",3,"Monthly",4,"Quarterly",5,"Weekly",1)</f>
        <v>3</v>
      </c>
    </row>
    <row r="2450" spans="1:20" hidden="1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  <c r="S2450" t="str">
        <f t="shared" si="38"/>
        <v>Bi-Weekly</v>
      </c>
      <c r="T2450" cm="1">
        <f t="array" ref="T2450">_xlfn.SWITCH(S2450,"Annually",6,"Bi-Weekly",2,"Fortnightly",3,"Monthly",4,"Quarterly",5,"Weekly",1)</f>
        <v>2</v>
      </c>
    </row>
    <row r="2451" spans="1:20" hidden="1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  <c r="S2451" t="str">
        <f t="shared" si="38"/>
        <v>Fortnightly</v>
      </c>
      <c r="T2451" cm="1">
        <f t="array" ref="T2451">_xlfn.SWITCH(S2451,"Annually",6,"Bi-Weekly",2,"Fortnightly",3,"Monthly",4,"Quarterly",5,"Weekly",1)</f>
        <v>3</v>
      </c>
    </row>
    <row r="2452" spans="1:20" hidden="1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  <c r="S2452" t="str">
        <f t="shared" si="38"/>
        <v>Quarterly</v>
      </c>
      <c r="T2452" cm="1">
        <f t="array" ref="T2452">_xlfn.SWITCH(S2452,"Annually",6,"Bi-Weekly",2,"Fortnightly",3,"Monthly",4,"Quarterly",5,"Weekly",1)</f>
        <v>5</v>
      </c>
    </row>
    <row r="2453" spans="1:20" hidden="1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  <c r="S2453" t="str">
        <f t="shared" si="38"/>
        <v>Monthly</v>
      </c>
      <c r="T2453" cm="1">
        <f t="array" ref="T2453">_xlfn.SWITCH(S2453,"Annually",6,"Bi-Weekly",2,"Fortnightly",3,"Monthly",4,"Quarterly",5,"Weekly",1)</f>
        <v>4</v>
      </c>
    </row>
    <row r="2454" spans="1:20" hidden="1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  <c r="S2454" t="str">
        <f t="shared" si="38"/>
        <v>Quarterly</v>
      </c>
      <c r="T2454" cm="1">
        <f t="array" ref="T2454">_xlfn.SWITCH(S2454,"Annually",6,"Bi-Weekly",2,"Fortnightly",3,"Monthly",4,"Quarterly",5,"Weekly",1)</f>
        <v>5</v>
      </c>
    </row>
    <row r="2455" spans="1:20" hidden="1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  <c r="S2455" t="str">
        <f t="shared" si="38"/>
        <v>Annually</v>
      </c>
      <c r="T2455" cm="1">
        <f t="array" ref="T2455">_xlfn.SWITCH(S2455,"Annually",6,"Bi-Weekly",2,"Fortnightly",3,"Monthly",4,"Quarterly",5,"Weekly",1)</f>
        <v>6</v>
      </c>
    </row>
    <row r="2456" spans="1:20" hidden="1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  <c r="S2456" t="str">
        <f t="shared" si="38"/>
        <v>Annually</v>
      </c>
      <c r="T2456" cm="1">
        <f t="array" ref="T2456">_xlfn.SWITCH(S2456,"Annually",6,"Bi-Weekly",2,"Fortnightly",3,"Monthly",4,"Quarterly",5,"Weekly",1)</f>
        <v>6</v>
      </c>
    </row>
    <row r="2457" spans="1:20" hidden="1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  <c r="S2457" t="str">
        <f t="shared" si="38"/>
        <v>Quarterly</v>
      </c>
      <c r="T2457" cm="1">
        <f t="array" ref="T2457">_xlfn.SWITCH(S2457,"Annually",6,"Bi-Weekly",2,"Fortnightly",3,"Monthly",4,"Quarterly",5,"Weekly",1)</f>
        <v>5</v>
      </c>
    </row>
    <row r="2458" spans="1:20" hidden="1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  <c r="S2458" t="str">
        <f t="shared" si="38"/>
        <v>Monthly</v>
      </c>
      <c r="T2458" cm="1">
        <f t="array" ref="T2458">_xlfn.SWITCH(S2458,"Annually",6,"Bi-Weekly",2,"Fortnightly",3,"Monthly",4,"Quarterly",5,"Weekly",1)</f>
        <v>4</v>
      </c>
    </row>
    <row r="2459" spans="1:20" hidden="1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  <c r="S2459" t="str">
        <f t="shared" si="38"/>
        <v>Quarterly</v>
      </c>
      <c r="T2459" cm="1">
        <f t="array" ref="T2459">_xlfn.SWITCH(S2459,"Annually",6,"Bi-Weekly",2,"Fortnightly",3,"Monthly",4,"Quarterly",5,"Weekly",1)</f>
        <v>5</v>
      </c>
    </row>
    <row r="2460" spans="1:20" hidden="1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  <c r="S2460" t="str">
        <f t="shared" si="38"/>
        <v>Weekly</v>
      </c>
      <c r="T2460" cm="1">
        <f t="array" ref="T2460">_xlfn.SWITCH(S2460,"Annually",6,"Bi-Weekly",2,"Fortnightly",3,"Monthly",4,"Quarterly",5,"Weekly",1)</f>
        <v>1</v>
      </c>
    </row>
    <row r="2461" spans="1:20" hidden="1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  <c r="S2461" t="str">
        <f t="shared" si="38"/>
        <v>Weekly</v>
      </c>
      <c r="T2461" cm="1">
        <f t="array" ref="T2461">_xlfn.SWITCH(S2461,"Annually",6,"Bi-Weekly",2,"Fortnightly",3,"Monthly",4,"Quarterly",5,"Weekly",1)</f>
        <v>1</v>
      </c>
    </row>
    <row r="2462" spans="1:20" hidden="1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  <c r="S2462" t="str">
        <f t="shared" si="38"/>
        <v>Annually</v>
      </c>
      <c r="T2462" cm="1">
        <f t="array" ref="T2462">_xlfn.SWITCH(S2462,"Annually",6,"Bi-Weekly",2,"Fortnightly",3,"Monthly",4,"Quarterly",5,"Weekly",1)</f>
        <v>6</v>
      </c>
    </row>
    <row r="2463" spans="1:20" hidden="1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  <c r="S2463" t="str">
        <f t="shared" si="38"/>
        <v>Weekly</v>
      </c>
      <c r="T2463" cm="1">
        <f t="array" ref="T2463">_xlfn.SWITCH(S2463,"Annually",6,"Bi-Weekly",2,"Fortnightly",3,"Monthly",4,"Quarterly",5,"Weekly",1)</f>
        <v>1</v>
      </c>
    </row>
    <row r="2464" spans="1:20" hidden="1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  <c r="S2464" t="str">
        <f t="shared" si="38"/>
        <v>Bi-Weekly</v>
      </c>
      <c r="T2464" cm="1">
        <f t="array" ref="T2464">_xlfn.SWITCH(S2464,"Annually",6,"Bi-Weekly",2,"Fortnightly",3,"Monthly",4,"Quarterly",5,"Weekly",1)</f>
        <v>2</v>
      </c>
    </row>
    <row r="2465" spans="1:20" hidden="1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  <c r="S2465" t="str">
        <f t="shared" si="38"/>
        <v>Bi-Weekly</v>
      </c>
      <c r="T2465" cm="1">
        <f t="array" ref="T2465">_xlfn.SWITCH(S2465,"Annually",6,"Bi-Weekly",2,"Fortnightly",3,"Monthly",4,"Quarterly",5,"Weekly",1)</f>
        <v>2</v>
      </c>
    </row>
    <row r="2466" spans="1:20" hidden="1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  <c r="S2466" t="str">
        <f t="shared" si="38"/>
        <v>Bi-Weekly</v>
      </c>
      <c r="T2466" cm="1">
        <f t="array" ref="T2466">_xlfn.SWITCH(S2466,"Annually",6,"Bi-Weekly",2,"Fortnightly",3,"Monthly",4,"Quarterly",5,"Weekly",1)</f>
        <v>2</v>
      </c>
    </row>
    <row r="2467" spans="1:20" hidden="1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  <c r="S2467" t="str">
        <f t="shared" si="38"/>
        <v>Weekly</v>
      </c>
      <c r="T2467" cm="1">
        <f t="array" ref="T2467">_xlfn.SWITCH(S2467,"Annually",6,"Bi-Weekly",2,"Fortnightly",3,"Monthly",4,"Quarterly",5,"Weekly",1)</f>
        <v>1</v>
      </c>
    </row>
    <row r="2468" spans="1:20" hidden="1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  <c r="S2468" t="str">
        <f t="shared" si="38"/>
        <v>Annually</v>
      </c>
      <c r="T2468" cm="1">
        <f t="array" ref="T2468">_xlfn.SWITCH(S2468,"Annually",6,"Bi-Weekly",2,"Fortnightly",3,"Monthly",4,"Quarterly",5,"Weekly",1)</f>
        <v>6</v>
      </c>
    </row>
    <row r="2469" spans="1:20" hidden="1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  <c r="S2469" t="str">
        <f t="shared" si="38"/>
        <v>Annually</v>
      </c>
      <c r="T2469" cm="1">
        <f t="array" ref="T2469">_xlfn.SWITCH(S2469,"Annually",6,"Bi-Weekly",2,"Fortnightly",3,"Monthly",4,"Quarterly",5,"Weekly",1)</f>
        <v>6</v>
      </c>
    </row>
    <row r="2470" spans="1:20" hidden="1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  <c r="S2470" t="str">
        <f t="shared" si="38"/>
        <v>Weekly</v>
      </c>
      <c r="T2470" cm="1">
        <f t="array" ref="T2470">_xlfn.SWITCH(S2470,"Annually",6,"Bi-Weekly",2,"Fortnightly",3,"Monthly",4,"Quarterly",5,"Weekly",1)</f>
        <v>1</v>
      </c>
    </row>
    <row r="2471" spans="1:20" hidden="1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  <c r="S2471" t="str">
        <f t="shared" si="38"/>
        <v>Annually</v>
      </c>
      <c r="T2471" cm="1">
        <f t="array" ref="T2471">_xlfn.SWITCH(S2471,"Annually",6,"Bi-Weekly",2,"Fortnightly",3,"Monthly",4,"Quarterly",5,"Weekly",1)</f>
        <v>6</v>
      </c>
    </row>
    <row r="2472" spans="1:20" hidden="1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  <c r="S2472" t="str">
        <f t="shared" si="38"/>
        <v>Fortnightly</v>
      </c>
      <c r="T2472" cm="1">
        <f t="array" ref="T2472">_xlfn.SWITCH(S2472,"Annually",6,"Bi-Weekly",2,"Fortnightly",3,"Monthly",4,"Quarterly",5,"Weekly",1)</f>
        <v>3</v>
      </c>
    </row>
    <row r="2473" spans="1:20" hidden="1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  <c r="S2473" t="str">
        <f t="shared" si="38"/>
        <v>Annually</v>
      </c>
      <c r="T2473" cm="1">
        <f t="array" ref="T2473">_xlfn.SWITCH(S2473,"Annually",6,"Bi-Weekly",2,"Fortnightly",3,"Monthly",4,"Quarterly",5,"Weekly",1)</f>
        <v>6</v>
      </c>
    </row>
    <row r="2474" spans="1:20" hidden="1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  <c r="S2474" t="str">
        <f t="shared" si="38"/>
        <v>Annually</v>
      </c>
      <c r="T2474" cm="1">
        <f t="array" ref="T2474">_xlfn.SWITCH(S2474,"Annually",6,"Bi-Weekly",2,"Fortnightly",3,"Monthly",4,"Quarterly",5,"Weekly",1)</f>
        <v>6</v>
      </c>
    </row>
    <row r="2475" spans="1:20" hidden="1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  <c r="S2475" t="str">
        <f t="shared" si="38"/>
        <v>Quarterly</v>
      </c>
      <c r="T2475" cm="1">
        <f t="array" ref="T2475">_xlfn.SWITCH(S2475,"Annually",6,"Bi-Weekly",2,"Fortnightly",3,"Monthly",4,"Quarterly",5,"Weekly",1)</f>
        <v>5</v>
      </c>
    </row>
    <row r="2476" spans="1:20" hidden="1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  <c r="S2476" t="str">
        <f t="shared" si="38"/>
        <v>Quarterly</v>
      </c>
      <c r="T2476" cm="1">
        <f t="array" ref="T2476">_xlfn.SWITCH(S2476,"Annually",6,"Bi-Weekly",2,"Fortnightly",3,"Monthly",4,"Quarterly",5,"Weekly",1)</f>
        <v>5</v>
      </c>
    </row>
    <row r="2477" spans="1:20" hidden="1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  <c r="S2477" t="str">
        <f t="shared" si="38"/>
        <v>Monthly</v>
      </c>
      <c r="T2477" cm="1">
        <f t="array" ref="T2477">_xlfn.SWITCH(S2477,"Annually",6,"Bi-Weekly",2,"Fortnightly",3,"Monthly",4,"Quarterly",5,"Weekly",1)</f>
        <v>4</v>
      </c>
    </row>
    <row r="2478" spans="1:20" hidden="1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  <c r="S2478" t="str">
        <f t="shared" si="38"/>
        <v>Monthly</v>
      </c>
      <c r="T2478" cm="1">
        <f t="array" ref="T2478">_xlfn.SWITCH(S2478,"Annually",6,"Bi-Weekly",2,"Fortnightly",3,"Monthly",4,"Quarterly",5,"Weekly",1)</f>
        <v>4</v>
      </c>
    </row>
    <row r="2479" spans="1:20" hidden="1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  <c r="S2479" t="str">
        <f t="shared" si="38"/>
        <v>Weekly</v>
      </c>
      <c r="T2479" cm="1">
        <f t="array" ref="T2479">_xlfn.SWITCH(S2479,"Annually",6,"Bi-Weekly",2,"Fortnightly",3,"Monthly",4,"Quarterly",5,"Weekly",1)</f>
        <v>1</v>
      </c>
    </row>
    <row r="2480" spans="1:20" hidden="1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  <c r="S2480" t="str">
        <f t="shared" si="38"/>
        <v>Quarterly</v>
      </c>
      <c r="T2480" cm="1">
        <f t="array" ref="T2480">_xlfn.SWITCH(S2480,"Annually",6,"Bi-Weekly",2,"Fortnightly",3,"Monthly",4,"Quarterly",5,"Weekly",1)</f>
        <v>5</v>
      </c>
    </row>
    <row r="2481" spans="1:20" hidden="1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  <c r="S2481" t="str">
        <f t="shared" si="38"/>
        <v>Quarterly</v>
      </c>
      <c r="T2481" cm="1">
        <f t="array" ref="T2481">_xlfn.SWITCH(S2481,"Annually",6,"Bi-Weekly",2,"Fortnightly",3,"Monthly",4,"Quarterly",5,"Weekly",1)</f>
        <v>5</v>
      </c>
    </row>
    <row r="2482" spans="1:20" hidden="1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  <c r="S2482" t="str">
        <f t="shared" si="38"/>
        <v>Fortnightly</v>
      </c>
      <c r="T2482" cm="1">
        <f t="array" ref="T2482">_xlfn.SWITCH(S2482,"Annually",6,"Bi-Weekly",2,"Fortnightly",3,"Monthly",4,"Quarterly",5,"Weekly",1)</f>
        <v>3</v>
      </c>
    </row>
    <row r="2483" spans="1:20" hidden="1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  <c r="S2483" t="str">
        <f t="shared" si="38"/>
        <v>Weekly</v>
      </c>
      <c r="T2483" cm="1">
        <f t="array" ref="T2483">_xlfn.SWITCH(S2483,"Annually",6,"Bi-Weekly",2,"Fortnightly",3,"Monthly",4,"Quarterly",5,"Weekly",1)</f>
        <v>1</v>
      </c>
    </row>
    <row r="2484" spans="1:20" hidden="1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  <c r="S2484" t="str">
        <f t="shared" si="38"/>
        <v>Quarterly</v>
      </c>
      <c r="T2484" cm="1">
        <f t="array" ref="T2484">_xlfn.SWITCH(S2484,"Annually",6,"Bi-Weekly",2,"Fortnightly",3,"Monthly",4,"Quarterly",5,"Weekly",1)</f>
        <v>5</v>
      </c>
    </row>
    <row r="2485" spans="1:20" hidden="1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  <c r="S2485" t="str">
        <f t="shared" si="38"/>
        <v>Monthly</v>
      </c>
      <c r="T2485" cm="1">
        <f t="array" ref="T2485">_xlfn.SWITCH(S2485,"Annually",6,"Bi-Weekly",2,"Fortnightly",3,"Monthly",4,"Quarterly",5,"Weekly",1)</f>
        <v>4</v>
      </c>
    </row>
    <row r="2486" spans="1:20" hidden="1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  <c r="S2486" t="str">
        <f t="shared" si="38"/>
        <v>Quarterly</v>
      </c>
      <c r="T2486" cm="1">
        <f t="array" ref="T2486">_xlfn.SWITCH(S2486,"Annually",6,"Bi-Weekly",2,"Fortnightly",3,"Monthly",4,"Quarterly",5,"Weekly",1)</f>
        <v>5</v>
      </c>
    </row>
    <row r="2487" spans="1:20" hidden="1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  <c r="S2487" t="str">
        <f t="shared" si="38"/>
        <v>Annually</v>
      </c>
      <c r="T2487" cm="1">
        <f t="array" ref="T2487">_xlfn.SWITCH(S2487,"Annually",6,"Bi-Weekly",2,"Fortnightly",3,"Monthly",4,"Quarterly",5,"Weekly",1)</f>
        <v>6</v>
      </c>
    </row>
    <row r="2488" spans="1:20" hidden="1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  <c r="S2488" t="str">
        <f t="shared" si="38"/>
        <v>Fortnightly</v>
      </c>
      <c r="T2488" cm="1">
        <f t="array" ref="T2488">_xlfn.SWITCH(S2488,"Annually",6,"Bi-Weekly",2,"Fortnightly",3,"Monthly",4,"Quarterly",5,"Weekly",1)</f>
        <v>3</v>
      </c>
    </row>
    <row r="2489" spans="1:20" hidden="1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  <c r="S2489" t="str">
        <f t="shared" si="38"/>
        <v>Bi-Weekly</v>
      </c>
      <c r="T2489" cm="1">
        <f t="array" ref="T2489">_xlfn.SWITCH(S2489,"Annually",6,"Bi-Weekly",2,"Fortnightly",3,"Monthly",4,"Quarterly",5,"Weekly",1)</f>
        <v>2</v>
      </c>
    </row>
    <row r="2490" spans="1:20" hidden="1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  <c r="S2490" t="str">
        <f t="shared" si="38"/>
        <v>Monthly</v>
      </c>
      <c r="T2490" cm="1">
        <f t="array" ref="T2490">_xlfn.SWITCH(S2490,"Annually",6,"Bi-Weekly",2,"Fortnightly",3,"Monthly",4,"Quarterly",5,"Weekly",1)</f>
        <v>4</v>
      </c>
    </row>
    <row r="2491" spans="1:20" hidden="1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  <c r="S2491" t="str">
        <f t="shared" si="38"/>
        <v>Quarterly</v>
      </c>
      <c r="T2491" cm="1">
        <f t="array" ref="T2491">_xlfn.SWITCH(S2491,"Annually",6,"Bi-Weekly",2,"Fortnightly",3,"Monthly",4,"Quarterly",5,"Weekly",1)</f>
        <v>5</v>
      </c>
    </row>
    <row r="2492" spans="1:20" hidden="1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  <c r="S2492" t="str">
        <f t="shared" si="38"/>
        <v>Quarterly</v>
      </c>
      <c r="T2492" cm="1">
        <f t="array" ref="T2492">_xlfn.SWITCH(S2492,"Annually",6,"Bi-Weekly",2,"Fortnightly",3,"Monthly",4,"Quarterly",5,"Weekly",1)</f>
        <v>5</v>
      </c>
    </row>
    <row r="2493" spans="1:20" hidden="1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  <c r="S2493" t="str">
        <f t="shared" si="38"/>
        <v>Monthly</v>
      </c>
      <c r="T2493" cm="1">
        <f t="array" ref="T2493">_xlfn.SWITCH(S2493,"Annually",6,"Bi-Weekly",2,"Fortnightly",3,"Monthly",4,"Quarterly",5,"Weekly",1)</f>
        <v>4</v>
      </c>
    </row>
    <row r="2494" spans="1:20" hidden="1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  <c r="S2494" t="str">
        <f t="shared" si="38"/>
        <v>Bi-Weekly</v>
      </c>
      <c r="T2494" cm="1">
        <f t="array" ref="T2494">_xlfn.SWITCH(S2494,"Annually",6,"Bi-Weekly",2,"Fortnightly",3,"Monthly",4,"Quarterly",5,"Weekly",1)</f>
        <v>2</v>
      </c>
    </row>
    <row r="2495" spans="1:20" hidden="1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  <c r="S2495" t="str">
        <f t="shared" si="38"/>
        <v>Quarterly</v>
      </c>
      <c r="T2495" cm="1">
        <f t="array" ref="T2495">_xlfn.SWITCH(S2495,"Annually",6,"Bi-Weekly",2,"Fortnightly",3,"Monthly",4,"Quarterly",5,"Weekly",1)</f>
        <v>5</v>
      </c>
    </row>
    <row r="2496" spans="1:20" hidden="1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  <c r="S2496" t="str">
        <f t="shared" si="38"/>
        <v>Annually</v>
      </c>
      <c r="T2496" cm="1">
        <f t="array" ref="T2496">_xlfn.SWITCH(S2496,"Annually",6,"Bi-Weekly",2,"Fortnightly",3,"Monthly",4,"Quarterly",5,"Weekly",1)</f>
        <v>6</v>
      </c>
    </row>
    <row r="2497" spans="1:20" hidden="1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  <c r="S2497" t="str">
        <f t="shared" si="38"/>
        <v>Quarterly</v>
      </c>
      <c r="T2497" cm="1">
        <f t="array" ref="T2497">_xlfn.SWITCH(S2497,"Annually",6,"Bi-Weekly",2,"Fortnightly",3,"Monthly",4,"Quarterly",5,"Weekly",1)</f>
        <v>5</v>
      </c>
    </row>
    <row r="2498" spans="1:20" hidden="1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  <c r="S2498" t="str">
        <f t="shared" si="38"/>
        <v>Weekly</v>
      </c>
      <c r="T2498" cm="1">
        <f t="array" ref="T2498">_xlfn.SWITCH(S2498,"Annually",6,"Bi-Weekly",2,"Fortnightly",3,"Monthly",4,"Quarterly",5,"Weekly",1)</f>
        <v>1</v>
      </c>
    </row>
    <row r="2499" spans="1:20" hidden="1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  <c r="S2499" t="str">
        <f t="shared" ref="S2499:S2562" si="39">IF(R2499="Every 3 Months","Quarterly",R2499)</f>
        <v>Annually</v>
      </c>
      <c r="T2499" cm="1">
        <f t="array" ref="T2499">_xlfn.SWITCH(S2499,"Annually",6,"Bi-Weekly",2,"Fortnightly",3,"Monthly",4,"Quarterly",5,"Weekly",1)</f>
        <v>6</v>
      </c>
    </row>
    <row r="2500" spans="1:20" hidden="1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  <c r="S2500" t="str">
        <f t="shared" si="39"/>
        <v>Fortnightly</v>
      </c>
      <c r="T2500" cm="1">
        <f t="array" ref="T2500">_xlfn.SWITCH(S2500,"Annually",6,"Bi-Weekly",2,"Fortnightly",3,"Monthly",4,"Quarterly",5,"Weekly",1)</f>
        <v>3</v>
      </c>
    </row>
    <row r="2501" spans="1:20" hidden="1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  <c r="S2501" t="str">
        <f t="shared" si="39"/>
        <v>Quarterly</v>
      </c>
      <c r="T2501" cm="1">
        <f t="array" ref="T2501">_xlfn.SWITCH(S2501,"Annually",6,"Bi-Weekly",2,"Fortnightly",3,"Monthly",4,"Quarterly",5,"Weekly",1)</f>
        <v>5</v>
      </c>
    </row>
    <row r="2502" spans="1:20" hidden="1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  <c r="S2502" t="str">
        <f t="shared" si="39"/>
        <v>Bi-Weekly</v>
      </c>
      <c r="T2502" cm="1">
        <f t="array" ref="T2502">_xlfn.SWITCH(S2502,"Annually",6,"Bi-Weekly",2,"Fortnightly",3,"Monthly",4,"Quarterly",5,"Weekly",1)</f>
        <v>2</v>
      </c>
    </row>
    <row r="2503" spans="1:20" hidden="1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  <c r="S2503" t="str">
        <f t="shared" si="39"/>
        <v>Bi-Weekly</v>
      </c>
      <c r="T2503" cm="1">
        <f t="array" ref="T2503">_xlfn.SWITCH(S2503,"Annually",6,"Bi-Weekly",2,"Fortnightly",3,"Monthly",4,"Quarterly",5,"Weekly",1)</f>
        <v>2</v>
      </c>
    </row>
    <row r="2504" spans="1:20" hidden="1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  <c r="S2504" t="str">
        <f t="shared" si="39"/>
        <v>Quarterly</v>
      </c>
      <c r="T2504" cm="1">
        <f t="array" ref="T2504">_xlfn.SWITCH(S2504,"Annually",6,"Bi-Weekly",2,"Fortnightly",3,"Monthly",4,"Quarterly",5,"Weekly",1)</f>
        <v>5</v>
      </c>
    </row>
    <row r="2505" spans="1:20" hidden="1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  <c r="S2505" t="str">
        <f t="shared" si="39"/>
        <v>Bi-Weekly</v>
      </c>
      <c r="T2505" cm="1">
        <f t="array" ref="T2505">_xlfn.SWITCH(S2505,"Annually",6,"Bi-Weekly",2,"Fortnightly",3,"Monthly",4,"Quarterly",5,"Weekly",1)</f>
        <v>2</v>
      </c>
    </row>
    <row r="2506" spans="1:20" hidden="1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  <c r="S2506" t="str">
        <f t="shared" si="39"/>
        <v>Bi-Weekly</v>
      </c>
      <c r="T2506" cm="1">
        <f t="array" ref="T2506">_xlfn.SWITCH(S2506,"Annually",6,"Bi-Weekly",2,"Fortnightly",3,"Monthly",4,"Quarterly",5,"Weekly",1)</f>
        <v>2</v>
      </c>
    </row>
    <row r="2507" spans="1:20" hidden="1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  <c r="S2507" t="str">
        <f t="shared" si="39"/>
        <v>Quarterly</v>
      </c>
      <c r="T2507" cm="1">
        <f t="array" ref="T2507">_xlfn.SWITCH(S2507,"Annually",6,"Bi-Weekly",2,"Fortnightly",3,"Monthly",4,"Quarterly",5,"Weekly",1)</f>
        <v>5</v>
      </c>
    </row>
    <row r="2508" spans="1:20" hidden="1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  <c r="S2508" t="str">
        <f t="shared" si="39"/>
        <v>Annually</v>
      </c>
      <c r="T2508" cm="1">
        <f t="array" ref="T2508">_xlfn.SWITCH(S2508,"Annually",6,"Bi-Weekly",2,"Fortnightly",3,"Monthly",4,"Quarterly",5,"Weekly",1)</f>
        <v>6</v>
      </c>
    </row>
    <row r="2509" spans="1:20" hidden="1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  <c r="S2509" t="str">
        <f t="shared" si="39"/>
        <v>Quarterly</v>
      </c>
      <c r="T2509" cm="1">
        <f t="array" ref="T2509">_xlfn.SWITCH(S2509,"Annually",6,"Bi-Weekly",2,"Fortnightly",3,"Monthly",4,"Quarterly",5,"Weekly",1)</f>
        <v>5</v>
      </c>
    </row>
    <row r="2510" spans="1:20" hidden="1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  <c r="S2510" t="str">
        <f t="shared" si="39"/>
        <v>Bi-Weekly</v>
      </c>
      <c r="T2510" cm="1">
        <f t="array" ref="T2510">_xlfn.SWITCH(S2510,"Annually",6,"Bi-Weekly",2,"Fortnightly",3,"Monthly",4,"Quarterly",5,"Weekly",1)</f>
        <v>2</v>
      </c>
    </row>
    <row r="2511" spans="1:20" hidden="1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  <c r="S2511" t="str">
        <f t="shared" si="39"/>
        <v>Quarterly</v>
      </c>
      <c r="T2511" cm="1">
        <f t="array" ref="T2511">_xlfn.SWITCH(S2511,"Annually",6,"Bi-Weekly",2,"Fortnightly",3,"Monthly",4,"Quarterly",5,"Weekly",1)</f>
        <v>5</v>
      </c>
    </row>
    <row r="2512" spans="1:20" hidden="1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  <c r="S2512" t="str">
        <f t="shared" si="39"/>
        <v>Weekly</v>
      </c>
      <c r="T2512" cm="1">
        <f t="array" ref="T2512">_xlfn.SWITCH(S2512,"Annually",6,"Bi-Weekly",2,"Fortnightly",3,"Monthly",4,"Quarterly",5,"Weekly",1)</f>
        <v>1</v>
      </c>
    </row>
    <row r="2513" spans="1:20" hidden="1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  <c r="S2513" t="str">
        <f t="shared" si="39"/>
        <v>Quarterly</v>
      </c>
      <c r="T2513" cm="1">
        <f t="array" ref="T2513">_xlfn.SWITCH(S2513,"Annually",6,"Bi-Weekly",2,"Fortnightly",3,"Monthly",4,"Quarterly",5,"Weekly",1)</f>
        <v>5</v>
      </c>
    </row>
    <row r="2514" spans="1:20" hidden="1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  <c r="S2514" t="str">
        <f t="shared" si="39"/>
        <v>Monthly</v>
      </c>
      <c r="T2514" cm="1">
        <f t="array" ref="T2514">_xlfn.SWITCH(S2514,"Annually",6,"Bi-Weekly",2,"Fortnightly",3,"Monthly",4,"Quarterly",5,"Weekly",1)</f>
        <v>4</v>
      </c>
    </row>
    <row r="2515" spans="1:20" hidden="1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  <c r="S2515" t="str">
        <f t="shared" si="39"/>
        <v>Annually</v>
      </c>
      <c r="T2515" cm="1">
        <f t="array" ref="T2515">_xlfn.SWITCH(S2515,"Annually",6,"Bi-Weekly",2,"Fortnightly",3,"Monthly",4,"Quarterly",5,"Weekly",1)</f>
        <v>6</v>
      </c>
    </row>
    <row r="2516" spans="1:20" hidden="1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  <c r="S2516" t="str">
        <f t="shared" si="39"/>
        <v>Bi-Weekly</v>
      </c>
      <c r="T2516" cm="1">
        <f t="array" ref="T2516">_xlfn.SWITCH(S2516,"Annually",6,"Bi-Weekly",2,"Fortnightly",3,"Monthly",4,"Quarterly",5,"Weekly",1)</f>
        <v>2</v>
      </c>
    </row>
    <row r="2517" spans="1:20" hidden="1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  <c r="S2517" t="str">
        <f t="shared" si="39"/>
        <v>Monthly</v>
      </c>
      <c r="T2517" cm="1">
        <f t="array" ref="T2517">_xlfn.SWITCH(S2517,"Annually",6,"Bi-Weekly",2,"Fortnightly",3,"Monthly",4,"Quarterly",5,"Weekly",1)</f>
        <v>4</v>
      </c>
    </row>
    <row r="2518" spans="1:20" hidden="1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  <c r="S2518" t="str">
        <f t="shared" si="39"/>
        <v>Quarterly</v>
      </c>
      <c r="T2518" cm="1">
        <f t="array" ref="T2518">_xlfn.SWITCH(S2518,"Annually",6,"Bi-Weekly",2,"Fortnightly",3,"Monthly",4,"Quarterly",5,"Weekly",1)</f>
        <v>5</v>
      </c>
    </row>
    <row r="2519" spans="1:20" hidden="1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  <c r="S2519" t="str">
        <f t="shared" si="39"/>
        <v>Annually</v>
      </c>
      <c r="T2519" cm="1">
        <f t="array" ref="T2519">_xlfn.SWITCH(S2519,"Annually",6,"Bi-Weekly",2,"Fortnightly",3,"Monthly",4,"Quarterly",5,"Weekly",1)</f>
        <v>6</v>
      </c>
    </row>
    <row r="2520" spans="1:20" hidden="1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  <c r="S2520" t="str">
        <f t="shared" si="39"/>
        <v>Annually</v>
      </c>
      <c r="T2520" cm="1">
        <f t="array" ref="T2520">_xlfn.SWITCH(S2520,"Annually",6,"Bi-Weekly",2,"Fortnightly",3,"Monthly",4,"Quarterly",5,"Weekly",1)</f>
        <v>6</v>
      </c>
    </row>
    <row r="2521" spans="1:20" hidden="1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  <c r="S2521" t="str">
        <f t="shared" si="39"/>
        <v>Quarterly</v>
      </c>
      <c r="T2521" cm="1">
        <f t="array" ref="T2521">_xlfn.SWITCH(S2521,"Annually",6,"Bi-Weekly",2,"Fortnightly",3,"Monthly",4,"Quarterly",5,"Weekly",1)</f>
        <v>5</v>
      </c>
    </row>
    <row r="2522" spans="1:20" hidden="1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  <c r="S2522" t="str">
        <f t="shared" si="39"/>
        <v>Quarterly</v>
      </c>
      <c r="T2522" cm="1">
        <f t="array" ref="T2522">_xlfn.SWITCH(S2522,"Annually",6,"Bi-Weekly",2,"Fortnightly",3,"Monthly",4,"Quarterly",5,"Weekly",1)</f>
        <v>5</v>
      </c>
    </row>
    <row r="2523" spans="1:20" hidden="1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  <c r="S2523" t="str">
        <f t="shared" si="39"/>
        <v>Quarterly</v>
      </c>
      <c r="T2523" cm="1">
        <f t="array" ref="T2523">_xlfn.SWITCH(S2523,"Annually",6,"Bi-Weekly",2,"Fortnightly",3,"Monthly",4,"Quarterly",5,"Weekly",1)</f>
        <v>5</v>
      </c>
    </row>
    <row r="2524" spans="1:20" hidden="1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  <c r="S2524" t="str">
        <f t="shared" si="39"/>
        <v>Weekly</v>
      </c>
      <c r="T2524" cm="1">
        <f t="array" ref="T2524">_xlfn.SWITCH(S2524,"Annually",6,"Bi-Weekly",2,"Fortnightly",3,"Monthly",4,"Quarterly",5,"Weekly",1)</f>
        <v>1</v>
      </c>
    </row>
    <row r="2525" spans="1:20" hidden="1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  <c r="S2525" t="str">
        <f t="shared" si="39"/>
        <v>Annually</v>
      </c>
      <c r="T2525" cm="1">
        <f t="array" ref="T2525">_xlfn.SWITCH(S2525,"Annually",6,"Bi-Weekly",2,"Fortnightly",3,"Monthly",4,"Quarterly",5,"Weekly",1)</f>
        <v>6</v>
      </c>
    </row>
    <row r="2526" spans="1:20" hidden="1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  <c r="S2526" t="str">
        <f t="shared" si="39"/>
        <v>Quarterly</v>
      </c>
      <c r="T2526" cm="1">
        <f t="array" ref="T2526">_xlfn.SWITCH(S2526,"Annually",6,"Bi-Weekly",2,"Fortnightly",3,"Monthly",4,"Quarterly",5,"Weekly",1)</f>
        <v>5</v>
      </c>
    </row>
    <row r="2527" spans="1:20" hidden="1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  <c r="S2527" t="str">
        <f t="shared" si="39"/>
        <v>Weekly</v>
      </c>
      <c r="T2527" cm="1">
        <f t="array" ref="T2527">_xlfn.SWITCH(S2527,"Annually",6,"Bi-Weekly",2,"Fortnightly",3,"Monthly",4,"Quarterly",5,"Weekly",1)</f>
        <v>1</v>
      </c>
    </row>
    <row r="2528" spans="1:20" hidden="1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  <c r="S2528" t="str">
        <f t="shared" si="39"/>
        <v>Bi-Weekly</v>
      </c>
      <c r="T2528" cm="1">
        <f t="array" ref="T2528">_xlfn.SWITCH(S2528,"Annually",6,"Bi-Weekly",2,"Fortnightly",3,"Monthly",4,"Quarterly",5,"Weekly",1)</f>
        <v>2</v>
      </c>
    </row>
    <row r="2529" spans="1:20" hidden="1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  <c r="S2529" t="str">
        <f t="shared" si="39"/>
        <v>Quarterly</v>
      </c>
      <c r="T2529" cm="1">
        <f t="array" ref="T2529">_xlfn.SWITCH(S2529,"Annually",6,"Bi-Weekly",2,"Fortnightly",3,"Monthly",4,"Quarterly",5,"Weekly",1)</f>
        <v>5</v>
      </c>
    </row>
    <row r="2530" spans="1:20" hidden="1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  <c r="S2530" t="str">
        <f t="shared" si="39"/>
        <v>Monthly</v>
      </c>
      <c r="T2530" cm="1">
        <f t="array" ref="T2530">_xlfn.SWITCH(S2530,"Annually",6,"Bi-Weekly",2,"Fortnightly",3,"Monthly",4,"Quarterly",5,"Weekly",1)</f>
        <v>4</v>
      </c>
    </row>
    <row r="2531" spans="1:20" hidden="1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  <c r="S2531" t="str">
        <f t="shared" si="39"/>
        <v>Monthly</v>
      </c>
      <c r="T2531" cm="1">
        <f t="array" ref="T2531">_xlfn.SWITCH(S2531,"Annually",6,"Bi-Weekly",2,"Fortnightly",3,"Monthly",4,"Quarterly",5,"Weekly",1)</f>
        <v>4</v>
      </c>
    </row>
    <row r="2532" spans="1:20" hidden="1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  <c r="S2532" t="str">
        <f t="shared" si="39"/>
        <v>Weekly</v>
      </c>
      <c r="T2532" cm="1">
        <f t="array" ref="T2532">_xlfn.SWITCH(S2532,"Annually",6,"Bi-Weekly",2,"Fortnightly",3,"Monthly",4,"Quarterly",5,"Weekly",1)</f>
        <v>1</v>
      </c>
    </row>
    <row r="2533" spans="1:20" hidden="1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  <c r="S2533" t="str">
        <f t="shared" si="39"/>
        <v>Quarterly</v>
      </c>
      <c r="T2533" cm="1">
        <f t="array" ref="T2533">_xlfn.SWITCH(S2533,"Annually",6,"Bi-Weekly",2,"Fortnightly",3,"Monthly",4,"Quarterly",5,"Weekly",1)</f>
        <v>5</v>
      </c>
    </row>
    <row r="2534" spans="1:20" hidden="1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  <c r="S2534" t="str">
        <f t="shared" si="39"/>
        <v>Weekly</v>
      </c>
      <c r="T2534" cm="1">
        <f t="array" ref="T2534">_xlfn.SWITCH(S2534,"Annually",6,"Bi-Weekly",2,"Fortnightly",3,"Monthly",4,"Quarterly",5,"Weekly",1)</f>
        <v>1</v>
      </c>
    </row>
    <row r="2535" spans="1:20" hidden="1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  <c r="S2535" t="str">
        <f t="shared" si="39"/>
        <v>Bi-Weekly</v>
      </c>
      <c r="T2535" cm="1">
        <f t="array" ref="T2535">_xlfn.SWITCH(S2535,"Annually",6,"Bi-Weekly",2,"Fortnightly",3,"Monthly",4,"Quarterly",5,"Weekly",1)</f>
        <v>2</v>
      </c>
    </row>
    <row r="2536" spans="1:20" hidden="1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  <c r="S2536" t="str">
        <f t="shared" si="39"/>
        <v>Weekly</v>
      </c>
      <c r="T2536" cm="1">
        <f t="array" ref="T2536">_xlfn.SWITCH(S2536,"Annually",6,"Bi-Weekly",2,"Fortnightly",3,"Monthly",4,"Quarterly",5,"Weekly",1)</f>
        <v>1</v>
      </c>
    </row>
    <row r="2537" spans="1:20" hidden="1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  <c r="S2537" t="str">
        <f t="shared" si="39"/>
        <v>Fortnightly</v>
      </c>
      <c r="T2537" cm="1">
        <f t="array" ref="T2537">_xlfn.SWITCH(S2537,"Annually",6,"Bi-Weekly",2,"Fortnightly",3,"Monthly",4,"Quarterly",5,"Weekly",1)</f>
        <v>3</v>
      </c>
    </row>
    <row r="2538" spans="1:20" hidden="1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  <c r="S2538" t="str">
        <f t="shared" si="39"/>
        <v>Quarterly</v>
      </c>
      <c r="T2538" cm="1">
        <f t="array" ref="T2538">_xlfn.SWITCH(S2538,"Annually",6,"Bi-Weekly",2,"Fortnightly",3,"Monthly",4,"Quarterly",5,"Weekly",1)</f>
        <v>5</v>
      </c>
    </row>
    <row r="2539" spans="1:20" hidden="1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  <c r="S2539" t="str">
        <f t="shared" si="39"/>
        <v>Fortnightly</v>
      </c>
      <c r="T2539" cm="1">
        <f t="array" ref="T2539">_xlfn.SWITCH(S2539,"Annually",6,"Bi-Weekly",2,"Fortnightly",3,"Monthly",4,"Quarterly",5,"Weekly",1)</f>
        <v>3</v>
      </c>
    </row>
    <row r="2540" spans="1:20" hidden="1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  <c r="S2540" t="str">
        <f t="shared" si="39"/>
        <v>Bi-Weekly</v>
      </c>
      <c r="T2540" cm="1">
        <f t="array" ref="T2540">_xlfn.SWITCH(S2540,"Annually",6,"Bi-Weekly",2,"Fortnightly",3,"Monthly",4,"Quarterly",5,"Weekly",1)</f>
        <v>2</v>
      </c>
    </row>
    <row r="2541" spans="1:20" hidden="1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  <c r="S2541" t="str">
        <f t="shared" si="39"/>
        <v>Bi-Weekly</v>
      </c>
      <c r="T2541" cm="1">
        <f t="array" ref="T2541">_xlfn.SWITCH(S2541,"Annually",6,"Bi-Weekly",2,"Fortnightly",3,"Monthly",4,"Quarterly",5,"Weekly",1)</f>
        <v>2</v>
      </c>
    </row>
    <row r="2542" spans="1:20" hidden="1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  <c r="S2542" t="str">
        <f t="shared" si="39"/>
        <v>Quarterly</v>
      </c>
      <c r="T2542" cm="1">
        <f t="array" ref="T2542">_xlfn.SWITCH(S2542,"Annually",6,"Bi-Weekly",2,"Fortnightly",3,"Monthly",4,"Quarterly",5,"Weekly",1)</f>
        <v>5</v>
      </c>
    </row>
    <row r="2543" spans="1:20" hidden="1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  <c r="S2543" t="str">
        <f t="shared" si="39"/>
        <v>Quarterly</v>
      </c>
      <c r="T2543" cm="1">
        <f t="array" ref="T2543">_xlfn.SWITCH(S2543,"Annually",6,"Bi-Weekly",2,"Fortnightly",3,"Monthly",4,"Quarterly",5,"Weekly",1)</f>
        <v>5</v>
      </c>
    </row>
    <row r="2544" spans="1:20" hidden="1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  <c r="S2544" t="str">
        <f t="shared" si="39"/>
        <v>Annually</v>
      </c>
      <c r="T2544" cm="1">
        <f t="array" ref="T2544">_xlfn.SWITCH(S2544,"Annually",6,"Bi-Weekly",2,"Fortnightly",3,"Monthly",4,"Quarterly",5,"Weekly",1)</f>
        <v>6</v>
      </c>
    </row>
    <row r="2545" spans="1:20" hidden="1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  <c r="S2545" t="str">
        <f t="shared" si="39"/>
        <v>Bi-Weekly</v>
      </c>
      <c r="T2545" cm="1">
        <f t="array" ref="T2545">_xlfn.SWITCH(S2545,"Annually",6,"Bi-Weekly",2,"Fortnightly",3,"Monthly",4,"Quarterly",5,"Weekly",1)</f>
        <v>2</v>
      </c>
    </row>
    <row r="2546" spans="1:20" hidden="1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  <c r="S2546" t="str">
        <f t="shared" si="39"/>
        <v>Quarterly</v>
      </c>
      <c r="T2546" cm="1">
        <f t="array" ref="T2546">_xlfn.SWITCH(S2546,"Annually",6,"Bi-Weekly",2,"Fortnightly",3,"Monthly",4,"Quarterly",5,"Weekly",1)</f>
        <v>5</v>
      </c>
    </row>
    <row r="2547" spans="1:20" hidden="1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  <c r="S2547" t="str">
        <f t="shared" si="39"/>
        <v>Annually</v>
      </c>
      <c r="T2547" cm="1">
        <f t="array" ref="T2547">_xlfn.SWITCH(S2547,"Annually",6,"Bi-Weekly",2,"Fortnightly",3,"Monthly",4,"Quarterly",5,"Weekly",1)</f>
        <v>6</v>
      </c>
    </row>
    <row r="2548" spans="1:20" hidden="1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  <c r="S2548" t="str">
        <f t="shared" si="39"/>
        <v>Quarterly</v>
      </c>
      <c r="T2548" cm="1">
        <f t="array" ref="T2548">_xlfn.SWITCH(S2548,"Annually",6,"Bi-Weekly",2,"Fortnightly",3,"Monthly",4,"Quarterly",5,"Weekly",1)</f>
        <v>5</v>
      </c>
    </row>
    <row r="2549" spans="1:20" hidden="1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  <c r="S2549" t="str">
        <f t="shared" si="39"/>
        <v>Weekly</v>
      </c>
      <c r="T2549" cm="1">
        <f t="array" ref="T2549">_xlfn.SWITCH(S2549,"Annually",6,"Bi-Weekly",2,"Fortnightly",3,"Monthly",4,"Quarterly",5,"Weekly",1)</f>
        <v>1</v>
      </c>
    </row>
    <row r="2550" spans="1:20" hidden="1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  <c r="S2550" t="str">
        <f t="shared" si="39"/>
        <v>Monthly</v>
      </c>
      <c r="T2550" cm="1">
        <f t="array" ref="T2550">_xlfn.SWITCH(S2550,"Annually",6,"Bi-Weekly",2,"Fortnightly",3,"Monthly",4,"Quarterly",5,"Weekly",1)</f>
        <v>4</v>
      </c>
    </row>
    <row r="2551" spans="1:20" hidden="1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  <c r="S2551" t="str">
        <f t="shared" si="39"/>
        <v>Quarterly</v>
      </c>
      <c r="T2551" cm="1">
        <f t="array" ref="T2551">_xlfn.SWITCH(S2551,"Annually",6,"Bi-Weekly",2,"Fortnightly",3,"Monthly",4,"Quarterly",5,"Weekly",1)</f>
        <v>5</v>
      </c>
    </row>
    <row r="2552" spans="1:20" hidden="1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  <c r="S2552" t="str">
        <f t="shared" si="39"/>
        <v>Fortnightly</v>
      </c>
      <c r="T2552" cm="1">
        <f t="array" ref="T2552">_xlfn.SWITCH(S2552,"Annually",6,"Bi-Weekly",2,"Fortnightly",3,"Monthly",4,"Quarterly",5,"Weekly",1)</f>
        <v>3</v>
      </c>
    </row>
    <row r="2553" spans="1:20" hidden="1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  <c r="S2553" t="str">
        <f t="shared" si="39"/>
        <v>Annually</v>
      </c>
      <c r="T2553" cm="1">
        <f t="array" ref="T2553">_xlfn.SWITCH(S2553,"Annually",6,"Bi-Weekly",2,"Fortnightly",3,"Monthly",4,"Quarterly",5,"Weekly",1)</f>
        <v>6</v>
      </c>
    </row>
    <row r="2554" spans="1:20" hidden="1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  <c r="S2554" t="str">
        <f t="shared" si="39"/>
        <v>Annually</v>
      </c>
      <c r="T2554" cm="1">
        <f t="array" ref="T2554">_xlfn.SWITCH(S2554,"Annually",6,"Bi-Weekly",2,"Fortnightly",3,"Monthly",4,"Quarterly",5,"Weekly",1)</f>
        <v>6</v>
      </c>
    </row>
    <row r="2555" spans="1:20" hidden="1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  <c r="S2555" t="str">
        <f t="shared" si="39"/>
        <v>Quarterly</v>
      </c>
      <c r="T2555" cm="1">
        <f t="array" ref="T2555">_xlfn.SWITCH(S2555,"Annually",6,"Bi-Weekly",2,"Fortnightly",3,"Monthly",4,"Quarterly",5,"Weekly",1)</f>
        <v>5</v>
      </c>
    </row>
    <row r="2556" spans="1:20" hidden="1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  <c r="S2556" t="str">
        <f t="shared" si="39"/>
        <v>Bi-Weekly</v>
      </c>
      <c r="T2556" cm="1">
        <f t="array" ref="T2556">_xlfn.SWITCH(S2556,"Annually",6,"Bi-Weekly",2,"Fortnightly",3,"Monthly",4,"Quarterly",5,"Weekly",1)</f>
        <v>2</v>
      </c>
    </row>
    <row r="2557" spans="1:20" hidden="1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  <c r="S2557" t="str">
        <f t="shared" si="39"/>
        <v>Weekly</v>
      </c>
      <c r="T2557" cm="1">
        <f t="array" ref="T2557">_xlfn.SWITCH(S2557,"Annually",6,"Bi-Weekly",2,"Fortnightly",3,"Monthly",4,"Quarterly",5,"Weekly",1)</f>
        <v>1</v>
      </c>
    </row>
    <row r="2558" spans="1:20" hidden="1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  <c r="S2558" t="str">
        <f t="shared" si="39"/>
        <v>Quarterly</v>
      </c>
      <c r="T2558" cm="1">
        <f t="array" ref="T2558">_xlfn.SWITCH(S2558,"Annually",6,"Bi-Weekly",2,"Fortnightly",3,"Monthly",4,"Quarterly",5,"Weekly",1)</f>
        <v>5</v>
      </c>
    </row>
    <row r="2559" spans="1:20" hidden="1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  <c r="S2559" t="str">
        <f t="shared" si="39"/>
        <v>Fortnightly</v>
      </c>
      <c r="T2559" cm="1">
        <f t="array" ref="T2559">_xlfn.SWITCH(S2559,"Annually",6,"Bi-Weekly",2,"Fortnightly",3,"Monthly",4,"Quarterly",5,"Weekly",1)</f>
        <v>3</v>
      </c>
    </row>
    <row r="2560" spans="1:20" hidden="1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  <c r="S2560" t="str">
        <f t="shared" si="39"/>
        <v>Fortnightly</v>
      </c>
      <c r="T2560" cm="1">
        <f t="array" ref="T2560">_xlfn.SWITCH(S2560,"Annually",6,"Bi-Weekly",2,"Fortnightly",3,"Monthly",4,"Quarterly",5,"Weekly",1)</f>
        <v>3</v>
      </c>
    </row>
    <row r="2561" spans="1:20" hidden="1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  <c r="S2561" t="str">
        <f t="shared" si="39"/>
        <v>Quarterly</v>
      </c>
      <c r="T2561" cm="1">
        <f t="array" ref="T2561">_xlfn.SWITCH(S2561,"Annually",6,"Bi-Weekly",2,"Fortnightly",3,"Monthly",4,"Quarterly",5,"Weekly",1)</f>
        <v>5</v>
      </c>
    </row>
    <row r="2562" spans="1:20" hidden="1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  <c r="S2562" t="str">
        <f t="shared" si="39"/>
        <v>Bi-Weekly</v>
      </c>
      <c r="T2562" cm="1">
        <f t="array" ref="T2562">_xlfn.SWITCH(S2562,"Annually",6,"Bi-Weekly",2,"Fortnightly",3,"Monthly",4,"Quarterly",5,"Weekly",1)</f>
        <v>2</v>
      </c>
    </row>
    <row r="2563" spans="1:20" hidden="1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  <c r="S2563" t="str">
        <f t="shared" ref="S2563:S2626" si="40">IF(R2563="Every 3 Months","Quarterly",R2563)</f>
        <v>Quarterly</v>
      </c>
      <c r="T2563" cm="1">
        <f t="array" ref="T2563">_xlfn.SWITCH(S2563,"Annually",6,"Bi-Weekly",2,"Fortnightly",3,"Monthly",4,"Quarterly",5,"Weekly",1)</f>
        <v>5</v>
      </c>
    </row>
    <row r="2564" spans="1:20" hidden="1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  <c r="S2564" t="str">
        <f t="shared" si="40"/>
        <v>Fortnightly</v>
      </c>
      <c r="T2564" cm="1">
        <f t="array" ref="T2564">_xlfn.SWITCH(S2564,"Annually",6,"Bi-Weekly",2,"Fortnightly",3,"Monthly",4,"Quarterly",5,"Weekly",1)</f>
        <v>3</v>
      </c>
    </row>
    <row r="2565" spans="1:20" hidden="1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  <c r="S2565" t="str">
        <f t="shared" si="40"/>
        <v>Quarterly</v>
      </c>
      <c r="T2565" cm="1">
        <f t="array" ref="T2565">_xlfn.SWITCH(S2565,"Annually",6,"Bi-Weekly",2,"Fortnightly",3,"Monthly",4,"Quarterly",5,"Weekly",1)</f>
        <v>5</v>
      </c>
    </row>
    <row r="2566" spans="1:20" hidden="1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  <c r="S2566" t="str">
        <f t="shared" si="40"/>
        <v>Weekly</v>
      </c>
      <c r="T2566" cm="1">
        <f t="array" ref="T2566">_xlfn.SWITCH(S2566,"Annually",6,"Bi-Weekly",2,"Fortnightly",3,"Monthly",4,"Quarterly",5,"Weekly",1)</f>
        <v>1</v>
      </c>
    </row>
    <row r="2567" spans="1:20" hidden="1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  <c r="S2567" t="str">
        <f t="shared" si="40"/>
        <v>Quarterly</v>
      </c>
      <c r="T2567" cm="1">
        <f t="array" ref="T2567">_xlfn.SWITCH(S2567,"Annually",6,"Bi-Weekly",2,"Fortnightly",3,"Monthly",4,"Quarterly",5,"Weekly",1)</f>
        <v>5</v>
      </c>
    </row>
    <row r="2568" spans="1:20" hidden="1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  <c r="S2568" t="str">
        <f t="shared" si="40"/>
        <v>Quarterly</v>
      </c>
      <c r="T2568" cm="1">
        <f t="array" ref="T2568">_xlfn.SWITCH(S2568,"Annually",6,"Bi-Weekly",2,"Fortnightly",3,"Monthly",4,"Quarterly",5,"Weekly",1)</f>
        <v>5</v>
      </c>
    </row>
    <row r="2569" spans="1:20" hidden="1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  <c r="S2569" t="str">
        <f t="shared" si="40"/>
        <v>Fortnightly</v>
      </c>
      <c r="T2569" cm="1">
        <f t="array" ref="T2569">_xlfn.SWITCH(S2569,"Annually",6,"Bi-Weekly",2,"Fortnightly",3,"Monthly",4,"Quarterly",5,"Weekly",1)</f>
        <v>3</v>
      </c>
    </row>
    <row r="2570" spans="1:20" hidden="1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  <c r="S2570" t="str">
        <f t="shared" si="40"/>
        <v>Fortnightly</v>
      </c>
      <c r="T2570" cm="1">
        <f t="array" ref="T2570">_xlfn.SWITCH(S2570,"Annually",6,"Bi-Weekly",2,"Fortnightly",3,"Monthly",4,"Quarterly",5,"Weekly",1)</f>
        <v>3</v>
      </c>
    </row>
    <row r="2571" spans="1:20" hidden="1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  <c r="S2571" t="str">
        <f t="shared" si="40"/>
        <v>Bi-Weekly</v>
      </c>
      <c r="T2571" cm="1">
        <f t="array" ref="T2571">_xlfn.SWITCH(S2571,"Annually",6,"Bi-Weekly",2,"Fortnightly",3,"Monthly",4,"Quarterly",5,"Weekly",1)</f>
        <v>2</v>
      </c>
    </row>
    <row r="2572" spans="1:20" hidden="1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  <c r="S2572" t="str">
        <f t="shared" si="40"/>
        <v>Fortnightly</v>
      </c>
      <c r="T2572" cm="1">
        <f t="array" ref="T2572">_xlfn.SWITCH(S2572,"Annually",6,"Bi-Weekly",2,"Fortnightly",3,"Monthly",4,"Quarterly",5,"Weekly",1)</f>
        <v>3</v>
      </c>
    </row>
    <row r="2573" spans="1:20" hidden="1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  <c r="S2573" t="str">
        <f t="shared" si="40"/>
        <v>Fortnightly</v>
      </c>
      <c r="T2573" cm="1">
        <f t="array" ref="T2573">_xlfn.SWITCH(S2573,"Annually",6,"Bi-Weekly",2,"Fortnightly",3,"Monthly",4,"Quarterly",5,"Weekly",1)</f>
        <v>3</v>
      </c>
    </row>
    <row r="2574" spans="1:20" hidden="1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  <c r="S2574" t="str">
        <f t="shared" si="40"/>
        <v>Quarterly</v>
      </c>
      <c r="T2574" cm="1">
        <f t="array" ref="T2574">_xlfn.SWITCH(S2574,"Annually",6,"Bi-Weekly",2,"Fortnightly",3,"Monthly",4,"Quarterly",5,"Weekly",1)</f>
        <v>5</v>
      </c>
    </row>
    <row r="2575" spans="1:20" hidden="1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  <c r="S2575" t="str">
        <f t="shared" si="40"/>
        <v>Annually</v>
      </c>
      <c r="T2575" cm="1">
        <f t="array" ref="T2575">_xlfn.SWITCH(S2575,"Annually",6,"Bi-Weekly",2,"Fortnightly",3,"Monthly",4,"Quarterly",5,"Weekly",1)</f>
        <v>6</v>
      </c>
    </row>
    <row r="2576" spans="1:20" hidden="1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  <c r="S2576" t="str">
        <f t="shared" si="40"/>
        <v>Fortnightly</v>
      </c>
      <c r="T2576" cm="1">
        <f t="array" ref="T2576">_xlfn.SWITCH(S2576,"Annually",6,"Bi-Weekly",2,"Fortnightly",3,"Monthly",4,"Quarterly",5,"Weekly",1)</f>
        <v>3</v>
      </c>
    </row>
    <row r="2577" spans="1:20" hidden="1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  <c r="S2577" t="str">
        <f t="shared" si="40"/>
        <v>Annually</v>
      </c>
      <c r="T2577" cm="1">
        <f t="array" ref="T2577">_xlfn.SWITCH(S2577,"Annually",6,"Bi-Weekly",2,"Fortnightly",3,"Monthly",4,"Quarterly",5,"Weekly",1)</f>
        <v>6</v>
      </c>
    </row>
    <row r="2578" spans="1:20" hidden="1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  <c r="S2578" t="str">
        <f t="shared" si="40"/>
        <v>Quarterly</v>
      </c>
      <c r="T2578" cm="1">
        <f t="array" ref="T2578">_xlfn.SWITCH(S2578,"Annually",6,"Bi-Weekly",2,"Fortnightly",3,"Monthly",4,"Quarterly",5,"Weekly",1)</f>
        <v>5</v>
      </c>
    </row>
    <row r="2579" spans="1:20" hidden="1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  <c r="S2579" t="str">
        <f t="shared" si="40"/>
        <v>Monthly</v>
      </c>
      <c r="T2579" cm="1">
        <f t="array" ref="T2579">_xlfn.SWITCH(S2579,"Annually",6,"Bi-Weekly",2,"Fortnightly",3,"Monthly",4,"Quarterly",5,"Weekly",1)</f>
        <v>4</v>
      </c>
    </row>
    <row r="2580" spans="1:20" hidden="1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  <c r="S2580" t="str">
        <f t="shared" si="40"/>
        <v>Quarterly</v>
      </c>
      <c r="T2580" cm="1">
        <f t="array" ref="T2580">_xlfn.SWITCH(S2580,"Annually",6,"Bi-Weekly",2,"Fortnightly",3,"Monthly",4,"Quarterly",5,"Weekly",1)</f>
        <v>5</v>
      </c>
    </row>
    <row r="2581" spans="1:20" hidden="1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  <c r="S2581" t="str">
        <f t="shared" si="40"/>
        <v>Weekly</v>
      </c>
      <c r="T2581" cm="1">
        <f t="array" ref="T2581">_xlfn.SWITCH(S2581,"Annually",6,"Bi-Weekly",2,"Fortnightly",3,"Monthly",4,"Quarterly",5,"Weekly",1)</f>
        <v>1</v>
      </c>
    </row>
    <row r="2582" spans="1:20" hidden="1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  <c r="S2582" t="str">
        <f t="shared" si="40"/>
        <v>Quarterly</v>
      </c>
      <c r="T2582" cm="1">
        <f t="array" ref="T2582">_xlfn.SWITCH(S2582,"Annually",6,"Bi-Weekly",2,"Fortnightly",3,"Monthly",4,"Quarterly",5,"Weekly",1)</f>
        <v>5</v>
      </c>
    </row>
    <row r="2583" spans="1:20" hidden="1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  <c r="S2583" t="str">
        <f t="shared" si="40"/>
        <v>Monthly</v>
      </c>
      <c r="T2583" cm="1">
        <f t="array" ref="T2583">_xlfn.SWITCH(S2583,"Annually",6,"Bi-Weekly",2,"Fortnightly",3,"Monthly",4,"Quarterly",5,"Weekly",1)</f>
        <v>4</v>
      </c>
    </row>
    <row r="2584" spans="1:20" hidden="1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  <c r="S2584" t="str">
        <f t="shared" si="40"/>
        <v>Quarterly</v>
      </c>
      <c r="T2584" cm="1">
        <f t="array" ref="T2584">_xlfn.SWITCH(S2584,"Annually",6,"Bi-Weekly",2,"Fortnightly",3,"Monthly",4,"Quarterly",5,"Weekly",1)</f>
        <v>5</v>
      </c>
    </row>
    <row r="2585" spans="1:20" hidden="1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  <c r="S2585" t="str">
        <f t="shared" si="40"/>
        <v>Weekly</v>
      </c>
      <c r="T2585" cm="1">
        <f t="array" ref="T2585">_xlfn.SWITCH(S2585,"Annually",6,"Bi-Weekly",2,"Fortnightly",3,"Monthly",4,"Quarterly",5,"Weekly",1)</f>
        <v>1</v>
      </c>
    </row>
    <row r="2586" spans="1:20" hidden="1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  <c r="S2586" t="str">
        <f t="shared" si="40"/>
        <v>Bi-Weekly</v>
      </c>
      <c r="T2586" cm="1">
        <f t="array" ref="T2586">_xlfn.SWITCH(S2586,"Annually",6,"Bi-Weekly",2,"Fortnightly",3,"Monthly",4,"Quarterly",5,"Weekly",1)</f>
        <v>2</v>
      </c>
    </row>
    <row r="2587" spans="1:20" hidden="1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  <c r="S2587" t="str">
        <f t="shared" si="40"/>
        <v>Weekly</v>
      </c>
      <c r="T2587" cm="1">
        <f t="array" ref="T2587">_xlfn.SWITCH(S2587,"Annually",6,"Bi-Weekly",2,"Fortnightly",3,"Monthly",4,"Quarterly",5,"Weekly",1)</f>
        <v>1</v>
      </c>
    </row>
    <row r="2588" spans="1:20" hidden="1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  <c r="S2588" t="str">
        <f t="shared" si="40"/>
        <v>Quarterly</v>
      </c>
      <c r="T2588" cm="1">
        <f t="array" ref="T2588">_xlfn.SWITCH(S2588,"Annually",6,"Bi-Weekly",2,"Fortnightly",3,"Monthly",4,"Quarterly",5,"Weekly",1)</f>
        <v>5</v>
      </c>
    </row>
    <row r="2589" spans="1:20" hidden="1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  <c r="S2589" t="str">
        <f t="shared" si="40"/>
        <v>Quarterly</v>
      </c>
      <c r="T2589" cm="1">
        <f t="array" ref="T2589">_xlfn.SWITCH(S2589,"Annually",6,"Bi-Weekly",2,"Fortnightly",3,"Monthly",4,"Quarterly",5,"Weekly",1)</f>
        <v>5</v>
      </c>
    </row>
    <row r="2590" spans="1:20" hidden="1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  <c r="S2590" t="str">
        <f t="shared" si="40"/>
        <v>Bi-Weekly</v>
      </c>
      <c r="T2590" cm="1">
        <f t="array" ref="T2590">_xlfn.SWITCH(S2590,"Annually",6,"Bi-Weekly",2,"Fortnightly",3,"Monthly",4,"Quarterly",5,"Weekly",1)</f>
        <v>2</v>
      </c>
    </row>
    <row r="2591" spans="1:20" hidden="1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  <c r="S2591" t="str">
        <f t="shared" si="40"/>
        <v>Annually</v>
      </c>
      <c r="T2591" cm="1">
        <f t="array" ref="T2591">_xlfn.SWITCH(S2591,"Annually",6,"Bi-Weekly",2,"Fortnightly",3,"Monthly",4,"Quarterly",5,"Weekly",1)</f>
        <v>6</v>
      </c>
    </row>
    <row r="2592" spans="1:20" hidden="1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  <c r="S2592" t="str">
        <f t="shared" si="40"/>
        <v>Annually</v>
      </c>
      <c r="T2592" cm="1">
        <f t="array" ref="T2592">_xlfn.SWITCH(S2592,"Annually",6,"Bi-Weekly",2,"Fortnightly",3,"Monthly",4,"Quarterly",5,"Weekly",1)</f>
        <v>6</v>
      </c>
    </row>
    <row r="2593" spans="1:20" hidden="1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  <c r="S2593" t="str">
        <f t="shared" si="40"/>
        <v>Quarterly</v>
      </c>
      <c r="T2593" cm="1">
        <f t="array" ref="T2593">_xlfn.SWITCH(S2593,"Annually",6,"Bi-Weekly",2,"Fortnightly",3,"Monthly",4,"Quarterly",5,"Weekly",1)</f>
        <v>5</v>
      </c>
    </row>
    <row r="2594" spans="1:20" hidden="1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  <c r="S2594" t="str">
        <f t="shared" si="40"/>
        <v>Quarterly</v>
      </c>
      <c r="T2594" cm="1">
        <f t="array" ref="T2594">_xlfn.SWITCH(S2594,"Annually",6,"Bi-Weekly",2,"Fortnightly",3,"Monthly",4,"Quarterly",5,"Weekly",1)</f>
        <v>5</v>
      </c>
    </row>
    <row r="2595" spans="1:20" hidden="1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  <c r="S2595" t="str">
        <f t="shared" si="40"/>
        <v>Quarterly</v>
      </c>
      <c r="T2595" cm="1">
        <f t="array" ref="T2595">_xlfn.SWITCH(S2595,"Annually",6,"Bi-Weekly",2,"Fortnightly",3,"Monthly",4,"Quarterly",5,"Weekly",1)</f>
        <v>5</v>
      </c>
    </row>
    <row r="2596" spans="1:20" hidden="1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  <c r="S2596" t="str">
        <f t="shared" si="40"/>
        <v>Quarterly</v>
      </c>
      <c r="T2596" cm="1">
        <f t="array" ref="T2596">_xlfn.SWITCH(S2596,"Annually",6,"Bi-Weekly",2,"Fortnightly",3,"Monthly",4,"Quarterly",5,"Weekly",1)</f>
        <v>5</v>
      </c>
    </row>
    <row r="2597" spans="1:20" hidden="1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  <c r="S2597" t="str">
        <f t="shared" si="40"/>
        <v>Bi-Weekly</v>
      </c>
      <c r="T2597" cm="1">
        <f t="array" ref="T2597">_xlfn.SWITCH(S2597,"Annually",6,"Bi-Weekly",2,"Fortnightly",3,"Monthly",4,"Quarterly",5,"Weekly",1)</f>
        <v>2</v>
      </c>
    </row>
    <row r="2598" spans="1:20" hidden="1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  <c r="S2598" t="str">
        <f t="shared" si="40"/>
        <v>Monthly</v>
      </c>
      <c r="T2598" cm="1">
        <f t="array" ref="T2598">_xlfn.SWITCH(S2598,"Annually",6,"Bi-Weekly",2,"Fortnightly",3,"Monthly",4,"Quarterly",5,"Weekly",1)</f>
        <v>4</v>
      </c>
    </row>
    <row r="2599" spans="1:20" hidden="1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  <c r="S2599" t="str">
        <f t="shared" si="40"/>
        <v>Bi-Weekly</v>
      </c>
      <c r="T2599" cm="1">
        <f t="array" ref="T2599">_xlfn.SWITCH(S2599,"Annually",6,"Bi-Weekly",2,"Fortnightly",3,"Monthly",4,"Quarterly",5,"Weekly",1)</f>
        <v>2</v>
      </c>
    </row>
    <row r="2600" spans="1:20" hidden="1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  <c r="S2600" t="str">
        <f t="shared" si="40"/>
        <v>Annually</v>
      </c>
      <c r="T2600" cm="1">
        <f t="array" ref="T2600">_xlfn.SWITCH(S2600,"Annually",6,"Bi-Weekly",2,"Fortnightly",3,"Monthly",4,"Quarterly",5,"Weekly",1)</f>
        <v>6</v>
      </c>
    </row>
    <row r="2601" spans="1:20" hidden="1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  <c r="S2601" t="str">
        <f t="shared" si="40"/>
        <v>Monthly</v>
      </c>
      <c r="T2601" cm="1">
        <f t="array" ref="T2601">_xlfn.SWITCH(S2601,"Annually",6,"Bi-Weekly",2,"Fortnightly",3,"Monthly",4,"Quarterly",5,"Weekly",1)</f>
        <v>4</v>
      </c>
    </row>
    <row r="2602" spans="1:20" hidden="1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  <c r="S2602" t="str">
        <f t="shared" si="40"/>
        <v>Bi-Weekly</v>
      </c>
      <c r="T2602" cm="1">
        <f t="array" ref="T2602">_xlfn.SWITCH(S2602,"Annually",6,"Bi-Weekly",2,"Fortnightly",3,"Monthly",4,"Quarterly",5,"Weekly",1)</f>
        <v>2</v>
      </c>
    </row>
    <row r="2603" spans="1:20" hidden="1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  <c r="S2603" t="str">
        <f t="shared" si="40"/>
        <v>Monthly</v>
      </c>
      <c r="T2603" cm="1">
        <f t="array" ref="T2603">_xlfn.SWITCH(S2603,"Annually",6,"Bi-Weekly",2,"Fortnightly",3,"Monthly",4,"Quarterly",5,"Weekly",1)</f>
        <v>4</v>
      </c>
    </row>
    <row r="2604" spans="1:20" hidden="1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  <c r="S2604" t="str">
        <f t="shared" si="40"/>
        <v>Quarterly</v>
      </c>
      <c r="T2604" cm="1">
        <f t="array" ref="T2604">_xlfn.SWITCH(S2604,"Annually",6,"Bi-Weekly",2,"Fortnightly",3,"Monthly",4,"Quarterly",5,"Weekly",1)</f>
        <v>5</v>
      </c>
    </row>
    <row r="2605" spans="1:20" hidden="1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  <c r="S2605" t="str">
        <f t="shared" si="40"/>
        <v>Annually</v>
      </c>
      <c r="T2605" cm="1">
        <f t="array" ref="T2605">_xlfn.SWITCH(S2605,"Annually",6,"Bi-Weekly",2,"Fortnightly",3,"Monthly",4,"Quarterly",5,"Weekly",1)</f>
        <v>6</v>
      </c>
    </row>
    <row r="2606" spans="1:20" hidden="1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  <c r="S2606" t="str">
        <f t="shared" si="40"/>
        <v>Weekly</v>
      </c>
      <c r="T2606" cm="1">
        <f t="array" ref="T2606">_xlfn.SWITCH(S2606,"Annually",6,"Bi-Weekly",2,"Fortnightly",3,"Monthly",4,"Quarterly",5,"Weekly",1)</f>
        <v>1</v>
      </c>
    </row>
    <row r="2607" spans="1:20" hidden="1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  <c r="S2607" t="str">
        <f t="shared" si="40"/>
        <v>Fortnightly</v>
      </c>
      <c r="T2607" cm="1">
        <f t="array" ref="T2607">_xlfn.SWITCH(S2607,"Annually",6,"Bi-Weekly",2,"Fortnightly",3,"Monthly",4,"Quarterly",5,"Weekly",1)</f>
        <v>3</v>
      </c>
    </row>
    <row r="2608" spans="1:20" hidden="1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  <c r="S2608" t="str">
        <f t="shared" si="40"/>
        <v>Bi-Weekly</v>
      </c>
      <c r="T2608" cm="1">
        <f t="array" ref="T2608">_xlfn.SWITCH(S2608,"Annually",6,"Bi-Weekly",2,"Fortnightly",3,"Monthly",4,"Quarterly",5,"Weekly",1)</f>
        <v>2</v>
      </c>
    </row>
    <row r="2609" spans="1:20" hidden="1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  <c r="S2609" t="str">
        <f t="shared" si="40"/>
        <v>Quarterly</v>
      </c>
      <c r="T2609" cm="1">
        <f t="array" ref="T2609">_xlfn.SWITCH(S2609,"Annually",6,"Bi-Weekly",2,"Fortnightly",3,"Monthly",4,"Quarterly",5,"Weekly",1)</f>
        <v>5</v>
      </c>
    </row>
    <row r="2610" spans="1:20" hidden="1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  <c r="S2610" t="str">
        <f t="shared" si="40"/>
        <v>Fortnightly</v>
      </c>
      <c r="T2610" cm="1">
        <f t="array" ref="T2610">_xlfn.SWITCH(S2610,"Annually",6,"Bi-Weekly",2,"Fortnightly",3,"Monthly",4,"Quarterly",5,"Weekly",1)</f>
        <v>3</v>
      </c>
    </row>
    <row r="2611" spans="1:20" hidden="1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  <c r="S2611" t="str">
        <f t="shared" si="40"/>
        <v>Bi-Weekly</v>
      </c>
      <c r="T2611" cm="1">
        <f t="array" ref="T2611">_xlfn.SWITCH(S2611,"Annually",6,"Bi-Weekly",2,"Fortnightly",3,"Monthly",4,"Quarterly",5,"Weekly",1)</f>
        <v>2</v>
      </c>
    </row>
    <row r="2612" spans="1:20" hidden="1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  <c r="S2612" t="str">
        <f t="shared" si="40"/>
        <v>Quarterly</v>
      </c>
      <c r="T2612" cm="1">
        <f t="array" ref="T2612">_xlfn.SWITCH(S2612,"Annually",6,"Bi-Weekly",2,"Fortnightly",3,"Monthly",4,"Quarterly",5,"Weekly",1)</f>
        <v>5</v>
      </c>
    </row>
    <row r="2613" spans="1:20" hidden="1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  <c r="S2613" t="str">
        <f t="shared" si="40"/>
        <v>Fortnightly</v>
      </c>
      <c r="T2613" cm="1">
        <f t="array" ref="T2613">_xlfn.SWITCH(S2613,"Annually",6,"Bi-Weekly",2,"Fortnightly",3,"Monthly",4,"Quarterly",5,"Weekly",1)</f>
        <v>3</v>
      </c>
    </row>
    <row r="2614" spans="1:20" hidden="1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  <c r="S2614" t="str">
        <f t="shared" si="40"/>
        <v>Quarterly</v>
      </c>
      <c r="T2614" cm="1">
        <f t="array" ref="T2614">_xlfn.SWITCH(S2614,"Annually",6,"Bi-Weekly",2,"Fortnightly",3,"Monthly",4,"Quarterly",5,"Weekly",1)</f>
        <v>5</v>
      </c>
    </row>
    <row r="2615" spans="1:20" hidden="1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  <c r="S2615" t="str">
        <f t="shared" si="40"/>
        <v>Monthly</v>
      </c>
      <c r="T2615" cm="1">
        <f t="array" ref="T2615">_xlfn.SWITCH(S2615,"Annually",6,"Bi-Weekly",2,"Fortnightly",3,"Monthly",4,"Quarterly",5,"Weekly",1)</f>
        <v>4</v>
      </c>
    </row>
    <row r="2616" spans="1:20" hidden="1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  <c r="S2616" t="str">
        <f t="shared" si="40"/>
        <v>Fortnightly</v>
      </c>
      <c r="T2616" cm="1">
        <f t="array" ref="T2616">_xlfn.SWITCH(S2616,"Annually",6,"Bi-Weekly",2,"Fortnightly",3,"Monthly",4,"Quarterly",5,"Weekly",1)</f>
        <v>3</v>
      </c>
    </row>
    <row r="2617" spans="1:20" hidden="1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  <c r="S2617" t="str">
        <f t="shared" si="40"/>
        <v>Quarterly</v>
      </c>
      <c r="T2617" cm="1">
        <f t="array" ref="T2617">_xlfn.SWITCH(S2617,"Annually",6,"Bi-Weekly",2,"Fortnightly",3,"Monthly",4,"Quarterly",5,"Weekly",1)</f>
        <v>5</v>
      </c>
    </row>
    <row r="2618" spans="1:20" hidden="1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  <c r="S2618" t="str">
        <f t="shared" si="40"/>
        <v>Annually</v>
      </c>
      <c r="T2618" cm="1">
        <f t="array" ref="T2618">_xlfn.SWITCH(S2618,"Annually",6,"Bi-Weekly",2,"Fortnightly",3,"Monthly",4,"Quarterly",5,"Weekly",1)</f>
        <v>6</v>
      </c>
    </row>
    <row r="2619" spans="1:20" hidden="1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  <c r="S2619" t="str">
        <f t="shared" si="40"/>
        <v>Annually</v>
      </c>
      <c r="T2619" cm="1">
        <f t="array" ref="T2619">_xlfn.SWITCH(S2619,"Annually",6,"Bi-Weekly",2,"Fortnightly",3,"Monthly",4,"Quarterly",5,"Weekly",1)</f>
        <v>6</v>
      </c>
    </row>
    <row r="2620" spans="1:20" hidden="1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  <c r="S2620" t="str">
        <f t="shared" si="40"/>
        <v>Monthly</v>
      </c>
      <c r="T2620" cm="1">
        <f t="array" ref="T2620">_xlfn.SWITCH(S2620,"Annually",6,"Bi-Weekly",2,"Fortnightly",3,"Monthly",4,"Quarterly",5,"Weekly",1)</f>
        <v>4</v>
      </c>
    </row>
    <row r="2621" spans="1:20" hidden="1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  <c r="S2621" t="str">
        <f t="shared" si="40"/>
        <v>Weekly</v>
      </c>
      <c r="T2621" cm="1">
        <f t="array" ref="T2621">_xlfn.SWITCH(S2621,"Annually",6,"Bi-Weekly",2,"Fortnightly",3,"Monthly",4,"Quarterly",5,"Weekly",1)</f>
        <v>1</v>
      </c>
    </row>
    <row r="2622" spans="1:20" hidden="1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  <c r="S2622" t="str">
        <f t="shared" si="40"/>
        <v>Annually</v>
      </c>
      <c r="T2622" cm="1">
        <f t="array" ref="T2622">_xlfn.SWITCH(S2622,"Annually",6,"Bi-Weekly",2,"Fortnightly",3,"Monthly",4,"Quarterly",5,"Weekly",1)</f>
        <v>6</v>
      </c>
    </row>
    <row r="2623" spans="1:20" hidden="1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  <c r="S2623" t="str">
        <f t="shared" si="40"/>
        <v>Annually</v>
      </c>
      <c r="T2623" cm="1">
        <f t="array" ref="T2623">_xlfn.SWITCH(S2623,"Annually",6,"Bi-Weekly",2,"Fortnightly",3,"Monthly",4,"Quarterly",5,"Weekly",1)</f>
        <v>6</v>
      </c>
    </row>
    <row r="2624" spans="1:20" hidden="1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  <c r="S2624" t="str">
        <f t="shared" si="40"/>
        <v>Annually</v>
      </c>
      <c r="T2624" cm="1">
        <f t="array" ref="T2624">_xlfn.SWITCH(S2624,"Annually",6,"Bi-Weekly",2,"Fortnightly",3,"Monthly",4,"Quarterly",5,"Weekly",1)</f>
        <v>6</v>
      </c>
    </row>
    <row r="2625" spans="1:20" hidden="1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  <c r="S2625" t="str">
        <f t="shared" si="40"/>
        <v>Annually</v>
      </c>
      <c r="T2625" cm="1">
        <f t="array" ref="T2625">_xlfn.SWITCH(S2625,"Annually",6,"Bi-Weekly",2,"Fortnightly",3,"Monthly",4,"Quarterly",5,"Weekly",1)</f>
        <v>6</v>
      </c>
    </row>
    <row r="2626" spans="1:20" hidden="1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  <c r="S2626" t="str">
        <f t="shared" si="40"/>
        <v>Annually</v>
      </c>
      <c r="T2626" cm="1">
        <f t="array" ref="T2626">_xlfn.SWITCH(S2626,"Annually",6,"Bi-Weekly",2,"Fortnightly",3,"Monthly",4,"Quarterly",5,"Weekly",1)</f>
        <v>6</v>
      </c>
    </row>
    <row r="2627" spans="1:20" hidden="1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  <c r="S2627" t="str">
        <f t="shared" ref="S2627:S2690" si="41">IF(R2627="Every 3 Months","Quarterly",R2627)</f>
        <v>Weekly</v>
      </c>
      <c r="T2627" cm="1">
        <f t="array" ref="T2627">_xlfn.SWITCH(S2627,"Annually",6,"Bi-Weekly",2,"Fortnightly",3,"Monthly",4,"Quarterly",5,"Weekly",1)</f>
        <v>1</v>
      </c>
    </row>
    <row r="2628" spans="1:20" hidden="1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  <c r="S2628" t="str">
        <f t="shared" si="41"/>
        <v>Quarterly</v>
      </c>
      <c r="T2628" cm="1">
        <f t="array" ref="T2628">_xlfn.SWITCH(S2628,"Annually",6,"Bi-Weekly",2,"Fortnightly",3,"Monthly",4,"Quarterly",5,"Weekly",1)</f>
        <v>5</v>
      </c>
    </row>
    <row r="2629" spans="1:20" hidden="1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  <c r="S2629" t="str">
        <f t="shared" si="41"/>
        <v>Quarterly</v>
      </c>
      <c r="T2629" cm="1">
        <f t="array" ref="T2629">_xlfn.SWITCH(S2629,"Annually",6,"Bi-Weekly",2,"Fortnightly",3,"Monthly",4,"Quarterly",5,"Weekly",1)</f>
        <v>5</v>
      </c>
    </row>
    <row r="2630" spans="1:20" hidden="1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  <c r="S2630" t="str">
        <f t="shared" si="41"/>
        <v>Bi-Weekly</v>
      </c>
      <c r="T2630" cm="1">
        <f t="array" ref="T2630">_xlfn.SWITCH(S2630,"Annually",6,"Bi-Weekly",2,"Fortnightly",3,"Monthly",4,"Quarterly",5,"Weekly",1)</f>
        <v>2</v>
      </c>
    </row>
    <row r="2631" spans="1:20" hidden="1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  <c r="S2631" t="str">
        <f t="shared" si="41"/>
        <v>Annually</v>
      </c>
      <c r="T2631" cm="1">
        <f t="array" ref="T2631">_xlfn.SWITCH(S2631,"Annually",6,"Bi-Weekly",2,"Fortnightly",3,"Monthly",4,"Quarterly",5,"Weekly",1)</f>
        <v>6</v>
      </c>
    </row>
    <row r="2632" spans="1:20" hidden="1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  <c r="S2632" t="str">
        <f t="shared" si="41"/>
        <v>Quarterly</v>
      </c>
      <c r="T2632" cm="1">
        <f t="array" ref="T2632">_xlfn.SWITCH(S2632,"Annually",6,"Bi-Weekly",2,"Fortnightly",3,"Monthly",4,"Quarterly",5,"Weekly",1)</f>
        <v>5</v>
      </c>
    </row>
    <row r="2633" spans="1:20" hidden="1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  <c r="S2633" t="str">
        <f t="shared" si="41"/>
        <v>Weekly</v>
      </c>
      <c r="T2633" cm="1">
        <f t="array" ref="T2633">_xlfn.SWITCH(S2633,"Annually",6,"Bi-Weekly",2,"Fortnightly",3,"Monthly",4,"Quarterly",5,"Weekly",1)</f>
        <v>1</v>
      </c>
    </row>
    <row r="2634" spans="1:20" hidden="1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  <c r="S2634" t="str">
        <f t="shared" si="41"/>
        <v>Annually</v>
      </c>
      <c r="T2634" cm="1">
        <f t="array" ref="T2634">_xlfn.SWITCH(S2634,"Annually",6,"Bi-Weekly",2,"Fortnightly",3,"Monthly",4,"Quarterly",5,"Weekly",1)</f>
        <v>6</v>
      </c>
    </row>
    <row r="2635" spans="1:20" hidden="1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  <c r="S2635" t="str">
        <f t="shared" si="41"/>
        <v>Fortnightly</v>
      </c>
      <c r="T2635" cm="1">
        <f t="array" ref="T2635">_xlfn.SWITCH(S2635,"Annually",6,"Bi-Weekly",2,"Fortnightly",3,"Monthly",4,"Quarterly",5,"Weekly",1)</f>
        <v>3</v>
      </c>
    </row>
    <row r="2636" spans="1:20" hidden="1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  <c r="S2636" t="str">
        <f t="shared" si="41"/>
        <v>Quarterly</v>
      </c>
      <c r="T2636" cm="1">
        <f t="array" ref="T2636">_xlfn.SWITCH(S2636,"Annually",6,"Bi-Weekly",2,"Fortnightly",3,"Monthly",4,"Quarterly",5,"Weekly",1)</f>
        <v>5</v>
      </c>
    </row>
    <row r="2637" spans="1:20" hidden="1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  <c r="S2637" t="str">
        <f t="shared" si="41"/>
        <v>Fortnightly</v>
      </c>
      <c r="T2637" cm="1">
        <f t="array" ref="T2637">_xlfn.SWITCH(S2637,"Annually",6,"Bi-Weekly",2,"Fortnightly",3,"Monthly",4,"Quarterly",5,"Weekly",1)</f>
        <v>3</v>
      </c>
    </row>
    <row r="2638" spans="1:20" hidden="1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  <c r="S2638" t="str">
        <f t="shared" si="41"/>
        <v>Annually</v>
      </c>
      <c r="T2638" cm="1">
        <f t="array" ref="T2638">_xlfn.SWITCH(S2638,"Annually",6,"Bi-Weekly",2,"Fortnightly",3,"Monthly",4,"Quarterly",5,"Weekly",1)</f>
        <v>6</v>
      </c>
    </row>
    <row r="2639" spans="1:20" hidden="1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  <c r="S2639" t="str">
        <f t="shared" si="41"/>
        <v>Annually</v>
      </c>
      <c r="T2639" cm="1">
        <f t="array" ref="T2639">_xlfn.SWITCH(S2639,"Annually",6,"Bi-Weekly",2,"Fortnightly",3,"Monthly",4,"Quarterly",5,"Weekly",1)</f>
        <v>6</v>
      </c>
    </row>
    <row r="2640" spans="1:20" hidden="1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  <c r="S2640" t="str">
        <f t="shared" si="41"/>
        <v>Annually</v>
      </c>
      <c r="T2640" cm="1">
        <f t="array" ref="T2640">_xlfn.SWITCH(S2640,"Annually",6,"Bi-Weekly",2,"Fortnightly",3,"Monthly",4,"Quarterly",5,"Weekly",1)</f>
        <v>6</v>
      </c>
    </row>
    <row r="2641" spans="1:20" hidden="1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  <c r="S2641" t="str">
        <f t="shared" si="41"/>
        <v>Quarterly</v>
      </c>
      <c r="T2641" cm="1">
        <f t="array" ref="T2641">_xlfn.SWITCH(S2641,"Annually",6,"Bi-Weekly",2,"Fortnightly",3,"Monthly",4,"Quarterly",5,"Weekly",1)</f>
        <v>5</v>
      </c>
    </row>
    <row r="2642" spans="1:20" hidden="1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  <c r="S2642" t="str">
        <f t="shared" si="41"/>
        <v>Bi-Weekly</v>
      </c>
      <c r="T2642" cm="1">
        <f t="array" ref="T2642">_xlfn.SWITCH(S2642,"Annually",6,"Bi-Weekly",2,"Fortnightly",3,"Monthly",4,"Quarterly",5,"Weekly",1)</f>
        <v>2</v>
      </c>
    </row>
    <row r="2643" spans="1:20" hidden="1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  <c r="S2643" t="str">
        <f t="shared" si="41"/>
        <v>Quarterly</v>
      </c>
      <c r="T2643" cm="1">
        <f t="array" ref="T2643">_xlfn.SWITCH(S2643,"Annually",6,"Bi-Weekly",2,"Fortnightly",3,"Monthly",4,"Quarterly",5,"Weekly",1)</f>
        <v>5</v>
      </c>
    </row>
    <row r="2644" spans="1:20" hidden="1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  <c r="S2644" t="str">
        <f t="shared" si="41"/>
        <v>Annually</v>
      </c>
      <c r="T2644" cm="1">
        <f t="array" ref="T2644">_xlfn.SWITCH(S2644,"Annually",6,"Bi-Weekly",2,"Fortnightly",3,"Monthly",4,"Quarterly",5,"Weekly",1)</f>
        <v>6</v>
      </c>
    </row>
    <row r="2645" spans="1:20" hidden="1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  <c r="S2645" t="str">
        <f t="shared" si="41"/>
        <v>Monthly</v>
      </c>
      <c r="T2645" cm="1">
        <f t="array" ref="T2645">_xlfn.SWITCH(S2645,"Annually",6,"Bi-Weekly",2,"Fortnightly",3,"Monthly",4,"Quarterly",5,"Weekly",1)</f>
        <v>4</v>
      </c>
    </row>
    <row r="2646" spans="1:20" hidden="1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  <c r="S2646" t="str">
        <f t="shared" si="41"/>
        <v>Quarterly</v>
      </c>
      <c r="T2646" cm="1">
        <f t="array" ref="T2646">_xlfn.SWITCH(S2646,"Annually",6,"Bi-Weekly",2,"Fortnightly",3,"Monthly",4,"Quarterly",5,"Weekly",1)</f>
        <v>5</v>
      </c>
    </row>
    <row r="2647" spans="1:20" hidden="1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  <c r="S2647" t="str">
        <f t="shared" si="41"/>
        <v>Bi-Weekly</v>
      </c>
      <c r="T2647" cm="1">
        <f t="array" ref="T2647">_xlfn.SWITCH(S2647,"Annually",6,"Bi-Weekly",2,"Fortnightly",3,"Monthly",4,"Quarterly",5,"Weekly",1)</f>
        <v>2</v>
      </c>
    </row>
    <row r="2648" spans="1:20" hidden="1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  <c r="S2648" t="str">
        <f t="shared" si="41"/>
        <v>Quarterly</v>
      </c>
      <c r="T2648" cm="1">
        <f t="array" ref="T2648">_xlfn.SWITCH(S2648,"Annually",6,"Bi-Weekly",2,"Fortnightly",3,"Monthly",4,"Quarterly",5,"Weekly",1)</f>
        <v>5</v>
      </c>
    </row>
    <row r="2649" spans="1:20" hidden="1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  <c r="S2649" t="str">
        <f t="shared" si="41"/>
        <v>Annually</v>
      </c>
      <c r="T2649" cm="1">
        <f t="array" ref="T2649">_xlfn.SWITCH(S2649,"Annually",6,"Bi-Weekly",2,"Fortnightly",3,"Monthly",4,"Quarterly",5,"Weekly",1)</f>
        <v>6</v>
      </c>
    </row>
    <row r="2650" spans="1:20" hidden="1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  <c r="S2650" t="str">
        <f t="shared" si="41"/>
        <v>Bi-Weekly</v>
      </c>
      <c r="T2650" cm="1">
        <f t="array" ref="T2650">_xlfn.SWITCH(S2650,"Annually",6,"Bi-Weekly",2,"Fortnightly",3,"Monthly",4,"Quarterly",5,"Weekly",1)</f>
        <v>2</v>
      </c>
    </row>
    <row r="2651" spans="1:20" hidden="1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  <c r="S2651" t="str">
        <f t="shared" si="41"/>
        <v>Fortnightly</v>
      </c>
      <c r="T2651" cm="1">
        <f t="array" ref="T2651">_xlfn.SWITCH(S2651,"Annually",6,"Bi-Weekly",2,"Fortnightly",3,"Monthly",4,"Quarterly",5,"Weekly",1)</f>
        <v>3</v>
      </c>
    </row>
    <row r="2652" spans="1:20" hidden="1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  <c r="S2652" t="str">
        <f t="shared" si="41"/>
        <v>Quarterly</v>
      </c>
      <c r="T2652" cm="1">
        <f t="array" ref="T2652">_xlfn.SWITCH(S2652,"Annually",6,"Bi-Weekly",2,"Fortnightly",3,"Monthly",4,"Quarterly",5,"Weekly",1)</f>
        <v>5</v>
      </c>
    </row>
    <row r="2653" spans="1:20" hidden="1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  <c r="S2653" t="str">
        <f t="shared" si="41"/>
        <v>Quarterly</v>
      </c>
      <c r="T2653" cm="1">
        <f t="array" ref="T2653">_xlfn.SWITCH(S2653,"Annually",6,"Bi-Weekly",2,"Fortnightly",3,"Monthly",4,"Quarterly",5,"Weekly",1)</f>
        <v>5</v>
      </c>
    </row>
    <row r="2654" spans="1:20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  <c r="S2654" t="str">
        <f t="shared" si="41"/>
        <v>Monthly</v>
      </c>
      <c r="T2654" cm="1">
        <f t="array" ref="T2654">_xlfn.SWITCH(S2654,"Annually",6,"Bi-Weekly",2,"Fortnightly",3,"Monthly",4,"Quarterly",5,"Weekly",1)</f>
        <v>4</v>
      </c>
    </row>
    <row r="2655" spans="1:20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  <c r="S2655" t="str">
        <f t="shared" si="41"/>
        <v>Quarterly</v>
      </c>
      <c r="T2655" cm="1">
        <f t="array" ref="T2655">_xlfn.SWITCH(S2655,"Annually",6,"Bi-Weekly",2,"Fortnightly",3,"Monthly",4,"Quarterly",5,"Weekly",1)</f>
        <v>5</v>
      </c>
    </row>
    <row r="2656" spans="1:20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  <c r="S2656" t="str">
        <f t="shared" si="41"/>
        <v>Annually</v>
      </c>
      <c r="T2656" cm="1">
        <f t="array" ref="T2656">_xlfn.SWITCH(S2656,"Annually",6,"Bi-Weekly",2,"Fortnightly",3,"Monthly",4,"Quarterly",5,"Weekly",1)</f>
        <v>6</v>
      </c>
    </row>
    <row r="2657" spans="1:20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  <c r="S2657" t="str">
        <f t="shared" si="41"/>
        <v>Fortnightly</v>
      </c>
      <c r="T2657" cm="1">
        <f t="array" ref="T2657">_xlfn.SWITCH(S2657,"Annually",6,"Bi-Weekly",2,"Fortnightly",3,"Monthly",4,"Quarterly",5,"Weekly",1)</f>
        <v>3</v>
      </c>
    </row>
    <row r="2658" spans="1:20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  <c r="S2658" t="str">
        <f t="shared" si="41"/>
        <v>Fortnightly</v>
      </c>
      <c r="T2658" cm="1">
        <f t="array" ref="T2658">_xlfn.SWITCH(S2658,"Annually",6,"Bi-Weekly",2,"Fortnightly",3,"Monthly",4,"Quarterly",5,"Weekly",1)</f>
        <v>3</v>
      </c>
    </row>
    <row r="2659" spans="1:20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  <c r="S2659" t="str">
        <f t="shared" si="41"/>
        <v>Fortnightly</v>
      </c>
      <c r="T2659" cm="1">
        <f t="array" ref="T2659">_xlfn.SWITCH(S2659,"Annually",6,"Bi-Weekly",2,"Fortnightly",3,"Monthly",4,"Quarterly",5,"Weekly",1)</f>
        <v>3</v>
      </c>
    </row>
    <row r="2660" spans="1:20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  <c r="S2660" t="str">
        <f t="shared" si="41"/>
        <v>Monthly</v>
      </c>
      <c r="T2660" cm="1">
        <f t="array" ref="T2660">_xlfn.SWITCH(S2660,"Annually",6,"Bi-Weekly",2,"Fortnightly",3,"Monthly",4,"Quarterly",5,"Weekly",1)</f>
        <v>4</v>
      </c>
    </row>
    <row r="2661" spans="1:20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  <c r="S2661" t="str">
        <f t="shared" si="41"/>
        <v>Fortnightly</v>
      </c>
      <c r="T2661" cm="1">
        <f t="array" ref="T2661">_xlfn.SWITCH(S2661,"Annually",6,"Bi-Weekly",2,"Fortnightly",3,"Monthly",4,"Quarterly",5,"Weekly",1)</f>
        <v>3</v>
      </c>
    </row>
    <row r="2662" spans="1:20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  <c r="S2662" t="str">
        <f t="shared" si="41"/>
        <v>Annually</v>
      </c>
      <c r="T2662" cm="1">
        <f t="array" ref="T2662">_xlfn.SWITCH(S2662,"Annually",6,"Bi-Weekly",2,"Fortnightly",3,"Monthly",4,"Quarterly",5,"Weekly",1)</f>
        <v>6</v>
      </c>
    </row>
    <row r="2663" spans="1:20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  <c r="S2663" t="str">
        <f t="shared" si="41"/>
        <v>Annually</v>
      </c>
      <c r="T2663" cm="1">
        <f t="array" ref="T2663">_xlfn.SWITCH(S2663,"Annually",6,"Bi-Weekly",2,"Fortnightly",3,"Monthly",4,"Quarterly",5,"Weekly",1)</f>
        <v>6</v>
      </c>
    </row>
    <row r="2664" spans="1:20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  <c r="S2664" t="str">
        <f t="shared" si="41"/>
        <v>Fortnightly</v>
      </c>
      <c r="T2664" cm="1">
        <f t="array" ref="T2664">_xlfn.SWITCH(S2664,"Annually",6,"Bi-Weekly",2,"Fortnightly",3,"Monthly",4,"Quarterly",5,"Weekly",1)</f>
        <v>3</v>
      </c>
    </row>
    <row r="2665" spans="1:20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  <c r="S2665" t="str">
        <f t="shared" si="41"/>
        <v>Annually</v>
      </c>
      <c r="T2665" cm="1">
        <f t="array" ref="T2665">_xlfn.SWITCH(S2665,"Annually",6,"Bi-Weekly",2,"Fortnightly",3,"Monthly",4,"Quarterly",5,"Weekly",1)</f>
        <v>6</v>
      </c>
    </row>
    <row r="2666" spans="1:20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  <c r="S2666" t="str">
        <f t="shared" si="41"/>
        <v>Weekly</v>
      </c>
      <c r="T2666" cm="1">
        <f t="array" ref="T2666">_xlfn.SWITCH(S2666,"Annually",6,"Bi-Weekly",2,"Fortnightly",3,"Monthly",4,"Quarterly",5,"Weekly",1)</f>
        <v>1</v>
      </c>
    </row>
    <row r="2667" spans="1:20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  <c r="S2667" t="str">
        <f t="shared" si="41"/>
        <v>Weekly</v>
      </c>
      <c r="T2667" cm="1">
        <f t="array" ref="T2667">_xlfn.SWITCH(S2667,"Annually",6,"Bi-Weekly",2,"Fortnightly",3,"Monthly",4,"Quarterly",5,"Weekly",1)</f>
        <v>1</v>
      </c>
    </row>
    <row r="2668" spans="1:20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  <c r="S2668" t="str">
        <f t="shared" si="41"/>
        <v>Fortnightly</v>
      </c>
      <c r="T2668" cm="1">
        <f t="array" ref="T2668">_xlfn.SWITCH(S2668,"Annually",6,"Bi-Weekly",2,"Fortnightly",3,"Monthly",4,"Quarterly",5,"Weekly",1)</f>
        <v>3</v>
      </c>
    </row>
    <row r="2669" spans="1:20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  <c r="S2669" t="str">
        <f t="shared" si="41"/>
        <v>Fortnightly</v>
      </c>
      <c r="T2669" cm="1">
        <f t="array" ref="T2669">_xlfn.SWITCH(S2669,"Annually",6,"Bi-Weekly",2,"Fortnightly",3,"Monthly",4,"Quarterly",5,"Weekly",1)</f>
        <v>3</v>
      </c>
    </row>
    <row r="2670" spans="1:20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  <c r="S2670" t="str">
        <f t="shared" si="41"/>
        <v>Quarterly</v>
      </c>
      <c r="T2670" cm="1">
        <f t="array" ref="T2670">_xlfn.SWITCH(S2670,"Annually",6,"Bi-Weekly",2,"Fortnightly",3,"Monthly",4,"Quarterly",5,"Weekly",1)</f>
        <v>5</v>
      </c>
    </row>
    <row r="2671" spans="1:20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  <c r="S2671" t="str">
        <f t="shared" si="41"/>
        <v>Weekly</v>
      </c>
      <c r="T2671" cm="1">
        <f t="array" ref="T2671">_xlfn.SWITCH(S2671,"Annually",6,"Bi-Weekly",2,"Fortnightly",3,"Monthly",4,"Quarterly",5,"Weekly",1)</f>
        <v>1</v>
      </c>
    </row>
    <row r="2672" spans="1:20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  <c r="S2672" t="str">
        <f t="shared" si="41"/>
        <v>Bi-Weekly</v>
      </c>
      <c r="T2672" cm="1">
        <f t="array" ref="T2672">_xlfn.SWITCH(S2672,"Annually",6,"Bi-Weekly",2,"Fortnightly",3,"Monthly",4,"Quarterly",5,"Weekly",1)</f>
        <v>2</v>
      </c>
    </row>
    <row r="2673" spans="1:20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  <c r="S2673" t="str">
        <f t="shared" si="41"/>
        <v>Quarterly</v>
      </c>
      <c r="T2673" cm="1">
        <f t="array" ref="T2673">_xlfn.SWITCH(S2673,"Annually",6,"Bi-Weekly",2,"Fortnightly",3,"Monthly",4,"Quarterly",5,"Weekly",1)</f>
        <v>5</v>
      </c>
    </row>
    <row r="2674" spans="1:20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  <c r="S2674" t="str">
        <f t="shared" si="41"/>
        <v>Annually</v>
      </c>
      <c r="T2674" cm="1">
        <f t="array" ref="T2674">_xlfn.SWITCH(S2674,"Annually",6,"Bi-Weekly",2,"Fortnightly",3,"Monthly",4,"Quarterly",5,"Weekly",1)</f>
        <v>6</v>
      </c>
    </row>
    <row r="2675" spans="1:20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  <c r="S2675" t="str">
        <f t="shared" si="41"/>
        <v>Monthly</v>
      </c>
      <c r="T2675" cm="1">
        <f t="array" ref="T2675">_xlfn.SWITCH(S2675,"Annually",6,"Bi-Weekly",2,"Fortnightly",3,"Monthly",4,"Quarterly",5,"Weekly",1)</f>
        <v>4</v>
      </c>
    </row>
    <row r="2676" spans="1:20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  <c r="S2676" t="str">
        <f t="shared" si="41"/>
        <v>Quarterly</v>
      </c>
      <c r="T2676" cm="1">
        <f t="array" ref="T2676">_xlfn.SWITCH(S2676,"Annually",6,"Bi-Weekly",2,"Fortnightly",3,"Monthly",4,"Quarterly",5,"Weekly",1)</f>
        <v>5</v>
      </c>
    </row>
    <row r="2677" spans="1:20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  <c r="S2677" t="str">
        <f t="shared" si="41"/>
        <v>Bi-Weekly</v>
      </c>
      <c r="T2677" cm="1">
        <f t="array" ref="T2677">_xlfn.SWITCH(S2677,"Annually",6,"Bi-Weekly",2,"Fortnightly",3,"Monthly",4,"Quarterly",5,"Weekly",1)</f>
        <v>2</v>
      </c>
    </row>
    <row r="2678" spans="1:20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  <c r="S2678" t="str">
        <f t="shared" si="41"/>
        <v>Fortnightly</v>
      </c>
      <c r="T2678" cm="1">
        <f t="array" ref="T2678">_xlfn.SWITCH(S2678,"Annually",6,"Bi-Weekly",2,"Fortnightly",3,"Monthly",4,"Quarterly",5,"Weekly",1)</f>
        <v>3</v>
      </c>
    </row>
    <row r="2679" spans="1:20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  <c r="S2679" t="str">
        <f t="shared" si="41"/>
        <v>Quarterly</v>
      </c>
      <c r="T2679" cm="1">
        <f t="array" ref="T2679">_xlfn.SWITCH(S2679,"Annually",6,"Bi-Weekly",2,"Fortnightly",3,"Monthly",4,"Quarterly",5,"Weekly",1)</f>
        <v>5</v>
      </c>
    </row>
    <row r="2680" spans="1:20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  <c r="S2680" t="str">
        <f t="shared" si="41"/>
        <v>Bi-Weekly</v>
      </c>
      <c r="T2680" cm="1">
        <f t="array" ref="T2680">_xlfn.SWITCH(S2680,"Annually",6,"Bi-Weekly",2,"Fortnightly",3,"Monthly",4,"Quarterly",5,"Weekly",1)</f>
        <v>2</v>
      </c>
    </row>
    <row r="2681" spans="1:20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  <c r="S2681" t="str">
        <f t="shared" si="41"/>
        <v>Quarterly</v>
      </c>
      <c r="T2681" cm="1">
        <f t="array" ref="T2681">_xlfn.SWITCH(S2681,"Annually",6,"Bi-Weekly",2,"Fortnightly",3,"Monthly",4,"Quarterly",5,"Weekly",1)</f>
        <v>5</v>
      </c>
    </row>
    <row r="2682" spans="1:20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  <c r="S2682" t="str">
        <f t="shared" si="41"/>
        <v>Annually</v>
      </c>
      <c r="T2682" cm="1">
        <f t="array" ref="T2682">_xlfn.SWITCH(S2682,"Annually",6,"Bi-Weekly",2,"Fortnightly",3,"Monthly",4,"Quarterly",5,"Weekly",1)</f>
        <v>6</v>
      </c>
    </row>
    <row r="2683" spans="1:20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  <c r="S2683" t="str">
        <f t="shared" si="41"/>
        <v>Monthly</v>
      </c>
      <c r="T2683" cm="1">
        <f t="array" ref="T2683">_xlfn.SWITCH(S2683,"Annually",6,"Bi-Weekly",2,"Fortnightly",3,"Monthly",4,"Quarterly",5,"Weekly",1)</f>
        <v>4</v>
      </c>
    </row>
    <row r="2684" spans="1:20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  <c r="S2684" t="str">
        <f t="shared" si="41"/>
        <v>Quarterly</v>
      </c>
      <c r="T2684" cm="1">
        <f t="array" ref="T2684">_xlfn.SWITCH(S2684,"Annually",6,"Bi-Weekly",2,"Fortnightly",3,"Monthly",4,"Quarterly",5,"Weekly",1)</f>
        <v>5</v>
      </c>
    </row>
    <row r="2685" spans="1:20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  <c r="S2685" t="str">
        <f t="shared" si="41"/>
        <v>Fortnightly</v>
      </c>
      <c r="T2685" cm="1">
        <f t="array" ref="T2685">_xlfn.SWITCH(S2685,"Annually",6,"Bi-Weekly",2,"Fortnightly",3,"Monthly",4,"Quarterly",5,"Weekly",1)</f>
        <v>3</v>
      </c>
    </row>
    <row r="2686" spans="1:20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  <c r="S2686" t="str">
        <f t="shared" si="41"/>
        <v>Bi-Weekly</v>
      </c>
      <c r="T2686" cm="1">
        <f t="array" ref="T2686">_xlfn.SWITCH(S2686,"Annually",6,"Bi-Weekly",2,"Fortnightly",3,"Monthly",4,"Quarterly",5,"Weekly",1)</f>
        <v>2</v>
      </c>
    </row>
    <row r="2687" spans="1:20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  <c r="S2687" t="str">
        <f t="shared" si="41"/>
        <v>Quarterly</v>
      </c>
      <c r="T2687" cm="1">
        <f t="array" ref="T2687">_xlfn.SWITCH(S2687,"Annually",6,"Bi-Weekly",2,"Fortnightly",3,"Monthly",4,"Quarterly",5,"Weekly",1)</f>
        <v>5</v>
      </c>
    </row>
    <row r="2688" spans="1:20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  <c r="S2688" t="str">
        <f t="shared" si="41"/>
        <v>Fortnightly</v>
      </c>
      <c r="T2688" cm="1">
        <f t="array" ref="T2688">_xlfn.SWITCH(S2688,"Annually",6,"Bi-Weekly",2,"Fortnightly",3,"Monthly",4,"Quarterly",5,"Weekly",1)</f>
        <v>3</v>
      </c>
    </row>
    <row r="2689" spans="1:20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  <c r="S2689" t="str">
        <f t="shared" si="41"/>
        <v>Bi-Weekly</v>
      </c>
      <c r="T2689" cm="1">
        <f t="array" ref="T2689">_xlfn.SWITCH(S2689,"Annually",6,"Bi-Weekly",2,"Fortnightly",3,"Monthly",4,"Quarterly",5,"Weekly",1)</f>
        <v>2</v>
      </c>
    </row>
    <row r="2690" spans="1:20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  <c r="S2690" t="str">
        <f t="shared" si="41"/>
        <v>Quarterly</v>
      </c>
      <c r="T2690" cm="1">
        <f t="array" ref="T2690">_xlfn.SWITCH(S2690,"Annually",6,"Bi-Weekly",2,"Fortnightly",3,"Monthly",4,"Quarterly",5,"Weekly",1)</f>
        <v>5</v>
      </c>
    </row>
    <row r="2691" spans="1:20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  <c r="S2691" t="str">
        <f t="shared" ref="S2691:S2754" si="42">IF(R2691="Every 3 Months","Quarterly",R2691)</f>
        <v>Quarterly</v>
      </c>
      <c r="T2691" cm="1">
        <f t="array" ref="T2691">_xlfn.SWITCH(S2691,"Annually",6,"Bi-Weekly",2,"Fortnightly",3,"Monthly",4,"Quarterly",5,"Weekly",1)</f>
        <v>5</v>
      </c>
    </row>
    <row r="2692" spans="1:20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  <c r="S2692" t="str">
        <f t="shared" si="42"/>
        <v>Weekly</v>
      </c>
      <c r="T2692" cm="1">
        <f t="array" ref="T2692">_xlfn.SWITCH(S2692,"Annually",6,"Bi-Weekly",2,"Fortnightly",3,"Monthly",4,"Quarterly",5,"Weekly",1)</f>
        <v>1</v>
      </c>
    </row>
    <row r="2693" spans="1:20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  <c r="S2693" t="str">
        <f t="shared" si="42"/>
        <v>Monthly</v>
      </c>
      <c r="T2693" cm="1">
        <f t="array" ref="T2693">_xlfn.SWITCH(S2693,"Annually",6,"Bi-Weekly",2,"Fortnightly",3,"Monthly",4,"Quarterly",5,"Weekly",1)</f>
        <v>4</v>
      </c>
    </row>
    <row r="2694" spans="1:20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  <c r="S2694" t="str">
        <f t="shared" si="42"/>
        <v>Quarterly</v>
      </c>
      <c r="T2694" cm="1">
        <f t="array" ref="T2694">_xlfn.SWITCH(S2694,"Annually",6,"Bi-Weekly",2,"Fortnightly",3,"Monthly",4,"Quarterly",5,"Weekly",1)</f>
        <v>5</v>
      </c>
    </row>
    <row r="2695" spans="1:20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  <c r="S2695" t="str">
        <f t="shared" si="42"/>
        <v>Quarterly</v>
      </c>
      <c r="T2695" cm="1">
        <f t="array" ref="T2695">_xlfn.SWITCH(S2695,"Annually",6,"Bi-Weekly",2,"Fortnightly",3,"Monthly",4,"Quarterly",5,"Weekly",1)</f>
        <v>5</v>
      </c>
    </row>
    <row r="2696" spans="1:20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  <c r="S2696" t="str">
        <f t="shared" si="42"/>
        <v>Quarterly</v>
      </c>
      <c r="T2696" cm="1">
        <f t="array" ref="T2696">_xlfn.SWITCH(S2696,"Annually",6,"Bi-Weekly",2,"Fortnightly",3,"Monthly",4,"Quarterly",5,"Weekly",1)</f>
        <v>5</v>
      </c>
    </row>
    <row r="2697" spans="1:20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  <c r="S2697" t="str">
        <f t="shared" si="42"/>
        <v>Bi-Weekly</v>
      </c>
      <c r="T2697" cm="1">
        <f t="array" ref="T2697">_xlfn.SWITCH(S2697,"Annually",6,"Bi-Weekly",2,"Fortnightly",3,"Monthly",4,"Quarterly",5,"Weekly",1)</f>
        <v>2</v>
      </c>
    </row>
    <row r="2698" spans="1:20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  <c r="S2698" t="str">
        <f t="shared" si="42"/>
        <v>Monthly</v>
      </c>
      <c r="T2698" cm="1">
        <f t="array" ref="T2698">_xlfn.SWITCH(S2698,"Annually",6,"Bi-Weekly",2,"Fortnightly",3,"Monthly",4,"Quarterly",5,"Weekly",1)</f>
        <v>4</v>
      </c>
    </row>
    <row r="2699" spans="1:20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  <c r="S2699" t="str">
        <f t="shared" si="42"/>
        <v>Quarterly</v>
      </c>
      <c r="T2699" cm="1">
        <f t="array" ref="T2699">_xlfn.SWITCH(S2699,"Annually",6,"Bi-Weekly",2,"Fortnightly",3,"Monthly",4,"Quarterly",5,"Weekly",1)</f>
        <v>5</v>
      </c>
    </row>
    <row r="2700" spans="1:20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  <c r="S2700" t="str">
        <f t="shared" si="42"/>
        <v>Quarterly</v>
      </c>
      <c r="T2700" cm="1">
        <f t="array" ref="T2700">_xlfn.SWITCH(S2700,"Annually",6,"Bi-Weekly",2,"Fortnightly",3,"Monthly",4,"Quarterly",5,"Weekly",1)</f>
        <v>5</v>
      </c>
    </row>
    <row r="2701" spans="1:20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  <c r="S2701" t="str">
        <f t="shared" si="42"/>
        <v>Annually</v>
      </c>
      <c r="T2701" cm="1">
        <f t="array" ref="T2701">_xlfn.SWITCH(S2701,"Annually",6,"Bi-Weekly",2,"Fortnightly",3,"Monthly",4,"Quarterly",5,"Weekly",1)</f>
        <v>6</v>
      </c>
    </row>
    <row r="2702" spans="1:20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  <c r="S2702" t="str">
        <f t="shared" si="42"/>
        <v>Weekly</v>
      </c>
      <c r="T2702" cm="1">
        <f t="array" ref="T2702">_xlfn.SWITCH(S2702,"Annually",6,"Bi-Weekly",2,"Fortnightly",3,"Monthly",4,"Quarterly",5,"Weekly",1)</f>
        <v>1</v>
      </c>
    </row>
    <row r="2703" spans="1:20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  <c r="S2703" t="str">
        <f t="shared" si="42"/>
        <v>Fortnightly</v>
      </c>
      <c r="T2703" cm="1">
        <f t="array" ref="T2703">_xlfn.SWITCH(S2703,"Annually",6,"Bi-Weekly",2,"Fortnightly",3,"Monthly",4,"Quarterly",5,"Weekly",1)</f>
        <v>3</v>
      </c>
    </row>
    <row r="2704" spans="1:20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  <c r="S2704" t="str">
        <f t="shared" si="42"/>
        <v>Fortnightly</v>
      </c>
      <c r="T2704" cm="1">
        <f t="array" ref="T2704">_xlfn.SWITCH(S2704,"Annually",6,"Bi-Weekly",2,"Fortnightly",3,"Monthly",4,"Quarterly",5,"Weekly",1)</f>
        <v>3</v>
      </c>
    </row>
    <row r="2705" spans="1:20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  <c r="S2705" t="str">
        <f t="shared" si="42"/>
        <v>Weekly</v>
      </c>
      <c r="T2705" cm="1">
        <f t="array" ref="T2705">_xlfn.SWITCH(S2705,"Annually",6,"Bi-Weekly",2,"Fortnightly",3,"Monthly",4,"Quarterly",5,"Weekly",1)</f>
        <v>1</v>
      </c>
    </row>
    <row r="2706" spans="1:20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  <c r="S2706" t="str">
        <f t="shared" si="42"/>
        <v>Weekly</v>
      </c>
      <c r="T2706" cm="1">
        <f t="array" ref="T2706">_xlfn.SWITCH(S2706,"Annually",6,"Bi-Weekly",2,"Fortnightly",3,"Monthly",4,"Quarterly",5,"Weekly",1)</f>
        <v>1</v>
      </c>
    </row>
    <row r="2707" spans="1:20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  <c r="S2707" t="str">
        <f t="shared" si="42"/>
        <v>Bi-Weekly</v>
      </c>
      <c r="T2707" cm="1">
        <f t="array" ref="T2707">_xlfn.SWITCH(S2707,"Annually",6,"Bi-Weekly",2,"Fortnightly",3,"Monthly",4,"Quarterly",5,"Weekly",1)</f>
        <v>2</v>
      </c>
    </row>
    <row r="2708" spans="1:20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  <c r="S2708" t="str">
        <f t="shared" si="42"/>
        <v>Quarterly</v>
      </c>
      <c r="T2708" cm="1">
        <f t="array" ref="T2708">_xlfn.SWITCH(S2708,"Annually",6,"Bi-Weekly",2,"Fortnightly",3,"Monthly",4,"Quarterly",5,"Weekly",1)</f>
        <v>5</v>
      </c>
    </row>
    <row r="2709" spans="1:20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  <c r="S2709" t="str">
        <f t="shared" si="42"/>
        <v>Weekly</v>
      </c>
      <c r="T2709" cm="1">
        <f t="array" ref="T2709">_xlfn.SWITCH(S2709,"Annually",6,"Bi-Weekly",2,"Fortnightly",3,"Monthly",4,"Quarterly",5,"Weekly",1)</f>
        <v>1</v>
      </c>
    </row>
    <row r="2710" spans="1:20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  <c r="S2710" t="str">
        <f t="shared" si="42"/>
        <v>Weekly</v>
      </c>
      <c r="T2710" cm="1">
        <f t="array" ref="T2710">_xlfn.SWITCH(S2710,"Annually",6,"Bi-Weekly",2,"Fortnightly",3,"Monthly",4,"Quarterly",5,"Weekly",1)</f>
        <v>1</v>
      </c>
    </row>
    <row r="2711" spans="1:20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  <c r="S2711" t="str">
        <f t="shared" si="42"/>
        <v>Bi-Weekly</v>
      </c>
      <c r="T2711" cm="1">
        <f t="array" ref="T2711">_xlfn.SWITCH(S2711,"Annually",6,"Bi-Weekly",2,"Fortnightly",3,"Monthly",4,"Quarterly",5,"Weekly",1)</f>
        <v>2</v>
      </c>
    </row>
    <row r="2712" spans="1:20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  <c r="S2712" t="str">
        <f t="shared" si="42"/>
        <v>Fortnightly</v>
      </c>
      <c r="T2712" cm="1">
        <f t="array" ref="T2712">_xlfn.SWITCH(S2712,"Annually",6,"Bi-Weekly",2,"Fortnightly",3,"Monthly",4,"Quarterly",5,"Weekly",1)</f>
        <v>3</v>
      </c>
    </row>
    <row r="2713" spans="1:20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  <c r="S2713" t="str">
        <f t="shared" si="42"/>
        <v>Monthly</v>
      </c>
      <c r="T2713" cm="1">
        <f t="array" ref="T2713">_xlfn.SWITCH(S2713,"Annually",6,"Bi-Weekly",2,"Fortnightly",3,"Monthly",4,"Quarterly",5,"Weekly",1)</f>
        <v>4</v>
      </c>
    </row>
    <row r="2714" spans="1:20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  <c r="S2714" t="str">
        <f t="shared" si="42"/>
        <v>Quarterly</v>
      </c>
      <c r="T2714" cm="1">
        <f t="array" ref="T2714">_xlfn.SWITCH(S2714,"Annually",6,"Bi-Weekly",2,"Fortnightly",3,"Monthly",4,"Quarterly",5,"Weekly",1)</f>
        <v>5</v>
      </c>
    </row>
    <row r="2715" spans="1:20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  <c r="S2715" t="str">
        <f t="shared" si="42"/>
        <v>Annually</v>
      </c>
      <c r="T2715" cm="1">
        <f t="array" ref="T2715">_xlfn.SWITCH(S2715,"Annually",6,"Bi-Weekly",2,"Fortnightly",3,"Monthly",4,"Quarterly",5,"Weekly",1)</f>
        <v>6</v>
      </c>
    </row>
    <row r="2716" spans="1:20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  <c r="S2716" t="str">
        <f t="shared" si="42"/>
        <v>Bi-Weekly</v>
      </c>
      <c r="T2716" cm="1">
        <f t="array" ref="T2716">_xlfn.SWITCH(S2716,"Annually",6,"Bi-Weekly",2,"Fortnightly",3,"Monthly",4,"Quarterly",5,"Weekly",1)</f>
        <v>2</v>
      </c>
    </row>
    <row r="2717" spans="1:20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  <c r="S2717" t="str">
        <f t="shared" si="42"/>
        <v>Fortnightly</v>
      </c>
      <c r="T2717" cm="1">
        <f t="array" ref="T2717">_xlfn.SWITCH(S2717,"Annually",6,"Bi-Weekly",2,"Fortnightly",3,"Monthly",4,"Quarterly",5,"Weekly",1)</f>
        <v>3</v>
      </c>
    </row>
    <row r="2718" spans="1:20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  <c r="S2718" t="str">
        <f t="shared" si="42"/>
        <v>Weekly</v>
      </c>
      <c r="T2718" cm="1">
        <f t="array" ref="T2718">_xlfn.SWITCH(S2718,"Annually",6,"Bi-Weekly",2,"Fortnightly",3,"Monthly",4,"Quarterly",5,"Weekly",1)</f>
        <v>1</v>
      </c>
    </row>
    <row r="2719" spans="1:20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  <c r="S2719" t="str">
        <f t="shared" si="42"/>
        <v>Quarterly</v>
      </c>
      <c r="T2719" cm="1">
        <f t="array" ref="T2719">_xlfn.SWITCH(S2719,"Annually",6,"Bi-Weekly",2,"Fortnightly",3,"Monthly",4,"Quarterly",5,"Weekly",1)</f>
        <v>5</v>
      </c>
    </row>
    <row r="2720" spans="1:20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  <c r="S2720" t="str">
        <f t="shared" si="42"/>
        <v>Bi-Weekly</v>
      </c>
      <c r="T2720" cm="1">
        <f t="array" ref="T2720">_xlfn.SWITCH(S2720,"Annually",6,"Bi-Weekly",2,"Fortnightly",3,"Monthly",4,"Quarterly",5,"Weekly",1)</f>
        <v>2</v>
      </c>
    </row>
    <row r="2721" spans="1:20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  <c r="S2721" t="str">
        <f t="shared" si="42"/>
        <v>Monthly</v>
      </c>
      <c r="T2721" cm="1">
        <f t="array" ref="T2721">_xlfn.SWITCH(S2721,"Annually",6,"Bi-Weekly",2,"Fortnightly",3,"Monthly",4,"Quarterly",5,"Weekly",1)</f>
        <v>4</v>
      </c>
    </row>
    <row r="2722" spans="1:20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  <c r="S2722" t="str">
        <f t="shared" si="42"/>
        <v>Quarterly</v>
      </c>
      <c r="T2722" cm="1">
        <f t="array" ref="T2722">_xlfn.SWITCH(S2722,"Annually",6,"Bi-Weekly",2,"Fortnightly",3,"Monthly",4,"Quarterly",5,"Weekly",1)</f>
        <v>5</v>
      </c>
    </row>
    <row r="2723" spans="1:20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  <c r="S2723" t="str">
        <f t="shared" si="42"/>
        <v>Fortnightly</v>
      </c>
      <c r="T2723" cm="1">
        <f t="array" ref="T2723">_xlfn.SWITCH(S2723,"Annually",6,"Bi-Weekly",2,"Fortnightly",3,"Monthly",4,"Quarterly",5,"Weekly",1)</f>
        <v>3</v>
      </c>
    </row>
    <row r="2724" spans="1:20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  <c r="S2724" t="str">
        <f t="shared" si="42"/>
        <v>Fortnightly</v>
      </c>
      <c r="T2724" cm="1">
        <f t="array" ref="T2724">_xlfn.SWITCH(S2724,"Annually",6,"Bi-Weekly",2,"Fortnightly",3,"Monthly",4,"Quarterly",5,"Weekly",1)</f>
        <v>3</v>
      </c>
    </row>
    <row r="2725" spans="1:20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  <c r="S2725" t="str">
        <f t="shared" si="42"/>
        <v>Quarterly</v>
      </c>
      <c r="T2725" cm="1">
        <f t="array" ref="T2725">_xlfn.SWITCH(S2725,"Annually",6,"Bi-Weekly",2,"Fortnightly",3,"Monthly",4,"Quarterly",5,"Weekly",1)</f>
        <v>5</v>
      </c>
    </row>
    <row r="2726" spans="1:20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  <c r="S2726" t="str">
        <f t="shared" si="42"/>
        <v>Fortnightly</v>
      </c>
      <c r="T2726" cm="1">
        <f t="array" ref="T2726">_xlfn.SWITCH(S2726,"Annually",6,"Bi-Weekly",2,"Fortnightly",3,"Monthly",4,"Quarterly",5,"Weekly",1)</f>
        <v>3</v>
      </c>
    </row>
    <row r="2727" spans="1:20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  <c r="S2727" t="str">
        <f t="shared" si="42"/>
        <v>Annually</v>
      </c>
      <c r="T2727" cm="1">
        <f t="array" ref="T2727">_xlfn.SWITCH(S2727,"Annually",6,"Bi-Weekly",2,"Fortnightly",3,"Monthly",4,"Quarterly",5,"Weekly",1)</f>
        <v>6</v>
      </c>
    </row>
    <row r="2728" spans="1:20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  <c r="S2728" t="str">
        <f t="shared" si="42"/>
        <v>Bi-Weekly</v>
      </c>
      <c r="T2728" cm="1">
        <f t="array" ref="T2728">_xlfn.SWITCH(S2728,"Annually",6,"Bi-Weekly",2,"Fortnightly",3,"Monthly",4,"Quarterly",5,"Weekly",1)</f>
        <v>2</v>
      </c>
    </row>
    <row r="2729" spans="1:20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  <c r="S2729" t="str">
        <f t="shared" si="42"/>
        <v>Fortnightly</v>
      </c>
      <c r="T2729" cm="1">
        <f t="array" ref="T2729">_xlfn.SWITCH(S2729,"Annually",6,"Bi-Weekly",2,"Fortnightly",3,"Monthly",4,"Quarterly",5,"Weekly",1)</f>
        <v>3</v>
      </c>
    </row>
    <row r="2730" spans="1:20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  <c r="S2730" t="str">
        <f t="shared" si="42"/>
        <v>Weekly</v>
      </c>
      <c r="T2730" cm="1">
        <f t="array" ref="T2730">_xlfn.SWITCH(S2730,"Annually",6,"Bi-Weekly",2,"Fortnightly",3,"Monthly",4,"Quarterly",5,"Weekly",1)</f>
        <v>1</v>
      </c>
    </row>
    <row r="2731" spans="1:20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  <c r="S2731" t="str">
        <f t="shared" si="42"/>
        <v>Monthly</v>
      </c>
      <c r="T2731" cm="1">
        <f t="array" ref="T2731">_xlfn.SWITCH(S2731,"Annually",6,"Bi-Weekly",2,"Fortnightly",3,"Monthly",4,"Quarterly",5,"Weekly",1)</f>
        <v>4</v>
      </c>
    </row>
    <row r="2732" spans="1:20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  <c r="S2732" t="str">
        <f t="shared" si="42"/>
        <v>Annually</v>
      </c>
      <c r="T2732" cm="1">
        <f t="array" ref="T2732">_xlfn.SWITCH(S2732,"Annually",6,"Bi-Weekly",2,"Fortnightly",3,"Monthly",4,"Quarterly",5,"Weekly",1)</f>
        <v>6</v>
      </c>
    </row>
    <row r="2733" spans="1:20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  <c r="S2733" t="str">
        <f t="shared" si="42"/>
        <v>Quarterly</v>
      </c>
      <c r="T2733" cm="1">
        <f t="array" ref="T2733">_xlfn.SWITCH(S2733,"Annually",6,"Bi-Weekly",2,"Fortnightly",3,"Monthly",4,"Quarterly",5,"Weekly",1)</f>
        <v>5</v>
      </c>
    </row>
    <row r="2734" spans="1:20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  <c r="S2734" t="str">
        <f t="shared" si="42"/>
        <v>Quarterly</v>
      </c>
      <c r="T2734" cm="1">
        <f t="array" ref="T2734">_xlfn.SWITCH(S2734,"Annually",6,"Bi-Weekly",2,"Fortnightly",3,"Monthly",4,"Quarterly",5,"Weekly",1)</f>
        <v>5</v>
      </c>
    </row>
    <row r="2735" spans="1:20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  <c r="S2735" t="str">
        <f t="shared" si="42"/>
        <v>Annually</v>
      </c>
      <c r="T2735" cm="1">
        <f t="array" ref="T2735">_xlfn.SWITCH(S2735,"Annually",6,"Bi-Weekly",2,"Fortnightly",3,"Monthly",4,"Quarterly",5,"Weekly",1)</f>
        <v>6</v>
      </c>
    </row>
    <row r="2736" spans="1:20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  <c r="S2736" t="str">
        <f t="shared" si="42"/>
        <v>Bi-Weekly</v>
      </c>
      <c r="T2736" cm="1">
        <f t="array" ref="T2736">_xlfn.SWITCH(S2736,"Annually",6,"Bi-Weekly",2,"Fortnightly",3,"Monthly",4,"Quarterly",5,"Weekly",1)</f>
        <v>2</v>
      </c>
    </row>
    <row r="2737" spans="1:20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  <c r="S2737" t="str">
        <f t="shared" si="42"/>
        <v>Bi-Weekly</v>
      </c>
      <c r="T2737" cm="1">
        <f t="array" ref="T2737">_xlfn.SWITCH(S2737,"Annually",6,"Bi-Weekly",2,"Fortnightly",3,"Monthly",4,"Quarterly",5,"Weekly",1)</f>
        <v>2</v>
      </c>
    </row>
    <row r="2738" spans="1:20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  <c r="S2738" t="str">
        <f t="shared" si="42"/>
        <v>Annually</v>
      </c>
      <c r="T2738" cm="1">
        <f t="array" ref="T2738">_xlfn.SWITCH(S2738,"Annually",6,"Bi-Weekly",2,"Fortnightly",3,"Monthly",4,"Quarterly",5,"Weekly",1)</f>
        <v>6</v>
      </c>
    </row>
    <row r="2739" spans="1:20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  <c r="S2739" t="str">
        <f t="shared" si="42"/>
        <v>Quarterly</v>
      </c>
      <c r="T2739" cm="1">
        <f t="array" ref="T2739">_xlfn.SWITCH(S2739,"Annually",6,"Bi-Weekly",2,"Fortnightly",3,"Monthly",4,"Quarterly",5,"Weekly",1)</f>
        <v>5</v>
      </c>
    </row>
    <row r="2740" spans="1:20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  <c r="S2740" t="str">
        <f t="shared" si="42"/>
        <v>Quarterly</v>
      </c>
      <c r="T2740" cm="1">
        <f t="array" ref="T2740">_xlfn.SWITCH(S2740,"Annually",6,"Bi-Weekly",2,"Fortnightly",3,"Monthly",4,"Quarterly",5,"Weekly",1)</f>
        <v>5</v>
      </c>
    </row>
    <row r="2741" spans="1:20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  <c r="S2741" t="str">
        <f t="shared" si="42"/>
        <v>Quarterly</v>
      </c>
      <c r="T2741" cm="1">
        <f t="array" ref="T2741">_xlfn.SWITCH(S2741,"Annually",6,"Bi-Weekly",2,"Fortnightly",3,"Monthly",4,"Quarterly",5,"Weekly",1)</f>
        <v>5</v>
      </c>
    </row>
    <row r="2742" spans="1:20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  <c r="S2742" t="str">
        <f t="shared" si="42"/>
        <v>Fortnightly</v>
      </c>
      <c r="T2742" cm="1">
        <f t="array" ref="T2742">_xlfn.SWITCH(S2742,"Annually",6,"Bi-Weekly",2,"Fortnightly",3,"Monthly",4,"Quarterly",5,"Weekly",1)</f>
        <v>3</v>
      </c>
    </row>
    <row r="2743" spans="1:20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  <c r="S2743" t="str">
        <f t="shared" si="42"/>
        <v>Monthly</v>
      </c>
      <c r="T2743" cm="1">
        <f t="array" ref="T2743">_xlfn.SWITCH(S2743,"Annually",6,"Bi-Weekly",2,"Fortnightly",3,"Monthly",4,"Quarterly",5,"Weekly",1)</f>
        <v>4</v>
      </c>
    </row>
    <row r="2744" spans="1:20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  <c r="S2744" t="str">
        <f t="shared" si="42"/>
        <v>Annually</v>
      </c>
      <c r="T2744" cm="1">
        <f t="array" ref="T2744">_xlfn.SWITCH(S2744,"Annually",6,"Bi-Weekly",2,"Fortnightly",3,"Monthly",4,"Quarterly",5,"Weekly",1)</f>
        <v>6</v>
      </c>
    </row>
    <row r="2745" spans="1:20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  <c r="S2745" t="str">
        <f t="shared" si="42"/>
        <v>Quarterly</v>
      </c>
      <c r="T2745" cm="1">
        <f t="array" ref="T2745">_xlfn.SWITCH(S2745,"Annually",6,"Bi-Weekly",2,"Fortnightly",3,"Monthly",4,"Quarterly",5,"Weekly",1)</f>
        <v>5</v>
      </c>
    </row>
    <row r="2746" spans="1:20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  <c r="S2746" t="str">
        <f t="shared" si="42"/>
        <v>Monthly</v>
      </c>
      <c r="T2746" cm="1">
        <f t="array" ref="T2746">_xlfn.SWITCH(S2746,"Annually",6,"Bi-Weekly",2,"Fortnightly",3,"Monthly",4,"Quarterly",5,"Weekly",1)</f>
        <v>4</v>
      </c>
    </row>
    <row r="2747" spans="1:20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  <c r="S2747" t="str">
        <f t="shared" si="42"/>
        <v>Bi-Weekly</v>
      </c>
      <c r="T2747" cm="1">
        <f t="array" ref="T2747">_xlfn.SWITCH(S2747,"Annually",6,"Bi-Weekly",2,"Fortnightly",3,"Monthly",4,"Quarterly",5,"Weekly",1)</f>
        <v>2</v>
      </c>
    </row>
    <row r="2748" spans="1:20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  <c r="S2748" t="str">
        <f t="shared" si="42"/>
        <v>Quarterly</v>
      </c>
      <c r="T2748" cm="1">
        <f t="array" ref="T2748">_xlfn.SWITCH(S2748,"Annually",6,"Bi-Weekly",2,"Fortnightly",3,"Monthly",4,"Quarterly",5,"Weekly",1)</f>
        <v>5</v>
      </c>
    </row>
    <row r="2749" spans="1:20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  <c r="S2749" t="str">
        <f t="shared" si="42"/>
        <v>Quarterly</v>
      </c>
      <c r="T2749" cm="1">
        <f t="array" ref="T2749">_xlfn.SWITCH(S2749,"Annually",6,"Bi-Weekly",2,"Fortnightly",3,"Monthly",4,"Quarterly",5,"Weekly",1)</f>
        <v>5</v>
      </c>
    </row>
    <row r="2750" spans="1:20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  <c r="S2750" t="str">
        <f t="shared" si="42"/>
        <v>Annually</v>
      </c>
      <c r="T2750" cm="1">
        <f t="array" ref="T2750">_xlfn.SWITCH(S2750,"Annually",6,"Bi-Weekly",2,"Fortnightly",3,"Monthly",4,"Quarterly",5,"Weekly",1)</f>
        <v>6</v>
      </c>
    </row>
    <row r="2751" spans="1:20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  <c r="S2751" t="str">
        <f t="shared" si="42"/>
        <v>Annually</v>
      </c>
      <c r="T2751" cm="1">
        <f t="array" ref="T2751">_xlfn.SWITCH(S2751,"Annually",6,"Bi-Weekly",2,"Fortnightly",3,"Monthly",4,"Quarterly",5,"Weekly",1)</f>
        <v>6</v>
      </c>
    </row>
    <row r="2752" spans="1:20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  <c r="S2752" t="str">
        <f t="shared" si="42"/>
        <v>Quarterly</v>
      </c>
      <c r="T2752" cm="1">
        <f t="array" ref="T2752">_xlfn.SWITCH(S2752,"Annually",6,"Bi-Weekly",2,"Fortnightly",3,"Monthly",4,"Quarterly",5,"Weekly",1)</f>
        <v>5</v>
      </c>
    </row>
    <row r="2753" spans="1:20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  <c r="S2753" t="str">
        <f t="shared" si="42"/>
        <v>Monthly</v>
      </c>
      <c r="T2753" cm="1">
        <f t="array" ref="T2753">_xlfn.SWITCH(S2753,"Annually",6,"Bi-Weekly",2,"Fortnightly",3,"Monthly",4,"Quarterly",5,"Weekly",1)</f>
        <v>4</v>
      </c>
    </row>
    <row r="2754" spans="1:20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  <c r="S2754" t="str">
        <f t="shared" si="42"/>
        <v>Bi-Weekly</v>
      </c>
      <c r="T2754" cm="1">
        <f t="array" ref="T2754">_xlfn.SWITCH(S2754,"Annually",6,"Bi-Weekly",2,"Fortnightly",3,"Monthly",4,"Quarterly",5,"Weekly",1)</f>
        <v>2</v>
      </c>
    </row>
    <row r="2755" spans="1:20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  <c r="S2755" t="str">
        <f t="shared" ref="S2755:S2818" si="43">IF(R2755="Every 3 Months","Quarterly",R2755)</f>
        <v>Quarterly</v>
      </c>
      <c r="T2755" cm="1">
        <f t="array" ref="T2755">_xlfn.SWITCH(S2755,"Annually",6,"Bi-Weekly",2,"Fortnightly",3,"Monthly",4,"Quarterly",5,"Weekly",1)</f>
        <v>5</v>
      </c>
    </row>
    <row r="2756" spans="1:20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  <c r="S2756" t="str">
        <f t="shared" si="43"/>
        <v>Bi-Weekly</v>
      </c>
      <c r="T2756" cm="1">
        <f t="array" ref="T2756">_xlfn.SWITCH(S2756,"Annually",6,"Bi-Weekly",2,"Fortnightly",3,"Monthly",4,"Quarterly",5,"Weekly",1)</f>
        <v>2</v>
      </c>
    </row>
    <row r="2757" spans="1:20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  <c r="S2757" t="str">
        <f t="shared" si="43"/>
        <v>Annually</v>
      </c>
      <c r="T2757" cm="1">
        <f t="array" ref="T2757">_xlfn.SWITCH(S2757,"Annually",6,"Bi-Weekly",2,"Fortnightly",3,"Monthly",4,"Quarterly",5,"Weekly",1)</f>
        <v>6</v>
      </c>
    </row>
    <row r="2758" spans="1:20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  <c r="S2758" t="str">
        <f t="shared" si="43"/>
        <v>Monthly</v>
      </c>
      <c r="T2758" cm="1">
        <f t="array" ref="T2758">_xlfn.SWITCH(S2758,"Annually",6,"Bi-Weekly",2,"Fortnightly",3,"Monthly",4,"Quarterly",5,"Weekly",1)</f>
        <v>4</v>
      </c>
    </row>
    <row r="2759" spans="1:20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  <c r="S2759" t="str">
        <f t="shared" si="43"/>
        <v>Monthly</v>
      </c>
      <c r="T2759" cm="1">
        <f t="array" ref="T2759">_xlfn.SWITCH(S2759,"Annually",6,"Bi-Weekly",2,"Fortnightly",3,"Monthly",4,"Quarterly",5,"Weekly",1)</f>
        <v>4</v>
      </c>
    </row>
    <row r="2760" spans="1:20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  <c r="S2760" t="str">
        <f t="shared" si="43"/>
        <v>Bi-Weekly</v>
      </c>
      <c r="T2760" cm="1">
        <f t="array" ref="T2760">_xlfn.SWITCH(S2760,"Annually",6,"Bi-Weekly",2,"Fortnightly",3,"Monthly",4,"Quarterly",5,"Weekly",1)</f>
        <v>2</v>
      </c>
    </row>
    <row r="2761" spans="1:20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  <c r="S2761" t="str">
        <f t="shared" si="43"/>
        <v>Quarterly</v>
      </c>
      <c r="T2761" cm="1">
        <f t="array" ref="T2761">_xlfn.SWITCH(S2761,"Annually",6,"Bi-Weekly",2,"Fortnightly",3,"Monthly",4,"Quarterly",5,"Weekly",1)</f>
        <v>5</v>
      </c>
    </row>
    <row r="2762" spans="1:20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  <c r="S2762" t="str">
        <f t="shared" si="43"/>
        <v>Bi-Weekly</v>
      </c>
      <c r="T2762" cm="1">
        <f t="array" ref="T2762">_xlfn.SWITCH(S2762,"Annually",6,"Bi-Weekly",2,"Fortnightly",3,"Monthly",4,"Quarterly",5,"Weekly",1)</f>
        <v>2</v>
      </c>
    </row>
    <row r="2763" spans="1:20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  <c r="S2763" t="str">
        <f t="shared" si="43"/>
        <v>Quarterly</v>
      </c>
      <c r="T2763" cm="1">
        <f t="array" ref="T2763">_xlfn.SWITCH(S2763,"Annually",6,"Bi-Weekly",2,"Fortnightly",3,"Monthly",4,"Quarterly",5,"Weekly",1)</f>
        <v>5</v>
      </c>
    </row>
    <row r="2764" spans="1:20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  <c r="S2764" t="str">
        <f t="shared" si="43"/>
        <v>Quarterly</v>
      </c>
      <c r="T2764" cm="1">
        <f t="array" ref="T2764">_xlfn.SWITCH(S2764,"Annually",6,"Bi-Weekly",2,"Fortnightly",3,"Monthly",4,"Quarterly",5,"Weekly",1)</f>
        <v>5</v>
      </c>
    </row>
    <row r="2765" spans="1:20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  <c r="S2765" t="str">
        <f t="shared" si="43"/>
        <v>Quarterly</v>
      </c>
      <c r="T2765" cm="1">
        <f t="array" ref="T2765">_xlfn.SWITCH(S2765,"Annually",6,"Bi-Weekly",2,"Fortnightly",3,"Monthly",4,"Quarterly",5,"Weekly",1)</f>
        <v>5</v>
      </c>
    </row>
    <row r="2766" spans="1:20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  <c r="S2766" t="str">
        <f t="shared" si="43"/>
        <v>Weekly</v>
      </c>
      <c r="T2766" cm="1">
        <f t="array" ref="T2766">_xlfn.SWITCH(S2766,"Annually",6,"Bi-Weekly",2,"Fortnightly",3,"Monthly",4,"Quarterly",5,"Weekly",1)</f>
        <v>1</v>
      </c>
    </row>
    <row r="2767" spans="1:20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  <c r="S2767" t="str">
        <f t="shared" si="43"/>
        <v>Quarterly</v>
      </c>
      <c r="T2767" cm="1">
        <f t="array" ref="T2767">_xlfn.SWITCH(S2767,"Annually",6,"Bi-Weekly",2,"Fortnightly",3,"Monthly",4,"Quarterly",5,"Weekly",1)</f>
        <v>5</v>
      </c>
    </row>
    <row r="2768" spans="1:20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  <c r="S2768" t="str">
        <f t="shared" si="43"/>
        <v>Monthly</v>
      </c>
      <c r="T2768" cm="1">
        <f t="array" ref="T2768">_xlfn.SWITCH(S2768,"Annually",6,"Bi-Weekly",2,"Fortnightly",3,"Monthly",4,"Quarterly",5,"Weekly",1)</f>
        <v>4</v>
      </c>
    </row>
    <row r="2769" spans="1:20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  <c r="S2769" t="str">
        <f t="shared" si="43"/>
        <v>Monthly</v>
      </c>
      <c r="T2769" cm="1">
        <f t="array" ref="T2769">_xlfn.SWITCH(S2769,"Annually",6,"Bi-Weekly",2,"Fortnightly",3,"Monthly",4,"Quarterly",5,"Weekly",1)</f>
        <v>4</v>
      </c>
    </row>
    <row r="2770" spans="1:20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  <c r="S2770" t="str">
        <f t="shared" si="43"/>
        <v>Bi-Weekly</v>
      </c>
      <c r="T2770" cm="1">
        <f t="array" ref="T2770">_xlfn.SWITCH(S2770,"Annually",6,"Bi-Weekly",2,"Fortnightly",3,"Monthly",4,"Quarterly",5,"Weekly",1)</f>
        <v>2</v>
      </c>
    </row>
    <row r="2771" spans="1:20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  <c r="S2771" t="str">
        <f t="shared" si="43"/>
        <v>Weekly</v>
      </c>
      <c r="T2771" cm="1">
        <f t="array" ref="T2771">_xlfn.SWITCH(S2771,"Annually",6,"Bi-Weekly",2,"Fortnightly",3,"Monthly",4,"Quarterly",5,"Weekly",1)</f>
        <v>1</v>
      </c>
    </row>
    <row r="2772" spans="1:20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  <c r="S2772" t="str">
        <f t="shared" si="43"/>
        <v>Quarterly</v>
      </c>
      <c r="T2772" cm="1">
        <f t="array" ref="T2772">_xlfn.SWITCH(S2772,"Annually",6,"Bi-Weekly",2,"Fortnightly",3,"Monthly",4,"Quarterly",5,"Weekly",1)</f>
        <v>5</v>
      </c>
    </row>
    <row r="2773" spans="1:20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  <c r="S2773" t="str">
        <f t="shared" si="43"/>
        <v>Fortnightly</v>
      </c>
      <c r="T2773" cm="1">
        <f t="array" ref="T2773">_xlfn.SWITCH(S2773,"Annually",6,"Bi-Weekly",2,"Fortnightly",3,"Monthly",4,"Quarterly",5,"Weekly",1)</f>
        <v>3</v>
      </c>
    </row>
    <row r="2774" spans="1:20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  <c r="S2774" t="str">
        <f t="shared" si="43"/>
        <v>Quarterly</v>
      </c>
      <c r="T2774" cm="1">
        <f t="array" ref="T2774">_xlfn.SWITCH(S2774,"Annually",6,"Bi-Weekly",2,"Fortnightly",3,"Monthly",4,"Quarterly",5,"Weekly",1)</f>
        <v>5</v>
      </c>
    </row>
    <row r="2775" spans="1:20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  <c r="S2775" t="str">
        <f t="shared" si="43"/>
        <v>Quarterly</v>
      </c>
      <c r="T2775" cm="1">
        <f t="array" ref="T2775">_xlfn.SWITCH(S2775,"Annually",6,"Bi-Weekly",2,"Fortnightly",3,"Monthly",4,"Quarterly",5,"Weekly",1)</f>
        <v>5</v>
      </c>
    </row>
    <row r="2776" spans="1:20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  <c r="S2776" t="str">
        <f t="shared" si="43"/>
        <v>Quarterly</v>
      </c>
      <c r="T2776" cm="1">
        <f t="array" ref="T2776">_xlfn.SWITCH(S2776,"Annually",6,"Bi-Weekly",2,"Fortnightly",3,"Monthly",4,"Quarterly",5,"Weekly",1)</f>
        <v>5</v>
      </c>
    </row>
    <row r="2777" spans="1:20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  <c r="S2777" t="str">
        <f t="shared" si="43"/>
        <v>Weekly</v>
      </c>
      <c r="T2777" cm="1">
        <f t="array" ref="T2777">_xlfn.SWITCH(S2777,"Annually",6,"Bi-Weekly",2,"Fortnightly",3,"Monthly",4,"Quarterly",5,"Weekly",1)</f>
        <v>1</v>
      </c>
    </row>
    <row r="2778" spans="1:20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  <c r="S2778" t="str">
        <f t="shared" si="43"/>
        <v>Annually</v>
      </c>
      <c r="T2778" cm="1">
        <f t="array" ref="T2778">_xlfn.SWITCH(S2778,"Annually",6,"Bi-Weekly",2,"Fortnightly",3,"Monthly",4,"Quarterly",5,"Weekly",1)</f>
        <v>6</v>
      </c>
    </row>
    <row r="2779" spans="1:20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  <c r="S2779" t="str">
        <f t="shared" si="43"/>
        <v>Quarterly</v>
      </c>
      <c r="T2779" cm="1">
        <f t="array" ref="T2779">_xlfn.SWITCH(S2779,"Annually",6,"Bi-Weekly",2,"Fortnightly",3,"Monthly",4,"Quarterly",5,"Weekly",1)</f>
        <v>5</v>
      </c>
    </row>
    <row r="2780" spans="1:20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  <c r="S2780" t="str">
        <f t="shared" si="43"/>
        <v>Bi-Weekly</v>
      </c>
      <c r="T2780" cm="1">
        <f t="array" ref="T2780">_xlfn.SWITCH(S2780,"Annually",6,"Bi-Weekly",2,"Fortnightly",3,"Monthly",4,"Quarterly",5,"Weekly",1)</f>
        <v>2</v>
      </c>
    </row>
    <row r="2781" spans="1:20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  <c r="S2781" t="str">
        <f t="shared" si="43"/>
        <v>Fortnightly</v>
      </c>
      <c r="T2781" cm="1">
        <f t="array" ref="T2781">_xlfn.SWITCH(S2781,"Annually",6,"Bi-Weekly",2,"Fortnightly",3,"Monthly",4,"Quarterly",5,"Weekly",1)</f>
        <v>3</v>
      </c>
    </row>
    <row r="2782" spans="1:20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  <c r="S2782" t="str">
        <f t="shared" si="43"/>
        <v>Fortnightly</v>
      </c>
      <c r="T2782" cm="1">
        <f t="array" ref="T2782">_xlfn.SWITCH(S2782,"Annually",6,"Bi-Weekly",2,"Fortnightly",3,"Monthly",4,"Quarterly",5,"Weekly",1)</f>
        <v>3</v>
      </c>
    </row>
    <row r="2783" spans="1:20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  <c r="S2783" t="str">
        <f t="shared" si="43"/>
        <v>Weekly</v>
      </c>
      <c r="T2783" cm="1">
        <f t="array" ref="T2783">_xlfn.SWITCH(S2783,"Annually",6,"Bi-Weekly",2,"Fortnightly",3,"Monthly",4,"Quarterly",5,"Weekly",1)</f>
        <v>1</v>
      </c>
    </row>
    <row r="2784" spans="1:20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  <c r="S2784" t="str">
        <f t="shared" si="43"/>
        <v>Annually</v>
      </c>
      <c r="T2784" cm="1">
        <f t="array" ref="T2784">_xlfn.SWITCH(S2784,"Annually",6,"Bi-Weekly",2,"Fortnightly",3,"Monthly",4,"Quarterly",5,"Weekly",1)</f>
        <v>6</v>
      </c>
    </row>
    <row r="2785" spans="1:20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  <c r="S2785" t="str">
        <f t="shared" si="43"/>
        <v>Quarterly</v>
      </c>
      <c r="T2785" cm="1">
        <f t="array" ref="T2785">_xlfn.SWITCH(S2785,"Annually",6,"Bi-Weekly",2,"Fortnightly",3,"Monthly",4,"Quarterly",5,"Weekly",1)</f>
        <v>5</v>
      </c>
    </row>
    <row r="2786" spans="1:20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  <c r="S2786" t="str">
        <f t="shared" si="43"/>
        <v>Quarterly</v>
      </c>
      <c r="T2786" cm="1">
        <f t="array" ref="T2786">_xlfn.SWITCH(S2786,"Annually",6,"Bi-Weekly",2,"Fortnightly",3,"Monthly",4,"Quarterly",5,"Weekly",1)</f>
        <v>5</v>
      </c>
    </row>
    <row r="2787" spans="1:20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  <c r="S2787" t="str">
        <f t="shared" si="43"/>
        <v>Monthly</v>
      </c>
      <c r="T2787" cm="1">
        <f t="array" ref="T2787">_xlfn.SWITCH(S2787,"Annually",6,"Bi-Weekly",2,"Fortnightly",3,"Monthly",4,"Quarterly",5,"Weekly",1)</f>
        <v>4</v>
      </c>
    </row>
    <row r="2788" spans="1:20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  <c r="S2788" t="str">
        <f t="shared" si="43"/>
        <v>Quarterly</v>
      </c>
      <c r="T2788" cm="1">
        <f t="array" ref="T2788">_xlfn.SWITCH(S2788,"Annually",6,"Bi-Weekly",2,"Fortnightly",3,"Monthly",4,"Quarterly",5,"Weekly",1)</f>
        <v>5</v>
      </c>
    </row>
    <row r="2789" spans="1:20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  <c r="S2789" t="str">
        <f t="shared" si="43"/>
        <v>Fortnightly</v>
      </c>
      <c r="T2789" cm="1">
        <f t="array" ref="T2789">_xlfn.SWITCH(S2789,"Annually",6,"Bi-Weekly",2,"Fortnightly",3,"Monthly",4,"Quarterly",5,"Weekly",1)</f>
        <v>3</v>
      </c>
    </row>
    <row r="2790" spans="1:20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  <c r="S2790" t="str">
        <f t="shared" si="43"/>
        <v>Annually</v>
      </c>
      <c r="T2790" cm="1">
        <f t="array" ref="T2790">_xlfn.SWITCH(S2790,"Annually",6,"Bi-Weekly",2,"Fortnightly",3,"Monthly",4,"Quarterly",5,"Weekly",1)</f>
        <v>6</v>
      </c>
    </row>
    <row r="2791" spans="1:20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  <c r="S2791" t="str">
        <f t="shared" si="43"/>
        <v>Bi-Weekly</v>
      </c>
      <c r="T2791" cm="1">
        <f t="array" ref="T2791">_xlfn.SWITCH(S2791,"Annually",6,"Bi-Weekly",2,"Fortnightly",3,"Monthly",4,"Quarterly",5,"Weekly",1)</f>
        <v>2</v>
      </c>
    </row>
    <row r="2792" spans="1:20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  <c r="S2792" t="str">
        <f t="shared" si="43"/>
        <v>Annually</v>
      </c>
      <c r="T2792" cm="1">
        <f t="array" ref="T2792">_xlfn.SWITCH(S2792,"Annually",6,"Bi-Weekly",2,"Fortnightly",3,"Monthly",4,"Quarterly",5,"Weekly",1)</f>
        <v>6</v>
      </c>
    </row>
    <row r="2793" spans="1:20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  <c r="S2793" t="str">
        <f t="shared" si="43"/>
        <v>Fortnightly</v>
      </c>
      <c r="T2793" cm="1">
        <f t="array" ref="T2793">_xlfn.SWITCH(S2793,"Annually",6,"Bi-Weekly",2,"Fortnightly",3,"Monthly",4,"Quarterly",5,"Weekly",1)</f>
        <v>3</v>
      </c>
    </row>
    <row r="2794" spans="1:20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  <c r="S2794" t="str">
        <f t="shared" si="43"/>
        <v>Weekly</v>
      </c>
      <c r="T2794" cm="1">
        <f t="array" ref="T2794">_xlfn.SWITCH(S2794,"Annually",6,"Bi-Weekly",2,"Fortnightly",3,"Monthly",4,"Quarterly",5,"Weekly",1)</f>
        <v>1</v>
      </c>
    </row>
    <row r="2795" spans="1:20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  <c r="S2795" t="str">
        <f t="shared" si="43"/>
        <v>Bi-Weekly</v>
      </c>
      <c r="T2795" cm="1">
        <f t="array" ref="T2795">_xlfn.SWITCH(S2795,"Annually",6,"Bi-Weekly",2,"Fortnightly",3,"Monthly",4,"Quarterly",5,"Weekly",1)</f>
        <v>2</v>
      </c>
    </row>
    <row r="2796" spans="1:20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  <c r="S2796" t="str">
        <f t="shared" si="43"/>
        <v>Fortnightly</v>
      </c>
      <c r="T2796" cm="1">
        <f t="array" ref="T2796">_xlfn.SWITCH(S2796,"Annually",6,"Bi-Weekly",2,"Fortnightly",3,"Monthly",4,"Quarterly",5,"Weekly",1)</f>
        <v>3</v>
      </c>
    </row>
    <row r="2797" spans="1:20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  <c r="S2797" t="str">
        <f t="shared" si="43"/>
        <v>Annually</v>
      </c>
      <c r="T2797" cm="1">
        <f t="array" ref="T2797">_xlfn.SWITCH(S2797,"Annually",6,"Bi-Weekly",2,"Fortnightly",3,"Monthly",4,"Quarterly",5,"Weekly",1)</f>
        <v>6</v>
      </c>
    </row>
    <row r="2798" spans="1:20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  <c r="S2798" t="str">
        <f t="shared" si="43"/>
        <v>Annually</v>
      </c>
      <c r="T2798" cm="1">
        <f t="array" ref="T2798">_xlfn.SWITCH(S2798,"Annually",6,"Bi-Weekly",2,"Fortnightly",3,"Monthly",4,"Quarterly",5,"Weekly",1)</f>
        <v>6</v>
      </c>
    </row>
    <row r="2799" spans="1:20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  <c r="S2799" t="str">
        <f t="shared" si="43"/>
        <v>Quarterly</v>
      </c>
      <c r="T2799" cm="1">
        <f t="array" ref="T2799">_xlfn.SWITCH(S2799,"Annually",6,"Bi-Weekly",2,"Fortnightly",3,"Monthly",4,"Quarterly",5,"Weekly",1)</f>
        <v>5</v>
      </c>
    </row>
    <row r="2800" spans="1:20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  <c r="S2800" t="str">
        <f t="shared" si="43"/>
        <v>Weekly</v>
      </c>
      <c r="T2800" cm="1">
        <f t="array" ref="T2800">_xlfn.SWITCH(S2800,"Annually",6,"Bi-Weekly",2,"Fortnightly",3,"Monthly",4,"Quarterly",5,"Weekly",1)</f>
        <v>1</v>
      </c>
    </row>
    <row r="2801" spans="1:20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  <c r="S2801" t="str">
        <f t="shared" si="43"/>
        <v>Quarterly</v>
      </c>
      <c r="T2801" cm="1">
        <f t="array" ref="T2801">_xlfn.SWITCH(S2801,"Annually",6,"Bi-Weekly",2,"Fortnightly",3,"Monthly",4,"Quarterly",5,"Weekly",1)</f>
        <v>5</v>
      </c>
    </row>
    <row r="2802" spans="1:20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  <c r="S2802" t="str">
        <f t="shared" si="43"/>
        <v>Bi-Weekly</v>
      </c>
      <c r="T2802" cm="1">
        <f t="array" ref="T2802">_xlfn.SWITCH(S2802,"Annually",6,"Bi-Weekly",2,"Fortnightly",3,"Monthly",4,"Quarterly",5,"Weekly",1)</f>
        <v>2</v>
      </c>
    </row>
    <row r="2803" spans="1:20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  <c r="S2803" t="str">
        <f t="shared" si="43"/>
        <v>Annually</v>
      </c>
      <c r="T2803" cm="1">
        <f t="array" ref="T2803">_xlfn.SWITCH(S2803,"Annually",6,"Bi-Weekly",2,"Fortnightly",3,"Monthly",4,"Quarterly",5,"Weekly",1)</f>
        <v>6</v>
      </c>
    </row>
    <row r="2804" spans="1:20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  <c r="S2804" t="str">
        <f t="shared" si="43"/>
        <v>Fortnightly</v>
      </c>
      <c r="T2804" cm="1">
        <f t="array" ref="T2804">_xlfn.SWITCH(S2804,"Annually",6,"Bi-Weekly",2,"Fortnightly",3,"Monthly",4,"Quarterly",5,"Weekly",1)</f>
        <v>3</v>
      </c>
    </row>
    <row r="2805" spans="1:20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  <c r="S2805" t="str">
        <f t="shared" si="43"/>
        <v>Monthly</v>
      </c>
      <c r="T2805" cm="1">
        <f t="array" ref="T2805">_xlfn.SWITCH(S2805,"Annually",6,"Bi-Weekly",2,"Fortnightly",3,"Monthly",4,"Quarterly",5,"Weekly",1)</f>
        <v>4</v>
      </c>
    </row>
    <row r="2806" spans="1:20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  <c r="S2806" t="str">
        <f t="shared" si="43"/>
        <v>Quarterly</v>
      </c>
      <c r="T2806" cm="1">
        <f t="array" ref="T2806">_xlfn.SWITCH(S2806,"Annually",6,"Bi-Weekly",2,"Fortnightly",3,"Monthly",4,"Quarterly",5,"Weekly",1)</f>
        <v>5</v>
      </c>
    </row>
    <row r="2807" spans="1:20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  <c r="S2807" t="str">
        <f t="shared" si="43"/>
        <v>Quarterly</v>
      </c>
      <c r="T2807" cm="1">
        <f t="array" ref="T2807">_xlfn.SWITCH(S2807,"Annually",6,"Bi-Weekly",2,"Fortnightly",3,"Monthly",4,"Quarterly",5,"Weekly",1)</f>
        <v>5</v>
      </c>
    </row>
    <row r="2808" spans="1:20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  <c r="S2808" t="str">
        <f t="shared" si="43"/>
        <v>Annually</v>
      </c>
      <c r="T2808" cm="1">
        <f t="array" ref="T2808">_xlfn.SWITCH(S2808,"Annually",6,"Bi-Weekly",2,"Fortnightly",3,"Monthly",4,"Quarterly",5,"Weekly",1)</f>
        <v>6</v>
      </c>
    </row>
    <row r="2809" spans="1:20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  <c r="S2809" t="str">
        <f t="shared" si="43"/>
        <v>Fortnightly</v>
      </c>
      <c r="T2809" cm="1">
        <f t="array" ref="T2809">_xlfn.SWITCH(S2809,"Annually",6,"Bi-Weekly",2,"Fortnightly",3,"Monthly",4,"Quarterly",5,"Weekly",1)</f>
        <v>3</v>
      </c>
    </row>
    <row r="2810" spans="1:20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  <c r="S2810" t="str">
        <f t="shared" si="43"/>
        <v>Quarterly</v>
      </c>
      <c r="T2810" cm="1">
        <f t="array" ref="T2810">_xlfn.SWITCH(S2810,"Annually",6,"Bi-Weekly",2,"Fortnightly",3,"Monthly",4,"Quarterly",5,"Weekly",1)</f>
        <v>5</v>
      </c>
    </row>
    <row r="2811" spans="1:20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  <c r="S2811" t="str">
        <f t="shared" si="43"/>
        <v>Quarterly</v>
      </c>
      <c r="T2811" cm="1">
        <f t="array" ref="T2811">_xlfn.SWITCH(S2811,"Annually",6,"Bi-Weekly",2,"Fortnightly",3,"Monthly",4,"Quarterly",5,"Weekly",1)</f>
        <v>5</v>
      </c>
    </row>
    <row r="2812" spans="1:20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  <c r="S2812" t="str">
        <f t="shared" si="43"/>
        <v>Fortnightly</v>
      </c>
      <c r="T2812" cm="1">
        <f t="array" ref="T2812">_xlfn.SWITCH(S2812,"Annually",6,"Bi-Weekly",2,"Fortnightly",3,"Monthly",4,"Quarterly",5,"Weekly",1)</f>
        <v>3</v>
      </c>
    </row>
    <row r="2813" spans="1:20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  <c r="S2813" t="str">
        <f t="shared" si="43"/>
        <v>Quarterly</v>
      </c>
      <c r="T2813" cm="1">
        <f t="array" ref="T2813">_xlfn.SWITCH(S2813,"Annually",6,"Bi-Weekly",2,"Fortnightly",3,"Monthly",4,"Quarterly",5,"Weekly",1)</f>
        <v>5</v>
      </c>
    </row>
    <row r="2814" spans="1:20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  <c r="S2814" t="str">
        <f t="shared" si="43"/>
        <v>Quarterly</v>
      </c>
      <c r="T2814" cm="1">
        <f t="array" ref="T2814">_xlfn.SWITCH(S2814,"Annually",6,"Bi-Weekly",2,"Fortnightly",3,"Monthly",4,"Quarterly",5,"Weekly",1)</f>
        <v>5</v>
      </c>
    </row>
    <row r="2815" spans="1:20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  <c r="S2815" t="str">
        <f t="shared" si="43"/>
        <v>Quarterly</v>
      </c>
      <c r="T2815" cm="1">
        <f t="array" ref="T2815">_xlfn.SWITCH(S2815,"Annually",6,"Bi-Weekly",2,"Fortnightly",3,"Monthly",4,"Quarterly",5,"Weekly",1)</f>
        <v>5</v>
      </c>
    </row>
    <row r="2816" spans="1:20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  <c r="S2816" t="str">
        <f t="shared" si="43"/>
        <v>Monthly</v>
      </c>
      <c r="T2816" cm="1">
        <f t="array" ref="T2816">_xlfn.SWITCH(S2816,"Annually",6,"Bi-Weekly",2,"Fortnightly",3,"Monthly",4,"Quarterly",5,"Weekly",1)</f>
        <v>4</v>
      </c>
    </row>
    <row r="2817" spans="1:20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  <c r="S2817" t="str">
        <f t="shared" si="43"/>
        <v>Quarterly</v>
      </c>
      <c r="T2817" cm="1">
        <f t="array" ref="T2817">_xlfn.SWITCH(S2817,"Annually",6,"Bi-Weekly",2,"Fortnightly",3,"Monthly",4,"Quarterly",5,"Weekly",1)</f>
        <v>5</v>
      </c>
    </row>
    <row r="2818" spans="1:20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  <c r="S2818" t="str">
        <f t="shared" si="43"/>
        <v>Weekly</v>
      </c>
      <c r="T2818" cm="1">
        <f t="array" ref="T2818">_xlfn.SWITCH(S2818,"Annually",6,"Bi-Weekly",2,"Fortnightly",3,"Monthly",4,"Quarterly",5,"Weekly",1)</f>
        <v>1</v>
      </c>
    </row>
    <row r="2819" spans="1:20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  <c r="S2819" t="str">
        <f t="shared" ref="S2819:S2882" si="44">IF(R2819="Every 3 Months","Quarterly",R2819)</f>
        <v>Weekly</v>
      </c>
      <c r="T2819" cm="1">
        <f t="array" ref="T2819">_xlfn.SWITCH(S2819,"Annually",6,"Bi-Weekly",2,"Fortnightly",3,"Monthly",4,"Quarterly",5,"Weekly",1)</f>
        <v>1</v>
      </c>
    </row>
    <row r="2820" spans="1:20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  <c r="S2820" t="str">
        <f t="shared" si="44"/>
        <v>Annually</v>
      </c>
      <c r="T2820" cm="1">
        <f t="array" ref="T2820">_xlfn.SWITCH(S2820,"Annually",6,"Bi-Weekly",2,"Fortnightly",3,"Monthly",4,"Quarterly",5,"Weekly",1)</f>
        <v>6</v>
      </c>
    </row>
    <row r="2821" spans="1:20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  <c r="S2821" t="str">
        <f t="shared" si="44"/>
        <v>Monthly</v>
      </c>
      <c r="T2821" cm="1">
        <f t="array" ref="T2821">_xlfn.SWITCH(S2821,"Annually",6,"Bi-Weekly",2,"Fortnightly",3,"Monthly",4,"Quarterly",5,"Weekly",1)</f>
        <v>4</v>
      </c>
    </row>
    <row r="2822" spans="1:20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  <c r="S2822" t="str">
        <f t="shared" si="44"/>
        <v>Bi-Weekly</v>
      </c>
      <c r="T2822" cm="1">
        <f t="array" ref="T2822">_xlfn.SWITCH(S2822,"Annually",6,"Bi-Weekly",2,"Fortnightly",3,"Monthly",4,"Quarterly",5,"Weekly",1)</f>
        <v>2</v>
      </c>
    </row>
    <row r="2823" spans="1:20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  <c r="S2823" t="str">
        <f t="shared" si="44"/>
        <v>Monthly</v>
      </c>
      <c r="T2823" cm="1">
        <f t="array" ref="T2823">_xlfn.SWITCH(S2823,"Annually",6,"Bi-Weekly",2,"Fortnightly",3,"Monthly",4,"Quarterly",5,"Weekly",1)</f>
        <v>4</v>
      </c>
    </row>
    <row r="2824" spans="1:20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  <c r="S2824" t="str">
        <f t="shared" si="44"/>
        <v>Quarterly</v>
      </c>
      <c r="T2824" cm="1">
        <f t="array" ref="T2824">_xlfn.SWITCH(S2824,"Annually",6,"Bi-Weekly",2,"Fortnightly",3,"Monthly",4,"Quarterly",5,"Weekly",1)</f>
        <v>5</v>
      </c>
    </row>
    <row r="2825" spans="1:20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  <c r="S2825" t="str">
        <f t="shared" si="44"/>
        <v>Bi-Weekly</v>
      </c>
      <c r="T2825" cm="1">
        <f t="array" ref="T2825">_xlfn.SWITCH(S2825,"Annually",6,"Bi-Weekly",2,"Fortnightly",3,"Monthly",4,"Quarterly",5,"Weekly",1)</f>
        <v>2</v>
      </c>
    </row>
    <row r="2826" spans="1:20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  <c r="S2826" t="str">
        <f t="shared" si="44"/>
        <v>Quarterly</v>
      </c>
      <c r="T2826" cm="1">
        <f t="array" ref="T2826">_xlfn.SWITCH(S2826,"Annually",6,"Bi-Weekly",2,"Fortnightly",3,"Monthly",4,"Quarterly",5,"Weekly",1)</f>
        <v>5</v>
      </c>
    </row>
    <row r="2827" spans="1:20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  <c r="S2827" t="str">
        <f t="shared" si="44"/>
        <v>Annually</v>
      </c>
      <c r="T2827" cm="1">
        <f t="array" ref="T2827">_xlfn.SWITCH(S2827,"Annually",6,"Bi-Weekly",2,"Fortnightly",3,"Monthly",4,"Quarterly",5,"Weekly",1)</f>
        <v>6</v>
      </c>
    </row>
    <row r="2828" spans="1:20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  <c r="S2828" t="str">
        <f t="shared" si="44"/>
        <v>Annually</v>
      </c>
      <c r="T2828" cm="1">
        <f t="array" ref="T2828">_xlfn.SWITCH(S2828,"Annually",6,"Bi-Weekly",2,"Fortnightly",3,"Monthly",4,"Quarterly",5,"Weekly",1)</f>
        <v>6</v>
      </c>
    </row>
    <row r="2829" spans="1:20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  <c r="S2829" t="str">
        <f t="shared" si="44"/>
        <v>Bi-Weekly</v>
      </c>
      <c r="T2829" cm="1">
        <f t="array" ref="T2829">_xlfn.SWITCH(S2829,"Annually",6,"Bi-Weekly",2,"Fortnightly",3,"Monthly",4,"Quarterly",5,"Weekly",1)</f>
        <v>2</v>
      </c>
    </row>
    <row r="2830" spans="1:20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  <c r="S2830" t="str">
        <f t="shared" si="44"/>
        <v>Quarterly</v>
      </c>
      <c r="T2830" cm="1">
        <f t="array" ref="T2830">_xlfn.SWITCH(S2830,"Annually",6,"Bi-Weekly",2,"Fortnightly",3,"Monthly",4,"Quarterly",5,"Weekly",1)</f>
        <v>5</v>
      </c>
    </row>
    <row r="2831" spans="1:20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  <c r="S2831" t="str">
        <f t="shared" si="44"/>
        <v>Weekly</v>
      </c>
      <c r="T2831" cm="1">
        <f t="array" ref="T2831">_xlfn.SWITCH(S2831,"Annually",6,"Bi-Weekly",2,"Fortnightly",3,"Monthly",4,"Quarterly",5,"Weekly",1)</f>
        <v>1</v>
      </c>
    </row>
    <row r="2832" spans="1:20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  <c r="S2832" t="str">
        <f t="shared" si="44"/>
        <v>Quarterly</v>
      </c>
      <c r="T2832" cm="1">
        <f t="array" ref="T2832">_xlfn.SWITCH(S2832,"Annually",6,"Bi-Weekly",2,"Fortnightly",3,"Monthly",4,"Quarterly",5,"Weekly",1)</f>
        <v>5</v>
      </c>
    </row>
    <row r="2833" spans="1:20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  <c r="S2833" t="str">
        <f t="shared" si="44"/>
        <v>Weekly</v>
      </c>
      <c r="T2833" cm="1">
        <f t="array" ref="T2833">_xlfn.SWITCH(S2833,"Annually",6,"Bi-Weekly",2,"Fortnightly",3,"Monthly",4,"Quarterly",5,"Weekly",1)</f>
        <v>1</v>
      </c>
    </row>
    <row r="2834" spans="1:20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  <c r="S2834" t="str">
        <f t="shared" si="44"/>
        <v>Quarterly</v>
      </c>
      <c r="T2834" cm="1">
        <f t="array" ref="T2834">_xlfn.SWITCH(S2834,"Annually",6,"Bi-Weekly",2,"Fortnightly",3,"Monthly",4,"Quarterly",5,"Weekly",1)</f>
        <v>5</v>
      </c>
    </row>
    <row r="2835" spans="1:20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  <c r="S2835" t="str">
        <f t="shared" si="44"/>
        <v>Monthly</v>
      </c>
      <c r="T2835" cm="1">
        <f t="array" ref="T2835">_xlfn.SWITCH(S2835,"Annually",6,"Bi-Weekly",2,"Fortnightly",3,"Monthly",4,"Quarterly",5,"Weekly",1)</f>
        <v>4</v>
      </c>
    </row>
    <row r="2836" spans="1:20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  <c r="S2836" t="str">
        <f t="shared" si="44"/>
        <v>Weekly</v>
      </c>
      <c r="T2836" cm="1">
        <f t="array" ref="T2836">_xlfn.SWITCH(S2836,"Annually",6,"Bi-Weekly",2,"Fortnightly",3,"Monthly",4,"Quarterly",5,"Weekly",1)</f>
        <v>1</v>
      </c>
    </row>
    <row r="2837" spans="1:20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  <c r="S2837" t="str">
        <f t="shared" si="44"/>
        <v>Annually</v>
      </c>
      <c r="T2837" cm="1">
        <f t="array" ref="T2837">_xlfn.SWITCH(S2837,"Annually",6,"Bi-Weekly",2,"Fortnightly",3,"Monthly",4,"Quarterly",5,"Weekly",1)</f>
        <v>6</v>
      </c>
    </row>
    <row r="2838" spans="1:20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  <c r="S2838" t="str">
        <f t="shared" si="44"/>
        <v>Bi-Weekly</v>
      </c>
      <c r="T2838" cm="1">
        <f t="array" ref="T2838">_xlfn.SWITCH(S2838,"Annually",6,"Bi-Weekly",2,"Fortnightly",3,"Monthly",4,"Quarterly",5,"Weekly",1)</f>
        <v>2</v>
      </c>
    </row>
    <row r="2839" spans="1:20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  <c r="S2839" t="str">
        <f t="shared" si="44"/>
        <v>Weekly</v>
      </c>
      <c r="T2839" cm="1">
        <f t="array" ref="T2839">_xlfn.SWITCH(S2839,"Annually",6,"Bi-Weekly",2,"Fortnightly",3,"Monthly",4,"Quarterly",5,"Weekly",1)</f>
        <v>1</v>
      </c>
    </row>
    <row r="2840" spans="1:20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  <c r="S2840" t="str">
        <f t="shared" si="44"/>
        <v>Weekly</v>
      </c>
      <c r="T2840" cm="1">
        <f t="array" ref="T2840">_xlfn.SWITCH(S2840,"Annually",6,"Bi-Weekly",2,"Fortnightly",3,"Monthly",4,"Quarterly",5,"Weekly",1)</f>
        <v>1</v>
      </c>
    </row>
    <row r="2841" spans="1:20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  <c r="S2841" t="str">
        <f t="shared" si="44"/>
        <v>Monthly</v>
      </c>
      <c r="T2841" cm="1">
        <f t="array" ref="T2841">_xlfn.SWITCH(S2841,"Annually",6,"Bi-Weekly",2,"Fortnightly",3,"Monthly",4,"Quarterly",5,"Weekly",1)</f>
        <v>4</v>
      </c>
    </row>
    <row r="2842" spans="1:20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  <c r="S2842" t="str">
        <f t="shared" si="44"/>
        <v>Annually</v>
      </c>
      <c r="T2842" cm="1">
        <f t="array" ref="T2842">_xlfn.SWITCH(S2842,"Annually",6,"Bi-Weekly",2,"Fortnightly",3,"Monthly",4,"Quarterly",5,"Weekly",1)</f>
        <v>6</v>
      </c>
    </row>
    <row r="2843" spans="1:20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  <c r="S2843" t="str">
        <f t="shared" si="44"/>
        <v>Weekly</v>
      </c>
      <c r="T2843" cm="1">
        <f t="array" ref="T2843">_xlfn.SWITCH(S2843,"Annually",6,"Bi-Weekly",2,"Fortnightly",3,"Monthly",4,"Quarterly",5,"Weekly",1)</f>
        <v>1</v>
      </c>
    </row>
    <row r="2844" spans="1:20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  <c r="S2844" t="str">
        <f t="shared" si="44"/>
        <v>Quarterly</v>
      </c>
      <c r="T2844" cm="1">
        <f t="array" ref="T2844">_xlfn.SWITCH(S2844,"Annually",6,"Bi-Weekly",2,"Fortnightly",3,"Monthly",4,"Quarterly",5,"Weekly",1)</f>
        <v>5</v>
      </c>
    </row>
    <row r="2845" spans="1:20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  <c r="S2845" t="str">
        <f t="shared" si="44"/>
        <v>Weekly</v>
      </c>
      <c r="T2845" cm="1">
        <f t="array" ref="T2845">_xlfn.SWITCH(S2845,"Annually",6,"Bi-Weekly",2,"Fortnightly",3,"Monthly",4,"Quarterly",5,"Weekly",1)</f>
        <v>1</v>
      </c>
    </row>
    <row r="2846" spans="1:20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  <c r="S2846" t="str">
        <f t="shared" si="44"/>
        <v>Annually</v>
      </c>
      <c r="T2846" cm="1">
        <f t="array" ref="T2846">_xlfn.SWITCH(S2846,"Annually",6,"Bi-Weekly",2,"Fortnightly",3,"Monthly",4,"Quarterly",5,"Weekly",1)</f>
        <v>6</v>
      </c>
    </row>
    <row r="2847" spans="1:20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  <c r="S2847" t="str">
        <f t="shared" si="44"/>
        <v>Quarterly</v>
      </c>
      <c r="T2847" cm="1">
        <f t="array" ref="T2847">_xlfn.SWITCH(S2847,"Annually",6,"Bi-Weekly",2,"Fortnightly",3,"Monthly",4,"Quarterly",5,"Weekly",1)</f>
        <v>5</v>
      </c>
    </row>
    <row r="2848" spans="1:20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  <c r="S2848" t="str">
        <f t="shared" si="44"/>
        <v>Bi-Weekly</v>
      </c>
      <c r="T2848" cm="1">
        <f t="array" ref="T2848">_xlfn.SWITCH(S2848,"Annually",6,"Bi-Weekly",2,"Fortnightly",3,"Monthly",4,"Quarterly",5,"Weekly",1)</f>
        <v>2</v>
      </c>
    </row>
    <row r="2849" spans="1:20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  <c r="S2849" t="str">
        <f t="shared" si="44"/>
        <v>Quarterly</v>
      </c>
      <c r="T2849" cm="1">
        <f t="array" ref="T2849">_xlfn.SWITCH(S2849,"Annually",6,"Bi-Weekly",2,"Fortnightly",3,"Monthly",4,"Quarterly",5,"Weekly",1)</f>
        <v>5</v>
      </c>
    </row>
    <row r="2850" spans="1:20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  <c r="S2850" t="str">
        <f t="shared" si="44"/>
        <v>Quarterly</v>
      </c>
      <c r="T2850" cm="1">
        <f t="array" ref="T2850">_xlfn.SWITCH(S2850,"Annually",6,"Bi-Weekly",2,"Fortnightly",3,"Monthly",4,"Quarterly",5,"Weekly",1)</f>
        <v>5</v>
      </c>
    </row>
    <row r="2851" spans="1:20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  <c r="S2851" t="str">
        <f t="shared" si="44"/>
        <v>Bi-Weekly</v>
      </c>
      <c r="T2851" cm="1">
        <f t="array" ref="T2851">_xlfn.SWITCH(S2851,"Annually",6,"Bi-Weekly",2,"Fortnightly",3,"Monthly",4,"Quarterly",5,"Weekly",1)</f>
        <v>2</v>
      </c>
    </row>
    <row r="2852" spans="1:20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  <c r="S2852" t="str">
        <f t="shared" si="44"/>
        <v>Annually</v>
      </c>
      <c r="T2852" cm="1">
        <f t="array" ref="T2852">_xlfn.SWITCH(S2852,"Annually",6,"Bi-Weekly",2,"Fortnightly",3,"Monthly",4,"Quarterly",5,"Weekly",1)</f>
        <v>6</v>
      </c>
    </row>
    <row r="2853" spans="1:20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  <c r="S2853" t="str">
        <f t="shared" si="44"/>
        <v>Monthly</v>
      </c>
      <c r="T2853" cm="1">
        <f t="array" ref="T2853">_xlfn.SWITCH(S2853,"Annually",6,"Bi-Weekly",2,"Fortnightly",3,"Monthly",4,"Quarterly",5,"Weekly",1)</f>
        <v>4</v>
      </c>
    </row>
    <row r="2854" spans="1:20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  <c r="S2854" t="str">
        <f t="shared" si="44"/>
        <v>Weekly</v>
      </c>
      <c r="T2854" cm="1">
        <f t="array" ref="T2854">_xlfn.SWITCH(S2854,"Annually",6,"Bi-Weekly",2,"Fortnightly",3,"Monthly",4,"Quarterly",5,"Weekly",1)</f>
        <v>1</v>
      </c>
    </row>
    <row r="2855" spans="1:20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  <c r="S2855" t="str">
        <f t="shared" si="44"/>
        <v>Weekly</v>
      </c>
      <c r="T2855" cm="1">
        <f t="array" ref="T2855">_xlfn.SWITCH(S2855,"Annually",6,"Bi-Weekly",2,"Fortnightly",3,"Monthly",4,"Quarterly",5,"Weekly",1)</f>
        <v>1</v>
      </c>
    </row>
    <row r="2856" spans="1:20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  <c r="S2856" t="str">
        <f t="shared" si="44"/>
        <v>Monthly</v>
      </c>
      <c r="T2856" cm="1">
        <f t="array" ref="T2856">_xlfn.SWITCH(S2856,"Annually",6,"Bi-Weekly",2,"Fortnightly",3,"Monthly",4,"Quarterly",5,"Weekly",1)</f>
        <v>4</v>
      </c>
    </row>
    <row r="2857" spans="1:20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  <c r="S2857" t="str">
        <f t="shared" si="44"/>
        <v>Quarterly</v>
      </c>
      <c r="T2857" cm="1">
        <f t="array" ref="T2857">_xlfn.SWITCH(S2857,"Annually",6,"Bi-Weekly",2,"Fortnightly",3,"Monthly",4,"Quarterly",5,"Weekly",1)</f>
        <v>5</v>
      </c>
    </row>
    <row r="2858" spans="1:20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  <c r="S2858" t="str">
        <f t="shared" si="44"/>
        <v>Monthly</v>
      </c>
      <c r="T2858" cm="1">
        <f t="array" ref="T2858">_xlfn.SWITCH(S2858,"Annually",6,"Bi-Weekly",2,"Fortnightly",3,"Monthly",4,"Quarterly",5,"Weekly",1)</f>
        <v>4</v>
      </c>
    </row>
    <row r="2859" spans="1:20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  <c r="S2859" t="str">
        <f t="shared" si="44"/>
        <v>Monthly</v>
      </c>
      <c r="T2859" cm="1">
        <f t="array" ref="T2859">_xlfn.SWITCH(S2859,"Annually",6,"Bi-Weekly",2,"Fortnightly",3,"Monthly",4,"Quarterly",5,"Weekly",1)</f>
        <v>4</v>
      </c>
    </row>
    <row r="2860" spans="1:20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  <c r="S2860" t="str">
        <f t="shared" si="44"/>
        <v>Monthly</v>
      </c>
      <c r="T2860" cm="1">
        <f t="array" ref="T2860">_xlfn.SWITCH(S2860,"Annually",6,"Bi-Weekly",2,"Fortnightly",3,"Monthly",4,"Quarterly",5,"Weekly",1)</f>
        <v>4</v>
      </c>
    </row>
    <row r="2861" spans="1:20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  <c r="S2861" t="str">
        <f t="shared" si="44"/>
        <v>Annually</v>
      </c>
      <c r="T2861" cm="1">
        <f t="array" ref="T2861">_xlfn.SWITCH(S2861,"Annually",6,"Bi-Weekly",2,"Fortnightly",3,"Monthly",4,"Quarterly",5,"Weekly",1)</f>
        <v>6</v>
      </c>
    </row>
    <row r="2862" spans="1:20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  <c r="S2862" t="str">
        <f t="shared" si="44"/>
        <v>Weekly</v>
      </c>
      <c r="T2862" cm="1">
        <f t="array" ref="T2862">_xlfn.SWITCH(S2862,"Annually",6,"Bi-Weekly",2,"Fortnightly",3,"Monthly",4,"Quarterly",5,"Weekly",1)</f>
        <v>1</v>
      </c>
    </row>
    <row r="2863" spans="1:20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  <c r="S2863" t="str">
        <f t="shared" si="44"/>
        <v>Monthly</v>
      </c>
      <c r="T2863" cm="1">
        <f t="array" ref="T2863">_xlfn.SWITCH(S2863,"Annually",6,"Bi-Weekly",2,"Fortnightly",3,"Monthly",4,"Quarterly",5,"Weekly",1)</f>
        <v>4</v>
      </c>
    </row>
    <row r="2864" spans="1:20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  <c r="S2864" t="str">
        <f t="shared" si="44"/>
        <v>Quarterly</v>
      </c>
      <c r="T2864" cm="1">
        <f t="array" ref="T2864">_xlfn.SWITCH(S2864,"Annually",6,"Bi-Weekly",2,"Fortnightly",3,"Monthly",4,"Quarterly",5,"Weekly",1)</f>
        <v>5</v>
      </c>
    </row>
    <row r="2865" spans="1:20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  <c r="S2865" t="str">
        <f t="shared" si="44"/>
        <v>Monthly</v>
      </c>
      <c r="T2865" cm="1">
        <f t="array" ref="T2865">_xlfn.SWITCH(S2865,"Annually",6,"Bi-Weekly",2,"Fortnightly",3,"Monthly",4,"Quarterly",5,"Weekly",1)</f>
        <v>4</v>
      </c>
    </row>
    <row r="2866" spans="1:20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  <c r="S2866" t="str">
        <f t="shared" si="44"/>
        <v>Weekly</v>
      </c>
      <c r="T2866" cm="1">
        <f t="array" ref="T2866">_xlfn.SWITCH(S2866,"Annually",6,"Bi-Weekly",2,"Fortnightly",3,"Monthly",4,"Quarterly",5,"Weekly",1)</f>
        <v>1</v>
      </c>
    </row>
    <row r="2867" spans="1:20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  <c r="S2867" t="str">
        <f t="shared" si="44"/>
        <v>Fortnightly</v>
      </c>
      <c r="T2867" cm="1">
        <f t="array" ref="T2867">_xlfn.SWITCH(S2867,"Annually",6,"Bi-Weekly",2,"Fortnightly",3,"Monthly",4,"Quarterly",5,"Weekly",1)</f>
        <v>3</v>
      </c>
    </row>
    <row r="2868" spans="1:20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  <c r="S2868" t="str">
        <f t="shared" si="44"/>
        <v>Annually</v>
      </c>
      <c r="T2868" cm="1">
        <f t="array" ref="T2868">_xlfn.SWITCH(S2868,"Annually",6,"Bi-Weekly",2,"Fortnightly",3,"Monthly",4,"Quarterly",5,"Weekly",1)</f>
        <v>6</v>
      </c>
    </row>
    <row r="2869" spans="1:20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  <c r="S2869" t="str">
        <f t="shared" si="44"/>
        <v>Fortnightly</v>
      </c>
      <c r="T2869" cm="1">
        <f t="array" ref="T2869">_xlfn.SWITCH(S2869,"Annually",6,"Bi-Weekly",2,"Fortnightly",3,"Monthly",4,"Quarterly",5,"Weekly",1)</f>
        <v>3</v>
      </c>
    </row>
    <row r="2870" spans="1:20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  <c r="S2870" t="str">
        <f t="shared" si="44"/>
        <v>Quarterly</v>
      </c>
      <c r="T2870" cm="1">
        <f t="array" ref="T2870">_xlfn.SWITCH(S2870,"Annually",6,"Bi-Weekly",2,"Fortnightly",3,"Monthly",4,"Quarterly",5,"Weekly",1)</f>
        <v>5</v>
      </c>
    </row>
    <row r="2871" spans="1:20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  <c r="S2871" t="str">
        <f t="shared" si="44"/>
        <v>Weekly</v>
      </c>
      <c r="T2871" cm="1">
        <f t="array" ref="T2871">_xlfn.SWITCH(S2871,"Annually",6,"Bi-Weekly",2,"Fortnightly",3,"Monthly",4,"Quarterly",5,"Weekly",1)</f>
        <v>1</v>
      </c>
    </row>
    <row r="2872" spans="1:20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  <c r="S2872" t="str">
        <f t="shared" si="44"/>
        <v>Quarterly</v>
      </c>
      <c r="T2872" cm="1">
        <f t="array" ref="T2872">_xlfn.SWITCH(S2872,"Annually",6,"Bi-Weekly",2,"Fortnightly",3,"Monthly",4,"Quarterly",5,"Weekly",1)</f>
        <v>5</v>
      </c>
    </row>
    <row r="2873" spans="1:20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  <c r="S2873" t="str">
        <f t="shared" si="44"/>
        <v>Bi-Weekly</v>
      </c>
      <c r="T2873" cm="1">
        <f t="array" ref="T2873">_xlfn.SWITCH(S2873,"Annually",6,"Bi-Weekly",2,"Fortnightly",3,"Monthly",4,"Quarterly",5,"Weekly",1)</f>
        <v>2</v>
      </c>
    </row>
    <row r="2874" spans="1:20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  <c r="S2874" t="str">
        <f t="shared" si="44"/>
        <v>Annually</v>
      </c>
      <c r="T2874" cm="1">
        <f t="array" ref="T2874">_xlfn.SWITCH(S2874,"Annually",6,"Bi-Weekly",2,"Fortnightly",3,"Monthly",4,"Quarterly",5,"Weekly",1)</f>
        <v>6</v>
      </c>
    </row>
    <row r="2875" spans="1:20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  <c r="S2875" t="str">
        <f t="shared" si="44"/>
        <v>Monthly</v>
      </c>
      <c r="T2875" cm="1">
        <f t="array" ref="T2875">_xlfn.SWITCH(S2875,"Annually",6,"Bi-Weekly",2,"Fortnightly",3,"Monthly",4,"Quarterly",5,"Weekly",1)</f>
        <v>4</v>
      </c>
    </row>
    <row r="2876" spans="1:20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  <c r="S2876" t="str">
        <f t="shared" si="44"/>
        <v>Annually</v>
      </c>
      <c r="T2876" cm="1">
        <f t="array" ref="T2876">_xlfn.SWITCH(S2876,"Annually",6,"Bi-Weekly",2,"Fortnightly",3,"Monthly",4,"Quarterly",5,"Weekly",1)</f>
        <v>6</v>
      </c>
    </row>
    <row r="2877" spans="1:20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  <c r="S2877" t="str">
        <f t="shared" si="44"/>
        <v>Weekly</v>
      </c>
      <c r="T2877" cm="1">
        <f t="array" ref="T2877">_xlfn.SWITCH(S2877,"Annually",6,"Bi-Weekly",2,"Fortnightly",3,"Monthly",4,"Quarterly",5,"Weekly",1)</f>
        <v>1</v>
      </c>
    </row>
    <row r="2878" spans="1:20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  <c r="S2878" t="str">
        <f t="shared" si="44"/>
        <v>Fortnightly</v>
      </c>
      <c r="T2878" cm="1">
        <f t="array" ref="T2878">_xlfn.SWITCH(S2878,"Annually",6,"Bi-Weekly",2,"Fortnightly",3,"Monthly",4,"Quarterly",5,"Weekly",1)</f>
        <v>3</v>
      </c>
    </row>
    <row r="2879" spans="1:20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  <c r="S2879" t="str">
        <f t="shared" si="44"/>
        <v>Monthly</v>
      </c>
      <c r="T2879" cm="1">
        <f t="array" ref="T2879">_xlfn.SWITCH(S2879,"Annually",6,"Bi-Weekly",2,"Fortnightly",3,"Monthly",4,"Quarterly",5,"Weekly",1)</f>
        <v>4</v>
      </c>
    </row>
    <row r="2880" spans="1:20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  <c r="S2880" t="str">
        <f t="shared" si="44"/>
        <v>Annually</v>
      </c>
      <c r="T2880" cm="1">
        <f t="array" ref="T2880">_xlfn.SWITCH(S2880,"Annually",6,"Bi-Weekly",2,"Fortnightly",3,"Monthly",4,"Quarterly",5,"Weekly",1)</f>
        <v>6</v>
      </c>
    </row>
    <row r="2881" spans="1:20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  <c r="S2881" t="str">
        <f t="shared" si="44"/>
        <v>Annually</v>
      </c>
      <c r="T2881" cm="1">
        <f t="array" ref="T2881">_xlfn.SWITCH(S2881,"Annually",6,"Bi-Weekly",2,"Fortnightly",3,"Monthly",4,"Quarterly",5,"Weekly",1)</f>
        <v>6</v>
      </c>
    </row>
    <row r="2882" spans="1:20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  <c r="S2882" t="str">
        <f t="shared" si="44"/>
        <v>Quarterly</v>
      </c>
      <c r="T2882" cm="1">
        <f t="array" ref="T2882">_xlfn.SWITCH(S2882,"Annually",6,"Bi-Weekly",2,"Fortnightly",3,"Monthly",4,"Quarterly",5,"Weekly",1)</f>
        <v>5</v>
      </c>
    </row>
    <row r="2883" spans="1:20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  <c r="S2883" t="str">
        <f t="shared" ref="S2883:S2946" si="45">IF(R2883="Every 3 Months","Quarterly",R2883)</f>
        <v>Annually</v>
      </c>
      <c r="T2883" cm="1">
        <f t="array" ref="T2883">_xlfn.SWITCH(S2883,"Annually",6,"Bi-Weekly",2,"Fortnightly",3,"Monthly",4,"Quarterly",5,"Weekly",1)</f>
        <v>6</v>
      </c>
    </row>
    <row r="2884" spans="1:20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  <c r="S2884" t="str">
        <f t="shared" si="45"/>
        <v>Bi-Weekly</v>
      </c>
      <c r="T2884" cm="1">
        <f t="array" ref="T2884">_xlfn.SWITCH(S2884,"Annually",6,"Bi-Weekly",2,"Fortnightly",3,"Monthly",4,"Quarterly",5,"Weekly",1)</f>
        <v>2</v>
      </c>
    </row>
    <row r="2885" spans="1:20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  <c r="S2885" t="str">
        <f t="shared" si="45"/>
        <v>Weekly</v>
      </c>
      <c r="T2885" cm="1">
        <f t="array" ref="T2885">_xlfn.SWITCH(S2885,"Annually",6,"Bi-Weekly",2,"Fortnightly",3,"Monthly",4,"Quarterly",5,"Weekly",1)</f>
        <v>1</v>
      </c>
    </row>
    <row r="2886" spans="1:20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  <c r="S2886" t="str">
        <f t="shared" si="45"/>
        <v>Quarterly</v>
      </c>
      <c r="T2886" cm="1">
        <f t="array" ref="T2886">_xlfn.SWITCH(S2886,"Annually",6,"Bi-Weekly",2,"Fortnightly",3,"Monthly",4,"Quarterly",5,"Weekly",1)</f>
        <v>5</v>
      </c>
    </row>
    <row r="2887" spans="1:20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  <c r="S2887" t="str">
        <f t="shared" si="45"/>
        <v>Bi-Weekly</v>
      </c>
      <c r="T2887" cm="1">
        <f t="array" ref="T2887">_xlfn.SWITCH(S2887,"Annually",6,"Bi-Weekly",2,"Fortnightly",3,"Monthly",4,"Quarterly",5,"Weekly",1)</f>
        <v>2</v>
      </c>
    </row>
    <row r="2888" spans="1:20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  <c r="S2888" t="str">
        <f t="shared" si="45"/>
        <v>Weekly</v>
      </c>
      <c r="T2888" cm="1">
        <f t="array" ref="T2888">_xlfn.SWITCH(S2888,"Annually",6,"Bi-Weekly",2,"Fortnightly",3,"Monthly",4,"Quarterly",5,"Weekly",1)</f>
        <v>1</v>
      </c>
    </row>
    <row r="2889" spans="1:20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  <c r="S2889" t="str">
        <f t="shared" si="45"/>
        <v>Bi-Weekly</v>
      </c>
      <c r="T2889" cm="1">
        <f t="array" ref="T2889">_xlfn.SWITCH(S2889,"Annually",6,"Bi-Weekly",2,"Fortnightly",3,"Monthly",4,"Quarterly",5,"Weekly",1)</f>
        <v>2</v>
      </c>
    </row>
    <row r="2890" spans="1:20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  <c r="S2890" t="str">
        <f t="shared" si="45"/>
        <v>Quarterly</v>
      </c>
      <c r="T2890" cm="1">
        <f t="array" ref="T2890">_xlfn.SWITCH(S2890,"Annually",6,"Bi-Weekly",2,"Fortnightly",3,"Monthly",4,"Quarterly",5,"Weekly",1)</f>
        <v>5</v>
      </c>
    </row>
    <row r="2891" spans="1:20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  <c r="S2891" t="str">
        <f t="shared" si="45"/>
        <v>Annually</v>
      </c>
      <c r="T2891" cm="1">
        <f t="array" ref="T2891">_xlfn.SWITCH(S2891,"Annually",6,"Bi-Weekly",2,"Fortnightly",3,"Monthly",4,"Quarterly",5,"Weekly",1)</f>
        <v>6</v>
      </c>
    </row>
    <row r="2892" spans="1:20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  <c r="S2892" t="str">
        <f t="shared" si="45"/>
        <v>Monthly</v>
      </c>
      <c r="T2892" cm="1">
        <f t="array" ref="T2892">_xlfn.SWITCH(S2892,"Annually",6,"Bi-Weekly",2,"Fortnightly",3,"Monthly",4,"Quarterly",5,"Weekly",1)</f>
        <v>4</v>
      </c>
    </row>
    <row r="2893" spans="1:20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  <c r="S2893" t="str">
        <f t="shared" si="45"/>
        <v>Monthly</v>
      </c>
      <c r="T2893" cm="1">
        <f t="array" ref="T2893">_xlfn.SWITCH(S2893,"Annually",6,"Bi-Weekly",2,"Fortnightly",3,"Monthly",4,"Quarterly",5,"Weekly",1)</f>
        <v>4</v>
      </c>
    </row>
    <row r="2894" spans="1:20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  <c r="S2894" t="str">
        <f t="shared" si="45"/>
        <v>Monthly</v>
      </c>
      <c r="T2894" cm="1">
        <f t="array" ref="T2894">_xlfn.SWITCH(S2894,"Annually",6,"Bi-Weekly",2,"Fortnightly",3,"Monthly",4,"Quarterly",5,"Weekly",1)</f>
        <v>4</v>
      </c>
    </row>
    <row r="2895" spans="1:20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  <c r="S2895" t="str">
        <f t="shared" si="45"/>
        <v>Quarterly</v>
      </c>
      <c r="T2895" cm="1">
        <f t="array" ref="T2895">_xlfn.SWITCH(S2895,"Annually",6,"Bi-Weekly",2,"Fortnightly",3,"Monthly",4,"Quarterly",5,"Weekly",1)</f>
        <v>5</v>
      </c>
    </row>
    <row r="2896" spans="1:20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  <c r="S2896" t="str">
        <f t="shared" si="45"/>
        <v>Annually</v>
      </c>
      <c r="T2896" cm="1">
        <f t="array" ref="T2896">_xlfn.SWITCH(S2896,"Annually",6,"Bi-Weekly",2,"Fortnightly",3,"Monthly",4,"Quarterly",5,"Weekly",1)</f>
        <v>6</v>
      </c>
    </row>
    <row r="2897" spans="1:20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  <c r="S2897" t="str">
        <f t="shared" si="45"/>
        <v>Monthly</v>
      </c>
      <c r="T2897" cm="1">
        <f t="array" ref="T2897">_xlfn.SWITCH(S2897,"Annually",6,"Bi-Weekly",2,"Fortnightly",3,"Monthly",4,"Quarterly",5,"Weekly",1)</f>
        <v>4</v>
      </c>
    </row>
    <row r="2898" spans="1:20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  <c r="S2898" t="str">
        <f t="shared" si="45"/>
        <v>Quarterly</v>
      </c>
      <c r="T2898" cm="1">
        <f t="array" ref="T2898">_xlfn.SWITCH(S2898,"Annually",6,"Bi-Weekly",2,"Fortnightly",3,"Monthly",4,"Quarterly",5,"Weekly",1)</f>
        <v>5</v>
      </c>
    </row>
    <row r="2899" spans="1:20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  <c r="S2899" t="str">
        <f t="shared" si="45"/>
        <v>Fortnightly</v>
      </c>
      <c r="T2899" cm="1">
        <f t="array" ref="T2899">_xlfn.SWITCH(S2899,"Annually",6,"Bi-Weekly",2,"Fortnightly",3,"Monthly",4,"Quarterly",5,"Weekly",1)</f>
        <v>3</v>
      </c>
    </row>
    <row r="2900" spans="1:20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  <c r="S2900" t="str">
        <f t="shared" si="45"/>
        <v>Annually</v>
      </c>
      <c r="T2900" cm="1">
        <f t="array" ref="T2900">_xlfn.SWITCH(S2900,"Annually",6,"Bi-Weekly",2,"Fortnightly",3,"Monthly",4,"Quarterly",5,"Weekly",1)</f>
        <v>6</v>
      </c>
    </row>
    <row r="2901" spans="1:20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  <c r="S2901" t="str">
        <f t="shared" si="45"/>
        <v>Fortnightly</v>
      </c>
      <c r="T2901" cm="1">
        <f t="array" ref="T2901">_xlfn.SWITCH(S2901,"Annually",6,"Bi-Weekly",2,"Fortnightly",3,"Monthly",4,"Quarterly",5,"Weekly",1)</f>
        <v>3</v>
      </c>
    </row>
    <row r="2902" spans="1:20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  <c r="S2902" t="str">
        <f t="shared" si="45"/>
        <v>Bi-Weekly</v>
      </c>
      <c r="T2902" cm="1">
        <f t="array" ref="T2902">_xlfn.SWITCH(S2902,"Annually",6,"Bi-Weekly",2,"Fortnightly",3,"Monthly",4,"Quarterly",5,"Weekly",1)</f>
        <v>2</v>
      </c>
    </row>
    <row r="2903" spans="1:20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  <c r="S2903" t="str">
        <f t="shared" si="45"/>
        <v>Quarterly</v>
      </c>
      <c r="T2903" cm="1">
        <f t="array" ref="T2903">_xlfn.SWITCH(S2903,"Annually",6,"Bi-Weekly",2,"Fortnightly",3,"Monthly",4,"Quarterly",5,"Weekly",1)</f>
        <v>5</v>
      </c>
    </row>
    <row r="2904" spans="1:20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  <c r="S2904" t="str">
        <f t="shared" si="45"/>
        <v>Bi-Weekly</v>
      </c>
      <c r="T2904" cm="1">
        <f t="array" ref="T2904">_xlfn.SWITCH(S2904,"Annually",6,"Bi-Weekly",2,"Fortnightly",3,"Monthly",4,"Quarterly",5,"Weekly",1)</f>
        <v>2</v>
      </c>
    </row>
    <row r="2905" spans="1:20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  <c r="S2905" t="str">
        <f t="shared" si="45"/>
        <v>Quarterly</v>
      </c>
      <c r="T2905" cm="1">
        <f t="array" ref="T2905">_xlfn.SWITCH(S2905,"Annually",6,"Bi-Weekly",2,"Fortnightly",3,"Monthly",4,"Quarterly",5,"Weekly",1)</f>
        <v>5</v>
      </c>
    </row>
    <row r="2906" spans="1:20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  <c r="S2906" t="str">
        <f t="shared" si="45"/>
        <v>Monthly</v>
      </c>
      <c r="T2906" cm="1">
        <f t="array" ref="T2906">_xlfn.SWITCH(S2906,"Annually",6,"Bi-Weekly",2,"Fortnightly",3,"Monthly",4,"Quarterly",5,"Weekly",1)</f>
        <v>4</v>
      </c>
    </row>
    <row r="2907" spans="1:20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  <c r="S2907" t="str">
        <f t="shared" si="45"/>
        <v>Fortnightly</v>
      </c>
      <c r="T2907" cm="1">
        <f t="array" ref="T2907">_xlfn.SWITCH(S2907,"Annually",6,"Bi-Weekly",2,"Fortnightly",3,"Monthly",4,"Quarterly",5,"Weekly",1)</f>
        <v>3</v>
      </c>
    </row>
    <row r="2908" spans="1:20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  <c r="S2908" t="str">
        <f t="shared" si="45"/>
        <v>Annually</v>
      </c>
      <c r="T2908" cm="1">
        <f t="array" ref="T2908">_xlfn.SWITCH(S2908,"Annually",6,"Bi-Weekly",2,"Fortnightly",3,"Monthly",4,"Quarterly",5,"Weekly",1)</f>
        <v>6</v>
      </c>
    </row>
    <row r="2909" spans="1:20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  <c r="S2909" t="str">
        <f t="shared" si="45"/>
        <v>Bi-Weekly</v>
      </c>
      <c r="T2909" cm="1">
        <f t="array" ref="T2909">_xlfn.SWITCH(S2909,"Annually",6,"Bi-Weekly",2,"Fortnightly",3,"Monthly",4,"Quarterly",5,"Weekly",1)</f>
        <v>2</v>
      </c>
    </row>
    <row r="2910" spans="1:20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  <c r="S2910" t="str">
        <f t="shared" si="45"/>
        <v>Quarterly</v>
      </c>
      <c r="T2910" cm="1">
        <f t="array" ref="T2910">_xlfn.SWITCH(S2910,"Annually",6,"Bi-Weekly",2,"Fortnightly",3,"Monthly",4,"Quarterly",5,"Weekly",1)</f>
        <v>5</v>
      </c>
    </row>
    <row r="2911" spans="1:20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  <c r="S2911" t="str">
        <f t="shared" si="45"/>
        <v>Quarterly</v>
      </c>
      <c r="T2911" cm="1">
        <f t="array" ref="T2911">_xlfn.SWITCH(S2911,"Annually",6,"Bi-Weekly",2,"Fortnightly",3,"Monthly",4,"Quarterly",5,"Weekly",1)</f>
        <v>5</v>
      </c>
    </row>
    <row r="2912" spans="1:20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  <c r="S2912" t="str">
        <f t="shared" si="45"/>
        <v>Monthly</v>
      </c>
      <c r="T2912" cm="1">
        <f t="array" ref="T2912">_xlfn.SWITCH(S2912,"Annually",6,"Bi-Weekly",2,"Fortnightly",3,"Monthly",4,"Quarterly",5,"Weekly",1)</f>
        <v>4</v>
      </c>
    </row>
    <row r="2913" spans="1:20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  <c r="S2913" t="str">
        <f t="shared" si="45"/>
        <v>Quarterly</v>
      </c>
      <c r="T2913" cm="1">
        <f t="array" ref="T2913">_xlfn.SWITCH(S2913,"Annually",6,"Bi-Weekly",2,"Fortnightly",3,"Monthly",4,"Quarterly",5,"Weekly",1)</f>
        <v>5</v>
      </c>
    </row>
    <row r="2914" spans="1:20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  <c r="S2914" t="str">
        <f t="shared" si="45"/>
        <v>Bi-Weekly</v>
      </c>
      <c r="T2914" cm="1">
        <f t="array" ref="T2914">_xlfn.SWITCH(S2914,"Annually",6,"Bi-Weekly",2,"Fortnightly",3,"Monthly",4,"Quarterly",5,"Weekly",1)</f>
        <v>2</v>
      </c>
    </row>
    <row r="2915" spans="1:20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  <c r="S2915" t="str">
        <f t="shared" si="45"/>
        <v>Quarterly</v>
      </c>
      <c r="T2915" cm="1">
        <f t="array" ref="T2915">_xlfn.SWITCH(S2915,"Annually",6,"Bi-Weekly",2,"Fortnightly",3,"Monthly",4,"Quarterly",5,"Weekly",1)</f>
        <v>5</v>
      </c>
    </row>
    <row r="2916" spans="1:20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  <c r="S2916" t="str">
        <f t="shared" si="45"/>
        <v>Bi-Weekly</v>
      </c>
      <c r="T2916" cm="1">
        <f t="array" ref="T2916">_xlfn.SWITCH(S2916,"Annually",6,"Bi-Weekly",2,"Fortnightly",3,"Monthly",4,"Quarterly",5,"Weekly",1)</f>
        <v>2</v>
      </c>
    </row>
    <row r="2917" spans="1:20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  <c r="S2917" t="str">
        <f t="shared" si="45"/>
        <v>Bi-Weekly</v>
      </c>
      <c r="T2917" cm="1">
        <f t="array" ref="T2917">_xlfn.SWITCH(S2917,"Annually",6,"Bi-Weekly",2,"Fortnightly",3,"Monthly",4,"Quarterly",5,"Weekly",1)</f>
        <v>2</v>
      </c>
    </row>
    <row r="2918" spans="1:20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  <c r="S2918" t="str">
        <f t="shared" si="45"/>
        <v>Bi-Weekly</v>
      </c>
      <c r="T2918" cm="1">
        <f t="array" ref="T2918">_xlfn.SWITCH(S2918,"Annually",6,"Bi-Weekly",2,"Fortnightly",3,"Monthly",4,"Quarterly",5,"Weekly",1)</f>
        <v>2</v>
      </c>
    </row>
    <row r="2919" spans="1:20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  <c r="S2919" t="str">
        <f t="shared" si="45"/>
        <v>Annually</v>
      </c>
      <c r="T2919" cm="1">
        <f t="array" ref="T2919">_xlfn.SWITCH(S2919,"Annually",6,"Bi-Weekly",2,"Fortnightly",3,"Monthly",4,"Quarterly",5,"Weekly",1)</f>
        <v>6</v>
      </c>
    </row>
    <row r="2920" spans="1:20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  <c r="S2920" t="str">
        <f t="shared" si="45"/>
        <v>Weekly</v>
      </c>
      <c r="T2920" cm="1">
        <f t="array" ref="T2920">_xlfn.SWITCH(S2920,"Annually",6,"Bi-Weekly",2,"Fortnightly",3,"Monthly",4,"Quarterly",5,"Weekly",1)</f>
        <v>1</v>
      </c>
    </row>
    <row r="2921" spans="1:20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  <c r="S2921" t="str">
        <f t="shared" si="45"/>
        <v>Monthly</v>
      </c>
      <c r="T2921" cm="1">
        <f t="array" ref="T2921">_xlfn.SWITCH(S2921,"Annually",6,"Bi-Weekly",2,"Fortnightly",3,"Monthly",4,"Quarterly",5,"Weekly",1)</f>
        <v>4</v>
      </c>
    </row>
    <row r="2922" spans="1:20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  <c r="S2922" t="str">
        <f t="shared" si="45"/>
        <v>Bi-Weekly</v>
      </c>
      <c r="T2922" cm="1">
        <f t="array" ref="T2922">_xlfn.SWITCH(S2922,"Annually",6,"Bi-Weekly",2,"Fortnightly",3,"Monthly",4,"Quarterly",5,"Weekly",1)</f>
        <v>2</v>
      </c>
    </row>
    <row r="2923" spans="1:20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  <c r="S2923" t="str">
        <f t="shared" si="45"/>
        <v>Fortnightly</v>
      </c>
      <c r="T2923" cm="1">
        <f t="array" ref="T2923">_xlfn.SWITCH(S2923,"Annually",6,"Bi-Weekly",2,"Fortnightly",3,"Monthly",4,"Quarterly",5,"Weekly",1)</f>
        <v>3</v>
      </c>
    </row>
    <row r="2924" spans="1:20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  <c r="S2924" t="str">
        <f t="shared" si="45"/>
        <v>Quarterly</v>
      </c>
      <c r="T2924" cm="1">
        <f t="array" ref="T2924">_xlfn.SWITCH(S2924,"Annually",6,"Bi-Weekly",2,"Fortnightly",3,"Monthly",4,"Quarterly",5,"Weekly",1)</f>
        <v>5</v>
      </c>
    </row>
    <row r="2925" spans="1:20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  <c r="S2925" t="str">
        <f t="shared" si="45"/>
        <v>Quarterly</v>
      </c>
      <c r="T2925" cm="1">
        <f t="array" ref="T2925">_xlfn.SWITCH(S2925,"Annually",6,"Bi-Weekly",2,"Fortnightly",3,"Monthly",4,"Quarterly",5,"Weekly",1)</f>
        <v>5</v>
      </c>
    </row>
    <row r="2926" spans="1:20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  <c r="S2926" t="str">
        <f t="shared" si="45"/>
        <v>Quarterly</v>
      </c>
      <c r="T2926" cm="1">
        <f t="array" ref="T2926">_xlfn.SWITCH(S2926,"Annually",6,"Bi-Weekly",2,"Fortnightly",3,"Monthly",4,"Quarterly",5,"Weekly",1)</f>
        <v>5</v>
      </c>
    </row>
    <row r="2927" spans="1:20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  <c r="S2927" t="str">
        <f t="shared" si="45"/>
        <v>Quarterly</v>
      </c>
      <c r="T2927" cm="1">
        <f t="array" ref="T2927">_xlfn.SWITCH(S2927,"Annually",6,"Bi-Weekly",2,"Fortnightly",3,"Monthly",4,"Quarterly",5,"Weekly",1)</f>
        <v>5</v>
      </c>
    </row>
    <row r="2928" spans="1:20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  <c r="S2928" t="str">
        <f t="shared" si="45"/>
        <v>Weekly</v>
      </c>
      <c r="T2928" cm="1">
        <f t="array" ref="T2928">_xlfn.SWITCH(S2928,"Annually",6,"Bi-Weekly",2,"Fortnightly",3,"Monthly",4,"Quarterly",5,"Weekly",1)</f>
        <v>1</v>
      </c>
    </row>
    <row r="2929" spans="1:20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  <c r="S2929" t="str">
        <f t="shared" si="45"/>
        <v>Bi-Weekly</v>
      </c>
      <c r="T2929" cm="1">
        <f t="array" ref="T2929">_xlfn.SWITCH(S2929,"Annually",6,"Bi-Weekly",2,"Fortnightly",3,"Monthly",4,"Quarterly",5,"Weekly",1)</f>
        <v>2</v>
      </c>
    </row>
    <row r="2930" spans="1:20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  <c r="S2930" t="str">
        <f t="shared" si="45"/>
        <v>Weekly</v>
      </c>
      <c r="T2930" cm="1">
        <f t="array" ref="T2930">_xlfn.SWITCH(S2930,"Annually",6,"Bi-Weekly",2,"Fortnightly",3,"Monthly",4,"Quarterly",5,"Weekly",1)</f>
        <v>1</v>
      </c>
    </row>
    <row r="2931" spans="1:20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  <c r="S2931" t="str">
        <f t="shared" si="45"/>
        <v>Fortnightly</v>
      </c>
      <c r="T2931" cm="1">
        <f t="array" ref="T2931">_xlfn.SWITCH(S2931,"Annually",6,"Bi-Weekly",2,"Fortnightly",3,"Monthly",4,"Quarterly",5,"Weekly",1)</f>
        <v>3</v>
      </c>
    </row>
    <row r="2932" spans="1:20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  <c r="S2932" t="str">
        <f t="shared" si="45"/>
        <v>Monthly</v>
      </c>
      <c r="T2932" cm="1">
        <f t="array" ref="T2932">_xlfn.SWITCH(S2932,"Annually",6,"Bi-Weekly",2,"Fortnightly",3,"Monthly",4,"Quarterly",5,"Weekly",1)</f>
        <v>4</v>
      </c>
    </row>
    <row r="2933" spans="1:20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  <c r="S2933" t="str">
        <f t="shared" si="45"/>
        <v>Bi-Weekly</v>
      </c>
      <c r="T2933" cm="1">
        <f t="array" ref="T2933">_xlfn.SWITCH(S2933,"Annually",6,"Bi-Weekly",2,"Fortnightly",3,"Monthly",4,"Quarterly",5,"Weekly",1)</f>
        <v>2</v>
      </c>
    </row>
    <row r="2934" spans="1:20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  <c r="S2934" t="str">
        <f t="shared" si="45"/>
        <v>Quarterly</v>
      </c>
      <c r="T2934" cm="1">
        <f t="array" ref="T2934">_xlfn.SWITCH(S2934,"Annually",6,"Bi-Weekly",2,"Fortnightly",3,"Monthly",4,"Quarterly",5,"Weekly",1)</f>
        <v>5</v>
      </c>
    </row>
    <row r="2935" spans="1:20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  <c r="S2935" t="str">
        <f t="shared" si="45"/>
        <v>Monthly</v>
      </c>
      <c r="T2935" cm="1">
        <f t="array" ref="T2935">_xlfn.SWITCH(S2935,"Annually",6,"Bi-Weekly",2,"Fortnightly",3,"Monthly",4,"Quarterly",5,"Weekly",1)</f>
        <v>4</v>
      </c>
    </row>
    <row r="2936" spans="1:20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  <c r="S2936" t="str">
        <f t="shared" si="45"/>
        <v>Quarterly</v>
      </c>
      <c r="T2936" cm="1">
        <f t="array" ref="T2936">_xlfn.SWITCH(S2936,"Annually",6,"Bi-Weekly",2,"Fortnightly",3,"Monthly",4,"Quarterly",5,"Weekly",1)</f>
        <v>5</v>
      </c>
    </row>
    <row r="2937" spans="1:20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  <c r="S2937" t="str">
        <f t="shared" si="45"/>
        <v>Weekly</v>
      </c>
      <c r="T2937" cm="1">
        <f t="array" ref="T2937">_xlfn.SWITCH(S2937,"Annually",6,"Bi-Weekly",2,"Fortnightly",3,"Monthly",4,"Quarterly",5,"Weekly",1)</f>
        <v>1</v>
      </c>
    </row>
    <row r="2938" spans="1:20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  <c r="S2938" t="str">
        <f t="shared" si="45"/>
        <v>Weekly</v>
      </c>
      <c r="T2938" cm="1">
        <f t="array" ref="T2938">_xlfn.SWITCH(S2938,"Annually",6,"Bi-Weekly",2,"Fortnightly",3,"Monthly",4,"Quarterly",5,"Weekly",1)</f>
        <v>1</v>
      </c>
    </row>
    <row r="2939" spans="1:20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  <c r="S2939" t="str">
        <f t="shared" si="45"/>
        <v>Weekly</v>
      </c>
      <c r="T2939" cm="1">
        <f t="array" ref="T2939">_xlfn.SWITCH(S2939,"Annually",6,"Bi-Weekly",2,"Fortnightly",3,"Monthly",4,"Quarterly",5,"Weekly",1)</f>
        <v>1</v>
      </c>
    </row>
    <row r="2940" spans="1:20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  <c r="S2940" t="str">
        <f t="shared" si="45"/>
        <v>Monthly</v>
      </c>
      <c r="T2940" cm="1">
        <f t="array" ref="T2940">_xlfn.SWITCH(S2940,"Annually",6,"Bi-Weekly",2,"Fortnightly",3,"Monthly",4,"Quarterly",5,"Weekly",1)</f>
        <v>4</v>
      </c>
    </row>
    <row r="2941" spans="1:20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  <c r="S2941" t="str">
        <f t="shared" si="45"/>
        <v>Weekly</v>
      </c>
      <c r="T2941" cm="1">
        <f t="array" ref="T2941">_xlfn.SWITCH(S2941,"Annually",6,"Bi-Weekly",2,"Fortnightly",3,"Monthly",4,"Quarterly",5,"Weekly",1)</f>
        <v>1</v>
      </c>
    </row>
    <row r="2942" spans="1:20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  <c r="S2942" t="str">
        <f t="shared" si="45"/>
        <v>Monthly</v>
      </c>
      <c r="T2942" cm="1">
        <f t="array" ref="T2942">_xlfn.SWITCH(S2942,"Annually",6,"Bi-Weekly",2,"Fortnightly",3,"Monthly",4,"Quarterly",5,"Weekly",1)</f>
        <v>4</v>
      </c>
    </row>
    <row r="2943" spans="1:20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  <c r="S2943" t="str">
        <f t="shared" si="45"/>
        <v>Monthly</v>
      </c>
      <c r="T2943" cm="1">
        <f t="array" ref="T2943">_xlfn.SWITCH(S2943,"Annually",6,"Bi-Weekly",2,"Fortnightly",3,"Monthly",4,"Quarterly",5,"Weekly",1)</f>
        <v>4</v>
      </c>
    </row>
    <row r="2944" spans="1:20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  <c r="S2944" t="str">
        <f t="shared" si="45"/>
        <v>Weekly</v>
      </c>
      <c r="T2944" cm="1">
        <f t="array" ref="T2944">_xlfn.SWITCH(S2944,"Annually",6,"Bi-Weekly",2,"Fortnightly",3,"Monthly",4,"Quarterly",5,"Weekly",1)</f>
        <v>1</v>
      </c>
    </row>
    <row r="2945" spans="1:20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  <c r="S2945" t="str">
        <f t="shared" si="45"/>
        <v>Monthly</v>
      </c>
      <c r="T2945" cm="1">
        <f t="array" ref="T2945">_xlfn.SWITCH(S2945,"Annually",6,"Bi-Weekly",2,"Fortnightly",3,"Monthly",4,"Quarterly",5,"Weekly",1)</f>
        <v>4</v>
      </c>
    </row>
    <row r="2946" spans="1:20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  <c r="S2946" t="str">
        <f t="shared" si="45"/>
        <v>Quarterly</v>
      </c>
      <c r="T2946" cm="1">
        <f t="array" ref="T2946">_xlfn.SWITCH(S2946,"Annually",6,"Bi-Weekly",2,"Fortnightly",3,"Monthly",4,"Quarterly",5,"Weekly",1)</f>
        <v>5</v>
      </c>
    </row>
    <row r="2947" spans="1:20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  <c r="S2947" t="str">
        <f t="shared" ref="S2947:S3010" si="46">IF(R2947="Every 3 Months","Quarterly",R2947)</f>
        <v>Quarterly</v>
      </c>
      <c r="T2947" cm="1">
        <f t="array" ref="T2947">_xlfn.SWITCH(S2947,"Annually",6,"Bi-Weekly",2,"Fortnightly",3,"Monthly",4,"Quarterly",5,"Weekly",1)</f>
        <v>5</v>
      </c>
    </row>
    <row r="2948" spans="1:20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  <c r="S2948" t="str">
        <f t="shared" si="46"/>
        <v>Quarterly</v>
      </c>
      <c r="T2948" cm="1">
        <f t="array" ref="T2948">_xlfn.SWITCH(S2948,"Annually",6,"Bi-Weekly",2,"Fortnightly",3,"Monthly",4,"Quarterly",5,"Weekly",1)</f>
        <v>5</v>
      </c>
    </row>
    <row r="2949" spans="1:20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  <c r="S2949" t="str">
        <f t="shared" si="46"/>
        <v>Annually</v>
      </c>
      <c r="T2949" cm="1">
        <f t="array" ref="T2949">_xlfn.SWITCH(S2949,"Annually",6,"Bi-Weekly",2,"Fortnightly",3,"Monthly",4,"Quarterly",5,"Weekly",1)</f>
        <v>6</v>
      </c>
    </row>
    <row r="2950" spans="1:20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  <c r="S2950" t="str">
        <f t="shared" si="46"/>
        <v>Bi-Weekly</v>
      </c>
      <c r="T2950" cm="1">
        <f t="array" ref="T2950">_xlfn.SWITCH(S2950,"Annually",6,"Bi-Weekly",2,"Fortnightly",3,"Monthly",4,"Quarterly",5,"Weekly",1)</f>
        <v>2</v>
      </c>
    </row>
    <row r="2951" spans="1:20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  <c r="S2951" t="str">
        <f t="shared" si="46"/>
        <v>Annually</v>
      </c>
      <c r="T2951" cm="1">
        <f t="array" ref="T2951">_xlfn.SWITCH(S2951,"Annually",6,"Bi-Weekly",2,"Fortnightly",3,"Monthly",4,"Quarterly",5,"Weekly",1)</f>
        <v>6</v>
      </c>
    </row>
    <row r="2952" spans="1:20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  <c r="S2952" t="str">
        <f t="shared" si="46"/>
        <v>Quarterly</v>
      </c>
      <c r="T2952" cm="1">
        <f t="array" ref="T2952">_xlfn.SWITCH(S2952,"Annually",6,"Bi-Weekly",2,"Fortnightly",3,"Monthly",4,"Quarterly",5,"Weekly",1)</f>
        <v>5</v>
      </c>
    </row>
    <row r="2953" spans="1:20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  <c r="S2953" t="str">
        <f t="shared" si="46"/>
        <v>Weekly</v>
      </c>
      <c r="T2953" cm="1">
        <f t="array" ref="T2953">_xlfn.SWITCH(S2953,"Annually",6,"Bi-Weekly",2,"Fortnightly",3,"Monthly",4,"Quarterly",5,"Weekly",1)</f>
        <v>1</v>
      </c>
    </row>
    <row r="2954" spans="1:20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  <c r="S2954" t="str">
        <f t="shared" si="46"/>
        <v>Monthly</v>
      </c>
      <c r="T2954" cm="1">
        <f t="array" ref="T2954">_xlfn.SWITCH(S2954,"Annually",6,"Bi-Weekly",2,"Fortnightly",3,"Monthly",4,"Quarterly",5,"Weekly",1)</f>
        <v>4</v>
      </c>
    </row>
    <row r="2955" spans="1:20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  <c r="S2955" t="str">
        <f t="shared" si="46"/>
        <v>Annually</v>
      </c>
      <c r="T2955" cm="1">
        <f t="array" ref="T2955">_xlfn.SWITCH(S2955,"Annually",6,"Bi-Weekly",2,"Fortnightly",3,"Monthly",4,"Quarterly",5,"Weekly",1)</f>
        <v>6</v>
      </c>
    </row>
    <row r="2956" spans="1:20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  <c r="S2956" t="str">
        <f t="shared" si="46"/>
        <v>Annually</v>
      </c>
      <c r="T2956" cm="1">
        <f t="array" ref="T2956">_xlfn.SWITCH(S2956,"Annually",6,"Bi-Weekly",2,"Fortnightly",3,"Monthly",4,"Quarterly",5,"Weekly",1)</f>
        <v>6</v>
      </c>
    </row>
    <row r="2957" spans="1:20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  <c r="S2957" t="str">
        <f t="shared" si="46"/>
        <v>Annually</v>
      </c>
      <c r="T2957" cm="1">
        <f t="array" ref="T2957">_xlfn.SWITCH(S2957,"Annually",6,"Bi-Weekly",2,"Fortnightly",3,"Monthly",4,"Quarterly",5,"Weekly",1)</f>
        <v>6</v>
      </c>
    </row>
    <row r="2958" spans="1:20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  <c r="S2958" t="str">
        <f t="shared" si="46"/>
        <v>Monthly</v>
      </c>
      <c r="T2958" cm="1">
        <f t="array" ref="T2958">_xlfn.SWITCH(S2958,"Annually",6,"Bi-Weekly",2,"Fortnightly",3,"Monthly",4,"Quarterly",5,"Weekly",1)</f>
        <v>4</v>
      </c>
    </row>
    <row r="2959" spans="1:20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  <c r="S2959" t="str">
        <f t="shared" si="46"/>
        <v>Annually</v>
      </c>
      <c r="T2959" cm="1">
        <f t="array" ref="T2959">_xlfn.SWITCH(S2959,"Annually",6,"Bi-Weekly",2,"Fortnightly",3,"Monthly",4,"Quarterly",5,"Weekly",1)</f>
        <v>6</v>
      </c>
    </row>
    <row r="2960" spans="1:20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  <c r="S2960" t="str">
        <f t="shared" si="46"/>
        <v>Monthly</v>
      </c>
      <c r="T2960" cm="1">
        <f t="array" ref="T2960">_xlfn.SWITCH(S2960,"Annually",6,"Bi-Weekly",2,"Fortnightly",3,"Monthly",4,"Quarterly",5,"Weekly",1)</f>
        <v>4</v>
      </c>
    </row>
    <row r="2961" spans="1:20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  <c r="S2961" t="str">
        <f t="shared" si="46"/>
        <v>Quarterly</v>
      </c>
      <c r="T2961" cm="1">
        <f t="array" ref="T2961">_xlfn.SWITCH(S2961,"Annually",6,"Bi-Weekly",2,"Fortnightly",3,"Monthly",4,"Quarterly",5,"Weekly",1)</f>
        <v>5</v>
      </c>
    </row>
    <row r="2962" spans="1:20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  <c r="S2962" t="str">
        <f t="shared" si="46"/>
        <v>Weekly</v>
      </c>
      <c r="T2962" cm="1">
        <f t="array" ref="T2962">_xlfn.SWITCH(S2962,"Annually",6,"Bi-Weekly",2,"Fortnightly",3,"Monthly",4,"Quarterly",5,"Weekly",1)</f>
        <v>1</v>
      </c>
    </row>
    <row r="2963" spans="1:20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  <c r="S2963" t="str">
        <f t="shared" si="46"/>
        <v>Bi-Weekly</v>
      </c>
      <c r="T2963" cm="1">
        <f t="array" ref="T2963">_xlfn.SWITCH(S2963,"Annually",6,"Bi-Weekly",2,"Fortnightly",3,"Monthly",4,"Quarterly",5,"Weekly",1)</f>
        <v>2</v>
      </c>
    </row>
    <row r="2964" spans="1:20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  <c r="S2964" t="str">
        <f t="shared" si="46"/>
        <v>Quarterly</v>
      </c>
      <c r="T2964" cm="1">
        <f t="array" ref="T2964">_xlfn.SWITCH(S2964,"Annually",6,"Bi-Weekly",2,"Fortnightly",3,"Monthly",4,"Quarterly",5,"Weekly",1)</f>
        <v>5</v>
      </c>
    </row>
    <row r="2965" spans="1:20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  <c r="S2965" t="str">
        <f t="shared" si="46"/>
        <v>Weekly</v>
      </c>
      <c r="T2965" cm="1">
        <f t="array" ref="T2965">_xlfn.SWITCH(S2965,"Annually",6,"Bi-Weekly",2,"Fortnightly",3,"Monthly",4,"Quarterly",5,"Weekly",1)</f>
        <v>1</v>
      </c>
    </row>
    <row r="2966" spans="1:20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  <c r="S2966" t="str">
        <f t="shared" si="46"/>
        <v>Fortnightly</v>
      </c>
      <c r="T2966" cm="1">
        <f t="array" ref="T2966">_xlfn.SWITCH(S2966,"Annually",6,"Bi-Weekly",2,"Fortnightly",3,"Monthly",4,"Quarterly",5,"Weekly",1)</f>
        <v>3</v>
      </c>
    </row>
    <row r="2967" spans="1:20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  <c r="S2967" t="str">
        <f t="shared" si="46"/>
        <v>Fortnightly</v>
      </c>
      <c r="T2967" cm="1">
        <f t="array" ref="T2967">_xlfn.SWITCH(S2967,"Annually",6,"Bi-Weekly",2,"Fortnightly",3,"Monthly",4,"Quarterly",5,"Weekly",1)</f>
        <v>3</v>
      </c>
    </row>
    <row r="2968" spans="1:20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  <c r="S2968" t="str">
        <f t="shared" si="46"/>
        <v>Quarterly</v>
      </c>
      <c r="T2968" cm="1">
        <f t="array" ref="T2968">_xlfn.SWITCH(S2968,"Annually",6,"Bi-Weekly",2,"Fortnightly",3,"Monthly",4,"Quarterly",5,"Weekly",1)</f>
        <v>5</v>
      </c>
    </row>
    <row r="2969" spans="1:20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  <c r="S2969" t="str">
        <f t="shared" si="46"/>
        <v>Annually</v>
      </c>
      <c r="T2969" cm="1">
        <f t="array" ref="T2969">_xlfn.SWITCH(S2969,"Annually",6,"Bi-Weekly",2,"Fortnightly",3,"Monthly",4,"Quarterly",5,"Weekly",1)</f>
        <v>6</v>
      </c>
    </row>
    <row r="2970" spans="1:20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  <c r="S2970" t="str">
        <f t="shared" si="46"/>
        <v>Quarterly</v>
      </c>
      <c r="T2970" cm="1">
        <f t="array" ref="T2970">_xlfn.SWITCH(S2970,"Annually",6,"Bi-Weekly",2,"Fortnightly",3,"Monthly",4,"Quarterly",5,"Weekly",1)</f>
        <v>5</v>
      </c>
    </row>
    <row r="2971" spans="1:20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  <c r="S2971" t="str">
        <f t="shared" si="46"/>
        <v>Quarterly</v>
      </c>
      <c r="T2971" cm="1">
        <f t="array" ref="T2971">_xlfn.SWITCH(S2971,"Annually",6,"Bi-Weekly",2,"Fortnightly",3,"Monthly",4,"Quarterly",5,"Weekly",1)</f>
        <v>5</v>
      </c>
    </row>
    <row r="2972" spans="1:20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  <c r="S2972" t="str">
        <f t="shared" si="46"/>
        <v>Bi-Weekly</v>
      </c>
      <c r="T2972" cm="1">
        <f t="array" ref="T2972">_xlfn.SWITCH(S2972,"Annually",6,"Bi-Weekly",2,"Fortnightly",3,"Monthly",4,"Quarterly",5,"Weekly",1)</f>
        <v>2</v>
      </c>
    </row>
    <row r="2973" spans="1:20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  <c r="S2973" t="str">
        <f t="shared" si="46"/>
        <v>Quarterly</v>
      </c>
      <c r="T2973" cm="1">
        <f t="array" ref="T2973">_xlfn.SWITCH(S2973,"Annually",6,"Bi-Weekly",2,"Fortnightly",3,"Monthly",4,"Quarterly",5,"Weekly",1)</f>
        <v>5</v>
      </c>
    </row>
    <row r="2974" spans="1:20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  <c r="S2974" t="str">
        <f t="shared" si="46"/>
        <v>Quarterly</v>
      </c>
      <c r="T2974" cm="1">
        <f t="array" ref="T2974">_xlfn.SWITCH(S2974,"Annually",6,"Bi-Weekly",2,"Fortnightly",3,"Monthly",4,"Quarterly",5,"Weekly",1)</f>
        <v>5</v>
      </c>
    </row>
    <row r="2975" spans="1:20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  <c r="S2975" t="str">
        <f t="shared" si="46"/>
        <v>Fortnightly</v>
      </c>
      <c r="T2975" cm="1">
        <f t="array" ref="T2975">_xlfn.SWITCH(S2975,"Annually",6,"Bi-Weekly",2,"Fortnightly",3,"Monthly",4,"Quarterly",5,"Weekly",1)</f>
        <v>3</v>
      </c>
    </row>
    <row r="2976" spans="1:20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  <c r="S2976" t="str">
        <f t="shared" si="46"/>
        <v>Weekly</v>
      </c>
      <c r="T2976" cm="1">
        <f t="array" ref="T2976">_xlfn.SWITCH(S2976,"Annually",6,"Bi-Weekly",2,"Fortnightly",3,"Monthly",4,"Quarterly",5,"Weekly",1)</f>
        <v>1</v>
      </c>
    </row>
    <row r="2977" spans="1:20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  <c r="S2977" t="str">
        <f t="shared" si="46"/>
        <v>Quarterly</v>
      </c>
      <c r="T2977" cm="1">
        <f t="array" ref="T2977">_xlfn.SWITCH(S2977,"Annually",6,"Bi-Weekly",2,"Fortnightly",3,"Monthly",4,"Quarterly",5,"Weekly",1)</f>
        <v>5</v>
      </c>
    </row>
    <row r="2978" spans="1:20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  <c r="S2978" t="str">
        <f t="shared" si="46"/>
        <v>Fortnightly</v>
      </c>
      <c r="T2978" cm="1">
        <f t="array" ref="T2978">_xlfn.SWITCH(S2978,"Annually",6,"Bi-Weekly",2,"Fortnightly",3,"Monthly",4,"Quarterly",5,"Weekly",1)</f>
        <v>3</v>
      </c>
    </row>
    <row r="2979" spans="1:20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  <c r="S2979" t="str">
        <f t="shared" si="46"/>
        <v>Annually</v>
      </c>
      <c r="T2979" cm="1">
        <f t="array" ref="T2979">_xlfn.SWITCH(S2979,"Annually",6,"Bi-Weekly",2,"Fortnightly",3,"Monthly",4,"Quarterly",5,"Weekly",1)</f>
        <v>6</v>
      </c>
    </row>
    <row r="2980" spans="1:20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  <c r="S2980" t="str">
        <f t="shared" si="46"/>
        <v>Fortnightly</v>
      </c>
      <c r="T2980" cm="1">
        <f t="array" ref="T2980">_xlfn.SWITCH(S2980,"Annually",6,"Bi-Weekly",2,"Fortnightly",3,"Monthly",4,"Quarterly",5,"Weekly",1)</f>
        <v>3</v>
      </c>
    </row>
    <row r="2981" spans="1:20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  <c r="S2981" t="str">
        <f t="shared" si="46"/>
        <v>Weekly</v>
      </c>
      <c r="T2981" cm="1">
        <f t="array" ref="T2981">_xlfn.SWITCH(S2981,"Annually",6,"Bi-Weekly",2,"Fortnightly",3,"Monthly",4,"Quarterly",5,"Weekly",1)</f>
        <v>1</v>
      </c>
    </row>
    <row r="2982" spans="1:20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  <c r="S2982" t="str">
        <f t="shared" si="46"/>
        <v>Monthly</v>
      </c>
      <c r="T2982" cm="1">
        <f t="array" ref="T2982">_xlfn.SWITCH(S2982,"Annually",6,"Bi-Weekly",2,"Fortnightly",3,"Monthly",4,"Quarterly",5,"Weekly",1)</f>
        <v>4</v>
      </c>
    </row>
    <row r="2983" spans="1:20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  <c r="S2983" t="str">
        <f t="shared" si="46"/>
        <v>Annually</v>
      </c>
      <c r="T2983" cm="1">
        <f t="array" ref="T2983">_xlfn.SWITCH(S2983,"Annually",6,"Bi-Weekly",2,"Fortnightly",3,"Monthly",4,"Quarterly",5,"Weekly",1)</f>
        <v>6</v>
      </c>
    </row>
    <row r="2984" spans="1:20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  <c r="S2984" t="str">
        <f t="shared" si="46"/>
        <v>Weekly</v>
      </c>
      <c r="T2984" cm="1">
        <f t="array" ref="T2984">_xlfn.SWITCH(S2984,"Annually",6,"Bi-Weekly",2,"Fortnightly",3,"Monthly",4,"Quarterly",5,"Weekly",1)</f>
        <v>1</v>
      </c>
    </row>
    <row r="2985" spans="1:20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  <c r="S2985" t="str">
        <f t="shared" si="46"/>
        <v>Quarterly</v>
      </c>
      <c r="T2985" cm="1">
        <f t="array" ref="T2985">_xlfn.SWITCH(S2985,"Annually",6,"Bi-Weekly",2,"Fortnightly",3,"Monthly",4,"Quarterly",5,"Weekly",1)</f>
        <v>5</v>
      </c>
    </row>
    <row r="2986" spans="1:20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  <c r="S2986" t="str">
        <f t="shared" si="46"/>
        <v>Bi-Weekly</v>
      </c>
      <c r="T2986" cm="1">
        <f t="array" ref="T2986">_xlfn.SWITCH(S2986,"Annually",6,"Bi-Weekly",2,"Fortnightly",3,"Monthly",4,"Quarterly",5,"Weekly",1)</f>
        <v>2</v>
      </c>
    </row>
    <row r="2987" spans="1:20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  <c r="S2987" t="str">
        <f t="shared" si="46"/>
        <v>Bi-Weekly</v>
      </c>
      <c r="T2987" cm="1">
        <f t="array" ref="T2987">_xlfn.SWITCH(S2987,"Annually",6,"Bi-Weekly",2,"Fortnightly",3,"Monthly",4,"Quarterly",5,"Weekly",1)</f>
        <v>2</v>
      </c>
    </row>
    <row r="2988" spans="1:20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  <c r="S2988" t="str">
        <f t="shared" si="46"/>
        <v>Monthly</v>
      </c>
      <c r="T2988" cm="1">
        <f t="array" ref="T2988">_xlfn.SWITCH(S2988,"Annually",6,"Bi-Weekly",2,"Fortnightly",3,"Monthly",4,"Quarterly",5,"Weekly",1)</f>
        <v>4</v>
      </c>
    </row>
    <row r="2989" spans="1:20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  <c r="S2989" t="str">
        <f t="shared" si="46"/>
        <v>Monthly</v>
      </c>
      <c r="T2989" cm="1">
        <f t="array" ref="T2989">_xlfn.SWITCH(S2989,"Annually",6,"Bi-Weekly",2,"Fortnightly",3,"Monthly",4,"Quarterly",5,"Weekly",1)</f>
        <v>4</v>
      </c>
    </row>
    <row r="2990" spans="1:20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  <c r="S2990" t="str">
        <f t="shared" si="46"/>
        <v>Monthly</v>
      </c>
      <c r="T2990" cm="1">
        <f t="array" ref="T2990">_xlfn.SWITCH(S2990,"Annually",6,"Bi-Weekly",2,"Fortnightly",3,"Monthly",4,"Quarterly",5,"Weekly",1)</f>
        <v>4</v>
      </c>
    </row>
    <row r="2991" spans="1:20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  <c r="S2991" t="str">
        <f t="shared" si="46"/>
        <v>Weekly</v>
      </c>
      <c r="T2991" cm="1">
        <f t="array" ref="T2991">_xlfn.SWITCH(S2991,"Annually",6,"Bi-Weekly",2,"Fortnightly",3,"Monthly",4,"Quarterly",5,"Weekly",1)</f>
        <v>1</v>
      </c>
    </row>
    <row r="2992" spans="1:20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  <c r="S2992" t="str">
        <f t="shared" si="46"/>
        <v>Monthly</v>
      </c>
      <c r="T2992" cm="1">
        <f t="array" ref="T2992">_xlfn.SWITCH(S2992,"Annually",6,"Bi-Weekly",2,"Fortnightly",3,"Monthly",4,"Quarterly",5,"Weekly",1)</f>
        <v>4</v>
      </c>
    </row>
    <row r="2993" spans="1:20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  <c r="S2993" t="str">
        <f t="shared" si="46"/>
        <v>Bi-Weekly</v>
      </c>
      <c r="T2993" cm="1">
        <f t="array" ref="T2993">_xlfn.SWITCH(S2993,"Annually",6,"Bi-Weekly",2,"Fortnightly",3,"Monthly",4,"Quarterly",5,"Weekly",1)</f>
        <v>2</v>
      </c>
    </row>
    <row r="2994" spans="1:20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  <c r="S2994" t="str">
        <f t="shared" si="46"/>
        <v>Weekly</v>
      </c>
      <c r="T2994" cm="1">
        <f t="array" ref="T2994">_xlfn.SWITCH(S2994,"Annually",6,"Bi-Weekly",2,"Fortnightly",3,"Monthly",4,"Quarterly",5,"Weekly",1)</f>
        <v>1</v>
      </c>
    </row>
    <row r="2995" spans="1:20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  <c r="S2995" t="str">
        <f t="shared" si="46"/>
        <v>Bi-Weekly</v>
      </c>
      <c r="T2995" cm="1">
        <f t="array" ref="T2995">_xlfn.SWITCH(S2995,"Annually",6,"Bi-Weekly",2,"Fortnightly",3,"Monthly",4,"Quarterly",5,"Weekly",1)</f>
        <v>2</v>
      </c>
    </row>
    <row r="2996" spans="1:20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  <c r="S2996" t="str">
        <f t="shared" si="46"/>
        <v>Quarterly</v>
      </c>
      <c r="T2996" cm="1">
        <f t="array" ref="T2996">_xlfn.SWITCH(S2996,"Annually",6,"Bi-Weekly",2,"Fortnightly",3,"Monthly",4,"Quarterly",5,"Weekly",1)</f>
        <v>5</v>
      </c>
    </row>
    <row r="2997" spans="1:20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  <c r="S2997" t="str">
        <f t="shared" si="46"/>
        <v>Bi-Weekly</v>
      </c>
      <c r="T2997" cm="1">
        <f t="array" ref="T2997">_xlfn.SWITCH(S2997,"Annually",6,"Bi-Weekly",2,"Fortnightly",3,"Monthly",4,"Quarterly",5,"Weekly",1)</f>
        <v>2</v>
      </c>
    </row>
    <row r="2998" spans="1:20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  <c r="S2998" t="str">
        <f t="shared" si="46"/>
        <v>Quarterly</v>
      </c>
      <c r="T2998" cm="1">
        <f t="array" ref="T2998">_xlfn.SWITCH(S2998,"Annually",6,"Bi-Weekly",2,"Fortnightly",3,"Monthly",4,"Quarterly",5,"Weekly",1)</f>
        <v>5</v>
      </c>
    </row>
    <row r="2999" spans="1:20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  <c r="S2999" t="str">
        <f t="shared" si="46"/>
        <v>Quarterly</v>
      </c>
      <c r="T2999" cm="1">
        <f t="array" ref="T2999">_xlfn.SWITCH(S2999,"Annually",6,"Bi-Weekly",2,"Fortnightly",3,"Monthly",4,"Quarterly",5,"Weekly",1)</f>
        <v>5</v>
      </c>
    </row>
    <row r="3000" spans="1:20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  <c r="S3000" t="str">
        <f t="shared" si="46"/>
        <v>Quarterly</v>
      </c>
      <c r="T3000" cm="1">
        <f t="array" ref="T3000">_xlfn.SWITCH(S3000,"Annually",6,"Bi-Weekly",2,"Fortnightly",3,"Monthly",4,"Quarterly",5,"Weekly",1)</f>
        <v>5</v>
      </c>
    </row>
    <row r="3001" spans="1:20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  <c r="S3001" t="str">
        <f t="shared" si="46"/>
        <v>Monthly</v>
      </c>
      <c r="T3001" cm="1">
        <f t="array" ref="T3001">_xlfn.SWITCH(S3001,"Annually",6,"Bi-Weekly",2,"Fortnightly",3,"Monthly",4,"Quarterly",5,"Weekly",1)</f>
        <v>4</v>
      </c>
    </row>
    <row r="3002" spans="1:20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  <c r="S3002" t="str">
        <f t="shared" si="46"/>
        <v>Weekly</v>
      </c>
      <c r="T3002" cm="1">
        <f t="array" ref="T3002">_xlfn.SWITCH(S3002,"Annually",6,"Bi-Weekly",2,"Fortnightly",3,"Monthly",4,"Quarterly",5,"Weekly",1)</f>
        <v>1</v>
      </c>
    </row>
    <row r="3003" spans="1:20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  <c r="S3003" t="str">
        <f t="shared" si="46"/>
        <v>Quarterly</v>
      </c>
      <c r="T3003" cm="1">
        <f t="array" ref="T3003">_xlfn.SWITCH(S3003,"Annually",6,"Bi-Weekly",2,"Fortnightly",3,"Monthly",4,"Quarterly",5,"Weekly",1)</f>
        <v>5</v>
      </c>
    </row>
    <row r="3004" spans="1:20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  <c r="S3004" t="str">
        <f t="shared" si="46"/>
        <v>Quarterly</v>
      </c>
      <c r="T3004" cm="1">
        <f t="array" ref="T3004">_xlfn.SWITCH(S3004,"Annually",6,"Bi-Weekly",2,"Fortnightly",3,"Monthly",4,"Quarterly",5,"Weekly",1)</f>
        <v>5</v>
      </c>
    </row>
    <row r="3005" spans="1:20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  <c r="S3005" t="str">
        <f t="shared" si="46"/>
        <v>Quarterly</v>
      </c>
      <c r="T3005" cm="1">
        <f t="array" ref="T3005">_xlfn.SWITCH(S3005,"Annually",6,"Bi-Weekly",2,"Fortnightly",3,"Monthly",4,"Quarterly",5,"Weekly",1)</f>
        <v>5</v>
      </c>
    </row>
    <row r="3006" spans="1:20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  <c r="S3006" t="str">
        <f t="shared" si="46"/>
        <v>Fortnightly</v>
      </c>
      <c r="T3006" cm="1">
        <f t="array" ref="T3006">_xlfn.SWITCH(S3006,"Annually",6,"Bi-Weekly",2,"Fortnightly",3,"Monthly",4,"Quarterly",5,"Weekly",1)</f>
        <v>3</v>
      </c>
    </row>
    <row r="3007" spans="1:20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  <c r="S3007" t="str">
        <f t="shared" si="46"/>
        <v>Weekly</v>
      </c>
      <c r="T3007" cm="1">
        <f t="array" ref="T3007">_xlfn.SWITCH(S3007,"Annually",6,"Bi-Weekly",2,"Fortnightly",3,"Monthly",4,"Quarterly",5,"Weekly",1)</f>
        <v>1</v>
      </c>
    </row>
    <row r="3008" spans="1:20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  <c r="S3008" t="str">
        <f t="shared" si="46"/>
        <v>Bi-Weekly</v>
      </c>
      <c r="T3008" cm="1">
        <f t="array" ref="T3008">_xlfn.SWITCH(S3008,"Annually",6,"Bi-Weekly",2,"Fortnightly",3,"Monthly",4,"Quarterly",5,"Weekly",1)</f>
        <v>2</v>
      </c>
    </row>
    <row r="3009" spans="1:20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  <c r="S3009" t="str">
        <f t="shared" si="46"/>
        <v>Weekly</v>
      </c>
      <c r="T3009" cm="1">
        <f t="array" ref="T3009">_xlfn.SWITCH(S3009,"Annually",6,"Bi-Weekly",2,"Fortnightly",3,"Monthly",4,"Quarterly",5,"Weekly",1)</f>
        <v>1</v>
      </c>
    </row>
    <row r="3010" spans="1:20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  <c r="S3010" t="str">
        <f t="shared" si="46"/>
        <v>Weekly</v>
      </c>
      <c r="T3010" cm="1">
        <f t="array" ref="T3010">_xlfn.SWITCH(S3010,"Annually",6,"Bi-Weekly",2,"Fortnightly",3,"Monthly",4,"Quarterly",5,"Weekly",1)</f>
        <v>1</v>
      </c>
    </row>
    <row r="3011" spans="1:20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  <c r="S3011" t="str">
        <f t="shared" ref="S3011:S3074" si="47">IF(R3011="Every 3 Months","Quarterly",R3011)</f>
        <v>Fortnightly</v>
      </c>
      <c r="T3011" cm="1">
        <f t="array" ref="T3011">_xlfn.SWITCH(S3011,"Annually",6,"Bi-Weekly",2,"Fortnightly",3,"Monthly",4,"Quarterly",5,"Weekly",1)</f>
        <v>3</v>
      </c>
    </row>
    <row r="3012" spans="1:20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  <c r="S3012" t="str">
        <f t="shared" si="47"/>
        <v>Annually</v>
      </c>
      <c r="T3012" cm="1">
        <f t="array" ref="T3012">_xlfn.SWITCH(S3012,"Annually",6,"Bi-Weekly",2,"Fortnightly",3,"Monthly",4,"Quarterly",5,"Weekly",1)</f>
        <v>6</v>
      </c>
    </row>
    <row r="3013" spans="1:20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  <c r="S3013" t="str">
        <f t="shared" si="47"/>
        <v>Quarterly</v>
      </c>
      <c r="T3013" cm="1">
        <f t="array" ref="T3013">_xlfn.SWITCH(S3013,"Annually",6,"Bi-Weekly",2,"Fortnightly",3,"Monthly",4,"Quarterly",5,"Weekly",1)</f>
        <v>5</v>
      </c>
    </row>
    <row r="3014" spans="1:20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  <c r="S3014" t="str">
        <f t="shared" si="47"/>
        <v>Annually</v>
      </c>
      <c r="T3014" cm="1">
        <f t="array" ref="T3014">_xlfn.SWITCH(S3014,"Annually",6,"Bi-Weekly",2,"Fortnightly",3,"Monthly",4,"Quarterly",5,"Weekly",1)</f>
        <v>6</v>
      </c>
    </row>
    <row r="3015" spans="1:20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  <c r="S3015" t="str">
        <f t="shared" si="47"/>
        <v>Monthly</v>
      </c>
      <c r="T3015" cm="1">
        <f t="array" ref="T3015">_xlfn.SWITCH(S3015,"Annually",6,"Bi-Weekly",2,"Fortnightly",3,"Monthly",4,"Quarterly",5,"Weekly",1)</f>
        <v>4</v>
      </c>
    </row>
    <row r="3016" spans="1:20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  <c r="S3016" t="str">
        <f t="shared" si="47"/>
        <v>Quarterly</v>
      </c>
      <c r="T3016" cm="1">
        <f t="array" ref="T3016">_xlfn.SWITCH(S3016,"Annually",6,"Bi-Weekly",2,"Fortnightly",3,"Monthly",4,"Quarterly",5,"Weekly",1)</f>
        <v>5</v>
      </c>
    </row>
    <row r="3017" spans="1:20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  <c r="S3017" t="str">
        <f t="shared" si="47"/>
        <v>Bi-Weekly</v>
      </c>
      <c r="T3017" cm="1">
        <f t="array" ref="T3017">_xlfn.SWITCH(S3017,"Annually",6,"Bi-Weekly",2,"Fortnightly",3,"Monthly",4,"Quarterly",5,"Weekly",1)</f>
        <v>2</v>
      </c>
    </row>
    <row r="3018" spans="1:20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  <c r="S3018" t="str">
        <f t="shared" si="47"/>
        <v>Quarterly</v>
      </c>
      <c r="T3018" cm="1">
        <f t="array" ref="T3018">_xlfn.SWITCH(S3018,"Annually",6,"Bi-Weekly",2,"Fortnightly",3,"Monthly",4,"Quarterly",5,"Weekly",1)</f>
        <v>5</v>
      </c>
    </row>
    <row r="3019" spans="1:20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  <c r="S3019" t="str">
        <f t="shared" si="47"/>
        <v>Bi-Weekly</v>
      </c>
      <c r="T3019" cm="1">
        <f t="array" ref="T3019">_xlfn.SWITCH(S3019,"Annually",6,"Bi-Weekly",2,"Fortnightly",3,"Monthly",4,"Quarterly",5,"Weekly",1)</f>
        <v>2</v>
      </c>
    </row>
    <row r="3020" spans="1:20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  <c r="S3020" t="str">
        <f t="shared" si="47"/>
        <v>Bi-Weekly</v>
      </c>
      <c r="T3020" cm="1">
        <f t="array" ref="T3020">_xlfn.SWITCH(S3020,"Annually",6,"Bi-Weekly",2,"Fortnightly",3,"Monthly",4,"Quarterly",5,"Weekly",1)</f>
        <v>2</v>
      </c>
    </row>
    <row r="3021" spans="1:20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  <c r="S3021" t="str">
        <f t="shared" si="47"/>
        <v>Annually</v>
      </c>
      <c r="T3021" cm="1">
        <f t="array" ref="T3021">_xlfn.SWITCH(S3021,"Annually",6,"Bi-Weekly",2,"Fortnightly",3,"Monthly",4,"Quarterly",5,"Weekly",1)</f>
        <v>6</v>
      </c>
    </row>
    <row r="3022" spans="1:20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  <c r="S3022" t="str">
        <f t="shared" si="47"/>
        <v>Quarterly</v>
      </c>
      <c r="T3022" cm="1">
        <f t="array" ref="T3022">_xlfn.SWITCH(S3022,"Annually",6,"Bi-Weekly",2,"Fortnightly",3,"Monthly",4,"Quarterly",5,"Weekly",1)</f>
        <v>5</v>
      </c>
    </row>
    <row r="3023" spans="1:20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  <c r="S3023" t="str">
        <f t="shared" si="47"/>
        <v>Quarterly</v>
      </c>
      <c r="T3023" cm="1">
        <f t="array" ref="T3023">_xlfn.SWITCH(S3023,"Annually",6,"Bi-Weekly",2,"Fortnightly",3,"Monthly",4,"Quarterly",5,"Weekly",1)</f>
        <v>5</v>
      </c>
    </row>
    <row r="3024" spans="1:20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  <c r="S3024" t="str">
        <f t="shared" si="47"/>
        <v>Weekly</v>
      </c>
      <c r="T3024" cm="1">
        <f t="array" ref="T3024">_xlfn.SWITCH(S3024,"Annually",6,"Bi-Weekly",2,"Fortnightly",3,"Monthly",4,"Quarterly",5,"Weekly",1)</f>
        <v>1</v>
      </c>
    </row>
    <row r="3025" spans="1:20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  <c r="S3025" t="str">
        <f t="shared" si="47"/>
        <v>Quarterly</v>
      </c>
      <c r="T3025" cm="1">
        <f t="array" ref="T3025">_xlfn.SWITCH(S3025,"Annually",6,"Bi-Weekly",2,"Fortnightly",3,"Monthly",4,"Quarterly",5,"Weekly",1)</f>
        <v>5</v>
      </c>
    </row>
    <row r="3026" spans="1:20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  <c r="S3026" t="str">
        <f t="shared" si="47"/>
        <v>Quarterly</v>
      </c>
      <c r="T3026" cm="1">
        <f t="array" ref="T3026">_xlfn.SWITCH(S3026,"Annually",6,"Bi-Weekly",2,"Fortnightly",3,"Monthly",4,"Quarterly",5,"Weekly",1)</f>
        <v>5</v>
      </c>
    </row>
    <row r="3027" spans="1:20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  <c r="S3027" t="str">
        <f t="shared" si="47"/>
        <v>Monthly</v>
      </c>
      <c r="T3027" cm="1">
        <f t="array" ref="T3027">_xlfn.SWITCH(S3027,"Annually",6,"Bi-Weekly",2,"Fortnightly",3,"Monthly",4,"Quarterly",5,"Weekly",1)</f>
        <v>4</v>
      </c>
    </row>
    <row r="3028" spans="1:20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  <c r="S3028" t="str">
        <f t="shared" si="47"/>
        <v>Annually</v>
      </c>
      <c r="T3028" cm="1">
        <f t="array" ref="T3028">_xlfn.SWITCH(S3028,"Annually",6,"Bi-Weekly",2,"Fortnightly",3,"Monthly",4,"Quarterly",5,"Weekly",1)</f>
        <v>6</v>
      </c>
    </row>
    <row r="3029" spans="1:20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  <c r="S3029" t="str">
        <f t="shared" si="47"/>
        <v>Quarterly</v>
      </c>
      <c r="T3029" cm="1">
        <f t="array" ref="T3029">_xlfn.SWITCH(S3029,"Annually",6,"Bi-Weekly",2,"Fortnightly",3,"Monthly",4,"Quarterly",5,"Weekly",1)</f>
        <v>5</v>
      </c>
    </row>
    <row r="3030" spans="1:20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  <c r="S3030" t="str">
        <f t="shared" si="47"/>
        <v>Quarterly</v>
      </c>
      <c r="T3030" cm="1">
        <f t="array" ref="T3030">_xlfn.SWITCH(S3030,"Annually",6,"Bi-Weekly",2,"Fortnightly",3,"Monthly",4,"Quarterly",5,"Weekly",1)</f>
        <v>5</v>
      </c>
    </row>
    <row r="3031" spans="1:20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  <c r="S3031" t="str">
        <f t="shared" si="47"/>
        <v>Quarterly</v>
      </c>
      <c r="T3031" cm="1">
        <f t="array" ref="T3031">_xlfn.SWITCH(S3031,"Annually",6,"Bi-Weekly",2,"Fortnightly",3,"Monthly",4,"Quarterly",5,"Weekly",1)</f>
        <v>5</v>
      </c>
    </row>
    <row r="3032" spans="1:20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  <c r="S3032" t="str">
        <f t="shared" si="47"/>
        <v>Weekly</v>
      </c>
      <c r="T3032" cm="1">
        <f t="array" ref="T3032">_xlfn.SWITCH(S3032,"Annually",6,"Bi-Weekly",2,"Fortnightly",3,"Monthly",4,"Quarterly",5,"Weekly",1)</f>
        <v>1</v>
      </c>
    </row>
    <row r="3033" spans="1:20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  <c r="S3033" t="str">
        <f t="shared" si="47"/>
        <v>Monthly</v>
      </c>
      <c r="T3033" cm="1">
        <f t="array" ref="T3033">_xlfn.SWITCH(S3033,"Annually",6,"Bi-Weekly",2,"Fortnightly",3,"Monthly",4,"Quarterly",5,"Weekly",1)</f>
        <v>4</v>
      </c>
    </row>
    <row r="3034" spans="1:20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  <c r="S3034" t="str">
        <f t="shared" si="47"/>
        <v>Quarterly</v>
      </c>
      <c r="T3034" cm="1">
        <f t="array" ref="T3034">_xlfn.SWITCH(S3034,"Annually",6,"Bi-Weekly",2,"Fortnightly",3,"Monthly",4,"Quarterly",5,"Weekly",1)</f>
        <v>5</v>
      </c>
    </row>
    <row r="3035" spans="1:20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  <c r="S3035" t="str">
        <f t="shared" si="47"/>
        <v>Weekly</v>
      </c>
      <c r="T3035" cm="1">
        <f t="array" ref="T3035">_xlfn.SWITCH(S3035,"Annually",6,"Bi-Weekly",2,"Fortnightly",3,"Monthly",4,"Quarterly",5,"Weekly",1)</f>
        <v>1</v>
      </c>
    </row>
    <row r="3036" spans="1:20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  <c r="S3036" t="str">
        <f t="shared" si="47"/>
        <v>Quarterly</v>
      </c>
      <c r="T3036" cm="1">
        <f t="array" ref="T3036">_xlfn.SWITCH(S3036,"Annually",6,"Bi-Weekly",2,"Fortnightly",3,"Monthly",4,"Quarterly",5,"Weekly",1)</f>
        <v>5</v>
      </c>
    </row>
    <row r="3037" spans="1:20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  <c r="S3037" t="str">
        <f t="shared" si="47"/>
        <v>Bi-Weekly</v>
      </c>
      <c r="T3037" cm="1">
        <f t="array" ref="T3037">_xlfn.SWITCH(S3037,"Annually",6,"Bi-Weekly",2,"Fortnightly",3,"Monthly",4,"Quarterly",5,"Weekly",1)</f>
        <v>2</v>
      </c>
    </row>
    <row r="3038" spans="1:20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  <c r="S3038" t="str">
        <f t="shared" si="47"/>
        <v>Fortnightly</v>
      </c>
      <c r="T3038" cm="1">
        <f t="array" ref="T3038">_xlfn.SWITCH(S3038,"Annually",6,"Bi-Weekly",2,"Fortnightly",3,"Monthly",4,"Quarterly",5,"Weekly",1)</f>
        <v>3</v>
      </c>
    </row>
    <row r="3039" spans="1:20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  <c r="S3039" t="str">
        <f t="shared" si="47"/>
        <v>Annually</v>
      </c>
      <c r="T3039" cm="1">
        <f t="array" ref="T3039">_xlfn.SWITCH(S3039,"Annually",6,"Bi-Weekly",2,"Fortnightly",3,"Monthly",4,"Quarterly",5,"Weekly",1)</f>
        <v>6</v>
      </c>
    </row>
    <row r="3040" spans="1:20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  <c r="S3040" t="str">
        <f t="shared" si="47"/>
        <v>Annually</v>
      </c>
      <c r="T3040" cm="1">
        <f t="array" ref="T3040">_xlfn.SWITCH(S3040,"Annually",6,"Bi-Weekly",2,"Fortnightly",3,"Monthly",4,"Quarterly",5,"Weekly",1)</f>
        <v>6</v>
      </c>
    </row>
    <row r="3041" spans="1:20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  <c r="S3041" t="str">
        <f t="shared" si="47"/>
        <v>Bi-Weekly</v>
      </c>
      <c r="T3041" cm="1">
        <f t="array" ref="T3041">_xlfn.SWITCH(S3041,"Annually",6,"Bi-Weekly",2,"Fortnightly",3,"Monthly",4,"Quarterly",5,"Weekly",1)</f>
        <v>2</v>
      </c>
    </row>
    <row r="3042" spans="1:20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  <c r="S3042" t="str">
        <f t="shared" si="47"/>
        <v>Fortnightly</v>
      </c>
      <c r="T3042" cm="1">
        <f t="array" ref="T3042">_xlfn.SWITCH(S3042,"Annually",6,"Bi-Weekly",2,"Fortnightly",3,"Monthly",4,"Quarterly",5,"Weekly",1)</f>
        <v>3</v>
      </c>
    </row>
    <row r="3043" spans="1:20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  <c r="S3043" t="str">
        <f t="shared" si="47"/>
        <v>Monthly</v>
      </c>
      <c r="T3043" cm="1">
        <f t="array" ref="T3043">_xlfn.SWITCH(S3043,"Annually",6,"Bi-Weekly",2,"Fortnightly",3,"Monthly",4,"Quarterly",5,"Weekly",1)</f>
        <v>4</v>
      </c>
    </row>
    <row r="3044" spans="1:20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  <c r="S3044" t="str">
        <f t="shared" si="47"/>
        <v>Quarterly</v>
      </c>
      <c r="T3044" cm="1">
        <f t="array" ref="T3044">_xlfn.SWITCH(S3044,"Annually",6,"Bi-Weekly",2,"Fortnightly",3,"Monthly",4,"Quarterly",5,"Weekly",1)</f>
        <v>5</v>
      </c>
    </row>
    <row r="3045" spans="1:20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  <c r="S3045" t="str">
        <f t="shared" si="47"/>
        <v>Monthly</v>
      </c>
      <c r="T3045" cm="1">
        <f t="array" ref="T3045">_xlfn.SWITCH(S3045,"Annually",6,"Bi-Weekly",2,"Fortnightly",3,"Monthly",4,"Quarterly",5,"Weekly",1)</f>
        <v>4</v>
      </c>
    </row>
    <row r="3046" spans="1:20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  <c r="S3046" t="str">
        <f t="shared" si="47"/>
        <v>Quarterly</v>
      </c>
      <c r="T3046" cm="1">
        <f t="array" ref="T3046">_xlfn.SWITCH(S3046,"Annually",6,"Bi-Weekly",2,"Fortnightly",3,"Monthly",4,"Quarterly",5,"Weekly",1)</f>
        <v>5</v>
      </c>
    </row>
    <row r="3047" spans="1:20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  <c r="S3047" t="str">
        <f t="shared" si="47"/>
        <v>Bi-Weekly</v>
      </c>
      <c r="T3047" cm="1">
        <f t="array" ref="T3047">_xlfn.SWITCH(S3047,"Annually",6,"Bi-Weekly",2,"Fortnightly",3,"Monthly",4,"Quarterly",5,"Weekly",1)</f>
        <v>2</v>
      </c>
    </row>
    <row r="3048" spans="1:20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  <c r="S3048" t="str">
        <f t="shared" si="47"/>
        <v>Quarterly</v>
      </c>
      <c r="T3048" cm="1">
        <f t="array" ref="T3048">_xlfn.SWITCH(S3048,"Annually",6,"Bi-Weekly",2,"Fortnightly",3,"Monthly",4,"Quarterly",5,"Weekly",1)</f>
        <v>5</v>
      </c>
    </row>
    <row r="3049" spans="1:20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  <c r="S3049" t="str">
        <f t="shared" si="47"/>
        <v>Bi-Weekly</v>
      </c>
      <c r="T3049" cm="1">
        <f t="array" ref="T3049">_xlfn.SWITCH(S3049,"Annually",6,"Bi-Weekly",2,"Fortnightly",3,"Monthly",4,"Quarterly",5,"Weekly",1)</f>
        <v>2</v>
      </c>
    </row>
    <row r="3050" spans="1:20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  <c r="S3050" t="str">
        <f t="shared" si="47"/>
        <v>Fortnightly</v>
      </c>
      <c r="T3050" cm="1">
        <f t="array" ref="T3050">_xlfn.SWITCH(S3050,"Annually",6,"Bi-Weekly",2,"Fortnightly",3,"Monthly",4,"Quarterly",5,"Weekly",1)</f>
        <v>3</v>
      </c>
    </row>
    <row r="3051" spans="1:20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  <c r="S3051" t="str">
        <f t="shared" si="47"/>
        <v>Bi-Weekly</v>
      </c>
      <c r="T3051" cm="1">
        <f t="array" ref="T3051">_xlfn.SWITCH(S3051,"Annually",6,"Bi-Weekly",2,"Fortnightly",3,"Monthly",4,"Quarterly",5,"Weekly",1)</f>
        <v>2</v>
      </c>
    </row>
    <row r="3052" spans="1:20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  <c r="S3052" t="str">
        <f t="shared" si="47"/>
        <v>Quarterly</v>
      </c>
      <c r="T3052" cm="1">
        <f t="array" ref="T3052">_xlfn.SWITCH(S3052,"Annually",6,"Bi-Weekly",2,"Fortnightly",3,"Monthly",4,"Quarterly",5,"Weekly",1)</f>
        <v>5</v>
      </c>
    </row>
    <row r="3053" spans="1:20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  <c r="S3053" t="str">
        <f t="shared" si="47"/>
        <v>Quarterly</v>
      </c>
      <c r="T3053" cm="1">
        <f t="array" ref="T3053">_xlfn.SWITCH(S3053,"Annually",6,"Bi-Weekly",2,"Fortnightly",3,"Monthly",4,"Quarterly",5,"Weekly",1)</f>
        <v>5</v>
      </c>
    </row>
    <row r="3054" spans="1:20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  <c r="S3054" t="str">
        <f t="shared" si="47"/>
        <v>Fortnightly</v>
      </c>
      <c r="T3054" cm="1">
        <f t="array" ref="T3054">_xlfn.SWITCH(S3054,"Annually",6,"Bi-Weekly",2,"Fortnightly",3,"Monthly",4,"Quarterly",5,"Weekly",1)</f>
        <v>3</v>
      </c>
    </row>
    <row r="3055" spans="1:20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  <c r="S3055" t="str">
        <f t="shared" si="47"/>
        <v>Monthly</v>
      </c>
      <c r="T3055" cm="1">
        <f t="array" ref="T3055">_xlfn.SWITCH(S3055,"Annually",6,"Bi-Weekly",2,"Fortnightly",3,"Monthly",4,"Quarterly",5,"Weekly",1)</f>
        <v>4</v>
      </c>
    </row>
    <row r="3056" spans="1:20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  <c r="S3056" t="str">
        <f t="shared" si="47"/>
        <v>Monthly</v>
      </c>
      <c r="T3056" cm="1">
        <f t="array" ref="T3056">_xlfn.SWITCH(S3056,"Annually",6,"Bi-Weekly",2,"Fortnightly",3,"Monthly",4,"Quarterly",5,"Weekly",1)</f>
        <v>4</v>
      </c>
    </row>
    <row r="3057" spans="1:20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  <c r="S3057" t="str">
        <f t="shared" si="47"/>
        <v>Bi-Weekly</v>
      </c>
      <c r="T3057" cm="1">
        <f t="array" ref="T3057">_xlfn.SWITCH(S3057,"Annually",6,"Bi-Weekly",2,"Fortnightly",3,"Monthly",4,"Quarterly",5,"Weekly",1)</f>
        <v>2</v>
      </c>
    </row>
    <row r="3058" spans="1:20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  <c r="S3058" t="str">
        <f t="shared" si="47"/>
        <v>Bi-Weekly</v>
      </c>
      <c r="T3058" cm="1">
        <f t="array" ref="T3058">_xlfn.SWITCH(S3058,"Annually",6,"Bi-Weekly",2,"Fortnightly",3,"Monthly",4,"Quarterly",5,"Weekly",1)</f>
        <v>2</v>
      </c>
    </row>
    <row r="3059" spans="1:20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  <c r="S3059" t="str">
        <f t="shared" si="47"/>
        <v>Weekly</v>
      </c>
      <c r="T3059" cm="1">
        <f t="array" ref="T3059">_xlfn.SWITCH(S3059,"Annually",6,"Bi-Weekly",2,"Fortnightly",3,"Monthly",4,"Quarterly",5,"Weekly",1)</f>
        <v>1</v>
      </c>
    </row>
    <row r="3060" spans="1:20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  <c r="S3060" t="str">
        <f t="shared" si="47"/>
        <v>Fortnightly</v>
      </c>
      <c r="T3060" cm="1">
        <f t="array" ref="T3060">_xlfn.SWITCH(S3060,"Annually",6,"Bi-Weekly",2,"Fortnightly",3,"Monthly",4,"Quarterly",5,"Weekly",1)</f>
        <v>3</v>
      </c>
    </row>
    <row r="3061" spans="1:20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  <c r="S3061" t="str">
        <f t="shared" si="47"/>
        <v>Quarterly</v>
      </c>
      <c r="T3061" cm="1">
        <f t="array" ref="T3061">_xlfn.SWITCH(S3061,"Annually",6,"Bi-Weekly",2,"Fortnightly",3,"Monthly",4,"Quarterly",5,"Weekly",1)</f>
        <v>5</v>
      </c>
    </row>
    <row r="3062" spans="1:20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  <c r="S3062" t="str">
        <f t="shared" si="47"/>
        <v>Monthly</v>
      </c>
      <c r="T3062" cm="1">
        <f t="array" ref="T3062">_xlfn.SWITCH(S3062,"Annually",6,"Bi-Weekly",2,"Fortnightly",3,"Monthly",4,"Quarterly",5,"Weekly",1)</f>
        <v>4</v>
      </c>
    </row>
    <row r="3063" spans="1:20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  <c r="S3063" t="str">
        <f t="shared" si="47"/>
        <v>Quarterly</v>
      </c>
      <c r="T3063" cm="1">
        <f t="array" ref="T3063">_xlfn.SWITCH(S3063,"Annually",6,"Bi-Weekly",2,"Fortnightly",3,"Monthly",4,"Quarterly",5,"Weekly",1)</f>
        <v>5</v>
      </c>
    </row>
    <row r="3064" spans="1:20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  <c r="S3064" t="str">
        <f t="shared" si="47"/>
        <v>Monthly</v>
      </c>
      <c r="T3064" cm="1">
        <f t="array" ref="T3064">_xlfn.SWITCH(S3064,"Annually",6,"Bi-Weekly",2,"Fortnightly",3,"Monthly",4,"Quarterly",5,"Weekly",1)</f>
        <v>4</v>
      </c>
    </row>
    <row r="3065" spans="1:20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  <c r="S3065" t="str">
        <f t="shared" si="47"/>
        <v>Fortnightly</v>
      </c>
      <c r="T3065" cm="1">
        <f t="array" ref="T3065">_xlfn.SWITCH(S3065,"Annually",6,"Bi-Weekly",2,"Fortnightly",3,"Monthly",4,"Quarterly",5,"Weekly",1)</f>
        <v>3</v>
      </c>
    </row>
    <row r="3066" spans="1:20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  <c r="S3066" t="str">
        <f t="shared" si="47"/>
        <v>Quarterly</v>
      </c>
      <c r="T3066" cm="1">
        <f t="array" ref="T3066">_xlfn.SWITCH(S3066,"Annually",6,"Bi-Weekly",2,"Fortnightly",3,"Monthly",4,"Quarterly",5,"Weekly",1)</f>
        <v>5</v>
      </c>
    </row>
    <row r="3067" spans="1:20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  <c r="S3067" t="str">
        <f t="shared" si="47"/>
        <v>Bi-Weekly</v>
      </c>
      <c r="T3067" cm="1">
        <f t="array" ref="T3067">_xlfn.SWITCH(S3067,"Annually",6,"Bi-Weekly",2,"Fortnightly",3,"Monthly",4,"Quarterly",5,"Weekly",1)</f>
        <v>2</v>
      </c>
    </row>
    <row r="3068" spans="1:20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  <c r="S3068" t="str">
        <f t="shared" si="47"/>
        <v>Quarterly</v>
      </c>
      <c r="T3068" cm="1">
        <f t="array" ref="T3068">_xlfn.SWITCH(S3068,"Annually",6,"Bi-Weekly",2,"Fortnightly",3,"Monthly",4,"Quarterly",5,"Weekly",1)</f>
        <v>5</v>
      </c>
    </row>
    <row r="3069" spans="1:20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  <c r="S3069" t="str">
        <f t="shared" si="47"/>
        <v>Weekly</v>
      </c>
      <c r="T3069" cm="1">
        <f t="array" ref="T3069">_xlfn.SWITCH(S3069,"Annually",6,"Bi-Weekly",2,"Fortnightly",3,"Monthly",4,"Quarterly",5,"Weekly",1)</f>
        <v>1</v>
      </c>
    </row>
    <row r="3070" spans="1:20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  <c r="S3070" t="str">
        <f t="shared" si="47"/>
        <v>Weekly</v>
      </c>
      <c r="T3070" cm="1">
        <f t="array" ref="T3070">_xlfn.SWITCH(S3070,"Annually",6,"Bi-Weekly",2,"Fortnightly",3,"Monthly",4,"Quarterly",5,"Weekly",1)</f>
        <v>1</v>
      </c>
    </row>
    <row r="3071" spans="1:20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  <c r="S3071" t="str">
        <f t="shared" si="47"/>
        <v>Quarterly</v>
      </c>
      <c r="T3071" cm="1">
        <f t="array" ref="T3071">_xlfn.SWITCH(S3071,"Annually",6,"Bi-Weekly",2,"Fortnightly",3,"Monthly",4,"Quarterly",5,"Weekly",1)</f>
        <v>5</v>
      </c>
    </row>
    <row r="3072" spans="1:20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  <c r="S3072" t="str">
        <f t="shared" si="47"/>
        <v>Bi-Weekly</v>
      </c>
      <c r="T3072" cm="1">
        <f t="array" ref="T3072">_xlfn.SWITCH(S3072,"Annually",6,"Bi-Weekly",2,"Fortnightly",3,"Monthly",4,"Quarterly",5,"Weekly",1)</f>
        <v>2</v>
      </c>
    </row>
    <row r="3073" spans="1:20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  <c r="S3073" t="str">
        <f t="shared" si="47"/>
        <v>Monthly</v>
      </c>
      <c r="T3073" cm="1">
        <f t="array" ref="T3073">_xlfn.SWITCH(S3073,"Annually",6,"Bi-Weekly",2,"Fortnightly",3,"Monthly",4,"Quarterly",5,"Weekly",1)</f>
        <v>4</v>
      </c>
    </row>
    <row r="3074" spans="1:20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  <c r="S3074" t="str">
        <f t="shared" si="47"/>
        <v>Quarterly</v>
      </c>
      <c r="T3074" cm="1">
        <f t="array" ref="T3074">_xlfn.SWITCH(S3074,"Annually",6,"Bi-Weekly",2,"Fortnightly",3,"Monthly",4,"Quarterly",5,"Weekly",1)</f>
        <v>5</v>
      </c>
    </row>
    <row r="3075" spans="1:20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  <c r="S3075" t="str">
        <f t="shared" ref="S3075:S3138" si="48">IF(R3075="Every 3 Months","Quarterly",R3075)</f>
        <v>Bi-Weekly</v>
      </c>
      <c r="T3075" cm="1">
        <f t="array" ref="T3075">_xlfn.SWITCH(S3075,"Annually",6,"Bi-Weekly",2,"Fortnightly",3,"Monthly",4,"Quarterly",5,"Weekly",1)</f>
        <v>2</v>
      </c>
    </row>
    <row r="3076" spans="1:20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  <c r="S3076" t="str">
        <f t="shared" si="48"/>
        <v>Fortnightly</v>
      </c>
      <c r="T3076" cm="1">
        <f t="array" ref="T3076">_xlfn.SWITCH(S3076,"Annually",6,"Bi-Weekly",2,"Fortnightly",3,"Monthly",4,"Quarterly",5,"Weekly",1)</f>
        <v>3</v>
      </c>
    </row>
    <row r="3077" spans="1:20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  <c r="S3077" t="str">
        <f t="shared" si="48"/>
        <v>Quarterly</v>
      </c>
      <c r="T3077" cm="1">
        <f t="array" ref="T3077">_xlfn.SWITCH(S3077,"Annually",6,"Bi-Weekly",2,"Fortnightly",3,"Monthly",4,"Quarterly",5,"Weekly",1)</f>
        <v>5</v>
      </c>
    </row>
    <row r="3078" spans="1:20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  <c r="S3078" t="str">
        <f t="shared" si="48"/>
        <v>Bi-Weekly</v>
      </c>
      <c r="T3078" cm="1">
        <f t="array" ref="T3078">_xlfn.SWITCH(S3078,"Annually",6,"Bi-Weekly",2,"Fortnightly",3,"Monthly",4,"Quarterly",5,"Weekly",1)</f>
        <v>2</v>
      </c>
    </row>
    <row r="3079" spans="1:20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  <c r="S3079" t="str">
        <f t="shared" si="48"/>
        <v>Bi-Weekly</v>
      </c>
      <c r="T3079" cm="1">
        <f t="array" ref="T3079">_xlfn.SWITCH(S3079,"Annually",6,"Bi-Weekly",2,"Fortnightly",3,"Monthly",4,"Quarterly",5,"Weekly",1)</f>
        <v>2</v>
      </c>
    </row>
    <row r="3080" spans="1:20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  <c r="S3080" t="str">
        <f t="shared" si="48"/>
        <v>Bi-Weekly</v>
      </c>
      <c r="T3080" cm="1">
        <f t="array" ref="T3080">_xlfn.SWITCH(S3080,"Annually",6,"Bi-Weekly",2,"Fortnightly",3,"Monthly",4,"Quarterly",5,"Weekly",1)</f>
        <v>2</v>
      </c>
    </row>
    <row r="3081" spans="1:20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  <c r="S3081" t="str">
        <f t="shared" si="48"/>
        <v>Annually</v>
      </c>
      <c r="T3081" cm="1">
        <f t="array" ref="T3081">_xlfn.SWITCH(S3081,"Annually",6,"Bi-Weekly",2,"Fortnightly",3,"Monthly",4,"Quarterly",5,"Weekly",1)</f>
        <v>6</v>
      </c>
    </row>
    <row r="3082" spans="1:20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  <c r="S3082" t="str">
        <f t="shared" si="48"/>
        <v>Bi-Weekly</v>
      </c>
      <c r="T3082" cm="1">
        <f t="array" ref="T3082">_xlfn.SWITCH(S3082,"Annually",6,"Bi-Weekly",2,"Fortnightly",3,"Monthly",4,"Quarterly",5,"Weekly",1)</f>
        <v>2</v>
      </c>
    </row>
    <row r="3083" spans="1:20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  <c r="S3083" t="str">
        <f t="shared" si="48"/>
        <v>Weekly</v>
      </c>
      <c r="T3083" cm="1">
        <f t="array" ref="T3083">_xlfn.SWITCH(S3083,"Annually",6,"Bi-Weekly",2,"Fortnightly",3,"Monthly",4,"Quarterly",5,"Weekly",1)</f>
        <v>1</v>
      </c>
    </row>
    <row r="3084" spans="1:20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  <c r="S3084" t="str">
        <f t="shared" si="48"/>
        <v>Annually</v>
      </c>
      <c r="T3084" cm="1">
        <f t="array" ref="T3084">_xlfn.SWITCH(S3084,"Annually",6,"Bi-Weekly",2,"Fortnightly",3,"Monthly",4,"Quarterly",5,"Weekly",1)</f>
        <v>6</v>
      </c>
    </row>
    <row r="3085" spans="1:20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  <c r="S3085" t="str">
        <f t="shared" si="48"/>
        <v>Quarterly</v>
      </c>
      <c r="T3085" cm="1">
        <f t="array" ref="T3085">_xlfn.SWITCH(S3085,"Annually",6,"Bi-Weekly",2,"Fortnightly",3,"Monthly",4,"Quarterly",5,"Weekly",1)</f>
        <v>5</v>
      </c>
    </row>
    <row r="3086" spans="1:20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  <c r="S3086" t="str">
        <f t="shared" si="48"/>
        <v>Monthly</v>
      </c>
      <c r="T3086" cm="1">
        <f t="array" ref="T3086">_xlfn.SWITCH(S3086,"Annually",6,"Bi-Weekly",2,"Fortnightly",3,"Monthly",4,"Quarterly",5,"Weekly",1)</f>
        <v>4</v>
      </c>
    </row>
    <row r="3087" spans="1:20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  <c r="S3087" t="str">
        <f t="shared" si="48"/>
        <v>Quarterly</v>
      </c>
      <c r="T3087" cm="1">
        <f t="array" ref="T3087">_xlfn.SWITCH(S3087,"Annually",6,"Bi-Weekly",2,"Fortnightly",3,"Monthly",4,"Quarterly",5,"Weekly",1)</f>
        <v>5</v>
      </c>
    </row>
    <row r="3088" spans="1:20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  <c r="S3088" t="str">
        <f t="shared" si="48"/>
        <v>Quarterly</v>
      </c>
      <c r="T3088" cm="1">
        <f t="array" ref="T3088">_xlfn.SWITCH(S3088,"Annually",6,"Bi-Weekly",2,"Fortnightly",3,"Monthly",4,"Quarterly",5,"Weekly",1)</f>
        <v>5</v>
      </c>
    </row>
    <row r="3089" spans="1:20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  <c r="S3089" t="str">
        <f t="shared" si="48"/>
        <v>Monthly</v>
      </c>
      <c r="T3089" cm="1">
        <f t="array" ref="T3089">_xlfn.SWITCH(S3089,"Annually",6,"Bi-Weekly",2,"Fortnightly",3,"Monthly",4,"Quarterly",5,"Weekly",1)</f>
        <v>4</v>
      </c>
    </row>
    <row r="3090" spans="1:20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  <c r="S3090" t="str">
        <f t="shared" si="48"/>
        <v>Quarterly</v>
      </c>
      <c r="T3090" cm="1">
        <f t="array" ref="T3090">_xlfn.SWITCH(S3090,"Annually",6,"Bi-Weekly",2,"Fortnightly",3,"Monthly",4,"Quarterly",5,"Weekly",1)</f>
        <v>5</v>
      </c>
    </row>
    <row r="3091" spans="1:20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  <c r="S3091" t="str">
        <f t="shared" si="48"/>
        <v>Bi-Weekly</v>
      </c>
      <c r="T3091" cm="1">
        <f t="array" ref="T3091">_xlfn.SWITCH(S3091,"Annually",6,"Bi-Weekly",2,"Fortnightly",3,"Monthly",4,"Quarterly",5,"Weekly",1)</f>
        <v>2</v>
      </c>
    </row>
    <row r="3092" spans="1:20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  <c r="S3092" t="str">
        <f t="shared" si="48"/>
        <v>Quarterly</v>
      </c>
      <c r="T3092" cm="1">
        <f t="array" ref="T3092">_xlfn.SWITCH(S3092,"Annually",6,"Bi-Weekly",2,"Fortnightly",3,"Monthly",4,"Quarterly",5,"Weekly",1)</f>
        <v>5</v>
      </c>
    </row>
    <row r="3093" spans="1:20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  <c r="S3093" t="str">
        <f t="shared" si="48"/>
        <v>Annually</v>
      </c>
      <c r="T3093" cm="1">
        <f t="array" ref="T3093">_xlfn.SWITCH(S3093,"Annually",6,"Bi-Weekly",2,"Fortnightly",3,"Monthly",4,"Quarterly",5,"Weekly",1)</f>
        <v>6</v>
      </c>
    </row>
    <row r="3094" spans="1:20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  <c r="S3094" t="str">
        <f t="shared" si="48"/>
        <v>Bi-Weekly</v>
      </c>
      <c r="T3094" cm="1">
        <f t="array" ref="T3094">_xlfn.SWITCH(S3094,"Annually",6,"Bi-Weekly",2,"Fortnightly",3,"Monthly",4,"Quarterly",5,"Weekly",1)</f>
        <v>2</v>
      </c>
    </row>
    <row r="3095" spans="1:20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  <c r="S3095" t="str">
        <f t="shared" si="48"/>
        <v>Quarterly</v>
      </c>
      <c r="T3095" cm="1">
        <f t="array" ref="T3095">_xlfn.SWITCH(S3095,"Annually",6,"Bi-Weekly",2,"Fortnightly",3,"Monthly",4,"Quarterly",5,"Weekly",1)</f>
        <v>5</v>
      </c>
    </row>
    <row r="3096" spans="1:20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  <c r="S3096" t="str">
        <f t="shared" si="48"/>
        <v>Weekly</v>
      </c>
      <c r="T3096" cm="1">
        <f t="array" ref="T3096">_xlfn.SWITCH(S3096,"Annually",6,"Bi-Weekly",2,"Fortnightly",3,"Monthly",4,"Quarterly",5,"Weekly",1)</f>
        <v>1</v>
      </c>
    </row>
    <row r="3097" spans="1:20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  <c r="S3097" t="str">
        <f t="shared" si="48"/>
        <v>Fortnightly</v>
      </c>
      <c r="T3097" cm="1">
        <f t="array" ref="T3097">_xlfn.SWITCH(S3097,"Annually",6,"Bi-Weekly",2,"Fortnightly",3,"Monthly",4,"Quarterly",5,"Weekly",1)</f>
        <v>3</v>
      </c>
    </row>
    <row r="3098" spans="1:20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  <c r="S3098" t="str">
        <f t="shared" si="48"/>
        <v>Monthly</v>
      </c>
      <c r="T3098" cm="1">
        <f t="array" ref="T3098">_xlfn.SWITCH(S3098,"Annually",6,"Bi-Weekly",2,"Fortnightly",3,"Monthly",4,"Quarterly",5,"Weekly",1)</f>
        <v>4</v>
      </c>
    </row>
    <row r="3099" spans="1:20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  <c r="S3099" t="str">
        <f t="shared" si="48"/>
        <v>Quarterly</v>
      </c>
      <c r="T3099" cm="1">
        <f t="array" ref="T3099">_xlfn.SWITCH(S3099,"Annually",6,"Bi-Weekly",2,"Fortnightly",3,"Monthly",4,"Quarterly",5,"Weekly",1)</f>
        <v>5</v>
      </c>
    </row>
    <row r="3100" spans="1:20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  <c r="S3100" t="str">
        <f t="shared" si="48"/>
        <v>Quarterly</v>
      </c>
      <c r="T3100" cm="1">
        <f t="array" ref="T3100">_xlfn.SWITCH(S3100,"Annually",6,"Bi-Weekly",2,"Fortnightly",3,"Monthly",4,"Quarterly",5,"Weekly",1)</f>
        <v>5</v>
      </c>
    </row>
    <row r="3101" spans="1:20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  <c r="S3101" t="str">
        <f t="shared" si="48"/>
        <v>Bi-Weekly</v>
      </c>
      <c r="T3101" cm="1">
        <f t="array" ref="T3101">_xlfn.SWITCH(S3101,"Annually",6,"Bi-Weekly",2,"Fortnightly",3,"Monthly",4,"Quarterly",5,"Weekly",1)</f>
        <v>2</v>
      </c>
    </row>
    <row r="3102" spans="1:20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  <c r="S3102" t="str">
        <f t="shared" si="48"/>
        <v>Weekly</v>
      </c>
      <c r="T3102" cm="1">
        <f t="array" ref="T3102">_xlfn.SWITCH(S3102,"Annually",6,"Bi-Weekly",2,"Fortnightly",3,"Monthly",4,"Quarterly",5,"Weekly",1)</f>
        <v>1</v>
      </c>
    </row>
    <row r="3103" spans="1:20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  <c r="S3103" t="str">
        <f t="shared" si="48"/>
        <v>Fortnightly</v>
      </c>
      <c r="T3103" cm="1">
        <f t="array" ref="T3103">_xlfn.SWITCH(S3103,"Annually",6,"Bi-Weekly",2,"Fortnightly",3,"Monthly",4,"Quarterly",5,"Weekly",1)</f>
        <v>3</v>
      </c>
    </row>
    <row r="3104" spans="1:20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  <c r="S3104" t="str">
        <f t="shared" si="48"/>
        <v>Bi-Weekly</v>
      </c>
      <c r="T3104" cm="1">
        <f t="array" ref="T3104">_xlfn.SWITCH(S3104,"Annually",6,"Bi-Weekly",2,"Fortnightly",3,"Monthly",4,"Quarterly",5,"Weekly",1)</f>
        <v>2</v>
      </c>
    </row>
    <row r="3105" spans="1:20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  <c r="S3105" t="str">
        <f t="shared" si="48"/>
        <v>Weekly</v>
      </c>
      <c r="T3105" cm="1">
        <f t="array" ref="T3105">_xlfn.SWITCH(S3105,"Annually",6,"Bi-Weekly",2,"Fortnightly",3,"Monthly",4,"Quarterly",5,"Weekly",1)</f>
        <v>1</v>
      </c>
    </row>
    <row r="3106" spans="1:20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  <c r="S3106" t="str">
        <f t="shared" si="48"/>
        <v>Fortnightly</v>
      </c>
      <c r="T3106" cm="1">
        <f t="array" ref="T3106">_xlfn.SWITCH(S3106,"Annually",6,"Bi-Weekly",2,"Fortnightly",3,"Monthly",4,"Quarterly",5,"Weekly",1)</f>
        <v>3</v>
      </c>
    </row>
    <row r="3107" spans="1:20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  <c r="S3107" t="str">
        <f t="shared" si="48"/>
        <v>Monthly</v>
      </c>
      <c r="T3107" cm="1">
        <f t="array" ref="T3107">_xlfn.SWITCH(S3107,"Annually",6,"Bi-Weekly",2,"Fortnightly",3,"Monthly",4,"Quarterly",5,"Weekly",1)</f>
        <v>4</v>
      </c>
    </row>
    <row r="3108" spans="1:20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  <c r="S3108" t="str">
        <f t="shared" si="48"/>
        <v>Annually</v>
      </c>
      <c r="T3108" cm="1">
        <f t="array" ref="T3108">_xlfn.SWITCH(S3108,"Annually",6,"Bi-Weekly",2,"Fortnightly",3,"Monthly",4,"Quarterly",5,"Weekly",1)</f>
        <v>6</v>
      </c>
    </row>
    <row r="3109" spans="1:20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  <c r="S3109" t="str">
        <f t="shared" si="48"/>
        <v>Bi-Weekly</v>
      </c>
      <c r="T3109" cm="1">
        <f t="array" ref="T3109">_xlfn.SWITCH(S3109,"Annually",6,"Bi-Weekly",2,"Fortnightly",3,"Monthly",4,"Quarterly",5,"Weekly",1)</f>
        <v>2</v>
      </c>
    </row>
    <row r="3110" spans="1:20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  <c r="S3110" t="str">
        <f t="shared" si="48"/>
        <v>Monthly</v>
      </c>
      <c r="T3110" cm="1">
        <f t="array" ref="T3110">_xlfn.SWITCH(S3110,"Annually",6,"Bi-Weekly",2,"Fortnightly",3,"Monthly",4,"Quarterly",5,"Weekly",1)</f>
        <v>4</v>
      </c>
    </row>
    <row r="3111" spans="1:20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  <c r="S3111" t="str">
        <f t="shared" si="48"/>
        <v>Fortnightly</v>
      </c>
      <c r="T3111" cm="1">
        <f t="array" ref="T3111">_xlfn.SWITCH(S3111,"Annually",6,"Bi-Weekly",2,"Fortnightly",3,"Monthly",4,"Quarterly",5,"Weekly",1)</f>
        <v>3</v>
      </c>
    </row>
    <row r="3112" spans="1:20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  <c r="S3112" t="str">
        <f t="shared" si="48"/>
        <v>Bi-Weekly</v>
      </c>
      <c r="T3112" cm="1">
        <f t="array" ref="T3112">_xlfn.SWITCH(S3112,"Annually",6,"Bi-Weekly",2,"Fortnightly",3,"Monthly",4,"Quarterly",5,"Weekly",1)</f>
        <v>2</v>
      </c>
    </row>
    <row r="3113" spans="1:20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  <c r="S3113" t="str">
        <f t="shared" si="48"/>
        <v>Quarterly</v>
      </c>
      <c r="T3113" cm="1">
        <f t="array" ref="T3113">_xlfn.SWITCH(S3113,"Annually",6,"Bi-Weekly",2,"Fortnightly",3,"Monthly",4,"Quarterly",5,"Weekly",1)</f>
        <v>5</v>
      </c>
    </row>
    <row r="3114" spans="1:20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  <c r="S3114" t="str">
        <f t="shared" si="48"/>
        <v>Annually</v>
      </c>
      <c r="T3114" cm="1">
        <f t="array" ref="T3114">_xlfn.SWITCH(S3114,"Annually",6,"Bi-Weekly",2,"Fortnightly",3,"Monthly",4,"Quarterly",5,"Weekly",1)</f>
        <v>6</v>
      </c>
    </row>
    <row r="3115" spans="1:20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  <c r="S3115" t="str">
        <f t="shared" si="48"/>
        <v>Weekly</v>
      </c>
      <c r="T3115" cm="1">
        <f t="array" ref="T3115">_xlfn.SWITCH(S3115,"Annually",6,"Bi-Weekly",2,"Fortnightly",3,"Monthly",4,"Quarterly",5,"Weekly",1)</f>
        <v>1</v>
      </c>
    </row>
    <row r="3116" spans="1:20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  <c r="S3116" t="str">
        <f t="shared" si="48"/>
        <v>Bi-Weekly</v>
      </c>
      <c r="T3116" cm="1">
        <f t="array" ref="T3116">_xlfn.SWITCH(S3116,"Annually",6,"Bi-Weekly",2,"Fortnightly",3,"Monthly",4,"Quarterly",5,"Weekly",1)</f>
        <v>2</v>
      </c>
    </row>
    <row r="3117" spans="1:20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  <c r="S3117" t="str">
        <f t="shared" si="48"/>
        <v>Bi-Weekly</v>
      </c>
      <c r="T3117" cm="1">
        <f t="array" ref="T3117">_xlfn.SWITCH(S3117,"Annually",6,"Bi-Weekly",2,"Fortnightly",3,"Monthly",4,"Quarterly",5,"Weekly",1)</f>
        <v>2</v>
      </c>
    </row>
    <row r="3118" spans="1:20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  <c r="S3118" t="str">
        <f t="shared" si="48"/>
        <v>Weekly</v>
      </c>
      <c r="T3118" cm="1">
        <f t="array" ref="T3118">_xlfn.SWITCH(S3118,"Annually",6,"Bi-Weekly",2,"Fortnightly",3,"Monthly",4,"Quarterly",5,"Weekly",1)</f>
        <v>1</v>
      </c>
    </row>
    <row r="3119" spans="1:20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  <c r="S3119" t="str">
        <f t="shared" si="48"/>
        <v>Bi-Weekly</v>
      </c>
      <c r="T3119" cm="1">
        <f t="array" ref="T3119">_xlfn.SWITCH(S3119,"Annually",6,"Bi-Weekly",2,"Fortnightly",3,"Monthly",4,"Quarterly",5,"Weekly",1)</f>
        <v>2</v>
      </c>
    </row>
    <row r="3120" spans="1:20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  <c r="S3120" t="str">
        <f t="shared" si="48"/>
        <v>Quarterly</v>
      </c>
      <c r="T3120" cm="1">
        <f t="array" ref="T3120">_xlfn.SWITCH(S3120,"Annually",6,"Bi-Weekly",2,"Fortnightly",3,"Monthly",4,"Quarterly",5,"Weekly",1)</f>
        <v>5</v>
      </c>
    </row>
    <row r="3121" spans="1:20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  <c r="S3121" t="str">
        <f t="shared" si="48"/>
        <v>Quarterly</v>
      </c>
      <c r="T3121" cm="1">
        <f t="array" ref="T3121">_xlfn.SWITCH(S3121,"Annually",6,"Bi-Weekly",2,"Fortnightly",3,"Monthly",4,"Quarterly",5,"Weekly",1)</f>
        <v>5</v>
      </c>
    </row>
    <row r="3122" spans="1:20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  <c r="S3122" t="str">
        <f t="shared" si="48"/>
        <v>Fortnightly</v>
      </c>
      <c r="T3122" cm="1">
        <f t="array" ref="T3122">_xlfn.SWITCH(S3122,"Annually",6,"Bi-Weekly",2,"Fortnightly",3,"Monthly",4,"Quarterly",5,"Weekly",1)</f>
        <v>3</v>
      </c>
    </row>
    <row r="3123" spans="1:20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  <c r="S3123" t="str">
        <f t="shared" si="48"/>
        <v>Weekly</v>
      </c>
      <c r="T3123" cm="1">
        <f t="array" ref="T3123">_xlfn.SWITCH(S3123,"Annually",6,"Bi-Weekly",2,"Fortnightly",3,"Monthly",4,"Quarterly",5,"Weekly",1)</f>
        <v>1</v>
      </c>
    </row>
    <row r="3124" spans="1:20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  <c r="S3124" t="str">
        <f t="shared" si="48"/>
        <v>Fortnightly</v>
      </c>
      <c r="T3124" cm="1">
        <f t="array" ref="T3124">_xlfn.SWITCH(S3124,"Annually",6,"Bi-Weekly",2,"Fortnightly",3,"Monthly",4,"Quarterly",5,"Weekly",1)</f>
        <v>3</v>
      </c>
    </row>
    <row r="3125" spans="1:20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  <c r="S3125" t="str">
        <f t="shared" si="48"/>
        <v>Bi-Weekly</v>
      </c>
      <c r="T3125" cm="1">
        <f t="array" ref="T3125">_xlfn.SWITCH(S3125,"Annually",6,"Bi-Weekly",2,"Fortnightly",3,"Monthly",4,"Quarterly",5,"Weekly",1)</f>
        <v>2</v>
      </c>
    </row>
    <row r="3126" spans="1:20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  <c r="S3126" t="str">
        <f t="shared" si="48"/>
        <v>Quarterly</v>
      </c>
      <c r="T3126" cm="1">
        <f t="array" ref="T3126">_xlfn.SWITCH(S3126,"Annually",6,"Bi-Weekly",2,"Fortnightly",3,"Monthly",4,"Quarterly",5,"Weekly",1)</f>
        <v>5</v>
      </c>
    </row>
    <row r="3127" spans="1:20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  <c r="S3127" t="str">
        <f t="shared" si="48"/>
        <v>Quarterly</v>
      </c>
      <c r="T3127" cm="1">
        <f t="array" ref="T3127">_xlfn.SWITCH(S3127,"Annually",6,"Bi-Weekly",2,"Fortnightly",3,"Monthly",4,"Quarterly",5,"Weekly",1)</f>
        <v>5</v>
      </c>
    </row>
    <row r="3128" spans="1:20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  <c r="S3128" t="str">
        <f t="shared" si="48"/>
        <v>Bi-Weekly</v>
      </c>
      <c r="T3128" cm="1">
        <f t="array" ref="T3128">_xlfn.SWITCH(S3128,"Annually",6,"Bi-Weekly",2,"Fortnightly",3,"Monthly",4,"Quarterly",5,"Weekly",1)</f>
        <v>2</v>
      </c>
    </row>
    <row r="3129" spans="1:20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  <c r="S3129" t="str">
        <f t="shared" si="48"/>
        <v>Quarterly</v>
      </c>
      <c r="T3129" cm="1">
        <f t="array" ref="T3129">_xlfn.SWITCH(S3129,"Annually",6,"Bi-Weekly",2,"Fortnightly",3,"Monthly",4,"Quarterly",5,"Weekly",1)</f>
        <v>5</v>
      </c>
    </row>
    <row r="3130" spans="1:20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  <c r="S3130" t="str">
        <f t="shared" si="48"/>
        <v>Annually</v>
      </c>
      <c r="T3130" cm="1">
        <f t="array" ref="T3130">_xlfn.SWITCH(S3130,"Annually",6,"Bi-Weekly",2,"Fortnightly",3,"Monthly",4,"Quarterly",5,"Weekly",1)</f>
        <v>6</v>
      </c>
    </row>
    <row r="3131" spans="1:20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  <c r="S3131" t="str">
        <f t="shared" si="48"/>
        <v>Quarterly</v>
      </c>
      <c r="T3131" cm="1">
        <f t="array" ref="T3131">_xlfn.SWITCH(S3131,"Annually",6,"Bi-Weekly",2,"Fortnightly",3,"Monthly",4,"Quarterly",5,"Weekly",1)</f>
        <v>5</v>
      </c>
    </row>
    <row r="3132" spans="1:20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  <c r="S3132" t="str">
        <f t="shared" si="48"/>
        <v>Quarterly</v>
      </c>
      <c r="T3132" cm="1">
        <f t="array" ref="T3132">_xlfn.SWITCH(S3132,"Annually",6,"Bi-Weekly",2,"Fortnightly",3,"Monthly",4,"Quarterly",5,"Weekly",1)</f>
        <v>5</v>
      </c>
    </row>
    <row r="3133" spans="1:20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  <c r="S3133" t="str">
        <f t="shared" si="48"/>
        <v>Quarterly</v>
      </c>
      <c r="T3133" cm="1">
        <f t="array" ref="T3133">_xlfn.SWITCH(S3133,"Annually",6,"Bi-Weekly",2,"Fortnightly",3,"Monthly",4,"Quarterly",5,"Weekly",1)</f>
        <v>5</v>
      </c>
    </row>
    <row r="3134" spans="1:20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  <c r="S3134" t="str">
        <f t="shared" si="48"/>
        <v>Quarterly</v>
      </c>
      <c r="T3134" cm="1">
        <f t="array" ref="T3134">_xlfn.SWITCH(S3134,"Annually",6,"Bi-Weekly",2,"Fortnightly",3,"Monthly",4,"Quarterly",5,"Weekly",1)</f>
        <v>5</v>
      </c>
    </row>
    <row r="3135" spans="1:20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  <c r="S3135" t="str">
        <f t="shared" si="48"/>
        <v>Bi-Weekly</v>
      </c>
      <c r="T3135" cm="1">
        <f t="array" ref="T3135">_xlfn.SWITCH(S3135,"Annually",6,"Bi-Weekly",2,"Fortnightly",3,"Monthly",4,"Quarterly",5,"Weekly",1)</f>
        <v>2</v>
      </c>
    </row>
    <row r="3136" spans="1:20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  <c r="S3136" t="str">
        <f t="shared" si="48"/>
        <v>Weekly</v>
      </c>
      <c r="T3136" cm="1">
        <f t="array" ref="T3136">_xlfn.SWITCH(S3136,"Annually",6,"Bi-Weekly",2,"Fortnightly",3,"Monthly",4,"Quarterly",5,"Weekly",1)</f>
        <v>1</v>
      </c>
    </row>
    <row r="3137" spans="1:20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  <c r="S3137" t="str">
        <f t="shared" si="48"/>
        <v>Fortnightly</v>
      </c>
      <c r="T3137" cm="1">
        <f t="array" ref="T3137">_xlfn.SWITCH(S3137,"Annually",6,"Bi-Weekly",2,"Fortnightly",3,"Monthly",4,"Quarterly",5,"Weekly",1)</f>
        <v>3</v>
      </c>
    </row>
    <row r="3138" spans="1:20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  <c r="S3138" t="str">
        <f t="shared" si="48"/>
        <v>Bi-Weekly</v>
      </c>
      <c r="T3138" cm="1">
        <f t="array" ref="T3138">_xlfn.SWITCH(S3138,"Annually",6,"Bi-Weekly",2,"Fortnightly",3,"Monthly",4,"Quarterly",5,"Weekly",1)</f>
        <v>2</v>
      </c>
    </row>
    <row r="3139" spans="1:20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  <c r="S3139" t="str">
        <f t="shared" ref="S3139:S3202" si="49">IF(R3139="Every 3 Months","Quarterly",R3139)</f>
        <v>Monthly</v>
      </c>
      <c r="T3139" cm="1">
        <f t="array" ref="T3139">_xlfn.SWITCH(S3139,"Annually",6,"Bi-Weekly",2,"Fortnightly",3,"Monthly",4,"Quarterly",5,"Weekly",1)</f>
        <v>4</v>
      </c>
    </row>
    <row r="3140" spans="1:20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  <c r="S3140" t="str">
        <f t="shared" si="49"/>
        <v>Quarterly</v>
      </c>
      <c r="T3140" cm="1">
        <f t="array" ref="T3140">_xlfn.SWITCH(S3140,"Annually",6,"Bi-Weekly",2,"Fortnightly",3,"Monthly",4,"Quarterly",5,"Weekly",1)</f>
        <v>5</v>
      </c>
    </row>
    <row r="3141" spans="1:20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  <c r="S3141" t="str">
        <f t="shared" si="49"/>
        <v>Weekly</v>
      </c>
      <c r="T3141" cm="1">
        <f t="array" ref="T3141">_xlfn.SWITCH(S3141,"Annually",6,"Bi-Weekly",2,"Fortnightly",3,"Monthly",4,"Quarterly",5,"Weekly",1)</f>
        <v>1</v>
      </c>
    </row>
    <row r="3142" spans="1:20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  <c r="S3142" t="str">
        <f t="shared" si="49"/>
        <v>Weekly</v>
      </c>
      <c r="T3142" cm="1">
        <f t="array" ref="T3142">_xlfn.SWITCH(S3142,"Annually",6,"Bi-Weekly",2,"Fortnightly",3,"Monthly",4,"Quarterly",5,"Weekly",1)</f>
        <v>1</v>
      </c>
    </row>
    <row r="3143" spans="1:20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  <c r="S3143" t="str">
        <f t="shared" si="49"/>
        <v>Bi-Weekly</v>
      </c>
      <c r="T3143" cm="1">
        <f t="array" ref="T3143">_xlfn.SWITCH(S3143,"Annually",6,"Bi-Weekly",2,"Fortnightly",3,"Monthly",4,"Quarterly",5,"Weekly",1)</f>
        <v>2</v>
      </c>
    </row>
    <row r="3144" spans="1:20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  <c r="S3144" t="str">
        <f t="shared" si="49"/>
        <v>Quarterly</v>
      </c>
      <c r="T3144" cm="1">
        <f t="array" ref="T3144">_xlfn.SWITCH(S3144,"Annually",6,"Bi-Weekly",2,"Fortnightly",3,"Monthly",4,"Quarterly",5,"Weekly",1)</f>
        <v>5</v>
      </c>
    </row>
    <row r="3145" spans="1:20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  <c r="S3145" t="str">
        <f t="shared" si="49"/>
        <v>Quarterly</v>
      </c>
      <c r="T3145" cm="1">
        <f t="array" ref="T3145">_xlfn.SWITCH(S3145,"Annually",6,"Bi-Weekly",2,"Fortnightly",3,"Monthly",4,"Quarterly",5,"Weekly",1)</f>
        <v>5</v>
      </c>
    </row>
    <row r="3146" spans="1:20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  <c r="S3146" t="str">
        <f t="shared" si="49"/>
        <v>Quarterly</v>
      </c>
      <c r="T3146" cm="1">
        <f t="array" ref="T3146">_xlfn.SWITCH(S3146,"Annually",6,"Bi-Weekly",2,"Fortnightly",3,"Monthly",4,"Quarterly",5,"Weekly",1)</f>
        <v>5</v>
      </c>
    </row>
    <row r="3147" spans="1:20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  <c r="S3147" t="str">
        <f t="shared" si="49"/>
        <v>Fortnightly</v>
      </c>
      <c r="T3147" cm="1">
        <f t="array" ref="T3147">_xlfn.SWITCH(S3147,"Annually",6,"Bi-Weekly",2,"Fortnightly",3,"Monthly",4,"Quarterly",5,"Weekly",1)</f>
        <v>3</v>
      </c>
    </row>
    <row r="3148" spans="1:20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  <c r="S3148" t="str">
        <f t="shared" si="49"/>
        <v>Annually</v>
      </c>
      <c r="T3148" cm="1">
        <f t="array" ref="T3148">_xlfn.SWITCH(S3148,"Annually",6,"Bi-Weekly",2,"Fortnightly",3,"Monthly",4,"Quarterly",5,"Weekly",1)</f>
        <v>6</v>
      </c>
    </row>
    <row r="3149" spans="1:20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  <c r="S3149" t="str">
        <f t="shared" si="49"/>
        <v>Weekly</v>
      </c>
      <c r="T3149" cm="1">
        <f t="array" ref="T3149">_xlfn.SWITCH(S3149,"Annually",6,"Bi-Weekly",2,"Fortnightly",3,"Monthly",4,"Quarterly",5,"Weekly",1)</f>
        <v>1</v>
      </c>
    </row>
    <row r="3150" spans="1:20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  <c r="S3150" t="str">
        <f t="shared" si="49"/>
        <v>Weekly</v>
      </c>
      <c r="T3150" cm="1">
        <f t="array" ref="T3150">_xlfn.SWITCH(S3150,"Annually",6,"Bi-Weekly",2,"Fortnightly",3,"Monthly",4,"Quarterly",5,"Weekly",1)</f>
        <v>1</v>
      </c>
    </row>
    <row r="3151" spans="1:20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  <c r="S3151" t="str">
        <f t="shared" si="49"/>
        <v>Annually</v>
      </c>
      <c r="T3151" cm="1">
        <f t="array" ref="T3151">_xlfn.SWITCH(S3151,"Annually",6,"Bi-Weekly",2,"Fortnightly",3,"Monthly",4,"Quarterly",5,"Weekly",1)</f>
        <v>6</v>
      </c>
    </row>
    <row r="3152" spans="1:20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  <c r="S3152" t="str">
        <f t="shared" si="49"/>
        <v>Bi-Weekly</v>
      </c>
      <c r="T3152" cm="1">
        <f t="array" ref="T3152">_xlfn.SWITCH(S3152,"Annually",6,"Bi-Weekly",2,"Fortnightly",3,"Monthly",4,"Quarterly",5,"Weekly",1)</f>
        <v>2</v>
      </c>
    </row>
    <row r="3153" spans="1:20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  <c r="S3153" t="str">
        <f t="shared" si="49"/>
        <v>Quarterly</v>
      </c>
      <c r="T3153" cm="1">
        <f t="array" ref="T3153">_xlfn.SWITCH(S3153,"Annually",6,"Bi-Weekly",2,"Fortnightly",3,"Monthly",4,"Quarterly",5,"Weekly",1)</f>
        <v>5</v>
      </c>
    </row>
    <row r="3154" spans="1:20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  <c r="S3154" t="str">
        <f t="shared" si="49"/>
        <v>Monthly</v>
      </c>
      <c r="T3154" cm="1">
        <f t="array" ref="T3154">_xlfn.SWITCH(S3154,"Annually",6,"Bi-Weekly",2,"Fortnightly",3,"Monthly",4,"Quarterly",5,"Weekly",1)</f>
        <v>4</v>
      </c>
    </row>
    <row r="3155" spans="1:20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  <c r="S3155" t="str">
        <f t="shared" si="49"/>
        <v>Fortnightly</v>
      </c>
      <c r="T3155" cm="1">
        <f t="array" ref="T3155">_xlfn.SWITCH(S3155,"Annually",6,"Bi-Weekly",2,"Fortnightly",3,"Monthly",4,"Quarterly",5,"Weekly",1)</f>
        <v>3</v>
      </c>
    </row>
    <row r="3156" spans="1:20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  <c r="S3156" t="str">
        <f t="shared" si="49"/>
        <v>Quarterly</v>
      </c>
      <c r="T3156" cm="1">
        <f t="array" ref="T3156">_xlfn.SWITCH(S3156,"Annually",6,"Bi-Weekly",2,"Fortnightly",3,"Monthly",4,"Quarterly",5,"Weekly",1)</f>
        <v>5</v>
      </c>
    </row>
    <row r="3157" spans="1:20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  <c r="S3157" t="str">
        <f t="shared" si="49"/>
        <v>Annually</v>
      </c>
      <c r="T3157" cm="1">
        <f t="array" ref="T3157">_xlfn.SWITCH(S3157,"Annually",6,"Bi-Weekly",2,"Fortnightly",3,"Monthly",4,"Quarterly",5,"Weekly",1)</f>
        <v>6</v>
      </c>
    </row>
    <row r="3158" spans="1:20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  <c r="S3158" t="str">
        <f t="shared" si="49"/>
        <v>Monthly</v>
      </c>
      <c r="T3158" cm="1">
        <f t="array" ref="T3158">_xlfn.SWITCH(S3158,"Annually",6,"Bi-Weekly",2,"Fortnightly",3,"Monthly",4,"Quarterly",5,"Weekly",1)</f>
        <v>4</v>
      </c>
    </row>
    <row r="3159" spans="1:20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  <c r="S3159" t="str">
        <f t="shared" si="49"/>
        <v>Fortnightly</v>
      </c>
      <c r="T3159" cm="1">
        <f t="array" ref="T3159">_xlfn.SWITCH(S3159,"Annually",6,"Bi-Weekly",2,"Fortnightly",3,"Monthly",4,"Quarterly",5,"Weekly",1)</f>
        <v>3</v>
      </c>
    </row>
    <row r="3160" spans="1:20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  <c r="S3160" t="str">
        <f t="shared" si="49"/>
        <v>Monthly</v>
      </c>
      <c r="T3160" cm="1">
        <f t="array" ref="T3160">_xlfn.SWITCH(S3160,"Annually",6,"Bi-Weekly",2,"Fortnightly",3,"Monthly",4,"Quarterly",5,"Weekly",1)</f>
        <v>4</v>
      </c>
    </row>
    <row r="3161" spans="1:20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  <c r="S3161" t="str">
        <f t="shared" si="49"/>
        <v>Quarterly</v>
      </c>
      <c r="T3161" cm="1">
        <f t="array" ref="T3161">_xlfn.SWITCH(S3161,"Annually",6,"Bi-Weekly",2,"Fortnightly",3,"Monthly",4,"Quarterly",5,"Weekly",1)</f>
        <v>5</v>
      </c>
    </row>
    <row r="3162" spans="1:20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  <c r="S3162" t="str">
        <f t="shared" si="49"/>
        <v>Fortnightly</v>
      </c>
      <c r="T3162" cm="1">
        <f t="array" ref="T3162">_xlfn.SWITCH(S3162,"Annually",6,"Bi-Weekly",2,"Fortnightly",3,"Monthly",4,"Quarterly",5,"Weekly",1)</f>
        <v>3</v>
      </c>
    </row>
    <row r="3163" spans="1:20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  <c r="S3163" t="str">
        <f t="shared" si="49"/>
        <v>Monthly</v>
      </c>
      <c r="T3163" cm="1">
        <f t="array" ref="T3163">_xlfn.SWITCH(S3163,"Annually",6,"Bi-Weekly",2,"Fortnightly",3,"Monthly",4,"Quarterly",5,"Weekly",1)</f>
        <v>4</v>
      </c>
    </row>
    <row r="3164" spans="1:20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  <c r="S3164" t="str">
        <f t="shared" si="49"/>
        <v>Quarterly</v>
      </c>
      <c r="T3164" cm="1">
        <f t="array" ref="T3164">_xlfn.SWITCH(S3164,"Annually",6,"Bi-Weekly",2,"Fortnightly",3,"Monthly",4,"Quarterly",5,"Weekly",1)</f>
        <v>5</v>
      </c>
    </row>
    <row r="3165" spans="1:20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  <c r="S3165" t="str">
        <f t="shared" si="49"/>
        <v>Monthly</v>
      </c>
      <c r="T3165" cm="1">
        <f t="array" ref="T3165">_xlfn.SWITCH(S3165,"Annually",6,"Bi-Weekly",2,"Fortnightly",3,"Monthly",4,"Quarterly",5,"Weekly",1)</f>
        <v>4</v>
      </c>
    </row>
    <row r="3166" spans="1:20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  <c r="S3166" t="str">
        <f t="shared" si="49"/>
        <v>Annually</v>
      </c>
      <c r="T3166" cm="1">
        <f t="array" ref="T3166">_xlfn.SWITCH(S3166,"Annually",6,"Bi-Weekly",2,"Fortnightly",3,"Monthly",4,"Quarterly",5,"Weekly",1)</f>
        <v>6</v>
      </c>
    </row>
    <row r="3167" spans="1:20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  <c r="S3167" t="str">
        <f t="shared" si="49"/>
        <v>Quarterly</v>
      </c>
      <c r="T3167" cm="1">
        <f t="array" ref="T3167">_xlfn.SWITCH(S3167,"Annually",6,"Bi-Weekly",2,"Fortnightly",3,"Monthly",4,"Quarterly",5,"Weekly",1)</f>
        <v>5</v>
      </c>
    </row>
    <row r="3168" spans="1:20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  <c r="S3168" t="str">
        <f t="shared" si="49"/>
        <v>Fortnightly</v>
      </c>
      <c r="T3168" cm="1">
        <f t="array" ref="T3168">_xlfn.SWITCH(S3168,"Annually",6,"Bi-Weekly",2,"Fortnightly",3,"Monthly",4,"Quarterly",5,"Weekly",1)</f>
        <v>3</v>
      </c>
    </row>
    <row r="3169" spans="1:20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  <c r="S3169" t="str">
        <f t="shared" si="49"/>
        <v>Bi-Weekly</v>
      </c>
      <c r="T3169" cm="1">
        <f t="array" ref="T3169">_xlfn.SWITCH(S3169,"Annually",6,"Bi-Weekly",2,"Fortnightly",3,"Monthly",4,"Quarterly",5,"Weekly",1)</f>
        <v>2</v>
      </c>
    </row>
    <row r="3170" spans="1:20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  <c r="S3170" t="str">
        <f t="shared" si="49"/>
        <v>Fortnightly</v>
      </c>
      <c r="T3170" cm="1">
        <f t="array" ref="T3170">_xlfn.SWITCH(S3170,"Annually",6,"Bi-Weekly",2,"Fortnightly",3,"Monthly",4,"Quarterly",5,"Weekly",1)</f>
        <v>3</v>
      </c>
    </row>
    <row r="3171" spans="1:20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  <c r="S3171" t="str">
        <f t="shared" si="49"/>
        <v>Weekly</v>
      </c>
      <c r="T3171" cm="1">
        <f t="array" ref="T3171">_xlfn.SWITCH(S3171,"Annually",6,"Bi-Weekly",2,"Fortnightly",3,"Monthly",4,"Quarterly",5,"Weekly",1)</f>
        <v>1</v>
      </c>
    </row>
    <row r="3172" spans="1:20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  <c r="S3172" t="str">
        <f t="shared" si="49"/>
        <v>Fortnightly</v>
      </c>
      <c r="T3172" cm="1">
        <f t="array" ref="T3172">_xlfn.SWITCH(S3172,"Annually",6,"Bi-Weekly",2,"Fortnightly",3,"Monthly",4,"Quarterly",5,"Weekly",1)</f>
        <v>3</v>
      </c>
    </row>
    <row r="3173" spans="1:20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  <c r="S3173" t="str">
        <f t="shared" si="49"/>
        <v>Bi-Weekly</v>
      </c>
      <c r="T3173" cm="1">
        <f t="array" ref="T3173">_xlfn.SWITCH(S3173,"Annually",6,"Bi-Weekly",2,"Fortnightly",3,"Monthly",4,"Quarterly",5,"Weekly",1)</f>
        <v>2</v>
      </c>
    </row>
    <row r="3174" spans="1:20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  <c r="S3174" t="str">
        <f t="shared" si="49"/>
        <v>Bi-Weekly</v>
      </c>
      <c r="T3174" cm="1">
        <f t="array" ref="T3174">_xlfn.SWITCH(S3174,"Annually",6,"Bi-Weekly",2,"Fortnightly",3,"Monthly",4,"Quarterly",5,"Weekly",1)</f>
        <v>2</v>
      </c>
    </row>
    <row r="3175" spans="1:20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  <c r="S3175" t="str">
        <f t="shared" si="49"/>
        <v>Fortnightly</v>
      </c>
      <c r="T3175" cm="1">
        <f t="array" ref="T3175">_xlfn.SWITCH(S3175,"Annually",6,"Bi-Weekly",2,"Fortnightly",3,"Monthly",4,"Quarterly",5,"Weekly",1)</f>
        <v>3</v>
      </c>
    </row>
    <row r="3176" spans="1:20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  <c r="S3176" t="str">
        <f t="shared" si="49"/>
        <v>Monthly</v>
      </c>
      <c r="T3176" cm="1">
        <f t="array" ref="T3176">_xlfn.SWITCH(S3176,"Annually",6,"Bi-Weekly",2,"Fortnightly",3,"Monthly",4,"Quarterly",5,"Weekly",1)</f>
        <v>4</v>
      </c>
    </row>
    <row r="3177" spans="1:20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  <c r="S3177" t="str">
        <f t="shared" si="49"/>
        <v>Quarterly</v>
      </c>
      <c r="T3177" cm="1">
        <f t="array" ref="T3177">_xlfn.SWITCH(S3177,"Annually",6,"Bi-Weekly",2,"Fortnightly",3,"Monthly",4,"Quarterly",5,"Weekly",1)</f>
        <v>5</v>
      </c>
    </row>
    <row r="3178" spans="1:20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  <c r="S3178" t="str">
        <f t="shared" si="49"/>
        <v>Monthly</v>
      </c>
      <c r="T3178" cm="1">
        <f t="array" ref="T3178">_xlfn.SWITCH(S3178,"Annually",6,"Bi-Weekly",2,"Fortnightly",3,"Monthly",4,"Quarterly",5,"Weekly",1)</f>
        <v>4</v>
      </c>
    </row>
    <row r="3179" spans="1:20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  <c r="S3179" t="str">
        <f t="shared" si="49"/>
        <v>Monthly</v>
      </c>
      <c r="T3179" cm="1">
        <f t="array" ref="T3179">_xlfn.SWITCH(S3179,"Annually",6,"Bi-Weekly",2,"Fortnightly",3,"Monthly",4,"Quarterly",5,"Weekly",1)</f>
        <v>4</v>
      </c>
    </row>
    <row r="3180" spans="1:20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  <c r="S3180" t="str">
        <f t="shared" si="49"/>
        <v>Annually</v>
      </c>
      <c r="T3180" cm="1">
        <f t="array" ref="T3180">_xlfn.SWITCH(S3180,"Annually",6,"Bi-Weekly",2,"Fortnightly",3,"Monthly",4,"Quarterly",5,"Weekly",1)</f>
        <v>6</v>
      </c>
    </row>
    <row r="3181" spans="1:20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  <c r="S3181" t="str">
        <f t="shared" si="49"/>
        <v>Bi-Weekly</v>
      </c>
      <c r="T3181" cm="1">
        <f t="array" ref="T3181">_xlfn.SWITCH(S3181,"Annually",6,"Bi-Weekly",2,"Fortnightly",3,"Monthly",4,"Quarterly",5,"Weekly",1)</f>
        <v>2</v>
      </c>
    </row>
    <row r="3182" spans="1:20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  <c r="S3182" t="str">
        <f t="shared" si="49"/>
        <v>Weekly</v>
      </c>
      <c r="T3182" cm="1">
        <f t="array" ref="T3182">_xlfn.SWITCH(S3182,"Annually",6,"Bi-Weekly",2,"Fortnightly",3,"Monthly",4,"Quarterly",5,"Weekly",1)</f>
        <v>1</v>
      </c>
    </row>
    <row r="3183" spans="1:20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  <c r="S3183" t="str">
        <f t="shared" si="49"/>
        <v>Quarterly</v>
      </c>
      <c r="T3183" cm="1">
        <f t="array" ref="T3183">_xlfn.SWITCH(S3183,"Annually",6,"Bi-Weekly",2,"Fortnightly",3,"Monthly",4,"Quarterly",5,"Weekly",1)</f>
        <v>5</v>
      </c>
    </row>
    <row r="3184" spans="1:20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  <c r="S3184" t="str">
        <f t="shared" si="49"/>
        <v>Annually</v>
      </c>
      <c r="T3184" cm="1">
        <f t="array" ref="T3184">_xlfn.SWITCH(S3184,"Annually",6,"Bi-Weekly",2,"Fortnightly",3,"Monthly",4,"Quarterly",5,"Weekly",1)</f>
        <v>6</v>
      </c>
    </row>
    <row r="3185" spans="1:20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  <c r="S3185" t="str">
        <f t="shared" si="49"/>
        <v>Quarterly</v>
      </c>
      <c r="T3185" cm="1">
        <f t="array" ref="T3185">_xlfn.SWITCH(S3185,"Annually",6,"Bi-Weekly",2,"Fortnightly",3,"Monthly",4,"Quarterly",5,"Weekly",1)</f>
        <v>5</v>
      </c>
    </row>
    <row r="3186" spans="1:20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  <c r="S3186" t="str">
        <f t="shared" si="49"/>
        <v>Quarterly</v>
      </c>
      <c r="T3186" cm="1">
        <f t="array" ref="T3186">_xlfn.SWITCH(S3186,"Annually",6,"Bi-Weekly",2,"Fortnightly",3,"Monthly",4,"Quarterly",5,"Weekly",1)</f>
        <v>5</v>
      </c>
    </row>
    <row r="3187" spans="1:20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  <c r="S3187" t="str">
        <f t="shared" si="49"/>
        <v>Annually</v>
      </c>
      <c r="T3187" cm="1">
        <f t="array" ref="T3187">_xlfn.SWITCH(S3187,"Annually",6,"Bi-Weekly",2,"Fortnightly",3,"Monthly",4,"Quarterly",5,"Weekly",1)</f>
        <v>6</v>
      </c>
    </row>
    <row r="3188" spans="1:20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  <c r="S3188" t="str">
        <f t="shared" si="49"/>
        <v>Annually</v>
      </c>
      <c r="T3188" cm="1">
        <f t="array" ref="T3188">_xlfn.SWITCH(S3188,"Annually",6,"Bi-Weekly",2,"Fortnightly",3,"Monthly",4,"Quarterly",5,"Weekly",1)</f>
        <v>6</v>
      </c>
    </row>
    <row r="3189" spans="1:20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  <c r="S3189" t="str">
        <f t="shared" si="49"/>
        <v>Weekly</v>
      </c>
      <c r="T3189" cm="1">
        <f t="array" ref="T3189">_xlfn.SWITCH(S3189,"Annually",6,"Bi-Weekly",2,"Fortnightly",3,"Monthly",4,"Quarterly",5,"Weekly",1)</f>
        <v>1</v>
      </c>
    </row>
    <row r="3190" spans="1:20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  <c r="S3190" t="str">
        <f t="shared" si="49"/>
        <v>Monthly</v>
      </c>
      <c r="T3190" cm="1">
        <f t="array" ref="T3190">_xlfn.SWITCH(S3190,"Annually",6,"Bi-Weekly",2,"Fortnightly",3,"Monthly",4,"Quarterly",5,"Weekly",1)</f>
        <v>4</v>
      </c>
    </row>
    <row r="3191" spans="1:20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  <c r="S3191" t="str">
        <f t="shared" si="49"/>
        <v>Bi-Weekly</v>
      </c>
      <c r="T3191" cm="1">
        <f t="array" ref="T3191">_xlfn.SWITCH(S3191,"Annually",6,"Bi-Weekly",2,"Fortnightly",3,"Monthly",4,"Quarterly",5,"Weekly",1)</f>
        <v>2</v>
      </c>
    </row>
    <row r="3192" spans="1:20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  <c r="S3192" t="str">
        <f t="shared" si="49"/>
        <v>Fortnightly</v>
      </c>
      <c r="T3192" cm="1">
        <f t="array" ref="T3192">_xlfn.SWITCH(S3192,"Annually",6,"Bi-Weekly",2,"Fortnightly",3,"Monthly",4,"Quarterly",5,"Weekly",1)</f>
        <v>3</v>
      </c>
    </row>
    <row r="3193" spans="1:20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  <c r="S3193" t="str">
        <f t="shared" si="49"/>
        <v>Quarterly</v>
      </c>
      <c r="T3193" cm="1">
        <f t="array" ref="T3193">_xlfn.SWITCH(S3193,"Annually",6,"Bi-Weekly",2,"Fortnightly",3,"Monthly",4,"Quarterly",5,"Weekly",1)</f>
        <v>5</v>
      </c>
    </row>
    <row r="3194" spans="1:20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  <c r="S3194" t="str">
        <f t="shared" si="49"/>
        <v>Fortnightly</v>
      </c>
      <c r="T3194" cm="1">
        <f t="array" ref="T3194">_xlfn.SWITCH(S3194,"Annually",6,"Bi-Weekly",2,"Fortnightly",3,"Monthly",4,"Quarterly",5,"Weekly",1)</f>
        <v>3</v>
      </c>
    </row>
    <row r="3195" spans="1:20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  <c r="S3195" t="str">
        <f t="shared" si="49"/>
        <v>Fortnightly</v>
      </c>
      <c r="T3195" cm="1">
        <f t="array" ref="T3195">_xlfn.SWITCH(S3195,"Annually",6,"Bi-Weekly",2,"Fortnightly",3,"Monthly",4,"Quarterly",5,"Weekly",1)</f>
        <v>3</v>
      </c>
    </row>
    <row r="3196" spans="1:20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  <c r="S3196" t="str">
        <f t="shared" si="49"/>
        <v>Bi-Weekly</v>
      </c>
      <c r="T3196" cm="1">
        <f t="array" ref="T3196">_xlfn.SWITCH(S3196,"Annually",6,"Bi-Weekly",2,"Fortnightly",3,"Monthly",4,"Quarterly",5,"Weekly",1)</f>
        <v>2</v>
      </c>
    </row>
    <row r="3197" spans="1:20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  <c r="S3197" t="str">
        <f t="shared" si="49"/>
        <v>Quarterly</v>
      </c>
      <c r="T3197" cm="1">
        <f t="array" ref="T3197">_xlfn.SWITCH(S3197,"Annually",6,"Bi-Weekly",2,"Fortnightly",3,"Monthly",4,"Quarterly",5,"Weekly",1)</f>
        <v>5</v>
      </c>
    </row>
    <row r="3198" spans="1:20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  <c r="S3198" t="str">
        <f t="shared" si="49"/>
        <v>Fortnightly</v>
      </c>
      <c r="T3198" cm="1">
        <f t="array" ref="T3198">_xlfn.SWITCH(S3198,"Annually",6,"Bi-Weekly",2,"Fortnightly",3,"Monthly",4,"Quarterly",5,"Weekly",1)</f>
        <v>3</v>
      </c>
    </row>
    <row r="3199" spans="1:20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  <c r="S3199" t="str">
        <f t="shared" si="49"/>
        <v>Quarterly</v>
      </c>
      <c r="T3199" cm="1">
        <f t="array" ref="T3199">_xlfn.SWITCH(S3199,"Annually",6,"Bi-Weekly",2,"Fortnightly",3,"Monthly",4,"Quarterly",5,"Weekly",1)</f>
        <v>5</v>
      </c>
    </row>
    <row r="3200" spans="1:20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  <c r="S3200" t="str">
        <f t="shared" si="49"/>
        <v>Weekly</v>
      </c>
      <c r="T3200" cm="1">
        <f t="array" ref="T3200">_xlfn.SWITCH(S3200,"Annually",6,"Bi-Weekly",2,"Fortnightly",3,"Monthly",4,"Quarterly",5,"Weekly",1)</f>
        <v>1</v>
      </c>
    </row>
    <row r="3201" spans="1:20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  <c r="S3201" t="str">
        <f t="shared" si="49"/>
        <v>Monthly</v>
      </c>
      <c r="T3201" cm="1">
        <f t="array" ref="T3201">_xlfn.SWITCH(S3201,"Annually",6,"Bi-Weekly",2,"Fortnightly",3,"Monthly",4,"Quarterly",5,"Weekly",1)</f>
        <v>4</v>
      </c>
    </row>
    <row r="3202" spans="1:20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  <c r="S3202" t="str">
        <f t="shared" si="49"/>
        <v>Monthly</v>
      </c>
      <c r="T3202" cm="1">
        <f t="array" ref="T3202">_xlfn.SWITCH(S3202,"Annually",6,"Bi-Weekly",2,"Fortnightly",3,"Monthly",4,"Quarterly",5,"Weekly",1)</f>
        <v>4</v>
      </c>
    </row>
    <row r="3203" spans="1:20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  <c r="S3203" t="str">
        <f t="shared" ref="S3203:S3266" si="50">IF(R3203="Every 3 Months","Quarterly",R3203)</f>
        <v>Monthly</v>
      </c>
      <c r="T3203" cm="1">
        <f t="array" ref="T3203">_xlfn.SWITCH(S3203,"Annually",6,"Bi-Weekly",2,"Fortnightly",3,"Monthly",4,"Quarterly",5,"Weekly",1)</f>
        <v>4</v>
      </c>
    </row>
    <row r="3204" spans="1:20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  <c r="S3204" t="str">
        <f t="shared" si="50"/>
        <v>Annually</v>
      </c>
      <c r="T3204" cm="1">
        <f t="array" ref="T3204">_xlfn.SWITCH(S3204,"Annually",6,"Bi-Weekly",2,"Fortnightly",3,"Monthly",4,"Quarterly",5,"Weekly",1)</f>
        <v>6</v>
      </c>
    </row>
    <row r="3205" spans="1:20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  <c r="S3205" t="str">
        <f t="shared" si="50"/>
        <v>Annually</v>
      </c>
      <c r="T3205" cm="1">
        <f t="array" ref="T3205">_xlfn.SWITCH(S3205,"Annually",6,"Bi-Weekly",2,"Fortnightly",3,"Monthly",4,"Quarterly",5,"Weekly",1)</f>
        <v>6</v>
      </c>
    </row>
    <row r="3206" spans="1:20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  <c r="S3206" t="str">
        <f t="shared" si="50"/>
        <v>Bi-Weekly</v>
      </c>
      <c r="T3206" cm="1">
        <f t="array" ref="T3206">_xlfn.SWITCH(S3206,"Annually",6,"Bi-Weekly",2,"Fortnightly",3,"Monthly",4,"Quarterly",5,"Weekly",1)</f>
        <v>2</v>
      </c>
    </row>
    <row r="3207" spans="1:20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  <c r="S3207" t="str">
        <f t="shared" si="50"/>
        <v>Quarterly</v>
      </c>
      <c r="T3207" cm="1">
        <f t="array" ref="T3207">_xlfn.SWITCH(S3207,"Annually",6,"Bi-Weekly",2,"Fortnightly",3,"Monthly",4,"Quarterly",5,"Weekly",1)</f>
        <v>5</v>
      </c>
    </row>
    <row r="3208" spans="1:20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  <c r="S3208" t="str">
        <f t="shared" si="50"/>
        <v>Monthly</v>
      </c>
      <c r="T3208" cm="1">
        <f t="array" ref="T3208">_xlfn.SWITCH(S3208,"Annually",6,"Bi-Weekly",2,"Fortnightly",3,"Monthly",4,"Quarterly",5,"Weekly",1)</f>
        <v>4</v>
      </c>
    </row>
    <row r="3209" spans="1:20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  <c r="S3209" t="str">
        <f t="shared" si="50"/>
        <v>Annually</v>
      </c>
      <c r="T3209" cm="1">
        <f t="array" ref="T3209">_xlfn.SWITCH(S3209,"Annually",6,"Bi-Weekly",2,"Fortnightly",3,"Monthly",4,"Quarterly",5,"Weekly",1)</f>
        <v>6</v>
      </c>
    </row>
    <row r="3210" spans="1:20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  <c r="S3210" t="str">
        <f t="shared" si="50"/>
        <v>Weekly</v>
      </c>
      <c r="T3210" cm="1">
        <f t="array" ref="T3210">_xlfn.SWITCH(S3210,"Annually",6,"Bi-Weekly",2,"Fortnightly",3,"Monthly",4,"Quarterly",5,"Weekly",1)</f>
        <v>1</v>
      </c>
    </row>
    <row r="3211" spans="1:20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  <c r="S3211" t="str">
        <f t="shared" si="50"/>
        <v>Annually</v>
      </c>
      <c r="T3211" cm="1">
        <f t="array" ref="T3211">_xlfn.SWITCH(S3211,"Annually",6,"Bi-Weekly",2,"Fortnightly",3,"Monthly",4,"Quarterly",5,"Weekly",1)</f>
        <v>6</v>
      </c>
    </row>
    <row r="3212" spans="1:20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  <c r="S3212" t="str">
        <f t="shared" si="50"/>
        <v>Bi-Weekly</v>
      </c>
      <c r="T3212" cm="1">
        <f t="array" ref="T3212">_xlfn.SWITCH(S3212,"Annually",6,"Bi-Weekly",2,"Fortnightly",3,"Monthly",4,"Quarterly",5,"Weekly",1)</f>
        <v>2</v>
      </c>
    </row>
    <row r="3213" spans="1:20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  <c r="S3213" t="str">
        <f t="shared" si="50"/>
        <v>Monthly</v>
      </c>
      <c r="T3213" cm="1">
        <f t="array" ref="T3213">_xlfn.SWITCH(S3213,"Annually",6,"Bi-Weekly",2,"Fortnightly",3,"Monthly",4,"Quarterly",5,"Weekly",1)</f>
        <v>4</v>
      </c>
    </row>
    <row r="3214" spans="1:20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  <c r="S3214" t="str">
        <f t="shared" si="50"/>
        <v>Weekly</v>
      </c>
      <c r="T3214" cm="1">
        <f t="array" ref="T3214">_xlfn.SWITCH(S3214,"Annually",6,"Bi-Weekly",2,"Fortnightly",3,"Monthly",4,"Quarterly",5,"Weekly",1)</f>
        <v>1</v>
      </c>
    </row>
    <row r="3215" spans="1:20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  <c r="S3215" t="str">
        <f t="shared" si="50"/>
        <v>Monthly</v>
      </c>
      <c r="T3215" cm="1">
        <f t="array" ref="T3215">_xlfn.SWITCH(S3215,"Annually",6,"Bi-Weekly",2,"Fortnightly",3,"Monthly",4,"Quarterly",5,"Weekly",1)</f>
        <v>4</v>
      </c>
    </row>
    <row r="3216" spans="1:20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  <c r="S3216" t="str">
        <f t="shared" si="50"/>
        <v>Annually</v>
      </c>
      <c r="T3216" cm="1">
        <f t="array" ref="T3216">_xlfn.SWITCH(S3216,"Annually",6,"Bi-Weekly",2,"Fortnightly",3,"Monthly",4,"Quarterly",5,"Weekly",1)</f>
        <v>6</v>
      </c>
    </row>
    <row r="3217" spans="1:20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  <c r="S3217" t="str">
        <f t="shared" si="50"/>
        <v>Quarterly</v>
      </c>
      <c r="T3217" cm="1">
        <f t="array" ref="T3217">_xlfn.SWITCH(S3217,"Annually",6,"Bi-Weekly",2,"Fortnightly",3,"Monthly",4,"Quarterly",5,"Weekly",1)</f>
        <v>5</v>
      </c>
    </row>
    <row r="3218" spans="1:20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  <c r="S3218" t="str">
        <f t="shared" si="50"/>
        <v>Weekly</v>
      </c>
      <c r="T3218" cm="1">
        <f t="array" ref="T3218">_xlfn.SWITCH(S3218,"Annually",6,"Bi-Weekly",2,"Fortnightly",3,"Monthly",4,"Quarterly",5,"Weekly",1)</f>
        <v>1</v>
      </c>
    </row>
    <row r="3219" spans="1:20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  <c r="S3219" t="str">
        <f t="shared" si="50"/>
        <v>Weekly</v>
      </c>
      <c r="T3219" cm="1">
        <f t="array" ref="T3219">_xlfn.SWITCH(S3219,"Annually",6,"Bi-Weekly",2,"Fortnightly",3,"Monthly",4,"Quarterly",5,"Weekly",1)</f>
        <v>1</v>
      </c>
    </row>
    <row r="3220" spans="1:20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  <c r="S3220" t="str">
        <f t="shared" si="50"/>
        <v>Monthly</v>
      </c>
      <c r="T3220" cm="1">
        <f t="array" ref="T3220">_xlfn.SWITCH(S3220,"Annually",6,"Bi-Weekly",2,"Fortnightly",3,"Monthly",4,"Quarterly",5,"Weekly",1)</f>
        <v>4</v>
      </c>
    </row>
    <row r="3221" spans="1:20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  <c r="S3221" t="str">
        <f t="shared" si="50"/>
        <v>Weekly</v>
      </c>
      <c r="T3221" cm="1">
        <f t="array" ref="T3221">_xlfn.SWITCH(S3221,"Annually",6,"Bi-Weekly",2,"Fortnightly",3,"Monthly",4,"Quarterly",5,"Weekly",1)</f>
        <v>1</v>
      </c>
    </row>
    <row r="3222" spans="1:20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  <c r="S3222" t="str">
        <f t="shared" si="50"/>
        <v>Monthly</v>
      </c>
      <c r="T3222" cm="1">
        <f t="array" ref="T3222">_xlfn.SWITCH(S3222,"Annually",6,"Bi-Weekly",2,"Fortnightly",3,"Monthly",4,"Quarterly",5,"Weekly",1)</f>
        <v>4</v>
      </c>
    </row>
    <row r="3223" spans="1:20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  <c r="S3223" t="str">
        <f t="shared" si="50"/>
        <v>Annually</v>
      </c>
      <c r="T3223" cm="1">
        <f t="array" ref="T3223">_xlfn.SWITCH(S3223,"Annually",6,"Bi-Weekly",2,"Fortnightly",3,"Monthly",4,"Quarterly",5,"Weekly",1)</f>
        <v>6</v>
      </c>
    </row>
    <row r="3224" spans="1:20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  <c r="S3224" t="str">
        <f t="shared" si="50"/>
        <v>Quarterly</v>
      </c>
      <c r="T3224" cm="1">
        <f t="array" ref="T3224">_xlfn.SWITCH(S3224,"Annually",6,"Bi-Weekly",2,"Fortnightly",3,"Monthly",4,"Quarterly",5,"Weekly",1)</f>
        <v>5</v>
      </c>
    </row>
    <row r="3225" spans="1:20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  <c r="S3225" t="str">
        <f t="shared" si="50"/>
        <v>Bi-Weekly</v>
      </c>
      <c r="T3225" cm="1">
        <f t="array" ref="T3225">_xlfn.SWITCH(S3225,"Annually",6,"Bi-Weekly",2,"Fortnightly",3,"Monthly",4,"Quarterly",5,"Weekly",1)</f>
        <v>2</v>
      </c>
    </row>
    <row r="3226" spans="1:20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  <c r="S3226" t="str">
        <f t="shared" si="50"/>
        <v>Monthly</v>
      </c>
      <c r="T3226" cm="1">
        <f t="array" ref="T3226">_xlfn.SWITCH(S3226,"Annually",6,"Bi-Weekly",2,"Fortnightly",3,"Monthly",4,"Quarterly",5,"Weekly",1)</f>
        <v>4</v>
      </c>
    </row>
    <row r="3227" spans="1:20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  <c r="S3227" t="str">
        <f t="shared" si="50"/>
        <v>Weekly</v>
      </c>
      <c r="T3227" cm="1">
        <f t="array" ref="T3227">_xlfn.SWITCH(S3227,"Annually",6,"Bi-Weekly",2,"Fortnightly",3,"Monthly",4,"Quarterly",5,"Weekly",1)</f>
        <v>1</v>
      </c>
    </row>
    <row r="3228" spans="1:20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  <c r="S3228" t="str">
        <f t="shared" si="50"/>
        <v>Fortnightly</v>
      </c>
      <c r="T3228" cm="1">
        <f t="array" ref="T3228">_xlfn.SWITCH(S3228,"Annually",6,"Bi-Weekly",2,"Fortnightly",3,"Monthly",4,"Quarterly",5,"Weekly",1)</f>
        <v>3</v>
      </c>
    </row>
    <row r="3229" spans="1:20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  <c r="S3229" t="str">
        <f t="shared" si="50"/>
        <v>Quarterly</v>
      </c>
      <c r="T3229" cm="1">
        <f t="array" ref="T3229">_xlfn.SWITCH(S3229,"Annually",6,"Bi-Weekly",2,"Fortnightly",3,"Monthly",4,"Quarterly",5,"Weekly",1)</f>
        <v>5</v>
      </c>
    </row>
    <row r="3230" spans="1:20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  <c r="S3230" t="str">
        <f t="shared" si="50"/>
        <v>Annually</v>
      </c>
      <c r="T3230" cm="1">
        <f t="array" ref="T3230">_xlfn.SWITCH(S3230,"Annually",6,"Bi-Weekly",2,"Fortnightly",3,"Monthly",4,"Quarterly",5,"Weekly",1)</f>
        <v>6</v>
      </c>
    </row>
    <row r="3231" spans="1:20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  <c r="S3231" t="str">
        <f t="shared" si="50"/>
        <v>Monthly</v>
      </c>
      <c r="T3231" cm="1">
        <f t="array" ref="T3231">_xlfn.SWITCH(S3231,"Annually",6,"Bi-Weekly",2,"Fortnightly",3,"Monthly",4,"Quarterly",5,"Weekly",1)</f>
        <v>4</v>
      </c>
    </row>
    <row r="3232" spans="1:20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  <c r="S3232" t="str">
        <f t="shared" si="50"/>
        <v>Annually</v>
      </c>
      <c r="T3232" cm="1">
        <f t="array" ref="T3232">_xlfn.SWITCH(S3232,"Annually",6,"Bi-Weekly",2,"Fortnightly",3,"Monthly",4,"Quarterly",5,"Weekly",1)</f>
        <v>6</v>
      </c>
    </row>
    <row r="3233" spans="1:20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  <c r="S3233" t="str">
        <f t="shared" si="50"/>
        <v>Annually</v>
      </c>
      <c r="T3233" cm="1">
        <f t="array" ref="T3233">_xlfn.SWITCH(S3233,"Annually",6,"Bi-Weekly",2,"Fortnightly",3,"Monthly",4,"Quarterly",5,"Weekly",1)</f>
        <v>6</v>
      </c>
    </row>
    <row r="3234" spans="1:20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  <c r="S3234" t="str">
        <f t="shared" si="50"/>
        <v>Monthly</v>
      </c>
      <c r="T3234" cm="1">
        <f t="array" ref="T3234">_xlfn.SWITCH(S3234,"Annually",6,"Bi-Weekly",2,"Fortnightly",3,"Monthly",4,"Quarterly",5,"Weekly",1)</f>
        <v>4</v>
      </c>
    </row>
    <row r="3235" spans="1:20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  <c r="S3235" t="str">
        <f t="shared" si="50"/>
        <v>Bi-Weekly</v>
      </c>
      <c r="T3235" cm="1">
        <f t="array" ref="T3235">_xlfn.SWITCH(S3235,"Annually",6,"Bi-Weekly",2,"Fortnightly",3,"Monthly",4,"Quarterly",5,"Weekly",1)</f>
        <v>2</v>
      </c>
    </row>
    <row r="3236" spans="1:20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  <c r="S3236" t="str">
        <f t="shared" si="50"/>
        <v>Quarterly</v>
      </c>
      <c r="T3236" cm="1">
        <f t="array" ref="T3236">_xlfn.SWITCH(S3236,"Annually",6,"Bi-Weekly",2,"Fortnightly",3,"Monthly",4,"Quarterly",5,"Weekly",1)</f>
        <v>5</v>
      </c>
    </row>
    <row r="3237" spans="1:20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  <c r="S3237" t="str">
        <f t="shared" si="50"/>
        <v>Monthly</v>
      </c>
      <c r="T3237" cm="1">
        <f t="array" ref="T3237">_xlfn.SWITCH(S3237,"Annually",6,"Bi-Weekly",2,"Fortnightly",3,"Monthly",4,"Quarterly",5,"Weekly",1)</f>
        <v>4</v>
      </c>
    </row>
    <row r="3238" spans="1:20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  <c r="S3238" t="str">
        <f t="shared" si="50"/>
        <v>Monthly</v>
      </c>
      <c r="T3238" cm="1">
        <f t="array" ref="T3238">_xlfn.SWITCH(S3238,"Annually",6,"Bi-Weekly",2,"Fortnightly",3,"Monthly",4,"Quarterly",5,"Weekly",1)</f>
        <v>4</v>
      </c>
    </row>
    <row r="3239" spans="1:20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  <c r="S3239" t="str">
        <f t="shared" si="50"/>
        <v>Weekly</v>
      </c>
      <c r="T3239" cm="1">
        <f t="array" ref="T3239">_xlfn.SWITCH(S3239,"Annually",6,"Bi-Weekly",2,"Fortnightly",3,"Monthly",4,"Quarterly",5,"Weekly",1)</f>
        <v>1</v>
      </c>
    </row>
    <row r="3240" spans="1:20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  <c r="S3240" t="str">
        <f t="shared" si="50"/>
        <v>Quarterly</v>
      </c>
      <c r="T3240" cm="1">
        <f t="array" ref="T3240">_xlfn.SWITCH(S3240,"Annually",6,"Bi-Weekly",2,"Fortnightly",3,"Monthly",4,"Quarterly",5,"Weekly",1)</f>
        <v>5</v>
      </c>
    </row>
    <row r="3241" spans="1:20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  <c r="S3241" t="str">
        <f t="shared" si="50"/>
        <v>Monthly</v>
      </c>
      <c r="T3241" cm="1">
        <f t="array" ref="T3241">_xlfn.SWITCH(S3241,"Annually",6,"Bi-Weekly",2,"Fortnightly",3,"Monthly",4,"Quarterly",5,"Weekly",1)</f>
        <v>4</v>
      </c>
    </row>
    <row r="3242" spans="1:20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  <c r="S3242" t="str">
        <f t="shared" si="50"/>
        <v>Monthly</v>
      </c>
      <c r="T3242" cm="1">
        <f t="array" ref="T3242">_xlfn.SWITCH(S3242,"Annually",6,"Bi-Weekly",2,"Fortnightly",3,"Monthly",4,"Quarterly",5,"Weekly",1)</f>
        <v>4</v>
      </c>
    </row>
    <row r="3243" spans="1:20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  <c r="S3243" t="str">
        <f t="shared" si="50"/>
        <v>Quarterly</v>
      </c>
      <c r="T3243" cm="1">
        <f t="array" ref="T3243">_xlfn.SWITCH(S3243,"Annually",6,"Bi-Weekly",2,"Fortnightly",3,"Monthly",4,"Quarterly",5,"Weekly",1)</f>
        <v>5</v>
      </c>
    </row>
    <row r="3244" spans="1:20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  <c r="S3244" t="str">
        <f t="shared" si="50"/>
        <v>Weekly</v>
      </c>
      <c r="T3244" cm="1">
        <f t="array" ref="T3244">_xlfn.SWITCH(S3244,"Annually",6,"Bi-Weekly",2,"Fortnightly",3,"Monthly",4,"Quarterly",5,"Weekly",1)</f>
        <v>1</v>
      </c>
    </row>
    <row r="3245" spans="1:20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  <c r="S3245" t="str">
        <f t="shared" si="50"/>
        <v>Quarterly</v>
      </c>
      <c r="T3245" cm="1">
        <f t="array" ref="T3245">_xlfn.SWITCH(S3245,"Annually",6,"Bi-Weekly",2,"Fortnightly",3,"Monthly",4,"Quarterly",5,"Weekly",1)</f>
        <v>5</v>
      </c>
    </row>
    <row r="3246" spans="1:20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  <c r="S3246" t="str">
        <f t="shared" si="50"/>
        <v>Annually</v>
      </c>
      <c r="T3246" cm="1">
        <f t="array" ref="T3246">_xlfn.SWITCH(S3246,"Annually",6,"Bi-Weekly",2,"Fortnightly",3,"Monthly",4,"Quarterly",5,"Weekly",1)</f>
        <v>6</v>
      </c>
    </row>
    <row r="3247" spans="1:20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  <c r="S3247" t="str">
        <f t="shared" si="50"/>
        <v>Weekly</v>
      </c>
      <c r="T3247" cm="1">
        <f t="array" ref="T3247">_xlfn.SWITCH(S3247,"Annually",6,"Bi-Weekly",2,"Fortnightly",3,"Monthly",4,"Quarterly",5,"Weekly",1)</f>
        <v>1</v>
      </c>
    </row>
    <row r="3248" spans="1:20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  <c r="S3248" t="str">
        <f t="shared" si="50"/>
        <v>Monthly</v>
      </c>
      <c r="T3248" cm="1">
        <f t="array" ref="T3248">_xlfn.SWITCH(S3248,"Annually",6,"Bi-Weekly",2,"Fortnightly",3,"Monthly",4,"Quarterly",5,"Weekly",1)</f>
        <v>4</v>
      </c>
    </row>
    <row r="3249" spans="1:20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  <c r="S3249" t="str">
        <f t="shared" si="50"/>
        <v>Fortnightly</v>
      </c>
      <c r="T3249" cm="1">
        <f t="array" ref="T3249">_xlfn.SWITCH(S3249,"Annually",6,"Bi-Weekly",2,"Fortnightly",3,"Monthly",4,"Quarterly",5,"Weekly",1)</f>
        <v>3</v>
      </c>
    </row>
    <row r="3250" spans="1:20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  <c r="S3250" t="str">
        <f t="shared" si="50"/>
        <v>Quarterly</v>
      </c>
      <c r="T3250" cm="1">
        <f t="array" ref="T3250">_xlfn.SWITCH(S3250,"Annually",6,"Bi-Weekly",2,"Fortnightly",3,"Monthly",4,"Quarterly",5,"Weekly",1)</f>
        <v>5</v>
      </c>
    </row>
    <row r="3251" spans="1:20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  <c r="S3251" t="str">
        <f t="shared" si="50"/>
        <v>Quarterly</v>
      </c>
      <c r="T3251" cm="1">
        <f t="array" ref="T3251">_xlfn.SWITCH(S3251,"Annually",6,"Bi-Weekly",2,"Fortnightly",3,"Monthly",4,"Quarterly",5,"Weekly",1)</f>
        <v>5</v>
      </c>
    </row>
    <row r="3252" spans="1:20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  <c r="S3252" t="str">
        <f t="shared" si="50"/>
        <v>Weekly</v>
      </c>
      <c r="T3252" cm="1">
        <f t="array" ref="T3252">_xlfn.SWITCH(S3252,"Annually",6,"Bi-Weekly",2,"Fortnightly",3,"Monthly",4,"Quarterly",5,"Weekly",1)</f>
        <v>1</v>
      </c>
    </row>
    <row r="3253" spans="1:20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  <c r="S3253" t="str">
        <f t="shared" si="50"/>
        <v>Quarterly</v>
      </c>
      <c r="T3253" cm="1">
        <f t="array" ref="T3253">_xlfn.SWITCH(S3253,"Annually",6,"Bi-Weekly",2,"Fortnightly",3,"Monthly",4,"Quarterly",5,"Weekly",1)</f>
        <v>5</v>
      </c>
    </row>
    <row r="3254" spans="1:20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  <c r="S3254" t="str">
        <f t="shared" si="50"/>
        <v>Fortnightly</v>
      </c>
      <c r="T3254" cm="1">
        <f t="array" ref="T3254">_xlfn.SWITCH(S3254,"Annually",6,"Bi-Weekly",2,"Fortnightly",3,"Monthly",4,"Quarterly",5,"Weekly",1)</f>
        <v>3</v>
      </c>
    </row>
    <row r="3255" spans="1:20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  <c r="S3255" t="str">
        <f t="shared" si="50"/>
        <v>Fortnightly</v>
      </c>
      <c r="T3255" cm="1">
        <f t="array" ref="T3255">_xlfn.SWITCH(S3255,"Annually",6,"Bi-Weekly",2,"Fortnightly",3,"Monthly",4,"Quarterly",5,"Weekly",1)</f>
        <v>3</v>
      </c>
    </row>
    <row r="3256" spans="1:20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  <c r="S3256" t="str">
        <f t="shared" si="50"/>
        <v>Quarterly</v>
      </c>
      <c r="T3256" cm="1">
        <f t="array" ref="T3256">_xlfn.SWITCH(S3256,"Annually",6,"Bi-Weekly",2,"Fortnightly",3,"Monthly",4,"Quarterly",5,"Weekly",1)</f>
        <v>5</v>
      </c>
    </row>
    <row r="3257" spans="1:20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  <c r="S3257" t="str">
        <f t="shared" si="50"/>
        <v>Monthly</v>
      </c>
      <c r="T3257" cm="1">
        <f t="array" ref="T3257">_xlfn.SWITCH(S3257,"Annually",6,"Bi-Weekly",2,"Fortnightly",3,"Monthly",4,"Quarterly",5,"Weekly",1)</f>
        <v>4</v>
      </c>
    </row>
    <row r="3258" spans="1:20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  <c r="S3258" t="str">
        <f t="shared" si="50"/>
        <v>Quarterly</v>
      </c>
      <c r="T3258" cm="1">
        <f t="array" ref="T3258">_xlfn.SWITCH(S3258,"Annually",6,"Bi-Weekly",2,"Fortnightly",3,"Monthly",4,"Quarterly",5,"Weekly",1)</f>
        <v>5</v>
      </c>
    </row>
    <row r="3259" spans="1:20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  <c r="S3259" t="str">
        <f t="shared" si="50"/>
        <v>Quarterly</v>
      </c>
      <c r="T3259" cm="1">
        <f t="array" ref="T3259">_xlfn.SWITCH(S3259,"Annually",6,"Bi-Weekly",2,"Fortnightly",3,"Monthly",4,"Quarterly",5,"Weekly",1)</f>
        <v>5</v>
      </c>
    </row>
    <row r="3260" spans="1:20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  <c r="S3260" t="str">
        <f t="shared" si="50"/>
        <v>Bi-Weekly</v>
      </c>
      <c r="T3260" cm="1">
        <f t="array" ref="T3260">_xlfn.SWITCH(S3260,"Annually",6,"Bi-Weekly",2,"Fortnightly",3,"Monthly",4,"Quarterly",5,"Weekly",1)</f>
        <v>2</v>
      </c>
    </row>
    <row r="3261" spans="1:20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  <c r="S3261" t="str">
        <f t="shared" si="50"/>
        <v>Quarterly</v>
      </c>
      <c r="T3261" cm="1">
        <f t="array" ref="T3261">_xlfn.SWITCH(S3261,"Annually",6,"Bi-Weekly",2,"Fortnightly",3,"Monthly",4,"Quarterly",5,"Weekly",1)</f>
        <v>5</v>
      </c>
    </row>
    <row r="3262" spans="1:20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  <c r="S3262" t="str">
        <f t="shared" si="50"/>
        <v>Annually</v>
      </c>
      <c r="T3262" cm="1">
        <f t="array" ref="T3262">_xlfn.SWITCH(S3262,"Annually",6,"Bi-Weekly",2,"Fortnightly",3,"Monthly",4,"Quarterly",5,"Weekly",1)</f>
        <v>6</v>
      </c>
    </row>
    <row r="3263" spans="1:20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  <c r="S3263" t="str">
        <f t="shared" si="50"/>
        <v>Weekly</v>
      </c>
      <c r="T3263" cm="1">
        <f t="array" ref="T3263">_xlfn.SWITCH(S3263,"Annually",6,"Bi-Weekly",2,"Fortnightly",3,"Monthly",4,"Quarterly",5,"Weekly",1)</f>
        <v>1</v>
      </c>
    </row>
    <row r="3264" spans="1:20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  <c r="S3264" t="str">
        <f t="shared" si="50"/>
        <v>Quarterly</v>
      </c>
      <c r="T3264" cm="1">
        <f t="array" ref="T3264">_xlfn.SWITCH(S3264,"Annually",6,"Bi-Weekly",2,"Fortnightly",3,"Monthly",4,"Quarterly",5,"Weekly",1)</f>
        <v>5</v>
      </c>
    </row>
    <row r="3265" spans="1:20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  <c r="S3265" t="str">
        <f t="shared" si="50"/>
        <v>Fortnightly</v>
      </c>
      <c r="T3265" cm="1">
        <f t="array" ref="T3265">_xlfn.SWITCH(S3265,"Annually",6,"Bi-Weekly",2,"Fortnightly",3,"Monthly",4,"Quarterly",5,"Weekly",1)</f>
        <v>3</v>
      </c>
    </row>
    <row r="3266" spans="1:20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  <c r="S3266" t="str">
        <f t="shared" si="50"/>
        <v>Bi-Weekly</v>
      </c>
      <c r="T3266" cm="1">
        <f t="array" ref="T3266">_xlfn.SWITCH(S3266,"Annually",6,"Bi-Weekly",2,"Fortnightly",3,"Monthly",4,"Quarterly",5,"Weekly",1)</f>
        <v>2</v>
      </c>
    </row>
    <row r="3267" spans="1:20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  <c r="S3267" t="str">
        <f t="shared" ref="S3267:S3330" si="51">IF(R3267="Every 3 Months","Quarterly",R3267)</f>
        <v>Fortnightly</v>
      </c>
      <c r="T3267" cm="1">
        <f t="array" ref="T3267">_xlfn.SWITCH(S3267,"Annually",6,"Bi-Weekly",2,"Fortnightly",3,"Monthly",4,"Quarterly",5,"Weekly",1)</f>
        <v>3</v>
      </c>
    </row>
    <row r="3268" spans="1:20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  <c r="S3268" t="str">
        <f t="shared" si="51"/>
        <v>Weekly</v>
      </c>
      <c r="T3268" cm="1">
        <f t="array" ref="T3268">_xlfn.SWITCH(S3268,"Annually",6,"Bi-Weekly",2,"Fortnightly",3,"Monthly",4,"Quarterly",5,"Weekly",1)</f>
        <v>1</v>
      </c>
    </row>
    <row r="3269" spans="1:20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  <c r="S3269" t="str">
        <f t="shared" si="51"/>
        <v>Quarterly</v>
      </c>
      <c r="T3269" cm="1">
        <f t="array" ref="T3269">_xlfn.SWITCH(S3269,"Annually",6,"Bi-Weekly",2,"Fortnightly",3,"Monthly",4,"Quarterly",5,"Weekly",1)</f>
        <v>5</v>
      </c>
    </row>
    <row r="3270" spans="1:20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  <c r="S3270" t="str">
        <f t="shared" si="51"/>
        <v>Quarterly</v>
      </c>
      <c r="T3270" cm="1">
        <f t="array" ref="T3270">_xlfn.SWITCH(S3270,"Annually",6,"Bi-Weekly",2,"Fortnightly",3,"Monthly",4,"Quarterly",5,"Weekly",1)</f>
        <v>5</v>
      </c>
    </row>
    <row r="3271" spans="1:20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  <c r="S3271" t="str">
        <f t="shared" si="51"/>
        <v>Monthly</v>
      </c>
      <c r="T3271" cm="1">
        <f t="array" ref="T3271">_xlfn.SWITCH(S3271,"Annually",6,"Bi-Weekly",2,"Fortnightly",3,"Monthly",4,"Quarterly",5,"Weekly",1)</f>
        <v>4</v>
      </c>
    </row>
    <row r="3272" spans="1:20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  <c r="S3272" t="str">
        <f t="shared" si="51"/>
        <v>Annually</v>
      </c>
      <c r="T3272" cm="1">
        <f t="array" ref="T3272">_xlfn.SWITCH(S3272,"Annually",6,"Bi-Weekly",2,"Fortnightly",3,"Monthly",4,"Quarterly",5,"Weekly",1)</f>
        <v>6</v>
      </c>
    </row>
    <row r="3273" spans="1:20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  <c r="S3273" t="str">
        <f t="shared" si="51"/>
        <v>Weekly</v>
      </c>
      <c r="T3273" cm="1">
        <f t="array" ref="T3273">_xlfn.SWITCH(S3273,"Annually",6,"Bi-Weekly",2,"Fortnightly",3,"Monthly",4,"Quarterly",5,"Weekly",1)</f>
        <v>1</v>
      </c>
    </row>
    <row r="3274" spans="1:20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  <c r="S3274" t="str">
        <f t="shared" si="51"/>
        <v>Quarterly</v>
      </c>
      <c r="T3274" cm="1">
        <f t="array" ref="T3274">_xlfn.SWITCH(S3274,"Annually",6,"Bi-Weekly",2,"Fortnightly",3,"Monthly",4,"Quarterly",5,"Weekly",1)</f>
        <v>5</v>
      </c>
    </row>
    <row r="3275" spans="1:20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  <c r="S3275" t="str">
        <f t="shared" si="51"/>
        <v>Quarterly</v>
      </c>
      <c r="T3275" cm="1">
        <f t="array" ref="T3275">_xlfn.SWITCH(S3275,"Annually",6,"Bi-Weekly",2,"Fortnightly",3,"Monthly",4,"Quarterly",5,"Weekly",1)</f>
        <v>5</v>
      </c>
    </row>
    <row r="3276" spans="1:20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  <c r="S3276" t="str">
        <f t="shared" si="51"/>
        <v>Fortnightly</v>
      </c>
      <c r="T3276" cm="1">
        <f t="array" ref="T3276">_xlfn.SWITCH(S3276,"Annually",6,"Bi-Weekly",2,"Fortnightly",3,"Monthly",4,"Quarterly",5,"Weekly",1)</f>
        <v>3</v>
      </c>
    </row>
    <row r="3277" spans="1:20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  <c r="S3277" t="str">
        <f t="shared" si="51"/>
        <v>Weekly</v>
      </c>
      <c r="T3277" cm="1">
        <f t="array" ref="T3277">_xlfn.SWITCH(S3277,"Annually",6,"Bi-Weekly",2,"Fortnightly",3,"Monthly",4,"Quarterly",5,"Weekly",1)</f>
        <v>1</v>
      </c>
    </row>
    <row r="3278" spans="1:20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  <c r="S3278" t="str">
        <f t="shared" si="51"/>
        <v>Quarterly</v>
      </c>
      <c r="T3278" cm="1">
        <f t="array" ref="T3278">_xlfn.SWITCH(S3278,"Annually",6,"Bi-Weekly",2,"Fortnightly",3,"Monthly",4,"Quarterly",5,"Weekly",1)</f>
        <v>5</v>
      </c>
    </row>
    <row r="3279" spans="1:20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  <c r="S3279" t="str">
        <f t="shared" si="51"/>
        <v>Monthly</v>
      </c>
      <c r="T3279" cm="1">
        <f t="array" ref="T3279">_xlfn.SWITCH(S3279,"Annually",6,"Bi-Weekly",2,"Fortnightly",3,"Monthly",4,"Quarterly",5,"Weekly",1)</f>
        <v>4</v>
      </c>
    </row>
    <row r="3280" spans="1:20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  <c r="S3280" t="str">
        <f t="shared" si="51"/>
        <v>Weekly</v>
      </c>
      <c r="T3280" cm="1">
        <f t="array" ref="T3280">_xlfn.SWITCH(S3280,"Annually",6,"Bi-Weekly",2,"Fortnightly",3,"Monthly",4,"Quarterly",5,"Weekly",1)</f>
        <v>1</v>
      </c>
    </row>
    <row r="3281" spans="1:20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  <c r="S3281" t="str">
        <f t="shared" si="51"/>
        <v>Fortnightly</v>
      </c>
      <c r="T3281" cm="1">
        <f t="array" ref="T3281">_xlfn.SWITCH(S3281,"Annually",6,"Bi-Weekly",2,"Fortnightly",3,"Monthly",4,"Quarterly",5,"Weekly",1)</f>
        <v>3</v>
      </c>
    </row>
    <row r="3282" spans="1:20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  <c r="S3282" t="str">
        <f t="shared" si="51"/>
        <v>Monthly</v>
      </c>
      <c r="T3282" cm="1">
        <f t="array" ref="T3282">_xlfn.SWITCH(S3282,"Annually",6,"Bi-Weekly",2,"Fortnightly",3,"Monthly",4,"Quarterly",5,"Weekly",1)</f>
        <v>4</v>
      </c>
    </row>
    <row r="3283" spans="1:20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  <c r="S3283" t="str">
        <f t="shared" si="51"/>
        <v>Annually</v>
      </c>
      <c r="T3283" cm="1">
        <f t="array" ref="T3283">_xlfn.SWITCH(S3283,"Annually",6,"Bi-Weekly",2,"Fortnightly",3,"Monthly",4,"Quarterly",5,"Weekly",1)</f>
        <v>6</v>
      </c>
    </row>
    <row r="3284" spans="1:20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  <c r="S3284" t="str">
        <f t="shared" si="51"/>
        <v>Monthly</v>
      </c>
      <c r="T3284" cm="1">
        <f t="array" ref="T3284">_xlfn.SWITCH(S3284,"Annually",6,"Bi-Weekly",2,"Fortnightly",3,"Monthly",4,"Quarterly",5,"Weekly",1)</f>
        <v>4</v>
      </c>
    </row>
    <row r="3285" spans="1:20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  <c r="S3285" t="str">
        <f t="shared" si="51"/>
        <v>Quarterly</v>
      </c>
      <c r="T3285" cm="1">
        <f t="array" ref="T3285">_xlfn.SWITCH(S3285,"Annually",6,"Bi-Weekly",2,"Fortnightly",3,"Monthly",4,"Quarterly",5,"Weekly",1)</f>
        <v>5</v>
      </c>
    </row>
    <row r="3286" spans="1:20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  <c r="S3286" t="str">
        <f t="shared" si="51"/>
        <v>Annually</v>
      </c>
      <c r="T3286" cm="1">
        <f t="array" ref="T3286">_xlfn.SWITCH(S3286,"Annually",6,"Bi-Weekly",2,"Fortnightly",3,"Monthly",4,"Quarterly",5,"Weekly",1)</f>
        <v>6</v>
      </c>
    </row>
    <row r="3287" spans="1:20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  <c r="S3287" t="str">
        <f t="shared" si="51"/>
        <v>Weekly</v>
      </c>
      <c r="T3287" cm="1">
        <f t="array" ref="T3287">_xlfn.SWITCH(S3287,"Annually",6,"Bi-Weekly",2,"Fortnightly",3,"Monthly",4,"Quarterly",5,"Weekly",1)</f>
        <v>1</v>
      </c>
    </row>
    <row r="3288" spans="1:20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  <c r="S3288" t="str">
        <f t="shared" si="51"/>
        <v>Fortnightly</v>
      </c>
      <c r="T3288" cm="1">
        <f t="array" ref="T3288">_xlfn.SWITCH(S3288,"Annually",6,"Bi-Weekly",2,"Fortnightly",3,"Monthly",4,"Quarterly",5,"Weekly",1)</f>
        <v>3</v>
      </c>
    </row>
    <row r="3289" spans="1:20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  <c r="S3289" t="str">
        <f t="shared" si="51"/>
        <v>Weekly</v>
      </c>
      <c r="T3289" cm="1">
        <f t="array" ref="T3289">_xlfn.SWITCH(S3289,"Annually",6,"Bi-Weekly",2,"Fortnightly",3,"Monthly",4,"Quarterly",5,"Weekly",1)</f>
        <v>1</v>
      </c>
    </row>
    <row r="3290" spans="1:20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  <c r="S3290" t="str">
        <f t="shared" si="51"/>
        <v>Bi-Weekly</v>
      </c>
      <c r="T3290" cm="1">
        <f t="array" ref="T3290">_xlfn.SWITCH(S3290,"Annually",6,"Bi-Weekly",2,"Fortnightly",3,"Monthly",4,"Quarterly",5,"Weekly",1)</f>
        <v>2</v>
      </c>
    </row>
    <row r="3291" spans="1:20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  <c r="S3291" t="str">
        <f t="shared" si="51"/>
        <v>Quarterly</v>
      </c>
      <c r="T3291" cm="1">
        <f t="array" ref="T3291">_xlfn.SWITCH(S3291,"Annually",6,"Bi-Weekly",2,"Fortnightly",3,"Monthly",4,"Quarterly",5,"Weekly",1)</f>
        <v>5</v>
      </c>
    </row>
    <row r="3292" spans="1:20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  <c r="S3292" t="str">
        <f t="shared" si="51"/>
        <v>Monthly</v>
      </c>
      <c r="T3292" cm="1">
        <f t="array" ref="T3292">_xlfn.SWITCH(S3292,"Annually",6,"Bi-Weekly",2,"Fortnightly",3,"Monthly",4,"Quarterly",5,"Weekly",1)</f>
        <v>4</v>
      </c>
    </row>
    <row r="3293" spans="1:20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  <c r="S3293" t="str">
        <f t="shared" si="51"/>
        <v>Monthly</v>
      </c>
      <c r="T3293" cm="1">
        <f t="array" ref="T3293">_xlfn.SWITCH(S3293,"Annually",6,"Bi-Weekly",2,"Fortnightly",3,"Monthly",4,"Quarterly",5,"Weekly",1)</f>
        <v>4</v>
      </c>
    </row>
    <row r="3294" spans="1:20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  <c r="S3294" t="str">
        <f t="shared" si="51"/>
        <v>Fortnightly</v>
      </c>
      <c r="T3294" cm="1">
        <f t="array" ref="T3294">_xlfn.SWITCH(S3294,"Annually",6,"Bi-Weekly",2,"Fortnightly",3,"Monthly",4,"Quarterly",5,"Weekly",1)</f>
        <v>3</v>
      </c>
    </row>
    <row r="3295" spans="1:20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  <c r="S3295" t="str">
        <f t="shared" si="51"/>
        <v>Fortnightly</v>
      </c>
      <c r="T3295" cm="1">
        <f t="array" ref="T3295">_xlfn.SWITCH(S3295,"Annually",6,"Bi-Weekly",2,"Fortnightly",3,"Monthly",4,"Quarterly",5,"Weekly",1)</f>
        <v>3</v>
      </c>
    </row>
    <row r="3296" spans="1:20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  <c r="S3296" t="str">
        <f t="shared" si="51"/>
        <v>Bi-Weekly</v>
      </c>
      <c r="T3296" cm="1">
        <f t="array" ref="T3296">_xlfn.SWITCH(S3296,"Annually",6,"Bi-Weekly",2,"Fortnightly",3,"Monthly",4,"Quarterly",5,"Weekly",1)</f>
        <v>2</v>
      </c>
    </row>
    <row r="3297" spans="1:20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  <c r="S3297" t="str">
        <f t="shared" si="51"/>
        <v>Weekly</v>
      </c>
      <c r="T3297" cm="1">
        <f t="array" ref="T3297">_xlfn.SWITCH(S3297,"Annually",6,"Bi-Weekly",2,"Fortnightly",3,"Monthly",4,"Quarterly",5,"Weekly",1)</f>
        <v>1</v>
      </c>
    </row>
    <row r="3298" spans="1:20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  <c r="S3298" t="str">
        <f t="shared" si="51"/>
        <v>Quarterly</v>
      </c>
      <c r="T3298" cm="1">
        <f t="array" ref="T3298">_xlfn.SWITCH(S3298,"Annually",6,"Bi-Weekly",2,"Fortnightly",3,"Monthly",4,"Quarterly",5,"Weekly",1)</f>
        <v>5</v>
      </c>
    </row>
    <row r="3299" spans="1:20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  <c r="S3299" t="str">
        <f t="shared" si="51"/>
        <v>Monthly</v>
      </c>
      <c r="T3299" cm="1">
        <f t="array" ref="T3299">_xlfn.SWITCH(S3299,"Annually",6,"Bi-Weekly",2,"Fortnightly",3,"Monthly",4,"Quarterly",5,"Weekly",1)</f>
        <v>4</v>
      </c>
    </row>
    <row r="3300" spans="1:20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  <c r="S3300" t="str">
        <f t="shared" si="51"/>
        <v>Quarterly</v>
      </c>
      <c r="T3300" cm="1">
        <f t="array" ref="T3300">_xlfn.SWITCH(S3300,"Annually",6,"Bi-Weekly",2,"Fortnightly",3,"Monthly",4,"Quarterly",5,"Weekly",1)</f>
        <v>5</v>
      </c>
    </row>
    <row r="3301" spans="1:20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  <c r="S3301" t="str">
        <f t="shared" si="51"/>
        <v>Monthly</v>
      </c>
      <c r="T3301" cm="1">
        <f t="array" ref="T3301">_xlfn.SWITCH(S3301,"Annually",6,"Bi-Weekly",2,"Fortnightly",3,"Monthly",4,"Quarterly",5,"Weekly",1)</f>
        <v>4</v>
      </c>
    </row>
    <row r="3302" spans="1:20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  <c r="S3302" t="str">
        <f t="shared" si="51"/>
        <v>Bi-Weekly</v>
      </c>
      <c r="T3302" cm="1">
        <f t="array" ref="T3302">_xlfn.SWITCH(S3302,"Annually",6,"Bi-Weekly",2,"Fortnightly",3,"Monthly",4,"Quarterly",5,"Weekly",1)</f>
        <v>2</v>
      </c>
    </row>
    <row r="3303" spans="1:20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  <c r="S3303" t="str">
        <f t="shared" si="51"/>
        <v>Fortnightly</v>
      </c>
      <c r="T3303" cm="1">
        <f t="array" ref="T3303">_xlfn.SWITCH(S3303,"Annually",6,"Bi-Weekly",2,"Fortnightly",3,"Monthly",4,"Quarterly",5,"Weekly",1)</f>
        <v>3</v>
      </c>
    </row>
    <row r="3304" spans="1:20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  <c r="S3304" t="str">
        <f t="shared" si="51"/>
        <v>Bi-Weekly</v>
      </c>
      <c r="T3304" cm="1">
        <f t="array" ref="T3304">_xlfn.SWITCH(S3304,"Annually",6,"Bi-Weekly",2,"Fortnightly",3,"Monthly",4,"Quarterly",5,"Weekly",1)</f>
        <v>2</v>
      </c>
    </row>
    <row r="3305" spans="1:20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  <c r="S3305" t="str">
        <f t="shared" si="51"/>
        <v>Fortnightly</v>
      </c>
      <c r="T3305" cm="1">
        <f t="array" ref="T3305">_xlfn.SWITCH(S3305,"Annually",6,"Bi-Weekly",2,"Fortnightly",3,"Monthly",4,"Quarterly",5,"Weekly",1)</f>
        <v>3</v>
      </c>
    </row>
    <row r="3306" spans="1:20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  <c r="S3306" t="str">
        <f t="shared" si="51"/>
        <v>Quarterly</v>
      </c>
      <c r="T3306" cm="1">
        <f t="array" ref="T3306">_xlfn.SWITCH(S3306,"Annually",6,"Bi-Weekly",2,"Fortnightly",3,"Monthly",4,"Quarterly",5,"Weekly",1)</f>
        <v>5</v>
      </c>
    </row>
    <row r="3307" spans="1:20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  <c r="S3307" t="str">
        <f t="shared" si="51"/>
        <v>Bi-Weekly</v>
      </c>
      <c r="T3307" cm="1">
        <f t="array" ref="T3307">_xlfn.SWITCH(S3307,"Annually",6,"Bi-Weekly",2,"Fortnightly",3,"Monthly",4,"Quarterly",5,"Weekly",1)</f>
        <v>2</v>
      </c>
    </row>
    <row r="3308" spans="1:20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  <c r="S3308" t="str">
        <f t="shared" si="51"/>
        <v>Fortnightly</v>
      </c>
      <c r="T3308" cm="1">
        <f t="array" ref="T3308">_xlfn.SWITCH(S3308,"Annually",6,"Bi-Weekly",2,"Fortnightly",3,"Monthly",4,"Quarterly",5,"Weekly",1)</f>
        <v>3</v>
      </c>
    </row>
    <row r="3309" spans="1:20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  <c r="S3309" t="str">
        <f t="shared" si="51"/>
        <v>Monthly</v>
      </c>
      <c r="T3309" cm="1">
        <f t="array" ref="T3309">_xlfn.SWITCH(S3309,"Annually",6,"Bi-Weekly",2,"Fortnightly",3,"Monthly",4,"Quarterly",5,"Weekly",1)</f>
        <v>4</v>
      </c>
    </row>
    <row r="3310" spans="1:20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  <c r="S3310" t="str">
        <f t="shared" si="51"/>
        <v>Monthly</v>
      </c>
      <c r="T3310" cm="1">
        <f t="array" ref="T3310">_xlfn.SWITCH(S3310,"Annually",6,"Bi-Weekly",2,"Fortnightly",3,"Monthly",4,"Quarterly",5,"Weekly",1)</f>
        <v>4</v>
      </c>
    </row>
    <row r="3311" spans="1:20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  <c r="S3311" t="str">
        <f t="shared" si="51"/>
        <v>Monthly</v>
      </c>
      <c r="T3311" cm="1">
        <f t="array" ref="T3311">_xlfn.SWITCH(S3311,"Annually",6,"Bi-Weekly",2,"Fortnightly",3,"Monthly",4,"Quarterly",5,"Weekly",1)</f>
        <v>4</v>
      </c>
    </row>
    <row r="3312" spans="1:20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  <c r="S3312" t="str">
        <f t="shared" si="51"/>
        <v>Fortnightly</v>
      </c>
      <c r="T3312" cm="1">
        <f t="array" ref="T3312">_xlfn.SWITCH(S3312,"Annually",6,"Bi-Weekly",2,"Fortnightly",3,"Monthly",4,"Quarterly",5,"Weekly",1)</f>
        <v>3</v>
      </c>
    </row>
    <row r="3313" spans="1:20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  <c r="S3313" t="str">
        <f t="shared" si="51"/>
        <v>Annually</v>
      </c>
      <c r="T3313" cm="1">
        <f t="array" ref="T3313">_xlfn.SWITCH(S3313,"Annually",6,"Bi-Weekly",2,"Fortnightly",3,"Monthly",4,"Quarterly",5,"Weekly",1)</f>
        <v>6</v>
      </c>
    </row>
    <row r="3314" spans="1:20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  <c r="S3314" t="str">
        <f t="shared" si="51"/>
        <v>Quarterly</v>
      </c>
      <c r="T3314" cm="1">
        <f t="array" ref="T3314">_xlfn.SWITCH(S3314,"Annually",6,"Bi-Weekly",2,"Fortnightly",3,"Monthly",4,"Quarterly",5,"Weekly",1)</f>
        <v>5</v>
      </c>
    </row>
    <row r="3315" spans="1:20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  <c r="S3315" t="str">
        <f t="shared" si="51"/>
        <v>Monthly</v>
      </c>
      <c r="T3315" cm="1">
        <f t="array" ref="T3315">_xlfn.SWITCH(S3315,"Annually",6,"Bi-Weekly",2,"Fortnightly",3,"Monthly",4,"Quarterly",5,"Weekly",1)</f>
        <v>4</v>
      </c>
    </row>
    <row r="3316" spans="1:20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  <c r="S3316" t="str">
        <f t="shared" si="51"/>
        <v>Quarterly</v>
      </c>
      <c r="T3316" cm="1">
        <f t="array" ref="T3316">_xlfn.SWITCH(S3316,"Annually",6,"Bi-Weekly",2,"Fortnightly",3,"Monthly",4,"Quarterly",5,"Weekly",1)</f>
        <v>5</v>
      </c>
    </row>
    <row r="3317" spans="1:20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  <c r="S3317" t="str">
        <f t="shared" si="51"/>
        <v>Quarterly</v>
      </c>
      <c r="T3317" cm="1">
        <f t="array" ref="T3317">_xlfn.SWITCH(S3317,"Annually",6,"Bi-Weekly",2,"Fortnightly",3,"Monthly",4,"Quarterly",5,"Weekly",1)</f>
        <v>5</v>
      </c>
    </row>
    <row r="3318" spans="1:20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  <c r="S3318" t="str">
        <f t="shared" si="51"/>
        <v>Fortnightly</v>
      </c>
      <c r="T3318" cm="1">
        <f t="array" ref="T3318">_xlfn.SWITCH(S3318,"Annually",6,"Bi-Weekly",2,"Fortnightly",3,"Monthly",4,"Quarterly",5,"Weekly",1)</f>
        <v>3</v>
      </c>
    </row>
    <row r="3319" spans="1:20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  <c r="S3319" t="str">
        <f t="shared" si="51"/>
        <v>Quarterly</v>
      </c>
      <c r="T3319" cm="1">
        <f t="array" ref="T3319">_xlfn.SWITCH(S3319,"Annually",6,"Bi-Weekly",2,"Fortnightly",3,"Monthly",4,"Quarterly",5,"Weekly",1)</f>
        <v>5</v>
      </c>
    </row>
    <row r="3320" spans="1:20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  <c r="S3320" t="str">
        <f t="shared" si="51"/>
        <v>Monthly</v>
      </c>
      <c r="T3320" cm="1">
        <f t="array" ref="T3320">_xlfn.SWITCH(S3320,"Annually",6,"Bi-Weekly",2,"Fortnightly",3,"Monthly",4,"Quarterly",5,"Weekly",1)</f>
        <v>4</v>
      </c>
    </row>
    <row r="3321" spans="1:20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  <c r="S3321" t="str">
        <f t="shared" si="51"/>
        <v>Quarterly</v>
      </c>
      <c r="T3321" cm="1">
        <f t="array" ref="T3321">_xlfn.SWITCH(S3321,"Annually",6,"Bi-Weekly",2,"Fortnightly",3,"Monthly",4,"Quarterly",5,"Weekly",1)</f>
        <v>5</v>
      </c>
    </row>
    <row r="3322" spans="1:20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  <c r="S3322" t="str">
        <f t="shared" si="51"/>
        <v>Quarterly</v>
      </c>
      <c r="T3322" cm="1">
        <f t="array" ref="T3322">_xlfn.SWITCH(S3322,"Annually",6,"Bi-Weekly",2,"Fortnightly",3,"Monthly",4,"Quarterly",5,"Weekly",1)</f>
        <v>5</v>
      </c>
    </row>
    <row r="3323" spans="1:20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  <c r="S3323" t="str">
        <f t="shared" si="51"/>
        <v>Annually</v>
      </c>
      <c r="T3323" cm="1">
        <f t="array" ref="T3323">_xlfn.SWITCH(S3323,"Annually",6,"Bi-Weekly",2,"Fortnightly",3,"Monthly",4,"Quarterly",5,"Weekly",1)</f>
        <v>6</v>
      </c>
    </row>
    <row r="3324" spans="1:20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  <c r="S3324" t="str">
        <f t="shared" si="51"/>
        <v>Weekly</v>
      </c>
      <c r="T3324" cm="1">
        <f t="array" ref="T3324">_xlfn.SWITCH(S3324,"Annually",6,"Bi-Weekly",2,"Fortnightly",3,"Monthly",4,"Quarterly",5,"Weekly",1)</f>
        <v>1</v>
      </c>
    </row>
    <row r="3325" spans="1:20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  <c r="S3325" t="str">
        <f t="shared" si="51"/>
        <v>Monthly</v>
      </c>
      <c r="T3325" cm="1">
        <f t="array" ref="T3325">_xlfn.SWITCH(S3325,"Annually",6,"Bi-Weekly",2,"Fortnightly",3,"Monthly",4,"Quarterly",5,"Weekly",1)</f>
        <v>4</v>
      </c>
    </row>
    <row r="3326" spans="1:20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  <c r="S3326" t="str">
        <f t="shared" si="51"/>
        <v>Weekly</v>
      </c>
      <c r="T3326" cm="1">
        <f t="array" ref="T3326">_xlfn.SWITCH(S3326,"Annually",6,"Bi-Weekly",2,"Fortnightly",3,"Monthly",4,"Quarterly",5,"Weekly",1)</f>
        <v>1</v>
      </c>
    </row>
    <row r="3327" spans="1:20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  <c r="S3327" t="str">
        <f t="shared" si="51"/>
        <v>Monthly</v>
      </c>
      <c r="T3327" cm="1">
        <f t="array" ref="T3327">_xlfn.SWITCH(S3327,"Annually",6,"Bi-Weekly",2,"Fortnightly",3,"Monthly",4,"Quarterly",5,"Weekly",1)</f>
        <v>4</v>
      </c>
    </row>
    <row r="3328" spans="1:20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  <c r="S3328" t="str">
        <f t="shared" si="51"/>
        <v>Annually</v>
      </c>
      <c r="T3328" cm="1">
        <f t="array" ref="T3328">_xlfn.SWITCH(S3328,"Annually",6,"Bi-Weekly",2,"Fortnightly",3,"Monthly",4,"Quarterly",5,"Weekly",1)</f>
        <v>6</v>
      </c>
    </row>
    <row r="3329" spans="1:20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  <c r="S3329" t="str">
        <f t="shared" si="51"/>
        <v>Quarterly</v>
      </c>
      <c r="T3329" cm="1">
        <f t="array" ref="T3329">_xlfn.SWITCH(S3329,"Annually",6,"Bi-Weekly",2,"Fortnightly",3,"Monthly",4,"Quarterly",5,"Weekly",1)</f>
        <v>5</v>
      </c>
    </row>
    <row r="3330" spans="1:20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  <c r="S3330" t="str">
        <f t="shared" si="51"/>
        <v>Bi-Weekly</v>
      </c>
      <c r="T3330" cm="1">
        <f t="array" ref="T3330">_xlfn.SWITCH(S3330,"Annually",6,"Bi-Weekly",2,"Fortnightly",3,"Monthly",4,"Quarterly",5,"Weekly",1)</f>
        <v>2</v>
      </c>
    </row>
    <row r="3331" spans="1:20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  <c r="S3331" t="str">
        <f t="shared" ref="S3331:S3394" si="52">IF(R3331="Every 3 Months","Quarterly",R3331)</f>
        <v>Bi-Weekly</v>
      </c>
      <c r="T3331" cm="1">
        <f t="array" ref="T3331">_xlfn.SWITCH(S3331,"Annually",6,"Bi-Weekly",2,"Fortnightly",3,"Monthly",4,"Quarterly",5,"Weekly",1)</f>
        <v>2</v>
      </c>
    </row>
    <row r="3332" spans="1:20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  <c r="S3332" t="str">
        <f t="shared" si="52"/>
        <v>Quarterly</v>
      </c>
      <c r="T3332" cm="1">
        <f t="array" ref="T3332">_xlfn.SWITCH(S3332,"Annually",6,"Bi-Weekly",2,"Fortnightly",3,"Monthly",4,"Quarterly",5,"Weekly",1)</f>
        <v>5</v>
      </c>
    </row>
    <row r="3333" spans="1:20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  <c r="S3333" t="str">
        <f t="shared" si="52"/>
        <v>Quarterly</v>
      </c>
      <c r="T3333" cm="1">
        <f t="array" ref="T3333">_xlfn.SWITCH(S3333,"Annually",6,"Bi-Weekly",2,"Fortnightly",3,"Monthly",4,"Quarterly",5,"Weekly",1)</f>
        <v>5</v>
      </c>
    </row>
    <row r="3334" spans="1:20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  <c r="S3334" t="str">
        <f t="shared" si="52"/>
        <v>Bi-Weekly</v>
      </c>
      <c r="T3334" cm="1">
        <f t="array" ref="T3334">_xlfn.SWITCH(S3334,"Annually",6,"Bi-Weekly",2,"Fortnightly",3,"Monthly",4,"Quarterly",5,"Weekly",1)</f>
        <v>2</v>
      </c>
    </row>
    <row r="3335" spans="1:20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  <c r="S3335" t="str">
        <f t="shared" si="52"/>
        <v>Monthly</v>
      </c>
      <c r="T3335" cm="1">
        <f t="array" ref="T3335">_xlfn.SWITCH(S3335,"Annually",6,"Bi-Weekly",2,"Fortnightly",3,"Monthly",4,"Quarterly",5,"Weekly",1)</f>
        <v>4</v>
      </c>
    </row>
    <row r="3336" spans="1:20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  <c r="S3336" t="str">
        <f t="shared" si="52"/>
        <v>Annually</v>
      </c>
      <c r="T3336" cm="1">
        <f t="array" ref="T3336">_xlfn.SWITCH(S3336,"Annually",6,"Bi-Weekly",2,"Fortnightly",3,"Monthly",4,"Quarterly",5,"Weekly",1)</f>
        <v>6</v>
      </c>
    </row>
    <row r="3337" spans="1:20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  <c r="S3337" t="str">
        <f t="shared" si="52"/>
        <v>Quarterly</v>
      </c>
      <c r="T3337" cm="1">
        <f t="array" ref="T3337">_xlfn.SWITCH(S3337,"Annually",6,"Bi-Weekly",2,"Fortnightly",3,"Monthly",4,"Quarterly",5,"Weekly",1)</f>
        <v>5</v>
      </c>
    </row>
    <row r="3338" spans="1:20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  <c r="S3338" t="str">
        <f t="shared" si="52"/>
        <v>Annually</v>
      </c>
      <c r="T3338" cm="1">
        <f t="array" ref="T3338">_xlfn.SWITCH(S3338,"Annually",6,"Bi-Weekly",2,"Fortnightly",3,"Monthly",4,"Quarterly",5,"Weekly",1)</f>
        <v>6</v>
      </c>
    </row>
    <row r="3339" spans="1:20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  <c r="S3339" t="str">
        <f t="shared" si="52"/>
        <v>Bi-Weekly</v>
      </c>
      <c r="T3339" cm="1">
        <f t="array" ref="T3339">_xlfn.SWITCH(S3339,"Annually",6,"Bi-Weekly",2,"Fortnightly",3,"Monthly",4,"Quarterly",5,"Weekly",1)</f>
        <v>2</v>
      </c>
    </row>
    <row r="3340" spans="1:20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  <c r="S3340" t="str">
        <f t="shared" si="52"/>
        <v>Monthly</v>
      </c>
      <c r="T3340" cm="1">
        <f t="array" ref="T3340">_xlfn.SWITCH(S3340,"Annually",6,"Bi-Weekly",2,"Fortnightly",3,"Monthly",4,"Quarterly",5,"Weekly",1)</f>
        <v>4</v>
      </c>
    </row>
    <row r="3341" spans="1:20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  <c r="S3341" t="str">
        <f t="shared" si="52"/>
        <v>Fortnightly</v>
      </c>
      <c r="T3341" cm="1">
        <f t="array" ref="T3341">_xlfn.SWITCH(S3341,"Annually",6,"Bi-Weekly",2,"Fortnightly",3,"Monthly",4,"Quarterly",5,"Weekly",1)</f>
        <v>3</v>
      </c>
    </row>
    <row r="3342" spans="1:20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  <c r="S3342" t="str">
        <f t="shared" si="52"/>
        <v>Fortnightly</v>
      </c>
      <c r="T3342" cm="1">
        <f t="array" ref="T3342">_xlfn.SWITCH(S3342,"Annually",6,"Bi-Weekly",2,"Fortnightly",3,"Monthly",4,"Quarterly",5,"Weekly",1)</f>
        <v>3</v>
      </c>
    </row>
    <row r="3343" spans="1:20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  <c r="S3343" t="str">
        <f t="shared" si="52"/>
        <v>Monthly</v>
      </c>
      <c r="T3343" cm="1">
        <f t="array" ref="T3343">_xlfn.SWITCH(S3343,"Annually",6,"Bi-Weekly",2,"Fortnightly",3,"Monthly",4,"Quarterly",5,"Weekly",1)</f>
        <v>4</v>
      </c>
    </row>
    <row r="3344" spans="1:20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  <c r="S3344" t="str">
        <f t="shared" si="52"/>
        <v>Weekly</v>
      </c>
      <c r="T3344" cm="1">
        <f t="array" ref="T3344">_xlfn.SWITCH(S3344,"Annually",6,"Bi-Weekly",2,"Fortnightly",3,"Monthly",4,"Quarterly",5,"Weekly",1)</f>
        <v>1</v>
      </c>
    </row>
    <row r="3345" spans="1:20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  <c r="S3345" t="str">
        <f t="shared" si="52"/>
        <v>Bi-Weekly</v>
      </c>
      <c r="T3345" cm="1">
        <f t="array" ref="T3345">_xlfn.SWITCH(S3345,"Annually",6,"Bi-Weekly",2,"Fortnightly",3,"Monthly",4,"Quarterly",5,"Weekly",1)</f>
        <v>2</v>
      </c>
    </row>
    <row r="3346" spans="1:20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  <c r="S3346" t="str">
        <f t="shared" si="52"/>
        <v>Annually</v>
      </c>
      <c r="T3346" cm="1">
        <f t="array" ref="T3346">_xlfn.SWITCH(S3346,"Annually",6,"Bi-Weekly",2,"Fortnightly",3,"Monthly",4,"Quarterly",5,"Weekly",1)</f>
        <v>6</v>
      </c>
    </row>
    <row r="3347" spans="1:20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  <c r="S3347" t="str">
        <f t="shared" si="52"/>
        <v>Bi-Weekly</v>
      </c>
      <c r="T3347" cm="1">
        <f t="array" ref="T3347">_xlfn.SWITCH(S3347,"Annually",6,"Bi-Weekly",2,"Fortnightly",3,"Monthly",4,"Quarterly",5,"Weekly",1)</f>
        <v>2</v>
      </c>
    </row>
    <row r="3348" spans="1:20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  <c r="S3348" t="str">
        <f t="shared" si="52"/>
        <v>Quarterly</v>
      </c>
      <c r="T3348" cm="1">
        <f t="array" ref="T3348">_xlfn.SWITCH(S3348,"Annually",6,"Bi-Weekly",2,"Fortnightly",3,"Monthly",4,"Quarterly",5,"Weekly",1)</f>
        <v>5</v>
      </c>
    </row>
    <row r="3349" spans="1:20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  <c r="S3349" t="str">
        <f t="shared" si="52"/>
        <v>Bi-Weekly</v>
      </c>
      <c r="T3349" cm="1">
        <f t="array" ref="T3349">_xlfn.SWITCH(S3349,"Annually",6,"Bi-Weekly",2,"Fortnightly",3,"Monthly",4,"Quarterly",5,"Weekly",1)</f>
        <v>2</v>
      </c>
    </row>
    <row r="3350" spans="1:20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  <c r="S3350" t="str">
        <f t="shared" si="52"/>
        <v>Quarterly</v>
      </c>
      <c r="T3350" cm="1">
        <f t="array" ref="T3350">_xlfn.SWITCH(S3350,"Annually",6,"Bi-Weekly",2,"Fortnightly",3,"Monthly",4,"Quarterly",5,"Weekly",1)</f>
        <v>5</v>
      </c>
    </row>
    <row r="3351" spans="1:20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  <c r="S3351" t="str">
        <f t="shared" si="52"/>
        <v>Quarterly</v>
      </c>
      <c r="T3351" cm="1">
        <f t="array" ref="T3351">_xlfn.SWITCH(S3351,"Annually",6,"Bi-Weekly",2,"Fortnightly",3,"Monthly",4,"Quarterly",5,"Weekly",1)</f>
        <v>5</v>
      </c>
    </row>
    <row r="3352" spans="1:20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  <c r="S3352" t="str">
        <f t="shared" si="52"/>
        <v>Bi-Weekly</v>
      </c>
      <c r="T3352" cm="1">
        <f t="array" ref="T3352">_xlfn.SWITCH(S3352,"Annually",6,"Bi-Weekly",2,"Fortnightly",3,"Monthly",4,"Quarterly",5,"Weekly",1)</f>
        <v>2</v>
      </c>
    </row>
    <row r="3353" spans="1:20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  <c r="S3353" t="str">
        <f t="shared" si="52"/>
        <v>Fortnightly</v>
      </c>
      <c r="T3353" cm="1">
        <f t="array" ref="T3353">_xlfn.SWITCH(S3353,"Annually",6,"Bi-Weekly",2,"Fortnightly",3,"Monthly",4,"Quarterly",5,"Weekly",1)</f>
        <v>3</v>
      </c>
    </row>
    <row r="3354" spans="1:20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  <c r="S3354" t="str">
        <f t="shared" si="52"/>
        <v>Bi-Weekly</v>
      </c>
      <c r="T3354" cm="1">
        <f t="array" ref="T3354">_xlfn.SWITCH(S3354,"Annually",6,"Bi-Weekly",2,"Fortnightly",3,"Monthly",4,"Quarterly",5,"Weekly",1)</f>
        <v>2</v>
      </c>
    </row>
    <row r="3355" spans="1:20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  <c r="S3355" t="str">
        <f t="shared" si="52"/>
        <v>Quarterly</v>
      </c>
      <c r="T3355" cm="1">
        <f t="array" ref="T3355">_xlfn.SWITCH(S3355,"Annually",6,"Bi-Weekly",2,"Fortnightly",3,"Monthly",4,"Quarterly",5,"Weekly",1)</f>
        <v>5</v>
      </c>
    </row>
    <row r="3356" spans="1:20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  <c r="S3356" t="str">
        <f t="shared" si="52"/>
        <v>Weekly</v>
      </c>
      <c r="T3356" cm="1">
        <f t="array" ref="T3356">_xlfn.SWITCH(S3356,"Annually",6,"Bi-Weekly",2,"Fortnightly",3,"Monthly",4,"Quarterly",5,"Weekly",1)</f>
        <v>1</v>
      </c>
    </row>
    <row r="3357" spans="1:20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  <c r="S3357" t="str">
        <f t="shared" si="52"/>
        <v>Bi-Weekly</v>
      </c>
      <c r="T3357" cm="1">
        <f t="array" ref="T3357">_xlfn.SWITCH(S3357,"Annually",6,"Bi-Weekly",2,"Fortnightly",3,"Monthly",4,"Quarterly",5,"Weekly",1)</f>
        <v>2</v>
      </c>
    </row>
    <row r="3358" spans="1:20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  <c r="S3358" t="str">
        <f t="shared" si="52"/>
        <v>Bi-Weekly</v>
      </c>
      <c r="T3358" cm="1">
        <f t="array" ref="T3358">_xlfn.SWITCH(S3358,"Annually",6,"Bi-Weekly",2,"Fortnightly",3,"Monthly",4,"Quarterly",5,"Weekly",1)</f>
        <v>2</v>
      </c>
    </row>
    <row r="3359" spans="1:20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  <c r="S3359" t="str">
        <f t="shared" si="52"/>
        <v>Monthly</v>
      </c>
      <c r="T3359" cm="1">
        <f t="array" ref="T3359">_xlfn.SWITCH(S3359,"Annually",6,"Bi-Weekly",2,"Fortnightly",3,"Monthly",4,"Quarterly",5,"Weekly",1)</f>
        <v>4</v>
      </c>
    </row>
    <row r="3360" spans="1:20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  <c r="S3360" t="str">
        <f t="shared" si="52"/>
        <v>Annually</v>
      </c>
      <c r="T3360" cm="1">
        <f t="array" ref="T3360">_xlfn.SWITCH(S3360,"Annually",6,"Bi-Weekly",2,"Fortnightly",3,"Monthly",4,"Quarterly",5,"Weekly",1)</f>
        <v>6</v>
      </c>
    </row>
    <row r="3361" spans="1:20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  <c r="S3361" t="str">
        <f t="shared" si="52"/>
        <v>Monthly</v>
      </c>
      <c r="T3361" cm="1">
        <f t="array" ref="T3361">_xlfn.SWITCH(S3361,"Annually",6,"Bi-Weekly",2,"Fortnightly",3,"Monthly",4,"Quarterly",5,"Weekly",1)</f>
        <v>4</v>
      </c>
    </row>
    <row r="3362" spans="1:20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  <c r="S3362" t="str">
        <f t="shared" si="52"/>
        <v>Quarterly</v>
      </c>
      <c r="T3362" cm="1">
        <f t="array" ref="T3362">_xlfn.SWITCH(S3362,"Annually",6,"Bi-Weekly",2,"Fortnightly",3,"Monthly",4,"Quarterly",5,"Weekly",1)</f>
        <v>5</v>
      </c>
    </row>
    <row r="3363" spans="1:20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  <c r="S3363" t="str">
        <f t="shared" si="52"/>
        <v>Bi-Weekly</v>
      </c>
      <c r="T3363" cm="1">
        <f t="array" ref="T3363">_xlfn.SWITCH(S3363,"Annually",6,"Bi-Weekly",2,"Fortnightly",3,"Monthly",4,"Quarterly",5,"Weekly",1)</f>
        <v>2</v>
      </c>
    </row>
    <row r="3364" spans="1:20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  <c r="S3364" t="str">
        <f t="shared" si="52"/>
        <v>Fortnightly</v>
      </c>
      <c r="T3364" cm="1">
        <f t="array" ref="T3364">_xlfn.SWITCH(S3364,"Annually",6,"Bi-Weekly",2,"Fortnightly",3,"Monthly",4,"Quarterly",5,"Weekly",1)</f>
        <v>3</v>
      </c>
    </row>
    <row r="3365" spans="1:20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  <c r="S3365" t="str">
        <f t="shared" si="52"/>
        <v>Bi-Weekly</v>
      </c>
      <c r="T3365" cm="1">
        <f t="array" ref="T3365">_xlfn.SWITCH(S3365,"Annually",6,"Bi-Weekly",2,"Fortnightly",3,"Monthly",4,"Quarterly",5,"Weekly",1)</f>
        <v>2</v>
      </c>
    </row>
    <row r="3366" spans="1:20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  <c r="S3366" t="str">
        <f t="shared" si="52"/>
        <v>Monthly</v>
      </c>
      <c r="T3366" cm="1">
        <f t="array" ref="T3366">_xlfn.SWITCH(S3366,"Annually",6,"Bi-Weekly",2,"Fortnightly",3,"Monthly",4,"Quarterly",5,"Weekly",1)</f>
        <v>4</v>
      </c>
    </row>
    <row r="3367" spans="1:20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  <c r="S3367" t="str">
        <f t="shared" si="52"/>
        <v>Quarterly</v>
      </c>
      <c r="T3367" cm="1">
        <f t="array" ref="T3367">_xlfn.SWITCH(S3367,"Annually",6,"Bi-Weekly",2,"Fortnightly",3,"Monthly",4,"Quarterly",5,"Weekly",1)</f>
        <v>5</v>
      </c>
    </row>
    <row r="3368" spans="1:20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  <c r="S3368" t="str">
        <f t="shared" si="52"/>
        <v>Quarterly</v>
      </c>
      <c r="T3368" cm="1">
        <f t="array" ref="T3368">_xlfn.SWITCH(S3368,"Annually",6,"Bi-Weekly",2,"Fortnightly",3,"Monthly",4,"Quarterly",5,"Weekly",1)</f>
        <v>5</v>
      </c>
    </row>
    <row r="3369" spans="1:20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  <c r="S3369" t="str">
        <f t="shared" si="52"/>
        <v>Fortnightly</v>
      </c>
      <c r="T3369" cm="1">
        <f t="array" ref="T3369">_xlfn.SWITCH(S3369,"Annually",6,"Bi-Weekly",2,"Fortnightly",3,"Monthly",4,"Quarterly",5,"Weekly",1)</f>
        <v>3</v>
      </c>
    </row>
    <row r="3370" spans="1:20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  <c r="S3370" t="str">
        <f t="shared" si="52"/>
        <v>Quarterly</v>
      </c>
      <c r="T3370" cm="1">
        <f t="array" ref="T3370">_xlfn.SWITCH(S3370,"Annually",6,"Bi-Weekly",2,"Fortnightly",3,"Monthly",4,"Quarterly",5,"Weekly",1)</f>
        <v>5</v>
      </c>
    </row>
    <row r="3371" spans="1:20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  <c r="S3371" t="str">
        <f t="shared" si="52"/>
        <v>Monthly</v>
      </c>
      <c r="T3371" cm="1">
        <f t="array" ref="T3371">_xlfn.SWITCH(S3371,"Annually",6,"Bi-Weekly",2,"Fortnightly",3,"Monthly",4,"Quarterly",5,"Weekly",1)</f>
        <v>4</v>
      </c>
    </row>
    <row r="3372" spans="1:20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  <c r="S3372" t="str">
        <f t="shared" si="52"/>
        <v>Fortnightly</v>
      </c>
      <c r="T3372" cm="1">
        <f t="array" ref="T3372">_xlfn.SWITCH(S3372,"Annually",6,"Bi-Weekly",2,"Fortnightly",3,"Monthly",4,"Quarterly",5,"Weekly",1)</f>
        <v>3</v>
      </c>
    </row>
    <row r="3373" spans="1:20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  <c r="S3373" t="str">
        <f t="shared" si="52"/>
        <v>Annually</v>
      </c>
      <c r="T3373" cm="1">
        <f t="array" ref="T3373">_xlfn.SWITCH(S3373,"Annually",6,"Bi-Weekly",2,"Fortnightly",3,"Monthly",4,"Quarterly",5,"Weekly",1)</f>
        <v>6</v>
      </c>
    </row>
    <row r="3374" spans="1:20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  <c r="S3374" t="str">
        <f t="shared" si="52"/>
        <v>Quarterly</v>
      </c>
      <c r="T3374" cm="1">
        <f t="array" ref="T3374">_xlfn.SWITCH(S3374,"Annually",6,"Bi-Weekly",2,"Fortnightly",3,"Monthly",4,"Quarterly",5,"Weekly",1)</f>
        <v>5</v>
      </c>
    </row>
    <row r="3375" spans="1:20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  <c r="S3375" t="str">
        <f t="shared" si="52"/>
        <v>Quarterly</v>
      </c>
      <c r="T3375" cm="1">
        <f t="array" ref="T3375">_xlfn.SWITCH(S3375,"Annually",6,"Bi-Weekly",2,"Fortnightly",3,"Monthly",4,"Quarterly",5,"Weekly",1)</f>
        <v>5</v>
      </c>
    </row>
    <row r="3376" spans="1:20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  <c r="S3376" t="str">
        <f t="shared" si="52"/>
        <v>Annually</v>
      </c>
      <c r="T3376" cm="1">
        <f t="array" ref="T3376">_xlfn.SWITCH(S3376,"Annually",6,"Bi-Weekly",2,"Fortnightly",3,"Monthly",4,"Quarterly",5,"Weekly",1)</f>
        <v>6</v>
      </c>
    </row>
    <row r="3377" spans="1:20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  <c r="S3377" t="str">
        <f t="shared" si="52"/>
        <v>Annually</v>
      </c>
      <c r="T3377" cm="1">
        <f t="array" ref="T3377">_xlfn.SWITCH(S3377,"Annually",6,"Bi-Weekly",2,"Fortnightly",3,"Monthly",4,"Quarterly",5,"Weekly",1)</f>
        <v>6</v>
      </c>
    </row>
    <row r="3378" spans="1:20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  <c r="S3378" t="str">
        <f t="shared" si="52"/>
        <v>Quarterly</v>
      </c>
      <c r="T3378" cm="1">
        <f t="array" ref="T3378">_xlfn.SWITCH(S3378,"Annually",6,"Bi-Weekly",2,"Fortnightly",3,"Monthly",4,"Quarterly",5,"Weekly",1)</f>
        <v>5</v>
      </c>
    </row>
    <row r="3379" spans="1:20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  <c r="S3379" t="str">
        <f t="shared" si="52"/>
        <v>Fortnightly</v>
      </c>
      <c r="T3379" cm="1">
        <f t="array" ref="T3379">_xlfn.SWITCH(S3379,"Annually",6,"Bi-Weekly",2,"Fortnightly",3,"Monthly",4,"Quarterly",5,"Weekly",1)</f>
        <v>3</v>
      </c>
    </row>
    <row r="3380" spans="1:20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  <c r="S3380" t="str">
        <f t="shared" si="52"/>
        <v>Quarterly</v>
      </c>
      <c r="T3380" cm="1">
        <f t="array" ref="T3380">_xlfn.SWITCH(S3380,"Annually",6,"Bi-Weekly",2,"Fortnightly",3,"Monthly",4,"Quarterly",5,"Weekly",1)</f>
        <v>5</v>
      </c>
    </row>
    <row r="3381" spans="1:20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  <c r="S3381" t="str">
        <f t="shared" si="52"/>
        <v>Weekly</v>
      </c>
      <c r="T3381" cm="1">
        <f t="array" ref="T3381">_xlfn.SWITCH(S3381,"Annually",6,"Bi-Weekly",2,"Fortnightly",3,"Monthly",4,"Quarterly",5,"Weekly",1)</f>
        <v>1</v>
      </c>
    </row>
    <row r="3382" spans="1:20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  <c r="S3382" t="str">
        <f t="shared" si="52"/>
        <v>Quarterly</v>
      </c>
      <c r="T3382" cm="1">
        <f t="array" ref="T3382">_xlfn.SWITCH(S3382,"Annually",6,"Bi-Weekly",2,"Fortnightly",3,"Monthly",4,"Quarterly",5,"Weekly",1)</f>
        <v>5</v>
      </c>
    </row>
    <row r="3383" spans="1:20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  <c r="S3383" t="str">
        <f t="shared" si="52"/>
        <v>Quarterly</v>
      </c>
      <c r="T3383" cm="1">
        <f t="array" ref="T3383">_xlfn.SWITCH(S3383,"Annually",6,"Bi-Weekly",2,"Fortnightly",3,"Monthly",4,"Quarterly",5,"Weekly",1)</f>
        <v>5</v>
      </c>
    </row>
    <row r="3384" spans="1:20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  <c r="S3384" t="str">
        <f t="shared" si="52"/>
        <v>Weekly</v>
      </c>
      <c r="T3384" cm="1">
        <f t="array" ref="T3384">_xlfn.SWITCH(S3384,"Annually",6,"Bi-Weekly",2,"Fortnightly",3,"Monthly",4,"Quarterly",5,"Weekly",1)</f>
        <v>1</v>
      </c>
    </row>
    <row r="3385" spans="1:20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  <c r="S3385" t="str">
        <f t="shared" si="52"/>
        <v>Bi-Weekly</v>
      </c>
      <c r="T3385" cm="1">
        <f t="array" ref="T3385">_xlfn.SWITCH(S3385,"Annually",6,"Bi-Weekly",2,"Fortnightly",3,"Monthly",4,"Quarterly",5,"Weekly",1)</f>
        <v>2</v>
      </c>
    </row>
    <row r="3386" spans="1:20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  <c r="S3386" t="str">
        <f t="shared" si="52"/>
        <v>Quarterly</v>
      </c>
      <c r="T3386" cm="1">
        <f t="array" ref="T3386">_xlfn.SWITCH(S3386,"Annually",6,"Bi-Weekly",2,"Fortnightly",3,"Monthly",4,"Quarterly",5,"Weekly",1)</f>
        <v>5</v>
      </c>
    </row>
    <row r="3387" spans="1:20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  <c r="S3387" t="str">
        <f t="shared" si="52"/>
        <v>Quarterly</v>
      </c>
      <c r="T3387" cm="1">
        <f t="array" ref="T3387">_xlfn.SWITCH(S3387,"Annually",6,"Bi-Weekly",2,"Fortnightly",3,"Monthly",4,"Quarterly",5,"Weekly",1)</f>
        <v>5</v>
      </c>
    </row>
    <row r="3388" spans="1:20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  <c r="S3388" t="str">
        <f t="shared" si="52"/>
        <v>Quarterly</v>
      </c>
      <c r="T3388" cm="1">
        <f t="array" ref="T3388">_xlfn.SWITCH(S3388,"Annually",6,"Bi-Weekly",2,"Fortnightly",3,"Monthly",4,"Quarterly",5,"Weekly",1)</f>
        <v>5</v>
      </c>
    </row>
    <row r="3389" spans="1:20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  <c r="S3389" t="str">
        <f t="shared" si="52"/>
        <v>Bi-Weekly</v>
      </c>
      <c r="T3389" cm="1">
        <f t="array" ref="T3389">_xlfn.SWITCH(S3389,"Annually",6,"Bi-Weekly",2,"Fortnightly",3,"Monthly",4,"Quarterly",5,"Weekly",1)</f>
        <v>2</v>
      </c>
    </row>
    <row r="3390" spans="1:20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  <c r="S3390" t="str">
        <f t="shared" si="52"/>
        <v>Weekly</v>
      </c>
      <c r="T3390" cm="1">
        <f t="array" ref="T3390">_xlfn.SWITCH(S3390,"Annually",6,"Bi-Weekly",2,"Fortnightly",3,"Monthly",4,"Quarterly",5,"Weekly",1)</f>
        <v>1</v>
      </c>
    </row>
    <row r="3391" spans="1:20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  <c r="S3391" t="str">
        <f t="shared" si="52"/>
        <v>Annually</v>
      </c>
      <c r="T3391" cm="1">
        <f t="array" ref="T3391">_xlfn.SWITCH(S3391,"Annually",6,"Bi-Weekly",2,"Fortnightly",3,"Monthly",4,"Quarterly",5,"Weekly",1)</f>
        <v>6</v>
      </c>
    </row>
    <row r="3392" spans="1:20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  <c r="S3392" t="str">
        <f t="shared" si="52"/>
        <v>Annually</v>
      </c>
      <c r="T3392" cm="1">
        <f t="array" ref="T3392">_xlfn.SWITCH(S3392,"Annually",6,"Bi-Weekly",2,"Fortnightly",3,"Monthly",4,"Quarterly",5,"Weekly",1)</f>
        <v>6</v>
      </c>
    </row>
    <row r="3393" spans="1:20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  <c r="S3393" t="str">
        <f t="shared" si="52"/>
        <v>Quarterly</v>
      </c>
      <c r="T3393" cm="1">
        <f t="array" ref="T3393">_xlfn.SWITCH(S3393,"Annually",6,"Bi-Weekly",2,"Fortnightly",3,"Monthly",4,"Quarterly",5,"Weekly",1)</f>
        <v>5</v>
      </c>
    </row>
    <row r="3394" spans="1:20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  <c r="S3394" t="str">
        <f t="shared" si="52"/>
        <v>Bi-Weekly</v>
      </c>
      <c r="T3394" cm="1">
        <f t="array" ref="T3394">_xlfn.SWITCH(S3394,"Annually",6,"Bi-Weekly",2,"Fortnightly",3,"Monthly",4,"Quarterly",5,"Weekly",1)</f>
        <v>2</v>
      </c>
    </row>
    <row r="3395" spans="1:20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  <c r="S3395" t="str">
        <f t="shared" ref="S3395:S3458" si="53">IF(R3395="Every 3 Months","Quarterly",R3395)</f>
        <v>Monthly</v>
      </c>
      <c r="T3395" cm="1">
        <f t="array" ref="T3395">_xlfn.SWITCH(S3395,"Annually",6,"Bi-Weekly",2,"Fortnightly",3,"Monthly",4,"Quarterly",5,"Weekly",1)</f>
        <v>4</v>
      </c>
    </row>
    <row r="3396" spans="1:20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  <c r="S3396" t="str">
        <f t="shared" si="53"/>
        <v>Annually</v>
      </c>
      <c r="T3396" cm="1">
        <f t="array" ref="T3396">_xlfn.SWITCH(S3396,"Annually",6,"Bi-Weekly",2,"Fortnightly",3,"Monthly",4,"Quarterly",5,"Weekly",1)</f>
        <v>6</v>
      </c>
    </row>
    <row r="3397" spans="1:20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  <c r="S3397" t="str">
        <f t="shared" si="53"/>
        <v>Quarterly</v>
      </c>
      <c r="T3397" cm="1">
        <f t="array" ref="T3397">_xlfn.SWITCH(S3397,"Annually",6,"Bi-Weekly",2,"Fortnightly",3,"Monthly",4,"Quarterly",5,"Weekly",1)</f>
        <v>5</v>
      </c>
    </row>
    <row r="3398" spans="1:20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  <c r="S3398" t="str">
        <f t="shared" si="53"/>
        <v>Quarterly</v>
      </c>
      <c r="T3398" cm="1">
        <f t="array" ref="T3398">_xlfn.SWITCH(S3398,"Annually",6,"Bi-Weekly",2,"Fortnightly",3,"Monthly",4,"Quarterly",5,"Weekly",1)</f>
        <v>5</v>
      </c>
    </row>
    <row r="3399" spans="1:20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  <c r="S3399" t="str">
        <f t="shared" si="53"/>
        <v>Bi-Weekly</v>
      </c>
      <c r="T3399" cm="1">
        <f t="array" ref="T3399">_xlfn.SWITCH(S3399,"Annually",6,"Bi-Weekly",2,"Fortnightly",3,"Monthly",4,"Quarterly",5,"Weekly",1)</f>
        <v>2</v>
      </c>
    </row>
    <row r="3400" spans="1:20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  <c r="S3400" t="str">
        <f t="shared" si="53"/>
        <v>Fortnightly</v>
      </c>
      <c r="T3400" cm="1">
        <f t="array" ref="T3400">_xlfn.SWITCH(S3400,"Annually",6,"Bi-Weekly",2,"Fortnightly",3,"Monthly",4,"Quarterly",5,"Weekly",1)</f>
        <v>3</v>
      </c>
    </row>
    <row r="3401" spans="1:20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  <c r="S3401" t="str">
        <f t="shared" si="53"/>
        <v>Annually</v>
      </c>
      <c r="T3401" cm="1">
        <f t="array" ref="T3401">_xlfn.SWITCH(S3401,"Annually",6,"Bi-Weekly",2,"Fortnightly",3,"Monthly",4,"Quarterly",5,"Weekly",1)</f>
        <v>6</v>
      </c>
    </row>
    <row r="3402" spans="1:20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  <c r="S3402" t="str">
        <f t="shared" si="53"/>
        <v>Fortnightly</v>
      </c>
      <c r="T3402" cm="1">
        <f t="array" ref="T3402">_xlfn.SWITCH(S3402,"Annually",6,"Bi-Weekly",2,"Fortnightly",3,"Monthly",4,"Quarterly",5,"Weekly",1)</f>
        <v>3</v>
      </c>
    </row>
    <row r="3403" spans="1:20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  <c r="S3403" t="str">
        <f t="shared" si="53"/>
        <v>Weekly</v>
      </c>
      <c r="T3403" cm="1">
        <f t="array" ref="T3403">_xlfn.SWITCH(S3403,"Annually",6,"Bi-Weekly",2,"Fortnightly",3,"Monthly",4,"Quarterly",5,"Weekly",1)</f>
        <v>1</v>
      </c>
    </row>
    <row r="3404" spans="1:20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  <c r="S3404" t="str">
        <f t="shared" si="53"/>
        <v>Quarterly</v>
      </c>
      <c r="T3404" cm="1">
        <f t="array" ref="T3404">_xlfn.SWITCH(S3404,"Annually",6,"Bi-Weekly",2,"Fortnightly",3,"Monthly",4,"Quarterly",5,"Weekly",1)</f>
        <v>5</v>
      </c>
    </row>
    <row r="3405" spans="1:20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  <c r="S3405" t="str">
        <f t="shared" si="53"/>
        <v>Bi-Weekly</v>
      </c>
      <c r="T3405" cm="1">
        <f t="array" ref="T3405">_xlfn.SWITCH(S3405,"Annually",6,"Bi-Weekly",2,"Fortnightly",3,"Monthly",4,"Quarterly",5,"Weekly",1)</f>
        <v>2</v>
      </c>
    </row>
    <row r="3406" spans="1:20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  <c r="S3406" t="str">
        <f t="shared" si="53"/>
        <v>Annually</v>
      </c>
      <c r="T3406" cm="1">
        <f t="array" ref="T3406">_xlfn.SWITCH(S3406,"Annually",6,"Bi-Weekly",2,"Fortnightly",3,"Monthly",4,"Quarterly",5,"Weekly",1)</f>
        <v>6</v>
      </c>
    </row>
    <row r="3407" spans="1:20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  <c r="S3407" t="str">
        <f t="shared" si="53"/>
        <v>Bi-Weekly</v>
      </c>
      <c r="T3407" cm="1">
        <f t="array" ref="T3407">_xlfn.SWITCH(S3407,"Annually",6,"Bi-Weekly",2,"Fortnightly",3,"Monthly",4,"Quarterly",5,"Weekly",1)</f>
        <v>2</v>
      </c>
    </row>
    <row r="3408" spans="1:20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  <c r="S3408" t="str">
        <f t="shared" si="53"/>
        <v>Quarterly</v>
      </c>
      <c r="T3408" cm="1">
        <f t="array" ref="T3408">_xlfn.SWITCH(S3408,"Annually",6,"Bi-Weekly",2,"Fortnightly",3,"Monthly",4,"Quarterly",5,"Weekly",1)</f>
        <v>5</v>
      </c>
    </row>
    <row r="3409" spans="1:20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  <c r="S3409" t="str">
        <f t="shared" si="53"/>
        <v>Quarterly</v>
      </c>
      <c r="T3409" cm="1">
        <f t="array" ref="T3409">_xlfn.SWITCH(S3409,"Annually",6,"Bi-Weekly",2,"Fortnightly",3,"Monthly",4,"Quarterly",5,"Weekly",1)</f>
        <v>5</v>
      </c>
    </row>
    <row r="3410" spans="1:20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  <c r="S3410" t="str">
        <f t="shared" si="53"/>
        <v>Annually</v>
      </c>
      <c r="T3410" cm="1">
        <f t="array" ref="T3410">_xlfn.SWITCH(S3410,"Annually",6,"Bi-Weekly",2,"Fortnightly",3,"Monthly",4,"Quarterly",5,"Weekly",1)</f>
        <v>6</v>
      </c>
    </row>
    <row r="3411" spans="1:20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  <c r="S3411" t="str">
        <f t="shared" si="53"/>
        <v>Quarterly</v>
      </c>
      <c r="T3411" cm="1">
        <f t="array" ref="T3411">_xlfn.SWITCH(S3411,"Annually",6,"Bi-Weekly",2,"Fortnightly",3,"Monthly",4,"Quarterly",5,"Weekly",1)</f>
        <v>5</v>
      </c>
    </row>
    <row r="3412" spans="1:20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  <c r="S3412" t="str">
        <f t="shared" si="53"/>
        <v>Bi-Weekly</v>
      </c>
      <c r="T3412" cm="1">
        <f t="array" ref="T3412">_xlfn.SWITCH(S3412,"Annually",6,"Bi-Weekly",2,"Fortnightly",3,"Monthly",4,"Quarterly",5,"Weekly",1)</f>
        <v>2</v>
      </c>
    </row>
    <row r="3413" spans="1:20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  <c r="S3413" t="str">
        <f t="shared" si="53"/>
        <v>Weekly</v>
      </c>
      <c r="T3413" cm="1">
        <f t="array" ref="T3413">_xlfn.SWITCH(S3413,"Annually",6,"Bi-Weekly",2,"Fortnightly",3,"Monthly",4,"Quarterly",5,"Weekly",1)</f>
        <v>1</v>
      </c>
    </row>
    <row r="3414" spans="1:20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  <c r="S3414" t="str">
        <f t="shared" si="53"/>
        <v>Quarterly</v>
      </c>
      <c r="T3414" cm="1">
        <f t="array" ref="T3414">_xlfn.SWITCH(S3414,"Annually",6,"Bi-Weekly",2,"Fortnightly",3,"Monthly",4,"Quarterly",5,"Weekly",1)</f>
        <v>5</v>
      </c>
    </row>
    <row r="3415" spans="1:20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  <c r="S3415" t="str">
        <f t="shared" si="53"/>
        <v>Bi-Weekly</v>
      </c>
      <c r="T3415" cm="1">
        <f t="array" ref="T3415">_xlfn.SWITCH(S3415,"Annually",6,"Bi-Weekly",2,"Fortnightly",3,"Monthly",4,"Quarterly",5,"Weekly",1)</f>
        <v>2</v>
      </c>
    </row>
    <row r="3416" spans="1:20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  <c r="S3416" t="str">
        <f t="shared" si="53"/>
        <v>Quarterly</v>
      </c>
      <c r="T3416" cm="1">
        <f t="array" ref="T3416">_xlfn.SWITCH(S3416,"Annually",6,"Bi-Weekly",2,"Fortnightly",3,"Monthly",4,"Quarterly",5,"Weekly",1)</f>
        <v>5</v>
      </c>
    </row>
    <row r="3417" spans="1:20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  <c r="S3417" t="str">
        <f t="shared" si="53"/>
        <v>Annually</v>
      </c>
      <c r="T3417" cm="1">
        <f t="array" ref="T3417">_xlfn.SWITCH(S3417,"Annually",6,"Bi-Weekly",2,"Fortnightly",3,"Monthly",4,"Quarterly",5,"Weekly",1)</f>
        <v>6</v>
      </c>
    </row>
    <row r="3418" spans="1:20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  <c r="S3418" t="str">
        <f t="shared" si="53"/>
        <v>Quarterly</v>
      </c>
      <c r="T3418" cm="1">
        <f t="array" ref="T3418">_xlfn.SWITCH(S3418,"Annually",6,"Bi-Weekly",2,"Fortnightly",3,"Monthly",4,"Quarterly",5,"Weekly",1)</f>
        <v>5</v>
      </c>
    </row>
    <row r="3419" spans="1:20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  <c r="S3419" t="str">
        <f t="shared" si="53"/>
        <v>Fortnightly</v>
      </c>
      <c r="T3419" cm="1">
        <f t="array" ref="T3419">_xlfn.SWITCH(S3419,"Annually",6,"Bi-Weekly",2,"Fortnightly",3,"Monthly",4,"Quarterly",5,"Weekly",1)</f>
        <v>3</v>
      </c>
    </row>
    <row r="3420" spans="1:20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  <c r="S3420" t="str">
        <f t="shared" si="53"/>
        <v>Annually</v>
      </c>
      <c r="T3420" cm="1">
        <f t="array" ref="T3420">_xlfn.SWITCH(S3420,"Annually",6,"Bi-Weekly",2,"Fortnightly",3,"Monthly",4,"Quarterly",5,"Weekly",1)</f>
        <v>6</v>
      </c>
    </row>
    <row r="3421" spans="1:20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  <c r="S3421" t="str">
        <f t="shared" si="53"/>
        <v>Bi-Weekly</v>
      </c>
      <c r="T3421" cm="1">
        <f t="array" ref="T3421">_xlfn.SWITCH(S3421,"Annually",6,"Bi-Weekly",2,"Fortnightly",3,"Monthly",4,"Quarterly",5,"Weekly",1)</f>
        <v>2</v>
      </c>
    </row>
    <row r="3422" spans="1:20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  <c r="S3422" t="str">
        <f t="shared" si="53"/>
        <v>Bi-Weekly</v>
      </c>
      <c r="T3422" cm="1">
        <f t="array" ref="T3422">_xlfn.SWITCH(S3422,"Annually",6,"Bi-Weekly",2,"Fortnightly",3,"Monthly",4,"Quarterly",5,"Weekly",1)</f>
        <v>2</v>
      </c>
    </row>
    <row r="3423" spans="1:20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  <c r="S3423" t="str">
        <f t="shared" si="53"/>
        <v>Weekly</v>
      </c>
      <c r="T3423" cm="1">
        <f t="array" ref="T3423">_xlfn.SWITCH(S3423,"Annually",6,"Bi-Weekly",2,"Fortnightly",3,"Monthly",4,"Quarterly",5,"Weekly",1)</f>
        <v>1</v>
      </c>
    </row>
    <row r="3424" spans="1:20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  <c r="S3424" t="str">
        <f t="shared" si="53"/>
        <v>Monthly</v>
      </c>
      <c r="T3424" cm="1">
        <f t="array" ref="T3424">_xlfn.SWITCH(S3424,"Annually",6,"Bi-Weekly",2,"Fortnightly",3,"Monthly",4,"Quarterly",5,"Weekly",1)</f>
        <v>4</v>
      </c>
    </row>
    <row r="3425" spans="1:20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  <c r="S3425" t="str">
        <f t="shared" si="53"/>
        <v>Bi-Weekly</v>
      </c>
      <c r="T3425" cm="1">
        <f t="array" ref="T3425">_xlfn.SWITCH(S3425,"Annually",6,"Bi-Weekly",2,"Fortnightly",3,"Monthly",4,"Quarterly",5,"Weekly",1)</f>
        <v>2</v>
      </c>
    </row>
    <row r="3426" spans="1:20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  <c r="S3426" t="str">
        <f t="shared" si="53"/>
        <v>Monthly</v>
      </c>
      <c r="T3426" cm="1">
        <f t="array" ref="T3426">_xlfn.SWITCH(S3426,"Annually",6,"Bi-Weekly",2,"Fortnightly",3,"Monthly",4,"Quarterly",5,"Weekly",1)</f>
        <v>4</v>
      </c>
    </row>
    <row r="3427" spans="1:20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  <c r="S3427" t="str">
        <f t="shared" si="53"/>
        <v>Bi-Weekly</v>
      </c>
      <c r="T3427" cm="1">
        <f t="array" ref="T3427">_xlfn.SWITCH(S3427,"Annually",6,"Bi-Weekly",2,"Fortnightly",3,"Monthly",4,"Quarterly",5,"Weekly",1)</f>
        <v>2</v>
      </c>
    </row>
    <row r="3428" spans="1:20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  <c r="S3428" t="str">
        <f t="shared" si="53"/>
        <v>Annually</v>
      </c>
      <c r="T3428" cm="1">
        <f t="array" ref="T3428">_xlfn.SWITCH(S3428,"Annually",6,"Bi-Weekly",2,"Fortnightly",3,"Monthly",4,"Quarterly",5,"Weekly",1)</f>
        <v>6</v>
      </c>
    </row>
    <row r="3429" spans="1:20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  <c r="S3429" t="str">
        <f t="shared" si="53"/>
        <v>Annually</v>
      </c>
      <c r="T3429" cm="1">
        <f t="array" ref="T3429">_xlfn.SWITCH(S3429,"Annually",6,"Bi-Weekly",2,"Fortnightly",3,"Monthly",4,"Quarterly",5,"Weekly",1)</f>
        <v>6</v>
      </c>
    </row>
    <row r="3430" spans="1:20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  <c r="S3430" t="str">
        <f t="shared" si="53"/>
        <v>Monthly</v>
      </c>
      <c r="T3430" cm="1">
        <f t="array" ref="T3430">_xlfn.SWITCH(S3430,"Annually",6,"Bi-Weekly",2,"Fortnightly",3,"Monthly",4,"Quarterly",5,"Weekly",1)</f>
        <v>4</v>
      </c>
    </row>
    <row r="3431" spans="1:20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  <c r="S3431" t="str">
        <f t="shared" si="53"/>
        <v>Weekly</v>
      </c>
      <c r="T3431" cm="1">
        <f t="array" ref="T3431">_xlfn.SWITCH(S3431,"Annually",6,"Bi-Weekly",2,"Fortnightly",3,"Monthly",4,"Quarterly",5,"Weekly",1)</f>
        <v>1</v>
      </c>
    </row>
    <row r="3432" spans="1:20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  <c r="S3432" t="str">
        <f t="shared" si="53"/>
        <v>Quarterly</v>
      </c>
      <c r="T3432" cm="1">
        <f t="array" ref="T3432">_xlfn.SWITCH(S3432,"Annually",6,"Bi-Weekly",2,"Fortnightly",3,"Monthly",4,"Quarterly",5,"Weekly",1)</f>
        <v>5</v>
      </c>
    </row>
    <row r="3433" spans="1:20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  <c r="S3433" t="str">
        <f t="shared" si="53"/>
        <v>Annually</v>
      </c>
      <c r="T3433" cm="1">
        <f t="array" ref="T3433">_xlfn.SWITCH(S3433,"Annually",6,"Bi-Weekly",2,"Fortnightly",3,"Monthly",4,"Quarterly",5,"Weekly",1)</f>
        <v>6</v>
      </c>
    </row>
    <row r="3434" spans="1:20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  <c r="S3434" t="str">
        <f t="shared" si="53"/>
        <v>Quarterly</v>
      </c>
      <c r="T3434" cm="1">
        <f t="array" ref="T3434">_xlfn.SWITCH(S3434,"Annually",6,"Bi-Weekly",2,"Fortnightly",3,"Monthly",4,"Quarterly",5,"Weekly",1)</f>
        <v>5</v>
      </c>
    </row>
    <row r="3435" spans="1:20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  <c r="S3435" t="str">
        <f t="shared" si="53"/>
        <v>Annually</v>
      </c>
      <c r="T3435" cm="1">
        <f t="array" ref="T3435">_xlfn.SWITCH(S3435,"Annually",6,"Bi-Weekly",2,"Fortnightly",3,"Monthly",4,"Quarterly",5,"Weekly",1)</f>
        <v>6</v>
      </c>
    </row>
    <row r="3436" spans="1:20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  <c r="S3436" t="str">
        <f t="shared" si="53"/>
        <v>Fortnightly</v>
      </c>
      <c r="T3436" cm="1">
        <f t="array" ref="T3436">_xlfn.SWITCH(S3436,"Annually",6,"Bi-Weekly",2,"Fortnightly",3,"Monthly",4,"Quarterly",5,"Weekly",1)</f>
        <v>3</v>
      </c>
    </row>
    <row r="3437" spans="1:20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  <c r="S3437" t="str">
        <f t="shared" si="53"/>
        <v>Bi-Weekly</v>
      </c>
      <c r="T3437" cm="1">
        <f t="array" ref="T3437">_xlfn.SWITCH(S3437,"Annually",6,"Bi-Weekly",2,"Fortnightly",3,"Monthly",4,"Quarterly",5,"Weekly",1)</f>
        <v>2</v>
      </c>
    </row>
    <row r="3438" spans="1:20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  <c r="S3438" t="str">
        <f t="shared" si="53"/>
        <v>Monthly</v>
      </c>
      <c r="T3438" cm="1">
        <f t="array" ref="T3438">_xlfn.SWITCH(S3438,"Annually",6,"Bi-Weekly",2,"Fortnightly",3,"Monthly",4,"Quarterly",5,"Weekly",1)</f>
        <v>4</v>
      </c>
    </row>
    <row r="3439" spans="1:20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  <c r="S3439" t="str">
        <f t="shared" si="53"/>
        <v>Annually</v>
      </c>
      <c r="T3439" cm="1">
        <f t="array" ref="T3439">_xlfn.SWITCH(S3439,"Annually",6,"Bi-Weekly",2,"Fortnightly",3,"Monthly",4,"Quarterly",5,"Weekly",1)</f>
        <v>6</v>
      </c>
    </row>
    <row r="3440" spans="1:20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  <c r="S3440" t="str">
        <f t="shared" si="53"/>
        <v>Monthly</v>
      </c>
      <c r="T3440" cm="1">
        <f t="array" ref="T3440">_xlfn.SWITCH(S3440,"Annually",6,"Bi-Weekly",2,"Fortnightly",3,"Monthly",4,"Quarterly",5,"Weekly",1)</f>
        <v>4</v>
      </c>
    </row>
    <row r="3441" spans="1:20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  <c r="S3441" t="str">
        <f t="shared" si="53"/>
        <v>Quarterly</v>
      </c>
      <c r="T3441" cm="1">
        <f t="array" ref="T3441">_xlfn.SWITCH(S3441,"Annually",6,"Bi-Weekly",2,"Fortnightly",3,"Monthly",4,"Quarterly",5,"Weekly",1)</f>
        <v>5</v>
      </c>
    </row>
    <row r="3442" spans="1:20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  <c r="S3442" t="str">
        <f t="shared" si="53"/>
        <v>Weekly</v>
      </c>
      <c r="T3442" cm="1">
        <f t="array" ref="T3442">_xlfn.SWITCH(S3442,"Annually",6,"Bi-Weekly",2,"Fortnightly",3,"Monthly",4,"Quarterly",5,"Weekly",1)</f>
        <v>1</v>
      </c>
    </row>
    <row r="3443" spans="1:20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  <c r="S3443" t="str">
        <f t="shared" si="53"/>
        <v>Annually</v>
      </c>
      <c r="T3443" cm="1">
        <f t="array" ref="T3443">_xlfn.SWITCH(S3443,"Annually",6,"Bi-Weekly",2,"Fortnightly",3,"Monthly",4,"Quarterly",5,"Weekly",1)</f>
        <v>6</v>
      </c>
    </row>
    <row r="3444" spans="1:20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  <c r="S3444" t="str">
        <f t="shared" si="53"/>
        <v>Weekly</v>
      </c>
      <c r="T3444" cm="1">
        <f t="array" ref="T3444">_xlfn.SWITCH(S3444,"Annually",6,"Bi-Weekly",2,"Fortnightly",3,"Monthly",4,"Quarterly",5,"Weekly",1)</f>
        <v>1</v>
      </c>
    </row>
    <row r="3445" spans="1:20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  <c r="S3445" t="str">
        <f t="shared" si="53"/>
        <v>Bi-Weekly</v>
      </c>
      <c r="T3445" cm="1">
        <f t="array" ref="T3445">_xlfn.SWITCH(S3445,"Annually",6,"Bi-Weekly",2,"Fortnightly",3,"Monthly",4,"Quarterly",5,"Weekly",1)</f>
        <v>2</v>
      </c>
    </row>
    <row r="3446" spans="1:20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  <c r="S3446" t="str">
        <f t="shared" si="53"/>
        <v>Bi-Weekly</v>
      </c>
      <c r="T3446" cm="1">
        <f t="array" ref="T3446">_xlfn.SWITCH(S3446,"Annually",6,"Bi-Weekly",2,"Fortnightly",3,"Monthly",4,"Quarterly",5,"Weekly",1)</f>
        <v>2</v>
      </c>
    </row>
    <row r="3447" spans="1:20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  <c r="S3447" t="str">
        <f t="shared" si="53"/>
        <v>Annually</v>
      </c>
      <c r="T3447" cm="1">
        <f t="array" ref="T3447">_xlfn.SWITCH(S3447,"Annually",6,"Bi-Weekly",2,"Fortnightly",3,"Monthly",4,"Quarterly",5,"Weekly",1)</f>
        <v>6</v>
      </c>
    </row>
    <row r="3448" spans="1:20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  <c r="S3448" t="str">
        <f t="shared" si="53"/>
        <v>Weekly</v>
      </c>
      <c r="T3448" cm="1">
        <f t="array" ref="T3448">_xlfn.SWITCH(S3448,"Annually",6,"Bi-Weekly",2,"Fortnightly",3,"Monthly",4,"Quarterly",5,"Weekly",1)</f>
        <v>1</v>
      </c>
    </row>
    <row r="3449" spans="1:20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  <c r="S3449" t="str">
        <f t="shared" si="53"/>
        <v>Bi-Weekly</v>
      </c>
      <c r="T3449" cm="1">
        <f t="array" ref="T3449">_xlfn.SWITCH(S3449,"Annually",6,"Bi-Weekly",2,"Fortnightly",3,"Monthly",4,"Quarterly",5,"Weekly",1)</f>
        <v>2</v>
      </c>
    </row>
    <row r="3450" spans="1:20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  <c r="S3450" t="str">
        <f t="shared" si="53"/>
        <v>Fortnightly</v>
      </c>
      <c r="T3450" cm="1">
        <f t="array" ref="T3450">_xlfn.SWITCH(S3450,"Annually",6,"Bi-Weekly",2,"Fortnightly",3,"Monthly",4,"Quarterly",5,"Weekly",1)</f>
        <v>3</v>
      </c>
    </row>
    <row r="3451" spans="1:20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  <c r="S3451" t="str">
        <f t="shared" si="53"/>
        <v>Monthly</v>
      </c>
      <c r="T3451" cm="1">
        <f t="array" ref="T3451">_xlfn.SWITCH(S3451,"Annually",6,"Bi-Weekly",2,"Fortnightly",3,"Monthly",4,"Quarterly",5,"Weekly",1)</f>
        <v>4</v>
      </c>
    </row>
    <row r="3452" spans="1:20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  <c r="S3452" t="str">
        <f t="shared" si="53"/>
        <v>Monthly</v>
      </c>
      <c r="T3452" cm="1">
        <f t="array" ref="T3452">_xlfn.SWITCH(S3452,"Annually",6,"Bi-Weekly",2,"Fortnightly",3,"Monthly",4,"Quarterly",5,"Weekly",1)</f>
        <v>4</v>
      </c>
    </row>
    <row r="3453" spans="1:20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  <c r="S3453" t="str">
        <f t="shared" si="53"/>
        <v>Annually</v>
      </c>
      <c r="T3453" cm="1">
        <f t="array" ref="T3453">_xlfn.SWITCH(S3453,"Annually",6,"Bi-Weekly",2,"Fortnightly",3,"Monthly",4,"Quarterly",5,"Weekly",1)</f>
        <v>6</v>
      </c>
    </row>
    <row r="3454" spans="1:20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  <c r="S3454" t="str">
        <f t="shared" si="53"/>
        <v>Fortnightly</v>
      </c>
      <c r="T3454" cm="1">
        <f t="array" ref="T3454">_xlfn.SWITCH(S3454,"Annually",6,"Bi-Weekly",2,"Fortnightly",3,"Monthly",4,"Quarterly",5,"Weekly",1)</f>
        <v>3</v>
      </c>
    </row>
    <row r="3455" spans="1:20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  <c r="S3455" t="str">
        <f t="shared" si="53"/>
        <v>Bi-Weekly</v>
      </c>
      <c r="T3455" cm="1">
        <f t="array" ref="T3455">_xlfn.SWITCH(S3455,"Annually",6,"Bi-Weekly",2,"Fortnightly",3,"Monthly",4,"Quarterly",5,"Weekly",1)</f>
        <v>2</v>
      </c>
    </row>
    <row r="3456" spans="1:20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  <c r="S3456" t="str">
        <f t="shared" si="53"/>
        <v>Bi-Weekly</v>
      </c>
      <c r="T3456" cm="1">
        <f t="array" ref="T3456">_xlfn.SWITCH(S3456,"Annually",6,"Bi-Weekly",2,"Fortnightly",3,"Monthly",4,"Quarterly",5,"Weekly",1)</f>
        <v>2</v>
      </c>
    </row>
    <row r="3457" spans="1:20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  <c r="S3457" t="str">
        <f t="shared" si="53"/>
        <v>Annually</v>
      </c>
      <c r="T3457" cm="1">
        <f t="array" ref="T3457">_xlfn.SWITCH(S3457,"Annually",6,"Bi-Weekly",2,"Fortnightly",3,"Monthly",4,"Quarterly",5,"Weekly",1)</f>
        <v>6</v>
      </c>
    </row>
    <row r="3458" spans="1:20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  <c r="S3458" t="str">
        <f t="shared" si="53"/>
        <v>Monthly</v>
      </c>
      <c r="T3458" cm="1">
        <f t="array" ref="T3458">_xlfn.SWITCH(S3458,"Annually",6,"Bi-Weekly",2,"Fortnightly",3,"Monthly",4,"Quarterly",5,"Weekly",1)</f>
        <v>4</v>
      </c>
    </row>
    <row r="3459" spans="1:20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  <c r="S3459" t="str">
        <f t="shared" ref="S3459:S3522" si="54">IF(R3459="Every 3 Months","Quarterly",R3459)</f>
        <v>Fortnightly</v>
      </c>
      <c r="T3459" cm="1">
        <f t="array" ref="T3459">_xlfn.SWITCH(S3459,"Annually",6,"Bi-Weekly",2,"Fortnightly",3,"Monthly",4,"Quarterly",5,"Weekly",1)</f>
        <v>3</v>
      </c>
    </row>
    <row r="3460" spans="1:20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  <c r="S3460" t="str">
        <f t="shared" si="54"/>
        <v>Quarterly</v>
      </c>
      <c r="T3460" cm="1">
        <f t="array" ref="T3460">_xlfn.SWITCH(S3460,"Annually",6,"Bi-Weekly",2,"Fortnightly",3,"Monthly",4,"Quarterly",5,"Weekly",1)</f>
        <v>5</v>
      </c>
    </row>
    <row r="3461" spans="1:20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  <c r="S3461" t="str">
        <f t="shared" si="54"/>
        <v>Annually</v>
      </c>
      <c r="T3461" cm="1">
        <f t="array" ref="T3461">_xlfn.SWITCH(S3461,"Annually",6,"Bi-Weekly",2,"Fortnightly",3,"Monthly",4,"Quarterly",5,"Weekly",1)</f>
        <v>6</v>
      </c>
    </row>
    <row r="3462" spans="1:20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  <c r="S3462" t="str">
        <f t="shared" si="54"/>
        <v>Bi-Weekly</v>
      </c>
      <c r="T3462" cm="1">
        <f t="array" ref="T3462">_xlfn.SWITCH(S3462,"Annually",6,"Bi-Weekly",2,"Fortnightly",3,"Monthly",4,"Quarterly",5,"Weekly",1)</f>
        <v>2</v>
      </c>
    </row>
    <row r="3463" spans="1:20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  <c r="S3463" t="str">
        <f t="shared" si="54"/>
        <v>Quarterly</v>
      </c>
      <c r="T3463" cm="1">
        <f t="array" ref="T3463">_xlfn.SWITCH(S3463,"Annually",6,"Bi-Weekly",2,"Fortnightly",3,"Monthly",4,"Quarterly",5,"Weekly",1)</f>
        <v>5</v>
      </c>
    </row>
    <row r="3464" spans="1:20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  <c r="S3464" t="str">
        <f t="shared" si="54"/>
        <v>Quarterly</v>
      </c>
      <c r="T3464" cm="1">
        <f t="array" ref="T3464">_xlfn.SWITCH(S3464,"Annually",6,"Bi-Weekly",2,"Fortnightly",3,"Monthly",4,"Quarterly",5,"Weekly",1)</f>
        <v>5</v>
      </c>
    </row>
    <row r="3465" spans="1:20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  <c r="S3465" t="str">
        <f t="shared" si="54"/>
        <v>Fortnightly</v>
      </c>
      <c r="T3465" cm="1">
        <f t="array" ref="T3465">_xlfn.SWITCH(S3465,"Annually",6,"Bi-Weekly",2,"Fortnightly",3,"Monthly",4,"Quarterly",5,"Weekly",1)</f>
        <v>3</v>
      </c>
    </row>
    <row r="3466" spans="1:20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  <c r="S3466" t="str">
        <f t="shared" si="54"/>
        <v>Annually</v>
      </c>
      <c r="T3466" cm="1">
        <f t="array" ref="T3466">_xlfn.SWITCH(S3466,"Annually",6,"Bi-Weekly",2,"Fortnightly",3,"Monthly",4,"Quarterly",5,"Weekly",1)</f>
        <v>6</v>
      </c>
    </row>
    <row r="3467" spans="1:20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  <c r="S3467" t="str">
        <f t="shared" si="54"/>
        <v>Weekly</v>
      </c>
      <c r="T3467" cm="1">
        <f t="array" ref="T3467">_xlfn.SWITCH(S3467,"Annually",6,"Bi-Weekly",2,"Fortnightly",3,"Monthly",4,"Quarterly",5,"Weekly",1)</f>
        <v>1</v>
      </c>
    </row>
    <row r="3468" spans="1:20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  <c r="S3468" t="str">
        <f t="shared" si="54"/>
        <v>Annually</v>
      </c>
      <c r="T3468" cm="1">
        <f t="array" ref="T3468">_xlfn.SWITCH(S3468,"Annually",6,"Bi-Weekly",2,"Fortnightly",3,"Monthly",4,"Quarterly",5,"Weekly",1)</f>
        <v>6</v>
      </c>
    </row>
    <row r="3469" spans="1:20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  <c r="S3469" t="str">
        <f t="shared" si="54"/>
        <v>Annually</v>
      </c>
      <c r="T3469" cm="1">
        <f t="array" ref="T3469">_xlfn.SWITCH(S3469,"Annually",6,"Bi-Weekly",2,"Fortnightly",3,"Monthly",4,"Quarterly",5,"Weekly",1)</f>
        <v>6</v>
      </c>
    </row>
    <row r="3470" spans="1:20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  <c r="S3470" t="str">
        <f t="shared" si="54"/>
        <v>Quarterly</v>
      </c>
      <c r="T3470" cm="1">
        <f t="array" ref="T3470">_xlfn.SWITCH(S3470,"Annually",6,"Bi-Weekly",2,"Fortnightly",3,"Monthly",4,"Quarterly",5,"Weekly",1)</f>
        <v>5</v>
      </c>
    </row>
    <row r="3471" spans="1:20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  <c r="S3471" t="str">
        <f t="shared" si="54"/>
        <v>Annually</v>
      </c>
      <c r="T3471" cm="1">
        <f t="array" ref="T3471">_xlfn.SWITCH(S3471,"Annually",6,"Bi-Weekly",2,"Fortnightly",3,"Monthly",4,"Quarterly",5,"Weekly",1)</f>
        <v>6</v>
      </c>
    </row>
    <row r="3472" spans="1:20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  <c r="S3472" t="str">
        <f t="shared" si="54"/>
        <v>Bi-Weekly</v>
      </c>
      <c r="T3472" cm="1">
        <f t="array" ref="T3472">_xlfn.SWITCH(S3472,"Annually",6,"Bi-Weekly",2,"Fortnightly",3,"Monthly",4,"Quarterly",5,"Weekly",1)</f>
        <v>2</v>
      </c>
    </row>
    <row r="3473" spans="1:20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  <c r="S3473" t="str">
        <f t="shared" si="54"/>
        <v>Bi-Weekly</v>
      </c>
      <c r="T3473" cm="1">
        <f t="array" ref="T3473">_xlfn.SWITCH(S3473,"Annually",6,"Bi-Weekly",2,"Fortnightly",3,"Monthly",4,"Quarterly",5,"Weekly",1)</f>
        <v>2</v>
      </c>
    </row>
    <row r="3474" spans="1:20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  <c r="S3474" t="str">
        <f t="shared" si="54"/>
        <v>Weekly</v>
      </c>
      <c r="T3474" cm="1">
        <f t="array" ref="T3474">_xlfn.SWITCH(S3474,"Annually",6,"Bi-Weekly",2,"Fortnightly",3,"Monthly",4,"Quarterly",5,"Weekly",1)</f>
        <v>1</v>
      </c>
    </row>
    <row r="3475" spans="1:20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  <c r="S3475" t="str">
        <f t="shared" si="54"/>
        <v>Weekly</v>
      </c>
      <c r="T3475" cm="1">
        <f t="array" ref="T3475">_xlfn.SWITCH(S3475,"Annually",6,"Bi-Weekly",2,"Fortnightly",3,"Monthly",4,"Quarterly",5,"Weekly",1)</f>
        <v>1</v>
      </c>
    </row>
    <row r="3476" spans="1:20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  <c r="S3476" t="str">
        <f t="shared" si="54"/>
        <v>Monthly</v>
      </c>
      <c r="T3476" cm="1">
        <f t="array" ref="T3476">_xlfn.SWITCH(S3476,"Annually",6,"Bi-Weekly",2,"Fortnightly",3,"Monthly",4,"Quarterly",5,"Weekly",1)</f>
        <v>4</v>
      </c>
    </row>
    <row r="3477" spans="1:20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  <c r="S3477" t="str">
        <f t="shared" si="54"/>
        <v>Quarterly</v>
      </c>
      <c r="T3477" cm="1">
        <f t="array" ref="T3477">_xlfn.SWITCH(S3477,"Annually",6,"Bi-Weekly",2,"Fortnightly",3,"Monthly",4,"Quarterly",5,"Weekly",1)</f>
        <v>5</v>
      </c>
    </row>
    <row r="3478" spans="1:20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  <c r="S3478" t="str">
        <f t="shared" si="54"/>
        <v>Weekly</v>
      </c>
      <c r="T3478" cm="1">
        <f t="array" ref="T3478">_xlfn.SWITCH(S3478,"Annually",6,"Bi-Weekly",2,"Fortnightly",3,"Monthly",4,"Quarterly",5,"Weekly",1)</f>
        <v>1</v>
      </c>
    </row>
    <row r="3479" spans="1:20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  <c r="S3479" t="str">
        <f t="shared" si="54"/>
        <v>Bi-Weekly</v>
      </c>
      <c r="T3479" cm="1">
        <f t="array" ref="T3479">_xlfn.SWITCH(S3479,"Annually",6,"Bi-Weekly",2,"Fortnightly",3,"Monthly",4,"Quarterly",5,"Weekly",1)</f>
        <v>2</v>
      </c>
    </row>
    <row r="3480" spans="1:20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  <c r="S3480" t="str">
        <f t="shared" si="54"/>
        <v>Quarterly</v>
      </c>
      <c r="T3480" cm="1">
        <f t="array" ref="T3480">_xlfn.SWITCH(S3480,"Annually",6,"Bi-Weekly",2,"Fortnightly",3,"Monthly",4,"Quarterly",5,"Weekly",1)</f>
        <v>5</v>
      </c>
    </row>
    <row r="3481" spans="1:20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  <c r="S3481" t="str">
        <f t="shared" si="54"/>
        <v>Monthly</v>
      </c>
      <c r="T3481" cm="1">
        <f t="array" ref="T3481">_xlfn.SWITCH(S3481,"Annually",6,"Bi-Weekly",2,"Fortnightly",3,"Monthly",4,"Quarterly",5,"Weekly",1)</f>
        <v>4</v>
      </c>
    </row>
    <row r="3482" spans="1:20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  <c r="S3482" t="str">
        <f t="shared" si="54"/>
        <v>Monthly</v>
      </c>
      <c r="T3482" cm="1">
        <f t="array" ref="T3482">_xlfn.SWITCH(S3482,"Annually",6,"Bi-Weekly",2,"Fortnightly",3,"Monthly",4,"Quarterly",5,"Weekly",1)</f>
        <v>4</v>
      </c>
    </row>
    <row r="3483" spans="1:20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  <c r="S3483" t="str">
        <f t="shared" si="54"/>
        <v>Bi-Weekly</v>
      </c>
      <c r="T3483" cm="1">
        <f t="array" ref="T3483">_xlfn.SWITCH(S3483,"Annually",6,"Bi-Weekly",2,"Fortnightly",3,"Monthly",4,"Quarterly",5,"Weekly",1)</f>
        <v>2</v>
      </c>
    </row>
    <row r="3484" spans="1:20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  <c r="S3484" t="str">
        <f t="shared" si="54"/>
        <v>Weekly</v>
      </c>
      <c r="T3484" cm="1">
        <f t="array" ref="T3484">_xlfn.SWITCH(S3484,"Annually",6,"Bi-Weekly",2,"Fortnightly",3,"Monthly",4,"Quarterly",5,"Weekly",1)</f>
        <v>1</v>
      </c>
    </row>
    <row r="3485" spans="1:20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  <c r="S3485" t="str">
        <f t="shared" si="54"/>
        <v>Quarterly</v>
      </c>
      <c r="T3485" cm="1">
        <f t="array" ref="T3485">_xlfn.SWITCH(S3485,"Annually",6,"Bi-Weekly",2,"Fortnightly",3,"Monthly",4,"Quarterly",5,"Weekly",1)</f>
        <v>5</v>
      </c>
    </row>
    <row r="3486" spans="1:20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  <c r="S3486" t="str">
        <f t="shared" si="54"/>
        <v>Bi-Weekly</v>
      </c>
      <c r="T3486" cm="1">
        <f t="array" ref="T3486">_xlfn.SWITCH(S3486,"Annually",6,"Bi-Weekly",2,"Fortnightly",3,"Monthly",4,"Quarterly",5,"Weekly",1)</f>
        <v>2</v>
      </c>
    </row>
    <row r="3487" spans="1:20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  <c r="S3487" t="str">
        <f t="shared" si="54"/>
        <v>Fortnightly</v>
      </c>
      <c r="T3487" cm="1">
        <f t="array" ref="T3487">_xlfn.SWITCH(S3487,"Annually",6,"Bi-Weekly",2,"Fortnightly",3,"Monthly",4,"Quarterly",5,"Weekly",1)</f>
        <v>3</v>
      </c>
    </row>
    <row r="3488" spans="1:20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  <c r="S3488" t="str">
        <f t="shared" si="54"/>
        <v>Weekly</v>
      </c>
      <c r="T3488" cm="1">
        <f t="array" ref="T3488">_xlfn.SWITCH(S3488,"Annually",6,"Bi-Weekly",2,"Fortnightly",3,"Monthly",4,"Quarterly",5,"Weekly",1)</f>
        <v>1</v>
      </c>
    </row>
    <row r="3489" spans="1:20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  <c r="S3489" t="str">
        <f t="shared" si="54"/>
        <v>Annually</v>
      </c>
      <c r="T3489" cm="1">
        <f t="array" ref="T3489">_xlfn.SWITCH(S3489,"Annually",6,"Bi-Weekly",2,"Fortnightly",3,"Monthly",4,"Quarterly",5,"Weekly",1)</f>
        <v>6</v>
      </c>
    </row>
    <row r="3490" spans="1:20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  <c r="S3490" t="str">
        <f t="shared" si="54"/>
        <v>Quarterly</v>
      </c>
      <c r="T3490" cm="1">
        <f t="array" ref="T3490">_xlfn.SWITCH(S3490,"Annually",6,"Bi-Weekly",2,"Fortnightly",3,"Monthly",4,"Quarterly",5,"Weekly",1)</f>
        <v>5</v>
      </c>
    </row>
    <row r="3491" spans="1:20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  <c r="S3491" t="str">
        <f t="shared" si="54"/>
        <v>Quarterly</v>
      </c>
      <c r="T3491" cm="1">
        <f t="array" ref="T3491">_xlfn.SWITCH(S3491,"Annually",6,"Bi-Weekly",2,"Fortnightly",3,"Monthly",4,"Quarterly",5,"Weekly",1)</f>
        <v>5</v>
      </c>
    </row>
    <row r="3492" spans="1:20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  <c r="S3492" t="str">
        <f t="shared" si="54"/>
        <v>Quarterly</v>
      </c>
      <c r="T3492" cm="1">
        <f t="array" ref="T3492">_xlfn.SWITCH(S3492,"Annually",6,"Bi-Weekly",2,"Fortnightly",3,"Monthly",4,"Quarterly",5,"Weekly",1)</f>
        <v>5</v>
      </c>
    </row>
    <row r="3493" spans="1:20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  <c r="S3493" t="str">
        <f t="shared" si="54"/>
        <v>Monthly</v>
      </c>
      <c r="T3493" cm="1">
        <f t="array" ref="T3493">_xlfn.SWITCH(S3493,"Annually",6,"Bi-Weekly",2,"Fortnightly",3,"Monthly",4,"Quarterly",5,"Weekly",1)</f>
        <v>4</v>
      </c>
    </row>
    <row r="3494" spans="1:20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  <c r="S3494" t="str">
        <f t="shared" si="54"/>
        <v>Annually</v>
      </c>
      <c r="T3494" cm="1">
        <f t="array" ref="T3494">_xlfn.SWITCH(S3494,"Annually",6,"Bi-Weekly",2,"Fortnightly",3,"Monthly",4,"Quarterly",5,"Weekly",1)</f>
        <v>6</v>
      </c>
    </row>
    <row r="3495" spans="1:20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  <c r="S3495" t="str">
        <f t="shared" si="54"/>
        <v>Weekly</v>
      </c>
      <c r="T3495" cm="1">
        <f t="array" ref="T3495">_xlfn.SWITCH(S3495,"Annually",6,"Bi-Weekly",2,"Fortnightly",3,"Monthly",4,"Quarterly",5,"Weekly",1)</f>
        <v>1</v>
      </c>
    </row>
    <row r="3496" spans="1:20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  <c r="S3496" t="str">
        <f t="shared" si="54"/>
        <v>Quarterly</v>
      </c>
      <c r="T3496" cm="1">
        <f t="array" ref="T3496">_xlfn.SWITCH(S3496,"Annually",6,"Bi-Weekly",2,"Fortnightly",3,"Monthly",4,"Quarterly",5,"Weekly",1)</f>
        <v>5</v>
      </c>
    </row>
    <row r="3497" spans="1:20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  <c r="S3497" t="str">
        <f t="shared" si="54"/>
        <v>Weekly</v>
      </c>
      <c r="T3497" cm="1">
        <f t="array" ref="T3497">_xlfn.SWITCH(S3497,"Annually",6,"Bi-Weekly",2,"Fortnightly",3,"Monthly",4,"Quarterly",5,"Weekly",1)</f>
        <v>1</v>
      </c>
    </row>
    <row r="3498" spans="1:20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  <c r="S3498" t="str">
        <f t="shared" si="54"/>
        <v>Monthly</v>
      </c>
      <c r="T3498" cm="1">
        <f t="array" ref="T3498">_xlfn.SWITCH(S3498,"Annually",6,"Bi-Weekly",2,"Fortnightly",3,"Monthly",4,"Quarterly",5,"Weekly",1)</f>
        <v>4</v>
      </c>
    </row>
    <row r="3499" spans="1:20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  <c r="S3499" t="str">
        <f t="shared" si="54"/>
        <v>Quarterly</v>
      </c>
      <c r="T3499" cm="1">
        <f t="array" ref="T3499">_xlfn.SWITCH(S3499,"Annually",6,"Bi-Weekly",2,"Fortnightly",3,"Monthly",4,"Quarterly",5,"Weekly",1)</f>
        <v>5</v>
      </c>
    </row>
    <row r="3500" spans="1:20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  <c r="S3500" t="str">
        <f t="shared" si="54"/>
        <v>Bi-Weekly</v>
      </c>
      <c r="T3500" cm="1">
        <f t="array" ref="T3500">_xlfn.SWITCH(S3500,"Annually",6,"Bi-Weekly",2,"Fortnightly",3,"Monthly",4,"Quarterly",5,"Weekly",1)</f>
        <v>2</v>
      </c>
    </row>
    <row r="3501" spans="1:20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  <c r="S3501" t="str">
        <f t="shared" si="54"/>
        <v>Quarterly</v>
      </c>
      <c r="T3501" cm="1">
        <f t="array" ref="T3501">_xlfn.SWITCH(S3501,"Annually",6,"Bi-Weekly",2,"Fortnightly",3,"Monthly",4,"Quarterly",5,"Weekly",1)</f>
        <v>5</v>
      </c>
    </row>
    <row r="3502" spans="1:20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  <c r="S3502" t="str">
        <f t="shared" si="54"/>
        <v>Fortnightly</v>
      </c>
      <c r="T3502" cm="1">
        <f t="array" ref="T3502">_xlfn.SWITCH(S3502,"Annually",6,"Bi-Weekly",2,"Fortnightly",3,"Monthly",4,"Quarterly",5,"Weekly",1)</f>
        <v>3</v>
      </c>
    </row>
    <row r="3503" spans="1:20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  <c r="S3503" t="str">
        <f t="shared" si="54"/>
        <v>Weekly</v>
      </c>
      <c r="T3503" cm="1">
        <f t="array" ref="T3503">_xlfn.SWITCH(S3503,"Annually",6,"Bi-Weekly",2,"Fortnightly",3,"Monthly",4,"Quarterly",5,"Weekly",1)</f>
        <v>1</v>
      </c>
    </row>
    <row r="3504" spans="1:20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  <c r="S3504" t="str">
        <f t="shared" si="54"/>
        <v>Quarterly</v>
      </c>
      <c r="T3504" cm="1">
        <f t="array" ref="T3504">_xlfn.SWITCH(S3504,"Annually",6,"Bi-Weekly",2,"Fortnightly",3,"Monthly",4,"Quarterly",5,"Weekly",1)</f>
        <v>5</v>
      </c>
    </row>
    <row r="3505" spans="1:20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  <c r="S3505" t="str">
        <f t="shared" si="54"/>
        <v>Weekly</v>
      </c>
      <c r="T3505" cm="1">
        <f t="array" ref="T3505">_xlfn.SWITCH(S3505,"Annually",6,"Bi-Weekly",2,"Fortnightly",3,"Monthly",4,"Quarterly",5,"Weekly",1)</f>
        <v>1</v>
      </c>
    </row>
    <row r="3506" spans="1:20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  <c r="S3506" t="str">
        <f t="shared" si="54"/>
        <v>Monthly</v>
      </c>
      <c r="T3506" cm="1">
        <f t="array" ref="T3506">_xlfn.SWITCH(S3506,"Annually",6,"Bi-Weekly",2,"Fortnightly",3,"Monthly",4,"Quarterly",5,"Weekly",1)</f>
        <v>4</v>
      </c>
    </row>
    <row r="3507" spans="1:20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  <c r="S3507" t="str">
        <f t="shared" si="54"/>
        <v>Quarterly</v>
      </c>
      <c r="T3507" cm="1">
        <f t="array" ref="T3507">_xlfn.SWITCH(S3507,"Annually",6,"Bi-Weekly",2,"Fortnightly",3,"Monthly",4,"Quarterly",5,"Weekly",1)</f>
        <v>5</v>
      </c>
    </row>
    <row r="3508" spans="1:20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  <c r="S3508" t="str">
        <f t="shared" si="54"/>
        <v>Fortnightly</v>
      </c>
      <c r="T3508" cm="1">
        <f t="array" ref="T3508">_xlfn.SWITCH(S3508,"Annually",6,"Bi-Weekly",2,"Fortnightly",3,"Monthly",4,"Quarterly",5,"Weekly",1)</f>
        <v>3</v>
      </c>
    </row>
    <row r="3509" spans="1:20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  <c r="S3509" t="str">
        <f t="shared" si="54"/>
        <v>Quarterly</v>
      </c>
      <c r="T3509" cm="1">
        <f t="array" ref="T3509">_xlfn.SWITCH(S3509,"Annually",6,"Bi-Weekly",2,"Fortnightly",3,"Monthly",4,"Quarterly",5,"Weekly",1)</f>
        <v>5</v>
      </c>
    </row>
    <row r="3510" spans="1:20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  <c r="S3510" t="str">
        <f t="shared" si="54"/>
        <v>Weekly</v>
      </c>
      <c r="T3510" cm="1">
        <f t="array" ref="T3510">_xlfn.SWITCH(S3510,"Annually",6,"Bi-Weekly",2,"Fortnightly",3,"Monthly",4,"Quarterly",5,"Weekly",1)</f>
        <v>1</v>
      </c>
    </row>
    <row r="3511" spans="1:20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  <c r="S3511" t="str">
        <f t="shared" si="54"/>
        <v>Bi-Weekly</v>
      </c>
      <c r="T3511" cm="1">
        <f t="array" ref="T3511">_xlfn.SWITCH(S3511,"Annually",6,"Bi-Weekly",2,"Fortnightly",3,"Monthly",4,"Quarterly",5,"Weekly",1)</f>
        <v>2</v>
      </c>
    </row>
    <row r="3512" spans="1:20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  <c r="S3512" t="str">
        <f t="shared" si="54"/>
        <v>Monthly</v>
      </c>
      <c r="T3512" cm="1">
        <f t="array" ref="T3512">_xlfn.SWITCH(S3512,"Annually",6,"Bi-Weekly",2,"Fortnightly",3,"Monthly",4,"Quarterly",5,"Weekly",1)</f>
        <v>4</v>
      </c>
    </row>
    <row r="3513" spans="1:20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  <c r="S3513" t="str">
        <f t="shared" si="54"/>
        <v>Quarterly</v>
      </c>
      <c r="T3513" cm="1">
        <f t="array" ref="T3513">_xlfn.SWITCH(S3513,"Annually",6,"Bi-Weekly",2,"Fortnightly",3,"Monthly",4,"Quarterly",5,"Weekly",1)</f>
        <v>5</v>
      </c>
    </row>
    <row r="3514" spans="1:20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  <c r="S3514" t="str">
        <f t="shared" si="54"/>
        <v>Quarterly</v>
      </c>
      <c r="T3514" cm="1">
        <f t="array" ref="T3514">_xlfn.SWITCH(S3514,"Annually",6,"Bi-Weekly",2,"Fortnightly",3,"Monthly",4,"Quarterly",5,"Weekly",1)</f>
        <v>5</v>
      </c>
    </row>
    <row r="3515" spans="1:20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  <c r="S3515" t="str">
        <f t="shared" si="54"/>
        <v>Fortnightly</v>
      </c>
      <c r="T3515" cm="1">
        <f t="array" ref="T3515">_xlfn.SWITCH(S3515,"Annually",6,"Bi-Weekly",2,"Fortnightly",3,"Monthly",4,"Quarterly",5,"Weekly",1)</f>
        <v>3</v>
      </c>
    </row>
    <row r="3516" spans="1:20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  <c r="S3516" t="str">
        <f t="shared" si="54"/>
        <v>Monthly</v>
      </c>
      <c r="T3516" cm="1">
        <f t="array" ref="T3516">_xlfn.SWITCH(S3516,"Annually",6,"Bi-Weekly",2,"Fortnightly",3,"Monthly",4,"Quarterly",5,"Weekly",1)</f>
        <v>4</v>
      </c>
    </row>
    <row r="3517" spans="1:20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  <c r="S3517" t="str">
        <f t="shared" si="54"/>
        <v>Bi-Weekly</v>
      </c>
      <c r="T3517" cm="1">
        <f t="array" ref="T3517">_xlfn.SWITCH(S3517,"Annually",6,"Bi-Weekly",2,"Fortnightly",3,"Monthly",4,"Quarterly",5,"Weekly",1)</f>
        <v>2</v>
      </c>
    </row>
    <row r="3518" spans="1:20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  <c r="S3518" t="str">
        <f t="shared" si="54"/>
        <v>Bi-Weekly</v>
      </c>
      <c r="T3518" cm="1">
        <f t="array" ref="T3518">_xlfn.SWITCH(S3518,"Annually",6,"Bi-Weekly",2,"Fortnightly",3,"Monthly",4,"Quarterly",5,"Weekly",1)</f>
        <v>2</v>
      </c>
    </row>
    <row r="3519" spans="1:20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  <c r="S3519" t="str">
        <f t="shared" si="54"/>
        <v>Quarterly</v>
      </c>
      <c r="T3519" cm="1">
        <f t="array" ref="T3519">_xlfn.SWITCH(S3519,"Annually",6,"Bi-Weekly",2,"Fortnightly",3,"Monthly",4,"Quarterly",5,"Weekly",1)</f>
        <v>5</v>
      </c>
    </row>
    <row r="3520" spans="1:20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  <c r="S3520" t="str">
        <f t="shared" si="54"/>
        <v>Quarterly</v>
      </c>
      <c r="T3520" cm="1">
        <f t="array" ref="T3520">_xlfn.SWITCH(S3520,"Annually",6,"Bi-Weekly",2,"Fortnightly",3,"Monthly",4,"Quarterly",5,"Weekly",1)</f>
        <v>5</v>
      </c>
    </row>
    <row r="3521" spans="1:20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  <c r="S3521" t="str">
        <f t="shared" si="54"/>
        <v>Fortnightly</v>
      </c>
      <c r="T3521" cm="1">
        <f t="array" ref="T3521">_xlfn.SWITCH(S3521,"Annually",6,"Bi-Weekly",2,"Fortnightly",3,"Monthly",4,"Quarterly",5,"Weekly",1)</f>
        <v>3</v>
      </c>
    </row>
    <row r="3522" spans="1:20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  <c r="S3522" t="str">
        <f t="shared" si="54"/>
        <v>Monthly</v>
      </c>
      <c r="T3522" cm="1">
        <f t="array" ref="T3522">_xlfn.SWITCH(S3522,"Annually",6,"Bi-Weekly",2,"Fortnightly",3,"Monthly",4,"Quarterly",5,"Weekly",1)</f>
        <v>4</v>
      </c>
    </row>
    <row r="3523" spans="1:20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  <c r="S3523" t="str">
        <f t="shared" ref="S3523:S3586" si="55">IF(R3523="Every 3 Months","Quarterly",R3523)</f>
        <v>Weekly</v>
      </c>
      <c r="T3523" cm="1">
        <f t="array" ref="T3523">_xlfn.SWITCH(S3523,"Annually",6,"Bi-Weekly",2,"Fortnightly",3,"Monthly",4,"Quarterly",5,"Weekly",1)</f>
        <v>1</v>
      </c>
    </row>
    <row r="3524" spans="1:20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  <c r="S3524" t="str">
        <f t="shared" si="55"/>
        <v>Quarterly</v>
      </c>
      <c r="T3524" cm="1">
        <f t="array" ref="T3524">_xlfn.SWITCH(S3524,"Annually",6,"Bi-Weekly",2,"Fortnightly",3,"Monthly",4,"Quarterly",5,"Weekly",1)</f>
        <v>5</v>
      </c>
    </row>
    <row r="3525" spans="1:20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  <c r="S3525" t="str">
        <f t="shared" si="55"/>
        <v>Fortnightly</v>
      </c>
      <c r="T3525" cm="1">
        <f t="array" ref="T3525">_xlfn.SWITCH(S3525,"Annually",6,"Bi-Weekly",2,"Fortnightly",3,"Monthly",4,"Quarterly",5,"Weekly",1)</f>
        <v>3</v>
      </c>
    </row>
    <row r="3526" spans="1:20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  <c r="S3526" t="str">
        <f t="shared" si="55"/>
        <v>Monthly</v>
      </c>
      <c r="T3526" cm="1">
        <f t="array" ref="T3526">_xlfn.SWITCH(S3526,"Annually",6,"Bi-Weekly",2,"Fortnightly",3,"Monthly",4,"Quarterly",5,"Weekly",1)</f>
        <v>4</v>
      </c>
    </row>
    <row r="3527" spans="1:20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  <c r="S3527" t="str">
        <f t="shared" si="55"/>
        <v>Annually</v>
      </c>
      <c r="T3527" cm="1">
        <f t="array" ref="T3527">_xlfn.SWITCH(S3527,"Annually",6,"Bi-Weekly",2,"Fortnightly",3,"Monthly",4,"Quarterly",5,"Weekly",1)</f>
        <v>6</v>
      </c>
    </row>
    <row r="3528" spans="1:20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  <c r="S3528" t="str">
        <f t="shared" si="55"/>
        <v>Quarterly</v>
      </c>
      <c r="T3528" cm="1">
        <f t="array" ref="T3528">_xlfn.SWITCH(S3528,"Annually",6,"Bi-Weekly",2,"Fortnightly",3,"Monthly",4,"Quarterly",5,"Weekly",1)</f>
        <v>5</v>
      </c>
    </row>
    <row r="3529" spans="1:20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  <c r="S3529" t="str">
        <f t="shared" si="55"/>
        <v>Weekly</v>
      </c>
      <c r="T3529" cm="1">
        <f t="array" ref="T3529">_xlfn.SWITCH(S3529,"Annually",6,"Bi-Weekly",2,"Fortnightly",3,"Monthly",4,"Quarterly",5,"Weekly",1)</f>
        <v>1</v>
      </c>
    </row>
    <row r="3530" spans="1:20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  <c r="S3530" t="str">
        <f t="shared" si="55"/>
        <v>Annually</v>
      </c>
      <c r="T3530" cm="1">
        <f t="array" ref="T3530">_xlfn.SWITCH(S3530,"Annually",6,"Bi-Weekly",2,"Fortnightly",3,"Monthly",4,"Quarterly",5,"Weekly",1)</f>
        <v>6</v>
      </c>
    </row>
    <row r="3531" spans="1:20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  <c r="S3531" t="str">
        <f t="shared" si="55"/>
        <v>Weekly</v>
      </c>
      <c r="T3531" cm="1">
        <f t="array" ref="T3531">_xlfn.SWITCH(S3531,"Annually",6,"Bi-Weekly",2,"Fortnightly",3,"Monthly",4,"Quarterly",5,"Weekly",1)</f>
        <v>1</v>
      </c>
    </row>
    <row r="3532" spans="1:20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  <c r="S3532" t="str">
        <f t="shared" si="55"/>
        <v>Weekly</v>
      </c>
      <c r="T3532" cm="1">
        <f t="array" ref="T3532">_xlfn.SWITCH(S3532,"Annually",6,"Bi-Weekly",2,"Fortnightly",3,"Monthly",4,"Quarterly",5,"Weekly",1)</f>
        <v>1</v>
      </c>
    </row>
    <row r="3533" spans="1:20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  <c r="S3533" t="str">
        <f t="shared" si="55"/>
        <v>Quarterly</v>
      </c>
      <c r="T3533" cm="1">
        <f t="array" ref="T3533">_xlfn.SWITCH(S3533,"Annually",6,"Bi-Weekly",2,"Fortnightly",3,"Monthly",4,"Quarterly",5,"Weekly",1)</f>
        <v>5</v>
      </c>
    </row>
    <row r="3534" spans="1:20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  <c r="S3534" t="str">
        <f t="shared" si="55"/>
        <v>Annually</v>
      </c>
      <c r="T3534" cm="1">
        <f t="array" ref="T3534">_xlfn.SWITCH(S3534,"Annually",6,"Bi-Weekly",2,"Fortnightly",3,"Monthly",4,"Quarterly",5,"Weekly",1)</f>
        <v>6</v>
      </c>
    </row>
    <row r="3535" spans="1:20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  <c r="S3535" t="str">
        <f t="shared" si="55"/>
        <v>Fortnightly</v>
      </c>
      <c r="T3535" cm="1">
        <f t="array" ref="T3535">_xlfn.SWITCH(S3535,"Annually",6,"Bi-Weekly",2,"Fortnightly",3,"Monthly",4,"Quarterly",5,"Weekly",1)</f>
        <v>3</v>
      </c>
    </row>
    <row r="3536" spans="1:20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  <c r="S3536" t="str">
        <f t="shared" si="55"/>
        <v>Weekly</v>
      </c>
      <c r="T3536" cm="1">
        <f t="array" ref="T3536">_xlfn.SWITCH(S3536,"Annually",6,"Bi-Weekly",2,"Fortnightly",3,"Monthly",4,"Quarterly",5,"Weekly",1)</f>
        <v>1</v>
      </c>
    </row>
    <row r="3537" spans="1:20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  <c r="S3537" t="str">
        <f t="shared" si="55"/>
        <v>Monthly</v>
      </c>
      <c r="T3537" cm="1">
        <f t="array" ref="T3537">_xlfn.SWITCH(S3537,"Annually",6,"Bi-Weekly",2,"Fortnightly",3,"Monthly",4,"Quarterly",5,"Weekly",1)</f>
        <v>4</v>
      </c>
    </row>
    <row r="3538" spans="1:20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  <c r="S3538" t="str">
        <f t="shared" si="55"/>
        <v>Monthly</v>
      </c>
      <c r="T3538" cm="1">
        <f t="array" ref="T3538">_xlfn.SWITCH(S3538,"Annually",6,"Bi-Weekly",2,"Fortnightly",3,"Monthly",4,"Quarterly",5,"Weekly",1)</f>
        <v>4</v>
      </c>
    </row>
    <row r="3539" spans="1:20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  <c r="S3539" t="str">
        <f t="shared" si="55"/>
        <v>Quarterly</v>
      </c>
      <c r="T3539" cm="1">
        <f t="array" ref="T3539">_xlfn.SWITCH(S3539,"Annually",6,"Bi-Weekly",2,"Fortnightly",3,"Monthly",4,"Quarterly",5,"Weekly",1)</f>
        <v>5</v>
      </c>
    </row>
    <row r="3540" spans="1:20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  <c r="S3540" t="str">
        <f t="shared" si="55"/>
        <v>Monthly</v>
      </c>
      <c r="T3540" cm="1">
        <f t="array" ref="T3540">_xlfn.SWITCH(S3540,"Annually",6,"Bi-Weekly",2,"Fortnightly",3,"Monthly",4,"Quarterly",5,"Weekly",1)</f>
        <v>4</v>
      </c>
    </row>
    <row r="3541" spans="1:20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  <c r="S3541" t="str">
        <f t="shared" si="55"/>
        <v>Bi-Weekly</v>
      </c>
      <c r="T3541" cm="1">
        <f t="array" ref="T3541">_xlfn.SWITCH(S3541,"Annually",6,"Bi-Weekly",2,"Fortnightly",3,"Monthly",4,"Quarterly",5,"Weekly",1)</f>
        <v>2</v>
      </c>
    </row>
    <row r="3542" spans="1:20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  <c r="S3542" t="str">
        <f t="shared" si="55"/>
        <v>Weekly</v>
      </c>
      <c r="T3542" cm="1">
        <f t="array" ref="T3542">_xlfn.SWITCH(S3542,"Annually",6,"Bi-Weekly",2,"Fortnightly",3,"Monthly",4,"Quarterly",5,"Weekly",1)</f>
        <v>1</v>
      </c>
    </row>
    <row r="3543" spans="1:20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  <c r="S3543" t="str">
        <f t="shared" si="55"/>
        <v>Annually</v>
      </c>
      <c r="T3543" cm="1">
        <f t="array" ref="T3543">_xlfn.SWITCH(S3543,"Annually",6,"Bi-Weekly",2,"Fortnightly",3,"Monthly",4,"Quarterly",5,"Weekly",1)</f>
        <v>6</v>
      </c>
    </row>
    <row r="3544" spans="1:20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  <c r="S3544" t="str">
        <f t="shared" si="55"/>
        <v>Weekly</v>
      </c>
      <c r="T3544" cm="1">
        <f t="array" ref="T3544">_xlfn.SWITCH(S3544,"Annually",6,"Bi-Weekly",2,"Fortnightly",3,"Monthly",4,"Quarterly",5,"Weekly",1)</f>
        <v>1</v>
      </c>
    </row>
    <row r="3545" spans="1:20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  <c r="S3545" t="str">
        <f t="shared" si="55"/>
        <v>Quarterly</v>
      </c>
      <c r="T3545" cm="1">
        <f t="array" ref="T3545">_xlfn.SWITCH(S3545,"Annually",6,"Bi-Weekly",2,"Fortnightly",3,"Monthly",4,"Quarterly",5,"Weekly",1)</f>
        <v>5</v>
      </c>
    </row>
    <row r="3546" spans="1:20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  <c r="S3546" t="str">
        <f t="shared" si="55"/>
        <v>Quarterly</v>
      </c>
      <c r="T3546" cm="1">
        <f t="array" ref="T3546">_xlfn.SWITCH(S3546,"Annually",6,"Bi-Weekly",2,"Fortnightly",3,"Monthly",4,"Quarterly",5,"Weekly",1)</f>
        <v>5</v>
      </c>
    </row>
    <row r="3547" spans="1:20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  <c r="S3547" t="str">
        <f t="shared" si="55"/>
        <v>Annually</v>
      </c>
      <c r="T3547" cm="1">
        <f t="array" ref="T3547">_xlfn.SWITCH(S3547,"Annually",6,"Bi-Weekly",2,"Fortnightly",3,"Monthly",4,"Quarterly",5,"Weekly",1)</f>
        <v>6</v>
      </c>
    </row>
    <row r="3548" spans="1:20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  <c r="S3548" t="str">
        <f t="shared" si="55"/>
        <v>Bi-Weekly</v>
      </c>
      <c r="T3548" cm="1">
        <f t="array" ref="T3548">_xlfn.SWITCH(S3548,"Annually",6,"Bi-Weekly",2,"Fortnightly",3,"Monthly",4,"Quarterly",5,"Weekly",1)</f>
        <v>2</v>
      </c>
    </row>
    <row r="3549" spans="1:20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  <c r="S3549" t="str">
        <f t="shared" si="55"/>
        <v>Annually</v>
      </c>
      <c r="T3549" cm="1">
        <f t="array" ref="T3549">_xlfn.SWITCH(S3549,"Annually",6,"Bi-Weekly",2,"Fortnightly",3,"Monthly",4,"Quarterly",5,"Weekly",1)</f>
        <v>6</v>
      </c>
    </row>
    <row r="3550" spans="1:20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  <c r="S3550" t="str">
        <f t="shared" si="55"/>
        <v>Fortnightly</v>
      </c>
      <c r="T3550" cm="1">
        <f t="array" ref="T3550">_xlfn.SWITCH(S3550,"Annually",6,"Bi-Weekly",2,"Fortnightly",3,"Monthly",4,"Quarterly",5,"Weekly",1)</f>
        <v>3</v>
      </c>
    </row>
    <row r="3551" spans="1:20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  <c r="S3551" t="str">
        <f t="shared" si="55"/>
        <v>Fortnightly</v>
      </c>
      <c r="T3551" cm="1">
        <f t="array" ref="T3551">_xlfn.SWITCH(S3551,"Annually",6,"Bi-Weekly",2,"Fortnightly",3,"Monthly",4,"Quarterly",5,"Weekly",1)</f>
        <v>3</v>
      </c>
    </row>
    <row r="3552" spans="1:20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  <c r="S3552" t="str">
        <f t="shared" si="55"/>
        <v>Weekly</v>
      </c>
      <c r="T3552" cm="1">
        <f t="array" ref="T3552">_xlfn.SWITCH(S3552,"Annually",6,"Bi-Weekly",2,"Fortnightly",3,"Monthly",4,"Quarterly",5,"Weekly",1)</f>
        <v>1</v>
      </c>
    </row>
    <row r="3553" spans="1:20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  <c r="S3553" t="str">
        <f t="shared" si="55"/>
        <v>Weekly</v>
      </c>
      <c r="T3553" cm="1">
        <f t="array" ref="T3553">_xlfn.SWITCH(S3553,"Annually",6,"Bi-Weekly",2,"Fortnightly",3,"Monthly",4,"Quarterly",5,"Weekly",1)</f>
        <v>1</v>
      </c>
    </row>
    <row r="3554" spans="1:20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  <c r="S3554" t="str">
        <f t="shared" si="55"/>
        <v>Quarterly</v>
      </c>
      <c r="T3554" cm="1">
        <f t="array" ref="T3554">_xlfn.SWITCH(S3554,"Annually",6,"Bi-Weekly",2,"Fortnightly",3,"Monthly",4,"Quarterly",5,"Weekly",1)</f>
        <v>5</v>
      </c>
    </row>
    <row r="3555" spans="1:20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  <c r="S3555" t="str">
        <f t="shared" si="55"/>
        <v>Weekly</v>
      </c>
      <c r="T3555" cm="1">
        <f t="array" ref="T3555">_xlfn.SWITCH(S3555,"Annually",6,"Bi-Weekly",2,"Fortnightly",3,"Monthly",4,"Quarterly",5,"Weekly",1)</f>
        <v>1</v>
      </c>
    </row>
    <row r="3556" spans="1:20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  <c r="S3556" t="str">
        <f t="shared" si="55"/>
        <v>Fortnightly</v>
      </c>
      <c r="T3556" cm="1">
        <f t="array" ref="T3556">_xlfn.SWITCH(S3556,"Annually",6,"Bi-Weekly",2,"Fortnightly",3,"Monthly",4,"Quarterly",5,"Weekly",1)</f>
        <v>3</v>
      </c>
    </row>
    <row r="3557" spans="1:20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  <c r="S3557" t="str">
        <f t="shared" si="55"/>
        <v>Quarterly</v>
      </c>
      <c r="T3557" cm="1">
        <f t="array" ref="T3557">_xlfn.SWITCH(S3557,"Annually",6,"Bi-Weekly",2,"Fortnightly",3,"Monthly",4,"Quarterly",5,"Weekly",1)</f>
        <v>5</v>
      </c>
    </row>
    <row r="3558" spans="1:20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  <c r="S3558" t="str">
        <f t="shared" si="55"/>
        <v>Bi-Weekly</v>
      </c>
      <c r="T3558" cm="1">
        <f t="array" ref="T3558">_xlfn.SWITCH(S3558,"Annually",6,"Bi-Weekly",2,"Fortnightly",3,"Monthly",4,"Quarterly",5,"Weekly",1)</f>
        <v>2</v>
      </c>
    </row>
    <row r="3559" spans="1:20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  <c r="S3559" t="str">
        <f t="shared" si="55"/>
        <v>Quarterly</v>
      </c>
      <c r="T3559" cm="1">
        <f t="array" ref="T3559">_xlfn.SWITCH(S3559,"Annually",6,"Bi-Weekly",2,"Fortnightly",3,"Monthly",4,"Quarterly",5,"Weekly",1)</f>
        <v>5</v>
      </c>
    </row>
    <row r="3560" spans="1:20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  <c r="S3560" t="str">
        <f t="shared" si="55"/>
        <v>Quarterly</v>
      </c>
      <c r="T3560" cm="1">
        <f t="array" ref="T3560">_xlfn.SWITCH(S3560,"Annually",6,"Bi-Weekly",2,"Fortnightly",3,"Monthly",4,"Quarterly",5,"Weekly",1)</f>
        <v>5</v>
      </c>
    </row>
    <row r="3561" spans="1:20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  <c r="S3561" t="str">
        <f t="shared" si="55"/>
        <v>Quarterly</v>
      </c>
      <c r="T3561" cm="1">
        <f t="array" ref="T3561">_xlfn.SWITCH(S3561,"Annually",6,"Bi-Weekly",2,"Fortnightly",3,"Monthly",4,"Quarterly",5,"Weekly",1)</f>
        <v>5</v>
      </c>
    </row>
    <row r="3562" spans="1:20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  <c r="S3562" t="str">
        <f t="shared" si="55"/>
        <v>Annually</v>
      </c>
      <c r="T3562" cm="1">
        <f t="array" ref="T3562">_xlfn.SWITCH(S3562,"Annually",6,"Bi-Weekly",2,"Fortnightly",3,"Monthly",4,"Quarterly",5,"Weekly",1)</f>
        <v>6</v>
      </c>
    </row>
    <row r="3563" spans="1:20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  <c r="S3563" t="str">
        <f t="shared" si="55"/>
        <v>Fortnightly</v>
      </c>
      <c r="T3563" cm="1">
        <f t="array" ref="T3563">_xlfn.SWITCH(S3563,"Annually",6,"Bi-Weekly",2,"Fortnightly",3,"Monthly",4,"Quarterly",5,"Weekly",1)</f>
        <v>3</v>
      </c>
    </row>
    <row r="3564" spans="1:20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  <c r="S3564" t="str">
        <f t="shared" si="55"/>
        <v>Weekly</v>
      </c>
      <c r="T3564" cm="1">
        <f t="array" ref="T3564">_xlfn.SWITCH(S3564,"Annually",6,"Bi-Weekly",2,"Fortnightly",3,"Monthly",4,"Quarterly",5,"Weekly",1)</f>
        <v>1</v>
      </c>
    </row>
    <row r="3565" spans="1:20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  <c r="S3565" t="str">
        <f t="shared" si="55"/>
        <v>Quarterly</v>
      </c>
      <c r="T3565" cm="1">
        <f t="array" ref="T3565">_xlfn.SWITCH(S3565,"Annually",6,"Bi-Weekly",2,"Fortnightly",3,"Monthly",4,"Quarterly",5,"Weekly",1)</f>
        <v>5</v>
      </c>
    </row>
    <row r="3566" spans="1:20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  <c r="S3566" t="str">
        <f t="shared" si="55"/>
        <v>Annually</v>
      </c>
      <c r="T3566" cm="1">
        <f t="array" ref="T3566">_xlfn.SWITCH(S3566,"Annually",6,"Bi-Weekly",2,"Fortnightly",3,"Monthly",4,"Quarterly",5,"Weekly",1)</f>
        <v>6</v>
      </c>
    </row>
    <row r="3567" spans="1:20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  <c r="S3567" t="str">
        <f t="shared" si="55"/>
        <v>Monthly</v>
      </c>
      <c r="T3567" cm="1">
        <f t="array" ref="T3567">_xlfn.SWITCH(S3567,"Annually",6,"Bi-Weekly",2,"Fortnightly",3,"Monthly",4,"Quarterly",5,"Weekly",1)</f>
        <v>4</v>
      </c>
    </row>
    <row r="3568" spans="1:20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  <c r="S3568" t="str">
        <f t="shared" si="55"/>
        <v>Monthly</v>
      </c>
      <c r="T3568" cm="1">
        <f t="array" ref="T3568">_xlfn.SWITCH(S3568,"Annually",6,"Bi-Weekly",2,"Fortnightly",3,"Monthly",4,"Quarterly",5,"Weekly",1)</f>
        <v>4</v>
      </c>
    </row>
    <row r="3569" spans="1:20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  <c r="S3569" t="str">
        <f t="shared" si="55"/>
        <v>Monthly</v>
      </c>
      <c r="T3569" cm="1">
        <f t="array" ref="T3569">_xlfn.SWITCH(S3569,"Annually",6,"Bi-Weekly",2,"Fortnightly",3,"Monthly",4,"Quarterly",5,"Weekly",1)</f>
        <v>4</v>
      </c>
    </row>
    <row r="3570" spans="1:20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  <c r="S3570" t="str">
        <f t="shared" si="55"/>
        <v>Quarterly</v>
      </c>
      <c r="T3570" cm="1">
        <f t="array" ref="T3570">_xlfn.SWITCH(S3570,"Annually",6,"Bi-Weekly",2,"Fortnightly",3,"Monthly",4,"Quarterly",5,"Weekly",1)</f>
        <v>5</v>
      </c>
    </row>
    <row r="3571" spans="1:20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  <c r="S3571" t="str">
        <f t="shared" si="55"/>
        <v>Fortnightly</v>
      </c>
      <c r="T3571" cm="1">
        <f t="array" ref="T3571">_xlfn.SWITCH(S3571,"Annually",6,"Bi-Weekly",2,"Fortnightly",3,"Monthly",4,"Quarterly",5,"Weekly",1)</f>
        <v>3</v>
      </c>
    </row>
    <row r="3572" spans="1:20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  <c r="S3572" t="str">
        <f t="shared" si="55"/>
        <v>Annually</v>
      </c>
      <c r="T3572" cm="1">
        <f t="array" ref="T3572">_xlfn.SWITCH(S3572,"Annually",6,"Bi-Weekly",2,"Fortnightly",3,"Monthly",4,"Quarterly",5,"Weekly",1)</f>
        <v>6</v>
      </c>
    </row>
    <row r="3573" spans="1:20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  <c r="S3573" t="str">
        <f t="shared" si="55"/>
        <v>Quarterly</v>
      </c>
      <c r="T3573" cm="1">
        <f t="array" ref="T3573">_xlfn.SWITCH(S3573,"Annually",6,"Bi-Weekly",2,"Fortnightly",3,"Monthly",4,"Quarterly",5,"Weekly",1)</f>
        <v>5</v>
      </c>
    </row>
    <row r="3574" spans="1:20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  <c r="S3574" t="str">
        <f t="shared" si="55"/>
        <v>Monthly</v>
      </c>
      <c r="T3574" cm="1">
        <f t="array" ref="T3574">_xlfn.SWITCH(S3574,"Annually",6,"Bi-Weekly",2,"Fortnightly",3,"Monthly",4,"Quarterly",5,"Weekly",1)</f>
        <v>4</v>
      </c>
    </row>
    <row r="3575" spans="1:20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  <c r="S3575" t="str">
        <f t="shared" si="55"/>
        <v>Monthly</v>
      </c>
      <c r="T3575" cm="1">
        <f t="array" ref="T3575">_xlfn.SWITCH(S3575,"Annually",6,"Bi-Weekly",2,"Fortnightly",3,"Monthly",4,"Quarterly",5,"Weekly",1)</f>
        <v>4</v>
      </c>
    </row>
    <row r="3576" spans="1:20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  <c r="S3576" t="str">
        <f t="shared" si="55"/>
        <v>Quarterly</v>
      </c>
      <c r="T3576" cm="1">
        <f t="array" ref="T3576">_xlfn.SWITCH(S3576,"Annually",6,"Bi-Weekly",2,"Fortnightly",3,"Monthly",4,"Quarterly",5,"Weekly",1)</f>
        <v>5</v>
      </c>
    </row>
    <row r="3577" spans="1:20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  <c r="S3577" t="str">
        <f t="shared" si="55"/>
        <v>Bi-Weekly</v>
      </c>
      <c r="T3577" cm="1">
        <f t="array" ref="T3577">_xlfn.SWITCH(S3577,"Annually",6,"Bi-Weekly",2,"Fortnightly",3,"Monthly",4,"Quarterly",5,"Weekly",1)</f>
        <v>2</v>
      </c>
    </row>
    <row r="3578" spans="1:20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  <c r="S3578" t="str">
        <f t="shared" si="55"/>
        <v>Bi-Weekly</v>
      </c>
      <c r="T3578" cm="1">
        <f t="array" ref="T3578">_xlfn.SWITCH(S3578,"Annually",6,"Bi-Weekly",2,"Fortnightly",3,"Monthly",4,"Quarterly",5,"Weekly",1)</f>
        <v>2</v>
      </c>
    </row>
    <row r="3579" spans="1:20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  <c r="S3579" t="str">
        <f t="shared" si="55"/>
        <v>Weekly</v>
      </c>
      <c r="T3579" cm="1">
        <f t="array" ref="T3579">_xlfn.SWITCH(S3579,"Annually",6,"Bi-Weekly",2,"Fortnightly",3,"Monthly",4,"Quarterly",5,"Weekly",1)</f>
        <v>1</v>
      </c>
    </row>
    <row r="3580" spans="1:20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  <c r="S3580" t="str">
        <f t="shared" si="55"/>
        <v>Quarterly</v>
      </c>
      <c r="T3580" cm="1">
        <f t="array" ref="T3580">_xlfn.SWITCH(S3580,"Annually",6,"Bi-Weekly",2,"Fortnightly",3,"Monthly",4,"Quarterly",5,"Weekly",1)</f>
        <v>5</v>
      </c>
    </row>
    <row r="3581" spans="1:20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  <c r="S3581" t="str">
        <f t="shared" si="55"/>
        <v>Quarterly</v>
      </c>
      <c r="T3581" cm="1">
        <f t="array" ref="T3581">_xlfn.SWITCH(S3581,"Annually",6,"Bi-Weekly",2,"Fortnightly",3,"Monthly",4,"Quarterly",5,"Weekly",1)</f>
        <v>5</v>
      </c>
    </row>
    <row r="3582" spans="1:20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  <c r="S3582" t="str">
        <f t="shared" si="55"/>
        <v>Bi-Weekly</v>
      </c>
      <c r="T3582" cm="1">
        <f t="array" ref="T3582">_xlfn.SWITCH(S3582,"Annually",6,"Bi-Weekly",2,"Fortnightly",3,"Monthly",4,"Quarterly",5,"Weekly",1)</f>
        <v>2</v>
      </c>
    </row>
    <row r="3583" spans="1:20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  <c r="S3583" t="str">
        <f t="shared" si="55"/>
        <v>Weekly</v>
      </c>
      <c r="T3583" cm="1">
        <f t="array" ref="T3583">_xlfn.SWITCH(S3583,"Annually",6,"Bi-Weekly",2,"Fortnightly",3,"Monthly",4,"Quarterly",5,"Weekly",1)</f>
        <v>1</v>
      </c>
    </row>
    <row r="3584" spans="1:20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  <c r="S3584" t="str">
        <f t="shared" si="55"/>
        <v>Annually</v>
      </c>
      <c r="T3584" cm="1">
        <f t="array" ref="T3584">_xlfn.SWITCH(S3584,"Annually",6,"Bi-Weekly",2,"Fortnightly",3,"Monthly",4,"Quarterly",5,"Weekly",1)</f>
        <v>6</v>
      </c>
    </row>
    <row r="3585" spans="1:20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  <c r="S3585" t="str">
        <f t="shared" si="55"/>
        <v>Quarterly</v>
      </c>
      <c r="T3585" cm="1">
        <f t="array" ref="T3585">_xlfn.SWITCH(S3585,"Annually",6,"Bi-Weekly",2,"Fortnightly",3,"Monthly",4,"Quarterly",5,"Weekly",1)</f>
        <v>5</v>
      </c>
    </row>
    <row r="3586" spans="1:20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  <c r="S3586" t="str">
        <f t="shared" si="55"/>
        <v>Monthly</v>
      </c>
      <c r="T3586" cm="1">
        <f t="array" ref="T3586">_xlfn.SWITCH(S3586,"Annually",6,"Bi-Weekly",2,"Fortnightly",3,"Monthly",4,"Quarterly",5,"Weekly",1)</f>
        <v>4</v>
      </c>
    </row>
    <row r="3587" spans="1:20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  <c r="S3587" t="str">
        <f t="shared" ref="S3587:S3650" si="56">IF(R3587="Every 3 Months","Quarterly",R3587)</f>
        <v>Bi-Weekly</v>
      </c>
      <c r="T3587" cm="1">
        <f t="array" ref="T3587">_xlfn.SWITCH(S3587,"Annually",6,"Bi-Weekly",2,"Fortnightly",3,"Monthly",4,"Quarterly",5,"Weekly",1)</f>
        <v>2</v>
      </c>
    </row>
    <row r="3588" spans="1:20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  <c r="S3588" t="str">
        <f t="shared" si="56"/>
        <v>Bi-Weekly</v>
      </c>
      <c r="T3588" cm="1">
        <f t="array" ref="T3588">_xlfn.SWITCH(S3588,"Annually",6,"Bi-Weekly",2,"Fortnightly",3,"Monthly",4,"Quarterly",5,"Weekly",1)</f>
        <v>2</v>
      </c>
    </row>
    <row r="3589" spans="1:20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  <c r="S3589" t="str">
        <f t="shared" si="56"/>
        <v>Annually</v>
      </c>
      <c r="T3589" cm="1">
        <f t="array" ref="T3589">_xlfn.SWITCH(S3589,"Annually",6,"Bi-Weekly",2,"Fortnightly",3,"Monthly",4,"Quarterly",5,"Weekly",1)</f>
        <v>6</v>
      </c>
    </row>
    <row r="3590" spans="1:20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  <c r="S3590" t="str">
        <f t="shared" si="56"/>
        <v>Annually</v>
      </c>
      <c r="T3590" cm="1">
        <f t="array" ref="T3590">_xlfn.SWITCH(S3590,"Annually",6,"Bi-Weekly",2,"Fortnightly",3,"Monthly",4,"Quarterly",5,"Weekly",1)</f>
        <v>6</v>
      </c>
    </row>
    <row r="3591" spans="1:20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  <c r="S3591" t="str">
        <f t="shared" si="56"/>
        <v>Quarterly</v>
      </c>
      <c r="T3591" cm="1">
        <f t="array" ref="T3591">_xlfn.SWITCH(S3591,"Annually",6,"Bi-Weekly",2,"Fortnightly",3,"Monthly",4,"Quarterly",5,"Weekly",1)</f>
        <v>5</v>
      </c>
    </row>
    <row r="3592" spans="1:20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  <c r="S3592" t="str">
        <f t="shared" si="56"/>
        <v>Quarterly</v>
      </c>
      <c r="T3592" cm="1">
        <f t="array" ref="T3592">_xlfn.SWITCH(S3592,"Annually",6,"Bi-Weekly",2,"Fortnightly",3,"Monthly",4,"Quarterly",5,"Weekly",1)</f>
        <v>5</v>
      </c>
    </row>
    <row r="3593" spans="1:20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  <c r="S3593" t="str">
        <f t="shared" si="56"/>
        <v>Quarterly</v>
      </c>
      <c r="T3593" cm="1">
        <f t="array" ref="T3593">_xlfn.SWITCH(S3593,"Annually",6,"Bi-Weekly",2,"Fortnightly",3,"Monthly",4,"Quarterly",5,"Weekly",1)</f>
        <v>5</v>
      </c>
    </row>
    <row r="3594" spans="1:20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  <c r="S3594" t="str">
        <f t="shared" si="56"/>
        <v>Fortnightly</v>
      </c>
      <c r="T3594" cm="1">
        <f t="array" ref="T3594">_xlfn.SWITCH(S3594,"Annually",6,"Bi-Weekly",2,"Fortnightly",3,"Monthly",4,"Quarterly",5,"Weekly",1)</f>
        <v>3</v>
      </c>
    </row>
    <row r="3595" spans="1:20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  <c r="S3595" t="str">
        <f t="shared" si="56"/>
        <v>Monthly</v>
      </c>
      <c r="T3595" cm="1">
        <f t="array" ref="T3595">_xlfn.SWITCH(S3595,"Annually",6,"Bi-Weekly",2,"Fortnightly",3,"Monthly",4,"Quarterly",5,"Weekly",1)</f>
        <v>4</v>
      </c>
    </row>
    <row r="3596" spans="1:20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  <c r="S3596" t="str">
        <f t="shared" si="56"/>
        <v>Quarterly</v>
      </c>
      <c r="T3596" cm="1">
        <f t="array" ref="T3596">_xlfn.SWITCH(S3596,"Annually",6,"Bi-Weekly",2,"Fortnightly",3,"Monthly",4,"Quarterly",5,"Weekly",1)</f>
        <v>5</v>
      </c>
    </row>
    <row r="3597" spans="1:20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  <c r="S3597" t="str">
        <f t="shared" si="56"/>
        <v>Annually</v>
      </c>
      <c r="T3597" cm="1">
        <f t="array" ref="T3597">_xlfn.SWITCH(S3597,"Annually",6,"Bi-Weekly",2,"Fortnightly",3,"Monthly",4,"Quarterly",5,"Weekly",1)</f>
        <v>6</v>
      </c>
    </row>
    <row r="3598" spans="1:20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  <c r="S3598" t="str">
        <f t="shared" si="56"/>
        <v>Fortnightly</v>
      </c>
      <c r="T3598" cm="1">
        <f t="array" ref="T3598">_xlfn.SWITCH(S3598,"Annually",6,"Bi-Weekly",2,"Fortnightly",3,"Monthly",4,"Quarterly",5,"Weekly",1)</f>
        <v>3</v>
      </c>
    </row>
    <row r="3599" spans="1:20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  <c r="S3599" t="str">
        <f t="shared" si="56"/>
        <v>Quarterly</v>
      </c>
      <c r="T3599" cm="1">
        <f t="array" ref="T3599">_xlfn.SWITCH(S3599,"Annually",6,"Bi-Weekly",2,"Fortnightly",3,"Monthly",4,"Quarterly",5,"Weekly",1)</f>
        <v>5</v>
      </c>
    </row>
    <row r="3600" spans="1:20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  <c r="S3600" t="str">
        <f t="shared" si="56"/>
        <v>Bi-Weekly</v>
      </c>
      <c r="T3600" cm="1">
        <f t="array" ref="T3600">_xlfn.SWITCH(S3600,"Annually",6,"Bi-Weekly",2,"Fortnightly",3,"Monthly",4,"Quarterly",5,"Weekly",1)</f>
        <v>2</v>
      </c>
    </row>
    <row r="3601" spans="1:20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  <c r="S3601" t="str">
        <f t="shared" si="56"/>
        <v>Weekly</v>
      </c>
      <c r="T3601" cm="1">
        <f t="array" ref="T3601">_xlfn.SWITCH(S3601,"Annually",6,"Bi-Weekly",2,"Fortnightly",3,"Monthly",4,"Quarterly",5,"Weekly",1)</f>
        <v>1</v>
      </c>
    </row>
    <row r="3602" spans="1:20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  <c r="S3602" t="str">
        <f t="shared" si="56"/>
        <v>Bi-Weekly</v>
      </c>
      <c r="T3602" cm="1">
        <f t="array" ref="T3602">_xlfn.SWITCH(S3602,"Annually",6,"Bi-Weekly",2,"Fortnightly",3,"Monthly",4,"Quarterly",5,"Weekly",1)</f>
        <v>2</v>
      </c>
    </row>
    <row r="3603" spans="1:20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  <c r="S3603" t="str">
        <f t="shared" si="56"/>
        <v>Monthly</v>
      </c>
      <c r="T3603" cm="1">
        <f t="array" ref="T3603">_xlfn.SWITCH(S3603,"Annually",6,"Bi-Weekly",2,"Fortnightly",3,"Monthly",4,"Quarterly",5,"Weekly",1)</f>
        <v>4</v>
      </c>
    </row>
    <row r="3604" spans="1:20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  <c r="S3604" t="str">
        <f t="shared" si="56"/>
        <v>Quarterly</v>
      </c>
      <c r="T3604" cm="1">
        <f t="array" ref="T3604">_xlfn.SWITCH(S3604,"Annually",6,"Bi-Weekly",2,"Fortnightly",3,"Monthly",4,"Quarterly",5,"Weekly",1)</f>
        <v>5</v>
      </c>
    </row>
    <row r="3605" spans="1:20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  <c r="S3605" t="str">
        <f t="shared" si="56"/>
        <v>Weekly</v>
      </c>
      <c r="T3605" cm="1">
        <f t="array" ref="T3605">_xlfn.SWITCH(S3605,"Annually",6,"Bi-Weekly",2,"Fortnightly",3,"Monthly",4,"Quarterly",5,"Weekly",1)</f>
        <v>1</v>
      </c>
    </row>
    <row r="3606" spans="1:20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  <c r="S3606" t="str">
        <f t="shared" si="56"/>
        <v>Annually</v>
      </c>
      <c r="T3606" cm="1">
        <f t="array" ref="T3606">_xlfn.SWITCH(S3606,"Annually",6,"Bi-Weekly",2,"Fortnightly",3,"Monthly",4,"Quarterly",5,"Weekly",1)</f>
        <v>6</v>
      </c>
    </row>
    <row r="3607" spans="1:20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  <c r="S3607" t="str">
        <f t="shared" si="56"/>
        <v>Quarterly</v>
      </c>
      <c r="T3607" cm="1">
        <f t="array" ref="T3607">_xlfn.SWITCH(S3607,"Annually",6,"Bi-Weekly",2,"Fortnightly",3,"Monthly",4,"Quarterly",5,"Weekly",1)</f>
        <v>5</v>
      </c>
    </row>
    <row r="3608" spans="1:20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  <c r="S3608" t="str">
        <f t="shared" si="56"/>
        <v>Annually</v>
      </c>
      <c r="T3608" cm="1">
        <f t="array" ref="T3608">_xlfn.SWITCH(S3608,"Annually",6,"Bi-Weekly",2,"Fortnightly",3,"Monthly",4,"Quarterly",5,"Weekly",1)</f>
        <v>6</v>
      </c>
    </row>
    <row r="3609" spans="1:20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  <c r="S3609" t="str">
        <f t="shared" si="56"/>
        <v>Bi-Weekly</v>
      </c>
      <c r="T3609" cm="1">
        <f t="array" ref="T3609">_xlfn.SWITCH(S3609,"Annually",6,"Bi-Weekly",2,"Fortnightly",3,"Monthly",4,"Quarterly",5,"Weekly",1)</f>
        <v>2</v>
      </c>
    </row>
    <row r="3610" spans="1:20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  <c r="S3610" t="str">
        <f t="shared" si="56"/>
        <v>Quarterly</v>
      </c>
      <c r="T3610" cm="1">
        <f t="array" ref="T3610">_xlfn.SWITCH(S3610,"Annually",6,"Bi-Weekly",2,"Fortnightly",3,"Monthly",4,"Quarterly",5,"Weekly",1)</f>
        <v>5</v>
      </c>
    </row>
    <row r="3611" spans="1:20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  <c r="S3611" t="str">
        <f t="shared" si="56"/>
        <v>Monthly</v>
      </c>
      <c r="T3611" cm="1">
        <f t="array" ref="T3611">_xlfn.SWITCH(S3611,"Annually",6,"Bi-Weekly",2,"Fortnightly",3,"Monthly",4,"Quarterly",5,"Weekly",1)</f>
        <v>4</v>
      </c>
    </row>
    <row r="3612" spans="1:20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  <c r="S3612" t="str">
        <f t="shared" si="56"/>
        <v>Fortnightly</v>
      </c>
      <c r="T3612" cm="1">
        <f t="array" ref="T3612">_xlfn.SWITCH(S3612,"Annually",6,"Bi-Weekly",2,"Fortnightly",3,"Monthly",4,"Quarterly",5,"Weekly",1)</f>
        <v>3</v>
      </c>
    </row>
    <row r="3613" spans="1:20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  <c r="S3613" t="str">
        <f t="shared" si="56"/>
        <v>Annually</v>
      </c>
      <c r="T3613" cm="1">
        <f t="array" ref="T3613">_xlfn.SWITCH(S3613,"Annually",6,"Bi-Weekly",2,"Fortnightly",3,"Monthly",4,"Quarterly",5,"Weekly",1)</f>
        <v>6</v>
      </c>
    </row>
    <row r="3614" spans="1:20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  <c r="S3614" t="str">
        <f t="shared" si="56"/>
        <v>Quarterly</v>
      </c>
      <c r="T3614" cm="1">
        <f t="array" ref="T3614">_xlfn.SWITCH(S3614,"Annually",6,"Bi-Weekly",2,"Fortnightly",3,"Monthly",4,"Quarterly",5,"Weekly",1)</f>
        <v>5</v>
      </c>
    </row>
    <row r="3615" spans="1:20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  <c r="S3615" t="str">
        <f t="shared" si="56"/>
        <v>Annually</v>
      </c>
      <c r="T3615" cm="1">
        <f t="array" ref="T3615">_xlfn.SWITCH(S3615,"Annually",6,"Bi-Weekly",2,"Fortnightly",3,"Monthly",4,"Quarterly",5,"Weekly",1)</f>
        <v>6</v>
      </c>
    </row>
    <row r="3616" spans="1:20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  <c r="S3616" t="str">
        <f t="shared" si="56"/>
        <v>Annually</v>
      </c>
      <c r="T3616" cm="1">
        <f t="array" ref="T3616">_xlfn.SWITCH(S3616,"Annually",6,"Bi-Weekly",2,"Fortnightly",3,"Monthly",4,"Quarterly",5,"Weekly",1)</f>
        <v>6</v>
      </c>
    </row>
    <row r="3617" spans="1:20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  <c r="S3617" t="str">
        <f t="shared" si="56"/>
        <v>Monthly</v>
      </c>
      <c r="T3617" cm="1">
        <f t="array" ref="T3617">_xlfn.SWITCH(S3617,"Annually",6,"Bi-Weekly",2,"Fortnightly",3,"Monthly",4,"Quarterly",5,"Weekly",1)</f>
        <v>4</v>
      </c>
    </row>
    <row r="3618" spans="1:20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  <c r="S3618" t="str">
        <f t="shared" si="56"/>
        <v>Fortnightly</v>
      </c>
      <c r="T3618" cm="1">
        <f t="array" ref="T3618">_xlfn.SWITCH(S3618,"Annually",6,"Bi-Weekly",2,"Fortnightly",3,"Monthly",4,"Quarterly",5,"Weekly",1)</f>
        <v>3</v>
      </c>
    </row>
    <row r="3619" spans="1:20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  <c r="S3619" t="str">
        <f t="shared" si="56"/>
        <v>Monthly</v>
      </c>
      <c r="T3619" cm="1">
        <f t="array" ref="T3619">_xlfn.SWITCH(S3619,"Annually",6,"Bi-Weekly",2,"Fortnightly",3,"Monthly",4,"Quarterly",5,"Weekly",1)</f>
        <v>4</v>
      </c>
    </row>
    <row r="3620" spans="1:20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  <c r="S3620" t="str">
        <f t="shared" si="56"/>
        <v>Bi-Weekly</v>
      </c>
      <c r="T3620" cm="1">
        <f t="array" ref="T3620">_xlfn.SWITCH(S3620,"Annually",6,"Bi-Weekly",2,"Fortnightly",3,"Monthly",4,"Quarterly",5,"Weekly",1)</f>
        <v>2</v>
      </c>
    </row>
    <row r="3621" spans="1:20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  <c r="S3621" t="str">
        <f t="shared" si="56"/>
        <v>Weekly</v>
      </c>
      <c r="T3621" cm="1">
        <f t="array" ref="T3621">_xlfn.SWITCH(S3621,"Annually",6,"Bi-Weekly",2,"Fortnightly",3,"Monthly",4,"Quarterly",5,"Weekly",1)</f>
        <v>1</v>
      </c>
    </row>
    <row r="3622" spans="1:20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  <c r="S3622" t="str">
        <f t="shared" si="56"/>
        <v>Fortnightly</v>
      </c>
      <c r="T3622" cm="1">
        <f t="array" ref="T3622">_xlfn.SWITCH(S3622,"Annually",6,"Bi-Weekly",2,"Fortnightly",3,"Monthly",4,"Quarterly",5,"Weekly",1)</f>
        <v>3</v>
      </c>
    </row>
    <row r="3623" spans="1:20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  <c r="S3623" t="str">
        <f t="shared" si="56"/>
        <v>Fortnightly</v>
      </c>
      <c r="T3623" cm="1">
        <f t="array" ref="T3623">_xlfn.SWITCH(S3623,"Annually",6,"Bi-Weekly",2,"Fortnightly",3,"Monthly",4,"Quarterly",5,"Weekly",1)</f>
        <v>3</v>
      </c>
    </row>
    <row r="3624" spans="1:20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  <c r="S3624" t="str">
        <f t="shared" si="56"/>
        <v>Annually</v>
      </c>
      <c r="T3624" cm="1">
        <f t="array" ref="T3624">_xlfn.SWITCH(S3624,"Annually",6,"Bi-Weekly",2,"Fortnightly",3,"Monthly",4,"Quarterly",5,"Weekly",1)</f>
        <v>6</v>
      </c>
    </row>
    <row r="3625" spans="1:20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  <c r="S3625" t="str">
        <f t="shared" si="56"/>
        <v>Weekly</v>
      </c>
      <c r="T3625" cm="1">
        <f t="array" ref="T3625">_xlfn.SWITCH(S3625,"Annually",6,"Bi-Weekly",2,"Fortnightly",3,"Monthly",4,"Quarterly",5,"Weekly",1)</f>
        <v>1</v>
      </c>
    </row>
    <row r="3626" spans="1:20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  <c r="S3626" t="str">
        <f t="shared" si="56"/>
        <v>Bi-Weekly</v>
      </c>
      <c r="T3626" cm="1">
        <f t="array" ref="T3626">_xlfn.SWITCH(S3626,"Annually",6,"Bi-Weekly",2,"Fortnightly",3,"Monthly",4,"Quarterly",5,"Weekly",1)</f>
        <v>2</v>
      </c>
    </row>
    <row r="3627" spans="1:20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  <c r="S3627" t="str">
        <f t="shared" si="56"/>
        <v>Weekly</v>
      </c>
      <c r="T3627" cm="1">
        <f t="array" ref="T3627">_xlfn.SWITCH(S3627,"Annually",6,"Bi-Weekly",2,"Fortnightly",3,"Monthly",4,"Quarterly",5,"Weekly",1)</f>
        <v>1</v>
      </c>
    </row>
    <row r="3628" spans="1:20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  <c r="S3628" t="str">
        <f t="shared" si="56"/>
        <v>Quarterly</v>
      </c>
      <c r="T3628" cm="1">
        <f t="array" ref="T3628">_xlfn.SWITCH(S3628,"Annually",6,"Bi-Weekly",2,"Fortnightly",3,"Monthly",4,"Quarterly",5,"Weekly",1)</f>
        <v>5</v>
      </c>
    </row>
    <row r="3629" spans="1:20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  <c r="S3629" t="str">
        <f t="shared" si="56"/>
        <v>Quarterly</v>
      </c>
      <c r="T3629" cm="1">
        <f t="array" ref="T3629">_xlfn.SWITCH(S3629,"Annually",6,"Bi-Weekly",2,"Fortnightly",3,"Monthly",4,"Quarterly",5,"Weekly",1)</f>
        <v>5</v>
      </c>
    </row>
    <row r="3630" spans="1:20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  <c r="S3630" t="str">
        <f t="shared" si="56"/>
        <v>Monthly</v>
      </c>
      <c r="T3630" cm="1">
        <f t="array" ref="T3630">_xlfn.SWITCH(S3630,"Annually",6,"Bi-Weekly",2,"Fortnightly",3,"Monthly",4,"Quarterly",5,"Weekly",1)</f>
        <v>4</v>
      </c>
    </row>
    <row r="3631" spans="1:20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  <c r="S3631" t="str">
        <f t="shared" si="56"/>
        <v>Fortnightly</v>
      </c>
      <c r="T3631" cm="1">
        <f t="array" ref="T3631">_xlfn.SWITCH(S3631,"Annually",6,"Bi-Weekly",2,"Fortnightly",3,"Monthly",4,"Quarterly",5,"Weekly",1)</f>
        <v>3</v>
      </c>
    </row>
    <row r="3632" spans="1:20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  <c r="S3632" t="str">
        <f t="shared" si="56"/>
        <v>Weekly</v>
      </c>
      <c r="T3632" cm="1">
        <f t="array" ref="T3632">_xlfn.SWITCH(S3632,"Annually",6,"Bi-Weekly",2,"Fortnightly",3,"Monthly",4,"Quarterly",5,"Weekly",1)</f>
        <v>1</v>
      </c>
    </row>
    <row r="3633" spans="1:20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  <c r="S3633" t="str">
        <f t="shared" si="56"/>
        <v>Monthly</v>
      </c>
      <c r="T3633" cm="1">
        <f t="array" ref="T3633">_xlfn.SWITCH(S3633,"Annually",6,"Bi-Weekly",2,"Fortnightly",3,"Monthly",4,"Quarterly",5,"Weekly",1)</f>
        <v>4</v>
      </c>
    </row>
    <row r="3634" spans="1:20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  <c r="S3634" t="str">
        <f t="shared" si="56"/>
        <v>Quarterly</v>
      </c>
      <c r="T3634" cm="1">
        <f t="array" ref="T3634">_xlfn.SWITCH(S3634,"Annually",6,"Bi-Weekly",2,"Fortnightly",3,"Monthly",4,"Quarterly",5,"Weekly",1)</f>
        <v>5</v>
      </c>
    </row>
    <row r="3635" spans="1:20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  <c r="S3635" t="str">
        <f t="shared" si="56"/>
        <v>Bi-Weekly</v>
      </c>
      <c r="T3635" cm="1">
        <f t="array" ref="T3635">_xlfn.SWITCH(S3635,"Annually",6,"Bi-Weekly",2,"Fortnightly",3,"Monthly",4,"Quarterly",5,"Weekly",1)</f>
        <v>2</v>
      </c>
    </row>
    <row r="3636" spans="1:20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  <c r="S3636" t="str">
        <f t="shared" si="56"/>
        <v>Annually</v>
      </c>
      <c r="T3636" cm="1">
        <f t="array" ref="T3636">_xlfn.SWITCH(S3636,"Annually",6,"Bi-Weekly",2,"Fortnightly",3,"Monthly",4,"Quarterly",5,"Weekly",1)</f>
        <v>6</v>
      </c>
    </row>
    <row r="3637" spans="1:20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  <c r="S3637" t="str">
        <f t="shared" si="56"/>
        <v>Fortnightly</v>
      </c>
      <c r="T3637" cm="1">
        <f t="array" ref="T3637">_xlfn.SWITCH(S3637,"Annually",6,"Bi-Weekly",2,"Fortnightly",3,"Monthly",4,"Quarterly",5,"Weekly",1)</f>
        <v>3</v>
      </c>
    </row>
    <row r="3638" spans="1:20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  <c r="S3638" t="str">
        <f t="shared" si="56"/>
        <v>Weekly</v>
      </c>
      <c r="T3638" cm="1">
        <f t="array" ref="T3638">_xlfn.SWITCH(S3638,"Annually",6,"Bi-Weekly",2,"Fortnightly",3,"Monthly",4,"Quarterly",5,"Weekly",1)</f>
        <v>1</v>
      </c>
    </row>
    <row r="3639" spans="1:20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  <c r="S3639" t="str">
        <f t="shared" si="56"/>
        <v>Fortnightly</v>
      </c>
      <c r="T3639" cm="1">
        <f t="array" ref="T3639">_xlfn.SWITCH(S3639,"Annually",6,"Bi-Weekly",2,"Fortnightly",3,"Monthly",4,"Quarterly",5,"Weekly",1)</f>
        <v>3</v>
      </c>
    </row>
    <row r="3640" spans="1:20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  <c r="S3640" t="str">
        <f t="shared" si="56"/>
        <v>Bi-Weekly</v>
      </c>
      <c r="T3640" cm="1">
        <f t="array" ref="T3640">_xlfn.SWITCH(S3640,"Annually",6,"Bi-Weekly",2,"Fortnightly",3,"Monthly",4,"Quarterly",5,"Weekly",1)</f>
        <v>2</v>
      </c>
    </row>
    <row r="3641" spans="1:20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  <c r="S3641" t="str">
        <f t="shared" si="56"/>
        <v>Annually</v>
      </c>
      <c r="T3641" cm="1">
        <f t="array" ref="T3641">_xlfn.SWITCH(S3641,"Annually",6,"Bi-Weekly",2,"Fortnightly",3,"Monthly",4,"Quarterly",5,"Weekly",1)</f>
        <v>6</v>
      </c>
    </row>
    <row r="3642" spans="1:20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  <c r="S3642" t="str">
        <f t="shared" si="56"/>
        <v>Monthly</v>
      </c>
      <c r="T3642" cm="1">
        <f t="array" ref="T3642">_xlfn.SWITCH(S3642,"Annually",6,"Bi-Weekly",2,"Fortnightly",3,"Monthly",4,"Quarterly",5,"Weekly",1)</f>
        <v>4</v>
      </c>
    </row>
    <row r="3643" spans="1:20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  <c r="S3643" t="str">
        <f t="shared" si="56"/>
        <v>Quarterly</v>
      </c>
      <c r="T3643" cm="1">
        <f t="array" ref="T3643">_xlfn.SWITCH(S3643,"Annually",6,"Bi-Weekly",2,"Fortnightly",3,"Monthly",4,"Quarterly",5,"Weekly",1)</f>
        <v>5</v>
      </c>
    </row>
    <row r="3644" spans="1:20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  <c r="S3644" t="str">
        <f t="shared" si="56"/>
        <v>Annually</v>
      </c>
      <c r="T3644" cm="1">
        <f t="array" ref="T3644">_xlfn.SWITCH(S3644,"Annually",6,"Bi-Weekly",2,"Fortnightly",3,"Monthly",4,"Quarterly",5,"Weekly",1)</f>
        <v>6</v>
      </c>
    </row>
    <row r="3645" spans="1:20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  <c r="S3645" t="str">
        <f t="shared" si="56"/>
        <v>Annually</v>
      </c>
      <c r="T3645" cm="1">
        <f t="array" ref="T3645">_xlfn.SWITCH(S3645,"Annually",6,"Bi-Weekly",2,"Fortnightly",3,"Monthly",4,"Quarterly",5,"Weekly",1)</f>
        <v>6</v>
      </c>
    </row>
    <row r="3646" spans="1:20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  <c r="S3646" t="str">
        <f t="shared" si="56"/>
        <v>Weekly</v>
      </c>
      <c r="T3646" cm="1">
        <f t="array" ref="T3646">_xlfn.SWITCH(S3646,"Annually",6,"Bi-Weekly",2,"Fortnightly",3,"Monthly",4,"Quarterly",5,"Weekly",1)</f>
        <v>1</v>
      </c>
    </row>
    <row r="3647" spans="1:20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  <c r="S3647" t="str">
        <f t="shared" si="56"/>
        <v>Quarterly</v>
      </c>
      <c r="T3647" cm="1">
        <f t="array" ref="T3647">_xlfn.SWITCH(S3647,"Annually",6,"Bi-Weekly",2,"Fortnightly",3,"Monthly",4,"Quarterly",5,"Weekly",1)</f>
        <v>5</v>
      </c>
    </row>
    <row r="3648" spans="1:20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  <c r="S3648" t="str">
        <f t="shared" si="56"/>
        <v>Fortnightly</v>
      </c>
      <c r="T3648" cm="1">
        <f t="array" ref="T3648">_xlfn.SWITCH(S3648,"Annually",6,"Bi-Weekly",2,"Fortnightly",3,"Monthly",4,"Quarterly",5,"Weekly",1)</f>
        <v>3</v>
      </c>
    </row>
    <row r="3649" spans="1:20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  <c r="S3649" t="str">
        <f t="shared" si="56"/>
        <v>Weekly</v>
      </c>
      <c r="T3649" cm="1">
        <f t="array" ref="T3649">_xlfn.SWITCH(S3649,"Annually",6,"Bi-Weekly",2,"Fortnightly",3,"Monthly",4,"Quarterly",5,"Weekly",1)</f>
        <v>1</v>
      </c>
    </row>
    <row r="3650" spans="1:20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  <c r="S3650" t="str">
        <f t="shared" si="56"/>
        <v>Bi-Weekly</v>
      </c>
      <c r="T3650" cm="1">
        <f t="array" ref="T3650">_xlfn.SWITCH(S3650,"Annually",6,"Bi-Weekly",2,"Fortnightly",3,"Monthly",4,"Quarterly",5,"Weekly",1)</f>
        <v>2</v>
      </c>
    </row>
    <row r="3651" spans="1:20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  <c r="S3651" t="str">
        <f t="shared" ref="S3651:S3714" si="57">IF(R3651="Every 3 Months","Quarterly",R3651)</f>
        <v>Fortnightly</v>
      </c>
      <c r="T3651" cm="1">
        <f t="array" ref="T3651">_xlfn.SWITCH(S3651,"Annually",6,"Bi-Weekly",2,"Fortnightly",3,"Monthly",4,"Quarterly",5,"Weekly",1)</f>
        <v>3</v>
      </c>
    </row>
    <row r="3652" spans="1:20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  <c r="S3652" t="str">
        <f t="shared" si="57"/>
        <v>Annually</v>
      </c>
      <c r="T3652" cm="1">
        <f t="array" ref="T3652">_xlfn.SWITCH(S3652,"Annually",6,"Bi-Weekly",2,"Fortnightly",3,"Monthly",4,"Quarterly",5,"Weekly",1)</f>
        <v>6</v>
      </c>
    </row>
    <row r="3653" spans="1:20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  <c r="S3653" t="str">
        <f t="shared" si="57"/>
        <v>Quarterly</v>
      </c>
      <c r="T3653" cm="1">
        <f t="array" ref="T3653">_xlfn.SWITCH(S3653,"Annually",6,"Bi-Weekly",2,"Fortnightly",3,"Monthly",4,"Quarterly",5,"Weekly",1)</f>
        <v>5</v>
      </c>
    </row>
    <row r="3654" spans="1:20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  <c r="S3654" t="str">
        <f t="shared" si="57"/>
        <v>Monthly</v>
      </c>
      <c r="T3654" cm="1">
        <f t="array" ref="T3654">_xlfn.SWITCH(S3654,"Annually",6,"Bi-Weekly",2,"Fortnightly",3,"Monthly",4,"Quarterly",5,"Weekly",1)</f>
        <v>4</v>
      </c>
    </row>
    <row r="3655" spans="1:20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  <c r="S3655" t="str">
        <f t="shared" si="57"/>
        <v>Fortnightly</v>
      </c>
      <c r="T3655" cm="1">
        <f t="array" ref="T3655">_xlfn.SWITCH(S3655,"Annually",6,"Bi-Weekly",2,"Fortnightly",3,"Monthly",4,"Quarterly",5,"Weekly",1)</f>
        <v>3</v>
      </c>
    </row>
    <row r="3656" spans="1:20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  <c r="S3656" t="str">
        <f t="shared" si="57"/>
        <v>Annually</v>
      </c>
      <c r="T3656" cm="1">
        <f t="array" ref="T3656">_xlfn.SWITCH(S3656,"Annually",6,"Bi-Weekly",2,"Fortnightly",3,"Monthly",4,"Quarterly",5,"Weekly",1)</f>
        <v>6</v>
      </c>
    </row>
    <row r="3657" spans="1:20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  <c r="S3657" t="str">
        <f t="shared" si="57"/>
        <v>Bi-Weekly</v>
      </c>
      <c r="T3657" cm="1">
        <f t="array" ref="T3657">_xlfn.SWITCH(S3657,"Annually",6,"Bi-Weekly",2,"Fortnightly",3,"Monthly",4,"Quarterly",5,"Weekly",1)</f>
        <v>2</v>
      </c>
    </row>
    <row r="3658" spans="1:20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  <c r="S3658" t="str">
        <f t="shared" si="57"/>
        <v>Monthly</v>
      </c>
      <c r="T3658" cm="1">
        <f t="array" ref="T3658">_xlfn.SWITCH(S3658,"Annually",6,"Bi-Weekly",2,"Fortnightly",3,"Monthly",4,"Quarterly",5,"Weekly",1)</f>
        <v>4</v>
      </c>
    </row>
    <row r="3659" spans="1:20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  <c r="S3659" t="str">
        <f t="shared" si="57"/>
        <v>Quarterly</v>
      </c>
      <c r="T3659" cm="1">
        <f t="array" ref="T3659">_xlfn.SWITCH(S3659,"Annually",6,"Bi-Weekly",2,"Fortnightly",3,"Monthly",4,"Quarterly",5,"Weekly",1)</f>
        <v>5</v>
      </c>
    </row>
    <row r="3660" spans="1:20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  <c r="S3660" t="str">
        <f t="shared" si="57"/>
        <v>Fortnightly</v>
      </c>
      <c r="T3660" cm="1">
        <f t="array" ref="T3660">_xlfn.SWITCH(S3660,"Annually",6,"Bi-Weekly",2,"Fortnightly",3,"Monthly",4,"Quarterly",5,"Weekly",1)</f>
        <v>3</v>
      </c>
    </row>
    <row r="3661" spans="1:20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  <c r="S3661" t="str">
        <f t="shared" si="57"/>
        <v>Annually</v>
      </c>
      <c r="T3661" cm="1">
        <f t="array" ref="T3661">_xlfn.SWITCH(S3661,"Annually",6,"Bi-Weekly",2,"Fortnightly",3,"Monthly",4,"Quarterly",5,"Weekly",1)</f>
        <v>6</v>
      </c>
    </row>
    <row r="3662" spans="1:20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  <c r="S3662" t="str">
        <f t="shared" si="57"/>
        <v>Fortnightly</v>
      </c>
      <c r="T3662" cm="1">
        <f t="array" ref="T3662">_xlfn.SWITCH(S3662,"Annually",6,"Bi-Weekly",2,"Fortnightly",3,"Monthly",4,"Quarterly",5,"Weekly",1)</f>
        <v>3</v>
      </c>
    </row>
    <row r="3663" spans="1:20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  <c r="S3663" t="str">
        <f t="shared" si="57"/>
        <v>Fortnightly</v>
      </c>
      <c r="T3663" cm="1">
        <f t="array" ref="T3663">_xlfn.SWITCH(S3663,"Annually",6,"Bi-Weekly",2,"Fortnightly",3,"Monthly",4,"Quarterly",5,"Weekly",1)</f>
        <v>3</v>
      </c>
    </row>
    <row r="3664" spans="1:20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  <c r="S3664" t="str">
        <f t="shared" si="57"/>
        <v>Weekly</v>
      </c>
      <c r="T3664" cm="1">
        <f t="array" ref="T3664">_xlfn.SWITCH(S3664,"Annually",6,"Bi-Weekly",2,"Fortnightly",3,"Monthly",4,"Quarterly",5,"Weekly",1)</f>
        <v>1</v>
      </c>
    </row>
    <row r="3665" spans="1:20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  <c r="S3665" t="str">
        <f t="shared" si="57"/>
        <v>Weekly</v>
      </c>
      <c r="T3665" cm="1">
        <f t="array" ref="T3665">_xlfn.SWITCH(S3665,"Annually",6,"Bi-Weekly",2,"Fortnightly",3,"Monthly",4,"Quarterly",5,"Weekly",1)</f>
        <v>1</v>
      </c>
    </row>
    <row r="3666" spans="1:20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  <c r="S3666" t="str">
        <f t="shared" si="57"/>
        <v>Fortnightly</v>
      </c>
      <c r="T3666" cm="1">
        <f t="array" ref="T3666">_xlfn.SWITCH(S3666,"Annually",6,"Bi-Weekly",2,"Fortnightly",3,"Monthly",4,"Quarterly",5,"Weekly",1)</f>
        <v>3</v>
      </c>
    </row>
    <row r="3667" spans="1:20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  <c r="S3667" t="str">
        <f t="shared" si="57"/>
        <v>Quarterly</v>
      </c>
      <c r="T3667" cm="1">
        <f t="array" ref="T3667">_xlfn.SWITCH(S3667,"Annually",6,"Bi-Weekly",2,"Fortnightly",3,"Monthly",4,"Quarterly",5,"Weekly",1)</f>
        <v>5</v>
      </c>
    </row>
    <row r="3668" spans="1:20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  <c r="S3668" t="str">
        <f t="shared" si="57"/>
        <v>Quarterly</v>
      </c>
      <c r="T3668" cm="1">
        <f t="array" ref="T3668">_xlfn.SWITCH(S3668,"Annually",6,"Bi-Weekly",2,"Fortnightly",3,"Monthly",4,"Quarterly",5,"Weekly",1)</f>
        <v>5</v>
      </c>
    </row>
    <row r="3669" spans="1:20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  <c r="S3669" t="str">
        <f t="shared" si="57"/>
        <v>Monthly</v>
      </c>
      <c r="T3669" cm="1">
        <f t="array" ref="T3669">_xlfn.SWITCH(S3669,"Annually",6,"Bi-Weekly",2,"Fortnightly",3,"Monthly",4,"Quarterly",5,"Weekly",1)</f>
        <v>4</v>
      </c>
    </row>
    <row r="3670" spans="1:20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  <c r="S3670" t="str">
        <f t="shared" si="57"/>
        <v>Annually</v>
      </c>
      <c r="T3670" cm="1">
        <f t="array" ref="T3670">_xlfn.SWITCH(S3670,"Annually",6,"Bi-Weekly",2,"Fortnightly",3,"Monthly",4,"Quarterly",5,"Weekly",1)</f>
        <v>6</v>
      </c>
    </row>
    <row r="3671" spans="1:20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  <c r="S3671" t="str">
        <f t="shared" si="57"/>
        <v>Quarterly</v>
      </c>
      <c r="T3671" cm="1">
        <f t="array" ref="T3671">_xlfn.SWITCH(S3671,"Annually",6,"Bi-Weekly",2,"Fortnightly",3,"Monthly",4,"Quarterly",5,"Weekly",1)</f>
        <v>5</v>
      </c>
    </row>
    <row r="3672" spans="1:20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  <c r="S3672" t="str">
        <f t="shared" si="57"/>
        <v>Quarterly</v>
      </c>
      <c r="T3672" cm="1">
        <f t="array" ref="T3672">_xlfn.SWITCH(S3672,"Annually",6,"Bi-Weekly",2,"Fortnightly",3,"Monthly",4,"Quarterly",5,"Weekly",1)</f>
        <v>5</v>
      </c>
    </row>
    <row r="3673" spans="1:20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  <c r="S3673" t="str">
        <f t="shared" si="57"/>
        <v>Quarterly</v>
      </c>
      <c r="T3673" cm="1">
        <f t="array" ref="T3673">_xlfn.SWITCH(S3673,"Annually",6,"Bi-Weekly",2,"Fortnightly",3,"Monthly",4,"Quarterly",5,"Weekly",1)</f>
        <v>5</v>
      </c>
    </row>
    <row r="3674" spans="1:20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  <c r="S3674" t="str">
        <f t="shared" si="57"/>
        <v>Monthly</v>
      </c>
      <c r="T3674" cm="1">
        <f t="array" ref="T3674">_xlfn.SWITCH(S3674,"Annually",6,"Bi-Weekly",2,"Fortnightly",3,"Monthly",4,"Quarterly",5,"Weekly",1)</f>
        <v>4</v>
      </c>
    </row>
    <row r="3675" spans="1:20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  <c r="S3675" t="str">
        <f t="shared" si="57"/>
        <v>Fortnightly</v>
      </c>
      <c r="T3675" cm="1">
        <f t="array" ref="T3675">_xlfn.SWITCH(S3675,"Annually",6,"Bi-Weekly",2,"Fortnightly",3,"Monthly",4,"Quarterly",5,"Weekly",1)</f>
        <v>3</v>
      </c>
    </row>
    <row r="3676" spans="1:20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  <c r="S3676" t="str">
        <f t="shared" si="57"/>
        <v>Fortnightly</v>
      </c>
      <c r="T3676" cm="1">
        <f t="array" ref="T3676">_xlfn.SWITCH(S3676,"Annually",6,"Bi-Weekly",2,"Fortnightly",3,"Monthly",4,"Quarterly",5,"Weekly",1)</f>
        <v>3</v>
      </c>
    </row>
    <row r="3677" spans="1:20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  <c r="S3677" t="str">
        <f t="shared" si="57"/>
        <v>Monthly</v>
      </c>
      <c r="T3677" cm="1">
        <f t="array" ref="T3677">_xlfn.SWITCH(S3677,"Annually",6,"Bi-Weekly",2,"Fortnightly",3,"Monthly",4,"Quarterly",5,"Weekly",1)</f>
        <v>4</v>
      </c>
    </row>
    <row r="3678" spans="1:20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  <c r="S3678" t="str">
        <f t="shared" si="57"/>
        <v>Monthly</v>
      </c>
      <c r="T3678" cm="1">
        <f t="array" ref="T3678">_xlfn.SWITCH(S3678,"Annually",6,"Bi-Weekly",2,"Fortnightly",3,"Monthly",4,"Quarterly",5,"Weekly",1)</f>
        <v>4</v>
      </c>
    </row>
    <row r="3679" spans="1:20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  <c r="S3679" t="str">
        <f t="shared" si="57"/>
        <v>Annually</v>
      </c>
      <c r="T3679" cm="1">
        <f t="array" ref="T3679">_xlfn.SWITCH(S3679,"Annually",6,"Bi-Weekly",2,"Fortnightly",3,"Monthly",4,"Quarterly",5,"Weekly",1)</f>
        <v>6</v>
      </c>
    </row>
    <row r="3680" spans="1:20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  <c r="S3680" t="str">
        <f t="shared" si="57"/>
        <v>Fortnightly</v>
      </c>
      <c r="T3680" cm="1">
        <f t="array" ref="T3680">_xlfn.SWITCH(S3680,"Annually",6,"Bi-Weekly",2,"Fortnightly",3,"Monthly",4,"Quarterly",5,"Weekly",1)</f>
        <v>3</v>
      </c>
    </row>
    <row r="3681" spans="1:20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  <c r="S3681" t="str">
        <f t="shared" si="57"/>
        <v>Bi-Weekly</v>
      </c>
      <c r="T3681" cm="1">
        <f t="array" ref="T3681">_xlfn.SWITCH(S3681,"Annually",6,"Bi-Weekly",2,"Fortnightly",3,"Monthly",4,"Quarterly",5,"Weekly",1)</f>
        <v>2</v>
      </c>
    </row>
    <row r="3682" spans="1:20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  <c r="S3682" t="str">
        <f t="shared" si="57"/>
        <v>Quarterly</v>
      </c>
      <c r="T3682" cm="1">
        <f t="array" ref="T3682">_xlfn.SWITCH(S3682,"Annually",6,"Bi-Weekly",2,"Fortnightly",3,"Monthly",4,"Quarterly",5,"Weekly",1)</f>
        <v>5</v>
      </c>
    </row>
    <row r="3683" spans="1:20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  <c r="S3683" t="str">
        <f t="shared" si="57"/>
        <v>Monthly</v>
      </c>
      <c r="T3683" cm="1">
        <f t="array" ref="T3683">_xlfn.SWITCH(S3683,"Annually",6,"Bi-Weekly",2,"Fortnightly",3,"Monthly",4,"Quarterly",5,"Weekly",1)</f>
        <v>4</v>
      </c>
    </row>
    <row r="3684" spans="1:20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  <c r="S3684" t="str">
        <f t="shared" si="57"/>
        <v>Bi-Weekly</v>
      </c>
      <c r="T3684" cm="1">
        <f t="array" ref="T3684">_xlfn.SWITCH(S3684,"Annually",6,"Bi-Weekly",2,"Fortnightly",3,"Monthly",4,"Quarterly",5,"Weekly",1)</f>
        <v>2</v>
      </c>
    </row>
    <row r="3685" spans="1:20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  <c r="S3685" t="str">
        <f t="shared" si="57"/>
        <v>Fortnightly</v>
      </c>
      <c r="T3685" cm="1">
        <f t="array" ref="T3685">_xlfn.SWITCH(S3685,"Annually",6,"Bi-Weekly",2,"Fortnightly",3,"Monthly",4,"Quarterly",5,"Weekly",1)</f>
        <v>3</v>
      </c>
    </row>
    <row r="3686" spans="1:20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  <c r="S3686" t="str">
        <f t="shared" si="57"/>
        <v>Bi-Weekly</v>
      </c>
      <c r="T3686" cm="1">
        <f t="array" ref="T3686">_xlfn.SWITCH(S3686,"Annually",6,"Bi-Weekly",2,"Fortnightly",3,"Monthly",4,"Quarterly",5,"Weekly",1)</f>
        <v>2</v>
      </c>
    </row>
    <row r="3687" spans="1:20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  <c r="S3687" t="str">
        <f t="shared" si="57"/>
        <v>Bi-Weekly</v>
      </c>
      <c r="T3687" cm="1">
        <f t="array" ref="T3687">_xlfn.SWITCH(S3687,"Annually",6,"Bi-Weekly",2,"Fortnightly",3,"Monthly",4,"Quarterly",5,"Weekly",1)</f>
        <v>2</v>
      </c>
    </row>
    <row r="3688" spans="1:20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  <c r="S3688" t="str">
        <f t="shared" si="57"/>
        <v>Bi-Weekly</v>
      </c>
      <c r="T3688" cm="1">
        <f t="array" ref="T3688">_xlfn.SWITCH(S3688,"Annually",6,"Bi-Weekly",2,"Fortnightly",3,"Monthly",4,"Quarterly",5,"Weekly",1)</f>
        <v>2</v>
      </c>
    </row>
    <row r="3689" spans="1:20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  <c r="S3689" t="str">
        <f t="shared" si="57"/>
        <v>Quarterly</v>
      </c>
      <c r="T3689" cm="1">
        <f t="array" ref="T3689">_xlfn.SWITCH(S3689,"Annually",6,"Bi-Weekly",2,"Fortnightly",3,"Monthly",4,"Quarterly",5,"Weekly",1)</f>
        <v>5</v>
      </c>
    </row>
    <row r="3690" spans="1:20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  <c r="S3690" t="str">
        <f t="shared" si="57"/>
        <v>Monthly</v>
      </c>
      <c r="T3690" cm="1">
        <f t="array" ref="T3690">_xlfn.SWITCH(S3690,"Annually",6,"Bi-Weekly",2,"Fortnightly",3,"Monthly",4,"Quarterly",5,"Weekly",1)</f>
        <v>4</v>
      </c>
    </row>
    <row r="3691" spans="1:20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  <c r="S3691" t="str">
        <f t="shared" si="57"/>
        <v>Quarterly</v>
      </c>
      <c r="T3691" cm="1">
        <f t="array" ref="T3691">_xlfn.SWITCH(S3691,"Annually",6,"Bi-Weekly",2,"Fortnightly",3,"Monthly",4,"Quarterly",5,"Weekly",1)</f>
        <v>5</v>
      </c>
    </row>
    <row r="3692" spans="1:20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  <c r="S3692" t="str">
        <f t="shared" si="57"/>
        <v>Bi-Weekly</v>
      </c>
      <c r="T3692" cm="1">
        <f t="array" ref="T3692">_xlfn.SWITCH(S3692,"Annually",6,"Bi-Weekly",2,"Fortnightly",3,"Monthly",4,"Quarterly",5,"Weekly",1)</f>
        <v>2</v>
      </c>
    </row>
    <row r="3693" spans="1:20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  <c r="S3693" t="str">
        <f t="shared" si="57"/>
        <v>Weekly</v>
      </c>
      <c r="T3693" cm="1">
        <f t="array" ref="T3693">_xlfn.SWITCH(S3693,"Annually",6,"Bi-Weekly",2,"Fortnightly",3,"Monthly",4,"Quarterly",5,"Weekly",1)</f>
        <v>1</v>
      </c>
    </row>
    <row r="3694" spans="1:20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  <c r="S3694" t="str">
        <f t="shared" si="57"/>
        <v>Fortnightly</v>
      </c>
      <c r="T3694" cm="1">
        <f t="array" ref="T3694">_xlfn.SWITCH(S3694,"Annually",6,"Bi-Weekly",2,"Fortnightly",3,"Monthly",4,"Quarterly",5,"Weekly",1)</f>
        <v>3</v>
      </c>
    </row>
    <row r="3695" spans="1:20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  <c r="S3695" t="str">
        <f t="shared" si="57"/>
        <v>Weekly</v>
      </c>
      <c r="T3695" cm="1">
        <f t="array" ref="T3695">_xlfn.SWITCH(S3695,"Annually",6,"Bi-Weekly",2,"Fortnightly",3,"Monthly",4,"Quarterly",5,"Weekly",1)</f>
        <v>1</v>
      </c>
    </row>
    <row r="3696" spans="1:20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  <c r="S3696" t="str">
        <f t="shared" si="57"/>
        <v>Bi-Weekly</v>
      </c>
      <c r="T3696" cm="1">
        <f t="array" ref="T3696">_xlfn.SWITCH(S3696,"Annually",6,"Bi-Weekly",2,"Fortnightly",3,"Monthly",4,"Quarterly",5,"Weekly",1)</f>
        <v>2</v>
      </c>
    </row>
    <row r="3697" spans="1:20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  <c r="S3697" t="str">
        <f t="shared" si="57"/>
        <v>Fortnightly</v>
      </c>
      <c r="T3697" cm="1">
        <f t="array" ref="T3697">_xlfn.SWITCH(S3697,"Annually",6,"Bi-Weekly",2,"Fortnightly",3,"Monthly",4,"Quarterly",5,"Weekly",1)</f>
        <v>3</v>
      </c>
    </row>
    <row r="3698" spans="1:20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  <c r="S3698" t="str">
        <f t="shared" si="57"/>
        <v>Annually</v>
      </c>
      <c r="T3698" cm="1">
        <f t="array" ref="T3698">_xlfn.SWITCH(S3698,"Annually",6,"Bi-Weekly",2,"Fortnightly",3,"Monthly",4,"Quarterly",5,"Weekly",1)</f>
        <v>6</v>
      </c>
    </row>
    <row r="3699" spans="1:20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  <c r="S3699" t="str">
        <f t="shared" si="57"/>
        <v>Weekly</v>
      </c>
      <c r="T3699" cm="1">
        <f t="array" ref="T3699">_xlfn.SWITCH(S3699,"Annually",6,"Bi-Weekly",2,"Fortnightly",3,"Monthly",4,"Quarterly",5,"Weekly",1)</f>
        <v>1</v>
      </c>
    </row>
    <row r="3700" spans="1:20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  <c r="S3700" t="str">
        <f t="shared" si="57"/>
        <v>Annually</v>
      </c>
      <c r="T3700" cm="1">
        <f t="array" ref="T3700">_xlfn.SWITCH(S3700,"Annually",6,"Bi-Weekly",2,"Fortnightly",3,"Monthly",4,"Quarterly",5,"Weekly",1)</f>
        <v>6</v>
      </c>
    </row>
    <row r="3701" spans="1:20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  <c r="S3701" t="str">
        <f t="shared" si="57"/>
        <v>Weekly</v>
      </c>
      <c r="T3701" cm="1">
        <f t="array" ref="T3701">_xlfn.SWITCH(S3701,"Annually",6,"Bi-Weekly",2,"Fortnightly",3,"Monthly",4,"Quarterly",5,"Weekly",1)</f>
        <v>1</v>
      </c>
    </row>
    <row r="3702" spans="1:20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  <c r="S3702" t="str">
        <f t="shared" si="57"/>
        <v>Quarterly</v>
      </c>
      <c r="T3702" cm="1">
        <f t="array" ref="T3702">_xlfn.SWITCH(S3702,"Annually",6,"Bi-Weekly",2,"Fortnightly",3,"Monthly",4,"Quarterly",5,"Weekly",1)</f>
        <v>5</v>
      </c>
    </row>
    <row r="3703" spans="1:20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  <c r="S3703" t="str">
        <f t="shared" si="57"/>
        <v>Annually</v>
      </c>
      <c r="T3703" cm="1">
        <f t="array" ref="T3703">_xlfn.SWITCH(S3703,"Annually",6,"Bi-Weekly",2,"Fortnightly",3,"Monthly",4,"Quarterly",5,"Weekly",1)</f>
        <v>6</v>
      </c>
    </row>
    <row r="3704" spans="1:20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  <c r="S3704" t="str">
        <f t="shared" si="57"/>
        <v>Weekly</v>
      </c>
      <c r="T3704" cm="1">
        <f t="array" ref="T3704">_xlfn.SWITCH(S3704,"Annually",6,"Bi-Weekly",2,"Fortnightly",3,"Monthly",4,"Quarterly",5,"Weekly",1)</f>
        <v>1</v>
      </c>
    </row>
    <row r="3705" spans="1:20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  <c r="S3705" t="str">
        <f t="shared" si="57"/>
        <v>Quarterly</v>
      </c>
      <c r="T3705" cm="1">
        <f t="array" ref="T3705">_xlfn.SWITCH(S3705,"Annually",6,"Bi-Weekly",2,"Fortnightly",3,"Monthly",4,"Quarterly",5,"Weekly",1)</f>
        <v>5</v>
      </c>
    </row>
    <row r="3706" spans="1:20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  <c r="S3706" t="str">
        <f t="shared" si="57"/>
        <v>Quarterly</v>
      </c>
      <c r="T3706" cm="1">
        <f t="array" ref="T3706">_xlfn.SWITCH(S3706,"Annually",6,"Bi-Weekly",2,"Fortnightly",3,"Monthly",4,"Quarterly",5,"Weekly",1)</f>
        <v>5</v>
      </c>
    </row>
    <row r="3707" spans="1:20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  <c r="S3707" t="str">
        <f t="shared" si="57"/>
        <v>Annually</v>
      </c>
      <c r="T3707" cm="1">
        <f t="array" ref="T3707">_xlfn.SWITCH(S3707,"Annually",6,"Bi-Weekly",2,"Fortnightly",3,"Monthly",4,"Quarterly",5,"Weekly",1)</f>
        <v>6</v>
      </c>
    </row>
    <row r="3708" spans="1:20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  <c r="S3708" t="str">
        <f t="shared" si="57"/>
        <v>Bi-Weekly</v>
      </c>
      <c r="T3708" cm="1">
        <f t="array" ref="T3708">_xlfn.SWITCH(S3708,"Annually",6,"Bi-Weekly",2,"Fortnightly",3,"Monthly",4,"Quarterly",5,"Weekly",1)</f>
        <v>2</v>
      </c>
    </row>
    <row r="3709" spans="1:20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  <c r="S3709" t="str">
        <f t="shared" si="57"/>
        <v>Weekly</v>
      </c>
      <c r="T3709" cm="1">
        <f t="array" ref="T3709">_xlfn.SWITCH(S3709,"Annually",6,"Bi-Weekly",2,"Fortnightly",3,"Monthly",4,"Quarterly",5,"Weekly",1)</f>
        <v>1</v>
      </c>
    </row>
    <row r="3710" spans="1:20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  <c r="S3710" t="str">
        <f t="shared" si="57"/>
        <v>Monthly</v>
      </c>
      <c r="T3710" cm="1">
        <f t="array" ref="T3710">_xlfn.SWITCH(S3710,"Annually",6,"Bi-Weekly",2,"Fortnightly",3,"Monthly",4,"Quarterly",5,"Weekly",1)</f>
        <v>4</v>
      </c>
    </row>
    <row r="3711" spans="1:20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  <c r="S3711" t="str">
        <f t="shared" si="57"/>
        <v>Quarterly</v>
      </c>
      <c r="T3711" cm="1">
        <f t="array" ref="T3711">_xlfn.SWITCH(S3711,"Annually",6,"Bi-Weekly",2,"Fortnightly",3,"Monthly",4,"Quarterly",5,"Weekly",1)</f>
        <v>5</v>
      </c>
    </row>
    <row r="3712" spans="1:20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  <c r="S3712" t="str">
        <f t="shared" si="57"/>
        <v>Fortnightly</v>
      </c>
      <c r="T3712" cm="1">
        <f t="array" ref="T3712">_xlfn.SWITCH(S3712,"Annually",6,"Bi-Weekly",2,"Fortnightly",3,"Monthly",4,"Quarterly",5,"Weekly",1)</f>
        <v>3</v>
      </c>
    </row>
    <row r="3713" spans="1:20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  <c r="S3713" t="str">
        <f t="shared" si="57"/>
        <v>Annually</v>
      </c>
      <c r="T3713" cm="1">
        <f t="array" ref="T3713">_xlfn.SWITCH(S3713,"Annually",6,"Bi-Weekly",2,"Fortnightly",3,"Monthly",4,"Quarterly",5,"Weekly",1)</f>
        <v>6</v>
      </c>
    </row>
    <row r="3714" spans="1:20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  <c r="S3714" t="str">
        <f t="shared" si="57"/>
        <v>Quarterly</v>
      </c>
      <c r="T3714" cm="1">
        <f t="array" ref="T3714">_xlfn.SWITCH(S3714,"Annually",6,"Bi-Weekly",2,"Fortnightly",3,"Monthly",4,"Quarterly",5,"Weekly",1)</f>
        <v>5</v>
      </c>
    </row>
    <row r="3715" spans="1:20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  <c r="S3715" t="str">
        <f t="shared" ref="S3715:S3778" si="58">IF(R3715="Every 3 Months","Quarterly",R3715)</f>
        <v>Quarterly</v>
      </c>
      <c r="T3715" cm="1">
        <f t="array" ref="T3715">_xlfn.SWITCH(S3715,"Annually",6,"Bi-Weekly",2,"Fortnightly",3,"Monthly",4,"Quarterly",5,"Weekly",1)</f>
        <v>5</v>
      </c>
    </row>
    <row r="3716" spans="1:20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  <c r="S3716" t="str">
        <f t="shared" si="58"/>
        <v>Weekly</v>
      </c>
      <c r="T3716" cm="1">
        <f t="array" ref="T3716">_xlfn.SWITCH(S3716,"Annually",6,"Bi-Weekly",2,"Fortnightly",3,"Monthly",4,"Quarterly",5,"Weekly",1)</f>
        <v>1</v>
      </c>
    </row>
    <row r="3717" spans="1:20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  <c r="S3717" t="str">
        <f t="shared" si="58"/>
        <v>Monthly</v>
      </c>
      <c r="T3717" cm="1">
        <f t="array" ref="T3717">_xlfn.SWITCH(S3717,"Annually",6,"Bi-Weekly",2,"Fortnightly",3,"Monthly",4,"Quarterly",5,"Weekly",1)</f>
        <v>4</v>
      </c>
    </row>
    <row r="3718" spans="1:20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  <c r="S3718" t="str">
        <f t="shared" si="58"/>
        <v>Quarterly</v>
      </c>
      <c r="T3718" cm="1">
        <f t="array" ref="T3718">_xlfn.SWITCH(S3718,"Annually",6,"Bi-Weekly",2,"Fortnightly",3,"Monthly",4,"Quarterly",5,"Weekly",1)</f>
        <v>5</v>
      </c>
    </row>
    <row r="3719" spans="1:20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  <c r="S3719" t="str">
        <f t="shared" si="58"/>
        <v>Quarterly</v>
      </c>
      <c r="T3719" cm="1">
        <f t="array" ref="T3719">_xlfn.SWITCH(S3719,"Annually",6,"Bi-Weekly",2,"Fortnightly",3,"Monthly",4,"Quarterly",5,"Weekly",1)</f>
        <v>5</v>
      </c>
    </row>
    <row r="3720" spans="1:20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  <c r="S3720" t="str">
        <f t="shared" si="58"/>
        <v>Bi-Weekly</v>
      </c>
      <c r="T3720" cm="1">
        <f t="array" ref="T3720">_xlfn.SWITCH(S3720,"Annually",6,"Bi-Weekly",2,"Fortnightly",3,"Monthly",4,"Quarterly",5,"Weekly",1)</f>
        <v>2</v>
      </c>
    </row>
    <row r="3721" spans="1:20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  <c r="S3721" t="str">
        <f t="shared" si="58"/>
        <v>Quarterly</v>
      </c>
      <c r="T3721" cm="1">
        <f t="array" ref="T3721">_xlfn.SWITCH(S3721,"Annually",6,"Bi-Weekly",2,"Fortnightly",3,"Monthly",4,"Quarterly",5,"Weekly",1)</f>
        <v>5</v>
      </c>
    </row>
    <row r="3722" spans="1:20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  <c r="S3722" t="str">
        <f t="shared" si="58"/>
        <v>Quarterly</v>
      </c>
      <c r="T3722" cm="1">
        <f t="array" ref="T3722">_xlfn.SWITCH(S3722,"Annually",6,"Bi-Weekly",2,"Fortnightly",3,"Monthly",4,"Quarterly",5,"Weekly",1)</f>
        <v>5</v>
      </c>
    </row>
    <row r="3723" spans="1:20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  <c r="S3723" t="str">
        <f t="shared" si="58"/>
        <v>Annually</v>
      </c>
      <c r="T3723" cm="1">
        <f t="array" ref="T3723">_xlfn.SWITCH(S3723,"Annually",6,"Bi-Weekly",2,"Fortnightly",3,"Monthly",4,"Quarterly",5,"Weekly",1)</f>
        <v>6</v>
      </c>
    </row>
    <row r="3724" spans="1:20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  <c r="S3724" t="str">
        <f t="shared" si="58"/>
        <v>Fortnightly</v>
      </c>
      <c r="T3724" cm="1">
        <f t="array" ref="T3724">_xlfn.SWITCH(S3724,"Annually",6,"Bi-Weekly",2,"Fortnightly",3,"Monthly",4,"Quarterly",5,"Weekly",1)</f>
        <v>3</v>
      </c>
    </row>
    <row r="3725" spans="1:20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  <c r="S3725" t="str">
        <f t="shared" si="58"/>
        <v>Monthly</v>
      </c>
      <c r="T3725" cm="1">
        <f t="array" ref="T3725">_xlfn.SWITCH(S3725,"Annually",6,"Bi-Weekly",2,"Fortnightly",3,"Monthly",4,"Quarterly",5,"Weekly",1)</f>
        <v>4</v>
      </c>
    </row>
    <row r="3726" spans="1:20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  <c r="S3726" t="str">
        <f t="shared" si="58"/>
        <v>Annually</v>
      </c>
      <c r="T3726" cm="1">
        <f t="array" ref="T3726">_xlfn.SWITCH(S3726,"Annually",6,"Bi-Weekly",2,"Fortnightly",3,"Monthly",4,"Quarterly",5,"Weekly",1)</f>
        <v>6</v>
      </c>
    </row>
    <row r="3727" spans="1:20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  <c r="S3727" t="str">
        <f t="shared" si="58"/>
        <v>Annually</v>
      </c>
      <c r="T3727" cm="1">
        <f t="array" ref="T3727">_xlfn.SWITCH(S3727,"Annually",6,"Bi-Weekly",2,"Fortnightly",3,"Monthly",4,"Quarterly",5,"Weekly",1)</f>
        <v>6</v>
      </c>
    </row>
    <row r="3728" spans="1:20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  <c r="S3728" t="str">
        <f t="shared" si="58"/>
        <v>Quarterly</v>
      </c>
      <c r="T3728" cm="1">
        <f t="array" ref="T3728">_xlfn.SWITCH(S3728,"Annually",6,"Bi-Weekly",2,"Fortnightly",3,"Monthly",4,"Quarterly",5,"Weekly",1)</f>
        <v>5</v>
      </c>
    </row>
    <row r="3729" spans="1:20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  <c r="S3729" t="str">
        <f t="shared" si="58"/>
        <v>Bi-Weekly</v>
      </c>
      <c r="T3729" cm="1">
        <f t="array" ref="T3729">_xlfn.SWITCH(S3729,"Annually",6,"Bi-Weekly",2,"Fortnightly",3,"Monthly",4,"Quarterly",5,"Weekly",1)</f>
        <v>2</v>
      </c>
    </row>
    <row r="3730" spans="1:20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  <c r="S3730" t="str">
        <f t="shared" si="58"/>
        <v>Annually</v>
      </c>
      <c r="T3730" cm="1">
        <f t="array" ref="T3730">_xlfn.SWITCH(S3730,"Annually",6,"Bi-Weekly",2,"Fortnightly",3,"Monthly",4,"Quarterly",5,"Weekly",1)</f>
        <v>6</v>
      </c>
    </row>
    <row r="3731" spans="1:20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  <c r="S3731" t="str">
        <f t="shared" si="58"/>
        <v>Quarterly</v>
      </c>
      <c r="T3731" cm="1">
        <f t="array" ref="T3731">_xlfn.SWITCH(S3731,"Annually",6,"Bi-Weekly",2,"Fortnightly",3,"Monthly",4,"Quarterly",5,"Weekly",1)</f>
        <v>5</v>
      </c>
    </row>
    <row r="3732" spans="1:20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  <c r="S3732" t="str">
        <f t="shared" si="58"/>
        <v>Bi-Weekly</v>
      </c>
      <c r="T3732" cm="1">
        <f t="array" ref="T3732">_xlfn.SWITCH(S3732,"Annually",6,"Bi-Weekly",2,"Fortnightly",3,"Monthly",4,"Quarterly",5,"Weekly",1)</f>
        <v>2</v>
      </c>
    </row>
    <row r="3733" spans="1:20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  <c r="S3733" t="str">
        <f t="shared" si="58"/>
        <v>Quarterly</v>
      </c>
      <c r="T3733" cm="1">
        <f t="array" ref="T3733">_xlfn.SWITCH(S3733,"Annually",6,"Bi-Weekly",2,"Fortnightly",3,"Monthly",4,"Quarterly",5,"Weekly",1)</f>
        <v>5</v>
      </c>
    </row>
    <row r="3734" spans="1:20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  <c r="S3734" t="str">
        <f t="shared" si="58"/>
        <v>Annually</v>
      </c>
      <c r="T3734" cm="1">
        <f t="array" ref="T3734">_xlfn.SWITCH(S3734,"Annually",6,"Bi-Weekly",2,"Fortnightly",3,"Monthly",4,"Quarterly",5,"Weekly",1)</f>
        <v>6</v>
      </c>
    </row>
    <row r="3735" spans="1:20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  <c r="S3735" t="str">
        <f t="shared" si="58"/>
        <v>Quarterly</v>
      </c>
      <c r="T3735" cm="1">
        <f t="array" ref="T3735">_xlfn.SWITCH(S3735,"Annually",6,"Bi-Weekly",2,"Fortnightly",3,"Monthly",4,"Quarterly",5,"Weekly",1)</f>
        <v>5</v>
      </c>
    </row>
    <row r="3736" spans="1:20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  <c r="S3736" t="str">
        <f t="shared" si="58"/>
        <v>Quarterly</v>
      </c>
      <c r="T3736" cm="1">
        <f t="array" ref="T3736">_xlfn.SWITCH(S3736,"Annually",6,"Bi-Weekly",2,"Fortnightly",3,"Monthly",4,"Quarterly",5,"Weekly",1)</f>
        <v>5</v>
      </c>
    </row>
    <row r="3737" spans="1:20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  <c r="S3737" t="str">
        <f t="shared" si="58"/>
        <v>Annually</v>
      </c>
      <c r="T3737" cm="1">
        <f t="array" ref="T3737">_xlfn.SWITCH(S3737,"Annually",6,"Bi-Weekly",2,"Fortnightly",3,"Monthly",4,"Quarterly",5,"Weekly",1)</f>
        <v>6</v>
      </c>
    </row>
    <row r="3738" spans="1:20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  <c r="S3738" t="str">
        <f t="shared" si="58"/>
        <v>Quarterly</v>
      </c>
      <c r="T3738" cm="1">
        <f t="array" ref="T3738">_xlfn.SWITCH(S3738,"Annually",6,"Bi-Weekly",2,"Fortnightly",3,"Monthly",4,"Quarterly",5,"Weekly",1)</f>
        <v>5</v>
      </c>
    </row>
    <row r="3739" spans="1:20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  <c r="S3739" t="str">
        <f t="shared" si="58"/>
        <v>Bi-Weekly</v>
      </c>
      <c r="T3739" cm="1">
        <f t="array" ref="T3739">_xlfn.SWITCH(S3739,"Annually",6,"Bi-Weekly",2,"Fortnightly",3,"Monthly",4,"Quarterly",5,"Weekly",1)</f>
        <v>2</v>
      </c>
    </row>
    <row r="3740" spans="1:20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  <c r="S3740" t="str">
        <f t="shared" si="58"/>
        <v>Fortnightly</v>
      </c>
      <c r="T3740" cm="1">
        <f t="array" ref="T3740">_xlfn.SWITCH(S3740,"Annually",6,"Bi-Weekly",2,"Fortnightly",3,"Monthly",4,"Quarterly",5,"Weekly",1)</f>
        <v>3</v>
      </c>
    </row>
    <row r="3741" spans="1:20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  <c r="S3741" t="str">
        <f t="shared" si="58"/>
        <v>Weekly</v>
      </c>
      <c r="T3741" cm="1">
        <f t="array" ref="T3741">_xlfn.SWITCH(S3741,"Annually",6,"Bi-Weekly",2,"Fortnightly",3,"Monthly",4,"Quarterly",5,"Weekly",1)</f>
        <v>1</v>
      </c>
    </row>
    <row r="3742" spans="1:20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  <c r="S3742" t="str">
        <f t="shared" si="58"/>
        <v>Bi-Weekly</v>
      </c>
      <c r="T3742" cm="1">
        <f t="array" ref="T3742">_xlfn.SWITCH(S3742,"Annually",6,"Bi-Weekly",2,"Fortnightly",3,"Monthly",4,"Quarterly",5,"Weekly",1)</f>
        <v>2</v>
      </c>
    </row>
    <row r="3743" spans="1:20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  <c r="S3743" t="str">
        <f t="shared" si="58"/>
        <v>Bi-Weekly</v>
      </c>
      <c r="T3743" cm="1">
        <f t="array" ref="T3743">_xlfn.SWITCH(S3743,"Annually",6,"Bi-Weekly",2,"Fortnightly",3,"Monthly",4,"Quarterly",5,"Weekly",1)</f>
        <v>2</v>
      </c>
    </row>
    <row r="3744" spans="1:20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  <c r="S3744" t="str">
        <f t="shared" si="58"/>
        <v>Bi-Weekly</v>
      </c>
      <c r="T3744" cm="1">
        <f t="array" ref="T3744">_xlfn.SWITCH(S3744,"Annually",6,"Bi-Weekly",2,"Fortnightly",3,"Monthly",4,"Quarterly",5,"Weekly",1)</f>
        <v>2</v>
      </c>
    </row>
    <row r="3745" spans="1:20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  <c r="S3745" t="str">
        <f t="shared" si="58"/>
        <v>Quarterly</v>
      </c>
      <c r="T3745" cm="1">
        <f t="array" ref="T3745">_xlfn.SWITCH(S3745,"Annually",6,"Bi-Weekly",2,"Fortnightly",3,"Monthly",4,"Quarterly",5,"Weekly",1)</f>
        <v>5</v>
      </c>
    </row>
    <row r="3746" spans="1:20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  <c r="S3746" t="str">
        <f t="shared" si="58"/>
        <v>Fortnightly</v>
      </c>
      <c r="T3746" cm="1">
        <f t="array" ref="T3746">_xlfn.SWITCH(S3746,"Annually",6,"Bi-Weekly",2,"Fortnightly",3,"Monthly",4,"Quarterly",5,"Weekly",1)</f>
        <v>3</v>
      </c>
    </row>
    <row r="3747" spans="1:20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  <c r="S3747" t="str">
        <f t="shared" si="58"/>
        <v>Monthly</v>
      </c>
      <c r="T3747" cm="1">
        <f t="array" ref="T3747">_xlfn.SWITCH(S3747,"Annually",6,"Bi-Weekly",2,"Fortnightly",3,"Monthly",4,"Quarterly",5,"Weekly",1)</f>
        <v>4</v>
      </c>
    </row>
    <row r="3748" spans="1:20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  <c r="S3748" t="str">
        <f t="shared" si="58"/>
        <v>Monthly</v>
      </c>
      <c r="T3748" cm="1">
        <f t="array" ref="T3748">_xlfn.SWITCH(S3748,"Annually",6,"Bi-Weekly",2,"Fortnightly",3,"Monthly",4,"Quarterly",5,"Weekly",1)</f>
        <v>4</v>
      </c>
    </row>
    <row r="3749" spans="1:20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  <c r="S3749" t="str">
        <f t="shared" si="58"/>
        <v>Bi-Weekly</v>
      </c>
      <c r="T3749" cm="1">
        <f t="array" ref="T3749">_xlfn.SWITCH(S3749,"Annually",6,"Bi-Weekly",2,"Fortnightly",3,"Monthly",4,"Quarterly",5,"Weekly",1)</f>
        <v>2</v>
      </c>
    </row>
    <row r="3750" spans="1:20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  <c r="S3750" t="str">
        <f t="shared" si="58"/>
        <v>Annually</v>
      </c>
      <c r="T3750" cm="1">
        <f t="array" ref="T3750">_xlfn.SWITCH(S3750,"Annually",6,"Bi-Weekly",2,"Fortnightly",3,"Monthly",4,"Quarterly",5,"Weekly",1)</f>
        <v>6</v>
      </c>
    </row>
    <row r="3751" spans="1:20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  <c r="S3751" t="str">
        <f t="shared" si="58"/>
        <v>Quarterly</v>
      </c>
      <c r="T3751" cm="1">
        <f t="array" ref="T3751">_xlfn.SWITCH(S3751,"Annually",6,"Bi-Weekly",2,"Fortnightly",3,"Monthly",4,"Quarterly",5,"Weekly",1)</f>
        <v>5</v>
      </c>
    </row>
    <row r="3752" spans="1:20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  <c r="S3752" t="str">
        <f t="shared" si="58"/>
        <v>Monthly</v>
      </c>
      <c r="T3752" cm="1">
        <f t="array" ref="T3752">_xlfn.SWITCH(S3752,"Annually",6,"Bi-Weekly",2,"Fortnightly",3,"Monthly",4,"Quarterly",5,"Weekly",1)</f>
        <v>4</v>
      </c>
    </row>
    <row r="3753" spans="1:20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  <c r="S3753" t="str">
        <f t="shared" si="58"/>
        <v>Quarterly</v>
      </c>
      <c r="T3753" cm="1">
        <f t="array" ref="T3753">_xlfn.SWITCH(S3753,"Annually",6,"Bi-Weekly",2,"Fortnightly",3,"Monthly",4,"Quarterly",5,"Weekly",1)</f>
        <v>5</v>
      </c>
    </row>
    <row r="3754" spans="1:20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  <c r="S3754" t="str">
        <f t="shared" si="58"/>
        <v>Weekly</v>
      </c>
      <c r="T3754" cm="1">
        <f t="array" ref="T3754">_xlfn.SWITCH(S3754,"Annually",6,"Bi-Weekly",2,"Fortnightly",3,"Monthly",4,"Quarterly",5,"Weekly",1)</f>
        <v>1</v>
      </c>
    </row>
    <row r="3755" spans="1:20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  <c r="S3755" t="str">
        <f t="shared" si="58"/>
        <v>Fortnightly</v>
      </c>
      <c r="T3755" cm="1">
        <f t="array" ref="T3755">_xlfn.SWITCH(S3755,"Annually",6,"Bi-Weekly",2,"Fortnightly",3,"Monthly",4,"Quarterly",5,"Weekly",1)</f>
        <v>3</v>
      </c>
    </row>
    <row r="3756" spans="1:20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  <c r="S3756" t="str">
        <f t="shared" si="58"/>
        <v>Quarterly</v>
      </c>
      <c r="T3756" cm="1">
        <f t="array" ref="T3756">_xlfn.SWITCH(S3756,"Annually",6,"Bi-Weekly",2,"Fortnightly",3,"Monthly",4,"Quarterly",5,"Weekly",1)</f>
        <v>5</v>
      </c>
    </row>
    <row r="3757" spans="1:20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  <c r="S3757" t="str">
        <f t="shared" si="58"/>
        <v>Monthly</v>
      </c>
      <c r="T3757" cm="1">
        <f t="array" ref="T3757">_xlfn.SWITCH(S3757,"Annually",6,"Bi-Weekly",2,"Fortnightly",3,"Monthly",4,"Quarterly",5,"Weekly",1)</f>
        <v>4</v>
      </c>
    </row>
    <row r="3758" spans="1:20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  <c r="S3758" t="str">
        <f t="shared" si="58"/>
        <v>Bi-Weekly</v>
      </c>
      <c r="T3758" cm="1">
        <f t="array" ref="T3758">_xlfn.SWITCH(S3758,"Annually",6,"Bi-Weekly",2,"Fortnightly",3,"Monthly",4,"Quarterly",5,"Weekly",1)</f>
        <v>2</v>
      </c>
    </row>
    <row r="3759" spans="1:20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  <c r="S3759" t="str">
        <f t="shared" si="58"/>
        <v>Weekly</v>
      </c>
      <c r="T3759" cm="1">
        <f t="array" ref="T3759">_xlfn.SWITCH(S3759,"Annually",6,"Bi-Weekly",2,"Fortnightly",3,"Monthly",4,"Quarterly",5,"Weekly",1)</f>
        <v>1</v>
      </c>
    </row>
    <row r="3760" spans="1:20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  <c r="S3760" t="str">
        <f t="shared" si="58"/>
        <v>Quarterly</v>
      </c>
      <c r="T3760" cm="1">
        <f t="array" ref="T3760">_xlfn.SWITCH(S3760,"Annually",6,"Bi-Weekly",2,"Fortnightly",3,"Monthly",4,"Quarterly",5,"Weekly",1)</f>
        <v>5</v>
      </c>
    </row>
    <row r="3761" spans="1:20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  <c r="S3761" t="str">
        <f t="shared" si="58"/>
        <v>Quarterly</v>
      </c>
      <c r="T3761" cm="1">
        <f t="array" ref="T3761">_xlfn.SWITCH(S3761,"Annually",6,"Bi-Weekly",2,"Fortnightly",3,"Monthly",4,"Quarterly",5,"Weekly",1)</f>
        <v>5</v>
      </c>
    </row>
    <row r="3762" spans="1:20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  <c r="S3762" t="str">
        <f t="shared" si="58"/>
        <v>Weekly</v>
      </c>
      <c r="T3762" cm="1">
        <f t="array" ref="T3762">_xlfn.SWITCH(S3762,"Annually",6,"Bi-Weekly",2,"Fortnightly",3,"Monthly",4,"Quarterly",5,"Weekly",1)</f>
        <v>1</v>
      </c>
    </row>
    <row r="3763" spans="1:20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  <c r="S3763" t="str">
        <f t="shared" si="58"/>
        <v>Quarterly</v>
      </c>
      <c r="T3763" cm="1">
        <f t="array" ref="T3763">_xlfn.SWITCH(S3763,"Annually",6,"Bi-Weekly",2,"Fortnightly",3,"Monthly",4,"Quarterly",5,"Weekly",1)</f>
        <v>5</v>
      </c>
    </row>
    <row r="3764" spans="1:20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  <c r="S3764" t="str">
        <f t="shared" si="58"/>
        <v>Annually</v>
      </c>
      <c r="T3764" cm="1">
        <f t="array" ref="T3764">_xlfn.SWITCH(S3764,"Annually",6,"Bi-Weekly",2,"Fortnightly",3,"Monthly",4,"Quarterly",5,"Weekly",1)</f>
        <v>6</v>
      </c>
    </row>
    <row r="3765" spans="1:20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  <c r="S3765" t="str">
        <f t="shared" si="58"/>
        <v>Quarterly</v>
      </c>
      <c r="T3765" cm="1">
        <f t="array" ref="T3765">_xlfn.SWITCH(S3765,"Annually",6,"Bi-Weekly",2,"Fortnightly",3,"Monthly",4,"Quarterly",5,"Weekly",1)</f>
        <v>5</v>
      </c>
    </row>
    <row r="3766" spans="1:20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  <c r="S3766" t="str">
        <f t="shared" si="58"/>
        <v>Monthly</v>
      </c>
      <c r="T3766" cm="1">
        <f t="array" ref="T3766">_xlfn.SWITCH(S3766,"Annually",6,"Bi-Weekly",2,"Fortnightly",3,"Monthly",4,"Quarterly",5,"Weekly",1)</f>
        <v>4</v>
      </c>
    </row>
    <row r="3767" spans="1:20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  <c r="S3767" t="str">
        <f t="shared" si="58"/>
        <v>Bi-Weekly</v>
      </c>
      <c r="T3767" cm="1">
        <f t="array" ref="T3767">_xlfn.SWITCH(S3767,"Annually",6,"Bi-Weekly",2,"Fortnightly",3,"Monthly",4,"Quarterly",5,"Weekly",1)</f>
        <v>2</v>
      </c>
    </row>
    <row r="3768" spans="1:20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  <c r="S3768" t="str">
        <f t="shared" si="58"/>
        <v>Annually</v>
      </c>
      <c r="T3768" cm="1">
        <f t="array" ref="T3768">_xlfn.SWITCH(S3768,"Annually",6,"Bi-Weekly",2,"Fortnightly",3,"Monthly",4,"Quarterly",5,"Weekly",1)</f>
        <v>6</v>
      </c>
    </row>
    <row r="3769" spans="1:20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  <c r="S3769" t="str">
        <f t="shared" si="58"/>
        <v>Fortnightly</v>
      </c>
      <c r="T3769" cm="1">
        <f t="array" ref="T3769">_xlfn.SWITCH(S3769,"Annually",6,"Bi-Weekly",2,"Fortnightly",3,"Monthly",4,"Quarterly",5,"Weekly",1)</f>
        <v>3</v>
      </c>
    </row>
    <row r="3770" spans="1:20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  <c r="S3770" t="str">
        <f t="shared" si="58"/>
        <v>Quarterly</v>
      </c>
      <c r="T3770" cm="1">
        <f t="array" ref="T3770">_xlfn.SWITCH(S3770,"Annually",6,"Bi-Weekly",2,"Fortnightly",3,"Monthly",4,"Quarterly",5,"Weekly",1)</f>
        <v>5</v>
      </c>
    </row>
    <row r="3771" spans="1:20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  <c r="S3771" t="str">
        <f t="shared" si="58"/>
        <v>Annually</v>
      </c>
      <c r="T3771" cm="1">
        <f t="array" ref="T3771">_xlfn.SWITCH(S3771,"Annually",6,"Bi-Weekly",2,"Fortnightly",3,"Monthly",4,"Quarterly",5,"Weekly",1)</f>
        <v>6</v>
      </c>
    </row>
    <row r="3772" spans="1:20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  <c r="S3772" t="str">
        <f t="shared" si="58"/>
        <v>Weekly</v>
      </c>
      <c r="T3772" cm="1">
        <f t="array" ref="T3772">_xlfn.SWITCH(S3772,"Annually",6,"Bi-Weekly",2,"Fortnightly",3,"Monthly",4,"Quarterly",5,"Weekly",1)</f>
        <v>1</v>
      </c>
    </row>
    <row r="3773" spans="1:20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  <c r="S3773" t="str">
        <f t="shared" si="58"/>
        <v>Bi-Weekly</v>
      </c>
      <c r="T3773" cm="1">
        <f t="array" ref="T3773">_xlfn.SWITCH(S3773,"Annually",6,"Bi-Weekly",2,"Fortnightly",3,"Monthly",4,"Quarterly",5,"Weekly",1)</f>
        <v>2</v>
      </c>
    </row>
    <row r="3774" spans="1:20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  <c r="S3774" t="str">
        <f t="shared" si="58"/>
        <v>Annually</v>
      </c>
      <c r="T3774" cm="1">
        <f t="array" ref="T3774">_xlfn.SWITCH(S3774,"Annually",6,"Bi-Weekly",2,"Fortnightly",3,"Monthly",4,"Quarterly",5,"Weekly",1)</f>
        <v>6</v>
      </c>
    </row>
    <row r="3775" spans="1:20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  <c r="S3775" t="str">
        <f t="shared" si="58"/>
        <v>Quarterly</v>
      </c>
      <c r="T3775" cm="1">
        <f t="array" ref="T3775">_xlfn.SWITCH(S3775,"Annually",6,"Bi-Weekly",2,"Fortnightly",3,"Monthly",4,"Quarterly",5,"Weekly",1)</f>
        <v>5</v>
      </c>
    </row>
    <row r="3776" spans="1:20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  <c r="S3776" t="str">
        <f t="shared" si="58"/>
        <v>Fortnightly</v>
      </c>
      <c r="T3776" cm="1">
        <f t="array" ref="T3776">_xlfn.SWITCH(S3776,"Annually",6,"Bi-Weekly",2,"Fortnightly",3,"Monthly",4,"Quarterly",5,"Weekly",1)</f>
        <v>3</v>
      </c>
    </row>
    <row r="3777" spans="1:20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  <c r="S3777" t="str">
        <f t="shared" si="58"/>
        <v>Quarterly</v>
      </c>
      <c r="T3777" cm="1">
        <f t="array" ref="T3777">_xlfn.SWITCH(S3777,"Annually",6,"Bi-Weekly",2,"Fortnightly",3,"Monthly",4,"Quarterly",5,"Weekly",1)</f>
        <v>5</v>
      </c>
    </row>
    <row r="3778" spans="1:20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  <c r="S3778" t="str">
        <f t="shared" si="58"/>
        <v>Fortnightly</v>
      </c>
      <c r="T3778" cm="1">
        <f t="array" ref="T3778">_xlfn.SWITCH(S3778,"Annually",6,"Bi-Weekly",2,"Fortnightly",3,"Monthly",4,"Quarterly",5,"Weekly",1)</f>
        <v>3</v>
      </c>
    </row>
    <row r="3779" spans="1:20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  <c r="S3779" t="str">
        <f t="shared" ref="S3779:S3842" si="59">IF(R3779="Every 3 Months","Quarterly",R3779)</f>
        <v>Weekly</v>
      </c>
      <c r="T3779" cm="1">
        <f t="array" ref="T3779">_xlfn.SWITCH(S3779,"Annually",6,"Bi-Weekly",2,"Fortnightly",3,"Monthly",4,"Quarterly",5,"Weekly",1)</f>
        <v>1</v>
      </c>
    </row>
    <row r="3780" spans="1:20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  <c r="S3780" t="str">
        <f t="shared" si="59"/>
        <v>Annually</v>
      </c>
      <c r="T3780" cm="1">
        <f t="array" ref="T3780">_xlfn.SWITCH(S3780,"Annually",6,"Bi-Weekly",2,"Fortnightly",3,"Monthly",4,"Quarterly",5,"Weekly",1)</f>
        <v>6</v>
      </c>
    </row>
    <row r="3781" spans="1:20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  <c r="S3781" t="str">
        <f t="shared" si="59"/>
        <v>Annually</v>
      </c>
      <c r="T3781" cm="1">
        <f t="array" ref="T3781">_xlfn.SWITCH(S3781,"Annually",6,"Bi-Weekly",2,"Fortnightly",3,"Monthly",4,"Quarterly",5,"Weekly",1)</f>
        <v>6</v>
      </c>
    </row>
    <row r="3782" spans="1:20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  <c r="S3782" t="str">
        <f t="shared" si="59"/>
        <v>Quarterly</v>
      </c>
      <c r="T3782" cm="1">
        <f t="array" ref="T3782">_xlfn.SWITCH(S3782,"Annually",6,"Bi-Weekly",2,"Fortnightly",3,"Monthly",4,"Quarterly",5,"Weekly",1)</f>
        <v>5</v>
      </c>
    </row>
    <row r="3783" spans="1:20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  <c r="S3783" t="str">
        <f t="shared" si="59"/>
        <v>Fortnightly</v>
      </c>
      <c r="T3783" cm="1">
        <f t="array" ref="T3783">_xlfn.SWITCH(S3783,"Annually",6,"Bi-Weekly",2,"Fortnightly",3,"Monthly",4,"Quarterly",5,"Weekly",1)</f>
        <v>3</v>
      </c>
    </row>
    <row r="3784" spans="1:20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  <c r="S3784" t="str">
        <f t="shared" si="59"/>
        <v>Fortnightly</v>
      </c>
      <c r="T3784" cm="1">
        <f t="array" ref="T3784">_xlfn.SWITCH(S3784,"Annually",6,"Bi-Weekly",2,"Fortnightly",3,"Monthly",4,"Quarterly",5,"Weekly",1)</f>
        <v>3</v>
      </c>
    </row>
    <row r="3785" spans="1:20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  <c r="S3785" t="str">
        <f t="shared" si="59"/>
        <v>Fortnightly</v>
      </c>
      <c r="T3785" cm="1">
        <f t="array" ref="T3785">_xlfn.SWITCH(S3785,"Annually",6,"Bi-Weekly",2,"Fortnightly",3,"Monthly",4,"Quarterly",5,"Weekly",1)</f>
        <v>3</v>
      </c>
    </row>
    <row r="3786" spans="1:20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  <c r="S3786" t="str">
        <f t="shared" si="59"/>
        <v>Annually</v>
      </c>
      <c r="T3786" cm="1">
        <f t="array" ref="T3786">_xlfn.SWITCH(S3786,"Annually",6,"Bi-Weekly",2,"Fortnightly",3,"Monthly",4,"Quarterly",5,"Weekly",1)</f>
        <v>6</v>
      </c>
    </row>
    <row r="3787" spans="1:20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  <c r="S3787" t="str">
        <f t="shared" si="59"/>
        <v>Monthly</v>
      </c>
      <c r="T3787" cm="1">
        <f t="array" ref="T3787">_xlfn.SWITCH(S3787,"Annually",6,"Bi-Weekly",2,"Fortnightly",3,"Monthly",4,"Quarterly",5,"Weekly",1)</f>
        <v>4</v>
      </c>
    </row>
    <row r="3788" spans="1:20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  <c r="S3788" t="str">
        <f t="shared" si="59"/>
        <v>Weekly</v>
      </c>
      <c r="T3788" cm="1">
        <f t="array" ref="T3788">_xlfn.SWITCH(S3788,"Annually",6,"Bi-Weekly",2,"Fortnightly",3,"Monthly",4,"Quarterly",5,"Weekly",1)</f>
        <v>1</v>
      </c>
    </row>
    <row r="3789" spans="1:20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  <c r="S3789" t="str">
        <f t="shared" si="59"/>
        <v>Quarterly</v>
      </c>
      <c r="T3789" cm="1">
        <f t="array" ref="T3789">_xlfn.SWITCH(S3789,"Annually",6,"Bi-Weekly",2,"Fortnightly",3,"Monthly",4,"Quarterly",5,"Weekly",1)</f>
        <v>5</v>
      </c>
    </row>
    <row r="3790" spans="1:20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  <c r="S3790" t="str">
        <f t="shared" si="59"/>
        <v>Monthly</v>
      </c>
      <c r="T3790" cm="1">
        <f t="array" ref="T3790">_xlfn.SWITCH(S3790,"Annually",6,"Bi-Weekly",2,"Fortnightly",3,"Monthly",4,"Quarterly",5,"Weekly",1)</f>
        <v>4</v>
      </c>
    </row>
    <row r="3791" spans="1:20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  <c r="S3791" t="str">
        <f t="shared" si="59"/>
        <v>Quarterly</v>
      </c>
      <c r="T3791" cm="1">
        <f t="array" ref="T3791">_xlfn.SWITCH(S3791,"Annually",6,"Bi-Weekly",2,"Fortnightly",3,"Monthly",4,"Quarterly",5,"Weekly",1)</f>
        <v>5</v>
      </c>
    </row>
    <row r="3792" spans="1:20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  <c r="S3792" t="str">
        <f t="shared" si="59"/>
        <v>Weekly</v>
      </c>
      <c r="T3792" cm="1">
        <f t="array" ref="T3792">_xlfn.SWITCH(S3792,"Annually",6,"Bi-Weekly",2,"Fortnightly",3,"Monthly",4,"Quarterly",5,"Weekly",1)</f>
        <v>1</v>
      </c>
    </row>
    <row r="3793" spans="1:20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  <c r="S3793" t="str">
        <f t="shared" si="59"/>
        <v>Weekly</v>
      </c>
      <c r="T3793" cm="1">
        <f t="array" ref="T3793">_xlfn.SWITCH(S3793,"Annually",6,"Bi-Weekly",2,"Fortnightly",3,"Monthly",4,"Quarterly",5,"Weekly",1)</f>
        <v>1</v>
      </c>
    </row>
    <row r="3794" spans="1:20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  <c r="S3794" t="str">
        <f t="shared" si="59"/>
        <v>Fortnightly</v>
      </c>
      <c r="T3794" cm="1">
        <f t="array" ref="T3794">_xlfn.SWITCH(S3794,"Annually",6,"Bi-Weekly",2,"Fortnightly",3,"Monthly",4,"Quarterly",5,"Weekly",1)</f>
        <v>3</v>
      </c>
    </row>
    <row r="3795" spans="1:20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  <c r="S3795" t="str">
        <f t="shared" si="59"/>
        <v>Annually</v>
      </c>
      <c r="T3795" cm="1">
        <f t="array" ref="T3795">_xlfn.SWITCH(S3795,"Annually",6,"Bi-Weekly",2,"Fortnightly",3,"Monthly",4,"Quarterly",5,"Weekly",1)</f>
        <v>6</v>
      </c>
    </row>
    <row r="3796" spans="1:20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  <c r="S3796" t="str">
        <f t="shared" si="59"/>
        <v>Weekly</v>
      </c>
      <c r="T3796" cm="1">
        <f t="array" ref="T3796">_xlfn.SWITCH(S3796,"Annually",6,"Bi-Weekly",2,"Fortnightly",3,"Monthly",4,"Quarterly",5,"Weekly",1)</f>
        <v>1</v>
      </c>
    </row>
    <row r="3797" spans="1:20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  <c r="S3797" t="str">
        <f t="shared" si="59"/>
        <v>Weekly</v>
      </c>
      <c r="T3797" cm="1">
        <f t="array" ref="T3797">_xlfn.SWITCH(S3797,"Annually",6,"Bi-Weekly",2,"Fortnightly",3,"Monthly",4,"Quarterly",5,"Weekly",1)</f>
        <v>1</v>
      </c>
    </row>
    <row r="3798" spans="1:20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  <c r="S3798" t="str">
        <f t="shared" si="59"/>
        <v>Quarterly</v>
      </c>
      <c r="T3798" cm="1">
        <f t="array" ref="T3798">_xlfn.SWITCH(S3798,"Annually",6,"Bi-Weekly",2,"Fortnightly",3,"Monthly",4,"Quarterly",5,"Weekly",1)</f>
        <v>5</v>
      </c>
    </row>
    <row r="3799" spans="1:20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  <c r="S3799" t="str">
        <f t="shared" si="59"/>
        <v>Quarterly</v>
      </c>
      <c r="T3799" cm="1">
        <f t="array" ref="T3799">_xlfn.SWITCH(S3799,"Annually",6,"Bi-Weekly",2,"Fortnightly",3,"Monthly",4,"Quarterly",5,"Weekly",1)</f>
        <v>5</v>
      </c>
    </row>
    <row r="3800" spans="1:20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  <c r="S3800" t="str">
        <f t="shared" si="59"/>
        <v>Annually</v>
      </c>
      <c r="T3800" cm="1">
        <f t="array" ref="T3800">_xlfn.SWITCH(S3800,"Annually",6,"Bi-Weekly",2,"Fortnightly",3,"Monthly",4,"Quarterly",5,"Weekly",1)</f>
        <v>6</v>
      </c>
    </row>
    <row r="3801" spans="1:20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  <c r="S3801" t="str">
        <f t="shared" si="59"/>
        <v>Monthly</v>
      </c>
      <c r="T3801" cm="1">
        <f t="array" ref="T3801">_xlfn.SWITCH(S3801,"Annually",6,"Bi-Weekly",2,"Fortnightly",3,"Monthly",4,"Quarterly",5,"Weekly",1)</f>
        <v>4</v>
      </c>
    </row>
    <row r="3802" spans="1:20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  <c r="S3802" t="str">
        <f t="shared" si="59"/>
        <v>Bi-Weekly</v>
      </c>
      <c r="T3802" cm="1">
        <f t="array" ref="T3802">_xlfn.SWITCH(S3802,"Annually",6,"Bi-Weekly",2,"Fortnightly",3,"Monthly",4,"Quarterly",5,"Weekly",1)</f>
        <v>2</v>
      </c>
    </row>
    <row r="3803" spans="1:20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  <c r="S3803" t="str">
        <f t="shared" si="59"/>
        <v>Fortnightly</v>
      </c>
      <c r="T3803" cm="1">
        <f t="array" ref="T3803">_xlfn.SWITCH(S3803,"Annually",6,"Bi-Weekly",2,"Fortnightly",3,"Monthly",4,"Quarterly",5,"Weekly",1)</f>
        <v>3</v>
      </c>
    </row>
    <row r="3804" spans="1:20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  <c r="S3804" t="str">
        <f t="shared" si="59"/>
        <v>Monthly</v>
      </c>
      <c r="T3804" cm="1">
        <f t="array" ref="T3804">_xlfn.SWITCH(S3804,"Annually",6,"Bi-Weekly",2,"Fortnightly",3,"Monthly",4,"Quarterly",5,"Weekly",1)</f>
        <v>4</v>
      </c>
    </row>
    <row r="3805" spans="1:20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  <c r="S3805" t="str">
        <f t="shared" si="59"/>
        <v>Weekly</v>
      </c>
      <c r="T3805" cm="1">
        <f t="array" ref="T3805">_xlfn.SWITCH(S3805,"Annually",6,"Bi-Weekly",2,"Fortnightly",3,"Monthly",4,"Quarterly",5,"Weekly",1)</f>
        <v>1</v>
      </c>
    </row>
    <row r="3806" spans="1:20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  <c r="S3806" t="str">
        <f t="shared" si="59"/>
        <v>Annually</v>
      </c>
      <c r="T3806" cm="1">
        <f t="array" ref="T3806">_xlfn.SWITCH(S3806,"Annually",6,"Bi-Weekly",2,"Fortnightly",3,"Monthly",4,"Quarterly",5,"Weekly",1)</f>
        <v>6</v>
      </c>
    </row>
    <row r="3807" spans="1:20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  <c r="S3807" t="str">
        <f t="shared" si="59"/>
        <v>Quarterly</v>
      </c>
      <c r="T3807" cm="1">
        <f t="array" ref="T3807">_xlfn.SWITCH(S3807,"Annually",6,"Bi-Weekly",2,"Fortnightly",3,"Monthly",4,"Quarterly",5,"Weekly",1)</f>
        <v>5</v>
      </c>
    </row>
    <row r="3808" spans="1:20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  <c r="S3808" t="str">
        <f t="shared" si="59"/>
        <v>Weekly</v>
      </c>
      <c r="T3808" cm="1">
        <f t="array" ref="T3808">_xlfn.SWITCH(S3808,"Annually",6,"Bi-Weekly",2,"Fortnightly",3,"Monthly",4,"Quarterly",5,"Weekly",1)</f>
        <v>1</v>
      </c>
    </row>
    <row r="3809" spans="1:20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  <c r="S3809" t="str">
        <f t="shared" si="59"/>
        <v>Annually</v>
      </c>
      <c r="T3809" cm="1">
        <f t="array" ref="T3809">_xlfn.SWITCH(S3809,"Annually",6,"Bi-Weekly",2,"Fortnightly",3,"Monthly",4,"Quarterly",5,"Weekly",1)</f>
        <v>6</v>
      </c>
    </row>
    <row r="3810" spans="1:20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  <c r="S3810" t="str">
        <f t="shared" si="59"/>
        <v>Bi-Weekly</v>
      </c>
      <c r="T3810" cm="1">
        <f t="array" ref="T3810">_xlfn.SWITCH(S3810,"Annually",6,"Bi-Weekly",2,"Fortnightly",3,"Monthly",4,"Quarterly",5,"Weekly",1)</f>
        <v>2</v>
      </c>
    </row>
    <row r="3811" spans="1:20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  <c r="S3811" t="str">
        <f t="shared" si="59"/>
        <v>Annually</v>
      </c>
      <c r="T3811" cm="1">
        <f t="array" ref="T3811">_xlfn.SWITCH(S3811,"Annually",6,"Bi-Weekly",2,"Fortnightly",3,"Monthly",4,"Quarterly",5,"Weekly",1)</f>
        <v>6</v>
      </c>
    </row>
    <row r="3812" spans="1:20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  <c r="S3812" t="str">
        <f t="shared" si="59"/>
        <v>Monthly</v>
      </c>
      <c r="T3812" cm="1">
        <f t="array" ref="T3812">_xlfn.SWITCH(S3812,"Annually",6,"Bi-Weekly",2,"Fortnightly",3,"Monthly",4,"Quarterly",5,"Weekly",1)</f>
        <v>4</v>
      </c>
    </row>
    <row r="3813" spans="1:20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  <c r="S3813" t="str">
        <f t="shared" si="59"/>
        <v>Monthly</v>
      </c>
      <c r="T3813" cm="1">
        <f t="array" ref="T3813">_xlfn.SWITCH(S3813,"Annually",6,"Bi-Weekly",2,"Fortnightly",3,"Monthly",4,"Quarterly",5,"Weekly",1)</f>
        <v>4</v>
      </c>
    </row>
    <row r="3814" spans="1:20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  <c r="S3814" t="str">
        <f t="shared" si="59"/>
        <v>Quarterly</v>
      </c>
      <c r="T3814" cm="1">
        <f t="array" ref="T3814">_xlfn.SWITCH(S3814,"Annually",6,"Bi-Weekly",2,"Fortnightly",3,"Monthly",4,"Quarterly",5,"Weekly",1)</f>
        <v>5</v>
      </c>
    </row>
    <row r="3815" spans="1:20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  <c r="S3815" t="str">
        <f t="shared" si="59"/>
        <v>Bi-Weekly</v>
      </c>
      <c r="T3815" cm="1">
        <f t="array" ref="T3815">_xlfn.SWITCH(S3815,"Annually",6,"Bi-Weekly",2,"Fortnightly",3,"Monthly",4,"Quarterly",5,"Weekly",1)</f>
        <v>2</v>
      </c>
    </row>
    <row r="3816" spans="1:20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  <c r="S3816" t="str">
        <f t="shared" si="59"/>
        <v>Quarterly</v>
      </c>
      <c r="T3816" cm="1">
        <f t="array" ref="T3816">_xlfn.SWITCH(S3816,"Annually",6,"Bi-Weekly",2,"Fortnightly",3,"Monthly",4,"Quarterly",5,"Weekly",1)</f>
        <v>5</v>
      </c>
    </row>
    <row r="3817" spans="1:20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  <c r="S3817" t="str">
        <f t="shared" si="59"/>
        <v>Fortnightly</v>
      </c>
      <c r="T3817" cm="1">
        <f t="array" ref="T3817">_xlfn.SWITCH(S3817,"Annually",6,"Bi-Weekly",2,"Fortnightly",3,"Monthly",4,"Quarterly",5,"Weekly",1)</f>
        <v>3</v>
      </c>
    </row>
    <row r="3818" spans="1:20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  <c r="S3818" t="str">
        <f t="shared" si="59"/>
        <v>Fortnightly</v>
      </c>
      <c r="T3818" cm="1">
        <f t="array" ref="T3818">_xlfn.SWITCH(S3818,"Annually",6,"Bi-Weekly",2,"Fortnightly",3,"Monthly",4,"Quarterly",5,"Weekly",1)</f>
        <v>3</v>
      </c>
    </row>
    <row r="3819" spans="1:20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  <c r="S3819" t="str">
        <f t="shared" si="59"/>
        <v>Annually</v>
      </c>
      <c r="T3819" cm="1">
        <f t="array" ref="T3819">_xlfn.SWITCH(S3819,"Annually",6,"Bi-Weekly",2,"Fortnightly",3,"Monthly",4,"Quarterly",5,"Weekly",1)</f>
        <v>6</v>
      </c>
    </row>
    <row r="3820" spans="1:20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  <c r="S3820" t="str">
        <f t="shared" si="59"/>
        <v>Monthly</v>
      </c>
      <c r="T3820" cm="1">
        <f t="array" ref="T3820">_xlfn.SWITCH(S3820,"Annually",6,"Bi-Weekly",2,"Fortnightly",3,"Monthly",4,"Quarterly",5,"Weekly",1)</f>
        <v>4</v>
      </c>
    </row>
    <row r="3821" spans="1:20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  <c r="S3821" t="str">
        <f t="shared" si="59"/>
        <v>Quarterly</v>
      </c>
      <c r="T3821" cm="1">
        <f t="array" ref="T3821">_xlfn.SWITCH(S3821,"Annually",6,"Bi-Weekly",2,"Fortnightly",3,"Monthly",4,"Quarterly",5,"Weekly",1)</f>
        <v>5</v>
      </c>
    </row>
    <row r="3822" spans="1:20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  <c r="S3822" t="str">
        <f t="shared" si="59"/>
        <v>Quarterly</v>
      </c>
      <c r="T3822" cm="1">
        <f t="array" ref="T3822">_xlfn.SWITCH(S3822,"Annually",6,"Bi-Weekly",2,"Fortnightly",3,"Monthly",4,"Quarterly",5,"Weekly",1)</f>
        <v>5</v>
      </c>
    </row>
    <row r="3823" spans="1:20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  <c r="S3823" t="str">
        <f t="shared" si="59"/>
        <v>Quarterly</v>
      </c>
      <c r="T3823" cm="1">
        <f t="array" ref="T3823">_xlfn.SWITCH(S3823,"Annually",6,"Bi-Weekly",2,"Fortnightly",3,"Monthly",4,"Quarterly",5,"Weekly",1)</f>
        <v>5</v>
      </c>
    </row>
    <row r="3824" spans="1:20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  <c r="S3824" t="str">
        <f t="shared" si="59"/>
        <v>Quarterly</v>
      </c>
      <c r="T3824" cm="1">
        <f t="array" ref="T3824">_xlfn.SWITCH(S3824,"Annually",6,"Bi-Weekly",2,"Fortnightly",3,"Monthly",4,"Quarterly",5,"Weekly",1)</f>
        <v>5</v>
      </c>
    </row>
    <row r="3825" spans="1:20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  <c r="S3825" t="str">
        <f t="shared" si="59"/>
        <v>Weekly</v>
      </c>
      <c r="T3825" cm="1">
        <f t="array" ref="T3825">_xlfn.SWITCH(S3825,"Annually",6,"Bi-Weekly",2,"Fortnightly",3,"Monthly",4,"Quarterly",5,"Weekly",1)</f>
        <v>1</v>
      </c>
    </row>
    <row r="3826" spans="1:20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  <c r="S3826" t="str">
        <f t="shared" si="59"/>
        <v>Quarterly</v>
      </c>
      <c r="T3826" cm="1">
        <f t="array" ref="T3826">_xlfn.SWITCH(S3826,"Annually",6,"Bi-Weekly",2,"Fortnightly",3,"Monthly",4,"Quarterly",5,"Weekly",1)</f>
        <v>5</v>
      </c>
    </row>
    <row r="3827" spans="1:20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  <c r="S3827" t="str">
        <f t="shared" si="59"/>
        <v>Fortnightly</v>
      </c>
      <c r="T3827" cm="1">
        <f t="array" ref="T3827">_xlfn.SWITCH(S3827,"Annually",6,"Bi-Weekly",2,"Fortnightly",3,"Monthly",4,"Quarterly",5,"Weekly",1)</f>
        <v>3</v>
      </c>
    </row>
    <row r="3828" spans="1:20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  <c r="S3828" t="str">
        <f t="shared" si="59"/>
        <v>Annually</v>
      </c>
      <c r="T3828" cm="1">
        <f t="array" ref="T3828">_xlfn.SWITCH(S3828,"Annually",6,"Bi-Weekly",2,"Fortnightly",3,"Monthly",4,"Quarterly",5,"Weekly",1)</f>
        <v>6</v>
      </c>
    </row>
    <row r="3829" spans="1:20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  <c r="S3829" t="str">
        <f t="shared" si="59"/>
        <v>Fortnightly</v>
      </c>
      <c r="T3829" cm="1">
        <f t="array" ref="T3829">_xlfn.SWITCH(S3829,"Annually",6,"Bi-Weekly",2,"Fortnightly",3,"Monthly",4,"Quarterly",5,"Weekly",1)</f>
        <v>3</v>
      </c>
    </row>
    <row r="3830" spans="1:20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  <c r="S3830" t="str">
        <f t="shared" si="59"/>
        <v>Weekly</v>
      </c>
      <c r="T3830" cm="1">
        <f t="array" ref="T3830">_xlfn.SWITCH(S3830,"Annually",6,"Bi-Weekly",2,"Fortnightly",3,"Monthly",4,"Quarterly",5,"Weekly",1)</f>
        <v>1</v>
      </c>
    </row>
    <row r="3831" spans="1:20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  <c r="S3831" t="str">
        <f t="shared" si="59"/>
        <v>Fortnightly</v>
      </c>
      <c r="T3831" cm="1">
        <f t="array" ref="T3831">_xlfn.SWITCH(S3831,"Annually",6,"Bi-Weekly",2,"Fortnightly",3,"Monthly",4,"Quarterly",5,"Weekly",1)</f>
        <v>3</v>
      </c>
    </row>
    <row r="3832" spans="1:20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  <c r="S3832" t="str">
        <f t="shared" si="59"/>
        <v>Quarterly</v>
      </c>
      <c r="T3832" cm="1">
        <f t="array" ref="T3832">_xlfn.SWITCH(S3832,"Annually",6,"Bi-Weekly",2,"Fortnightly",3,"Monthly",4,"Quarterly",5,"Weekly",1)</f>
        <v>5</v>
      </c>
    </row>
    <row r="3833" spans="1:20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  <c r="S3833" t="str">
        <f t="shared" si="59"/>
        <v>Quarterly</v>
      </c>
      <c r="T3833" cm="1">
        <f t="array" ref="T3833">_xlfn.SWITCH(S3833,"Annually",6,"Bi-Weekly",2,"Fortnightly",3,"Monthly",4,"Quarterly",5,"Weekly",1)</f>
        <v>5</v>
      </c>
    </row>
    <row r="3834" spans="1:20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  <c r="S3834" t="str">
        <f t="shared" si="59"/>
        <v>Weekly</v>
      </c>
      <c r="T3834" cm="1">
        <f t="array" ref="T3834">_xlfn.SWITCH(S3834,"Annually",6,"Bi-Weekly",2,"Fortnightly",3,"Monthly",4,"Quarterly",5,"Weekly",1)</f>
        <v>1</v>
      </c>
    </row>
    <row r="3835" spans="1:20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  <c r="S3835" t="str">
        <f t="shared" si="59"/>
        <v>Quarterly</v>
      </c>
      <c r="T3835" cm="1">
        <f t="array" ref="T3835">_xlfn.SWITCH(S3835,"Annually",6,"Bi-Weekly",2,"Fortnightly",3,"Monthly",4,"Quarterly",5,"Weekly",1)</f>
        <v>5</v>
      </c>
    </row>
    <row r="3836" spans="1:20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  <c r="S3836" t="str">
        <f t="shared" si="59"/>
        <v>Quarterly</v>
      </c>
      <c r="T3836" cm="1">
        <f t="array" ref="T3836">_xlfn.SWITCH(S3836,"Annually",6,"Bi-Weekly",2,"Fortnightly",3,"Monthly",4,"Quarterly",5,"Weekly",1)</f>
        <v>5</v>
      </c>
    </row>
    <row r="3837" spans="1:20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  <c r="S3837" t="str">
        <f t="shared" si="59"/>
        <v>Bi-Weekly</v>
      </c>
      <c r="T3837" cm="1">
        <f t="array" ref="T3837">_xlfn.SWITCH(S3837,"Annually",6,"Bi-Weekly",2,"Fortnightly",3,"Monthly",4,"Quarterly",5,"Weekly",1)</f>
        <v>2</v>
      </c>
    </row>
    <row r="3838" spans="1:20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  <c r="S3838" t="str">
        <f t="shared" si="59"/>
        <v>Fortnightly</v>
      </c>
      <c r="T3838" cm="1">
        <f t="array" ref="T3838">_xlfn.SWITCH(S3838,"Annually",6,"Bi-Weekly",2,"Fortnightly",3,"Monthly",4,"Quarterly",5,"Weekly",1)</f>
        <v>3</v>
      </c>
    </row>
    <row r="3839" spans="1:20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  <c r="S3839" t="str">
        <f t="shared" si="59"/>
        <v>Fortnightly</v>
      </c>
      <c r="T3839" cm="1">
        <f t="array" ref="T3839">_xlfn.SWITCH(S3839,"Annually",6,"Bi-Weekly",2,"Fortnightly",3,"Monthly",4,"Quarterly",5,"Weekly",1)</f>
        <v>3</v>
      </c>
    </row>
    <row r="3840" spans="1:20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  <c r="S3840" t="str">
        <f t="shared" si="59"/>
        <v>Quarterly</v>
      </c>
      <c r="T3840" cm="1">
        <f t="array" ref="T3840">_xlfn.SWITCH(S3840,"Annually",6,"Bi-Weekly",2,"Fortnightly",3,"Monthly",4,"Quarterly",5,"Weekly",1)</f>
        <v>5</v>
      </c>
    </row>
    <row r="3841" spans="1:20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  <c r="S3841" t="str">
        <f t="shared" si="59"/>
        <v>Quarterly</v>
      </c>
      <c r="T3841" cm="1">
        <f t="array" ref="T3841">_xlfn.SWITCH(S3841,"Annually",6,"Bi-Weekly",2,"Fortnightly",3,"Monthly",4,"Quarterly",5,"Weekly",1)</f>
        <v>5</v>
      </c>
    </row>
    <row r="3842" spans="1:20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  <c r="S3842" t="str">
        <f t="shared" si="59"/>
        <v>Fortnightly</v>
      </c>
      <c r="T3842" cm="1">
        <f t="array" ref="T3842">_xlfn.SWITCH(S3842,"Annually",6,"Bi-Weekly",2,"Fortnightly",3,"Monthly",4,"Quarterly",5,"Weekly",1)</f>
        <v>3</v>
      </c>
    </row>
    <row r="3843" spans="1:20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  <c r="S3843" t="str">
        <f t="shared" ref="S3843:S3901" si="60">IF(R3843="Every 3 Months","Quarterly",R3843)</f>
        <v>Monthly</v>
      </c>
      <c r="T3843" cm="1">
        <f t="array" ref="T3843">_xlfn.SWITCH(S3843,"Annually",6,"Bi-Weekly",2,"Fortnightly",3,"Monthly",4,"Quarterly",5,"Weekly",1)</f>
        <v>4</v>
      </c>
    </row>
    <row r="3844" spans="1:20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  <c r="S3844" t="str">
        <f t="shared" si="60"/>
        <v>Monthly</v>
      </c>
      <c r="T3844" cm="1">
        <f t="array" ref="T3844">_xlfn.SWITCH(S3844,"Annually",6,"Bi-Weekly",2,"Fortnightly",3,"Monthly",4,"Quarterly",5,"Weekly",1)</f>
        <v>4</v>
      </c>
    </row>
    <row r="3845" spans="1:20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  <c r="S3845" t="str">
        <f t="shared" si="60"/>
        <v>Quarterly</v>
      </c>
      <c r="T3845" cm="1">
        <f t="array" ref="T3845">_xlfn.SWITCH(S3845,"Annually",6,"Bi-Weekly",2,"Fortnightly",3,"Monthly",4,"Quarterly",5,"Weekly",1)</f>
        <v>5</v>
      </c>
    </row>
    <row r="3846" spans="1:20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  <c r="S3846" t="str">
        <f t="shared" si="60"/>
        <v>Quarterly</v>
      </c>
      <c r="T3846" cm="1">
        <f t="array" ref="T3846">_xlfn.SWITCH(S3846,"Annually",6,"Bi-Weekly",2,"Fortnightly",3,"Monthly",4,"Quarterly",5,"Weekly",1)</f>
        <v>5</v>
      </c>
    </row>
    <row r="3847" spans="1:20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  <c r="S3847" t="str">
        <f t="shared" si="60"/>
        <v>Annually</v>
      </c>
      <c r="T3847" cm="1">
        <f t="array" ref="T3847">_xlfn.SWITCH(S3847,"Annually",6,"Bi-Weekly",2,"Fortnightly",3,"Monthly",4,"Quarterly",5,"Weekly",1)</f>
        <v>6</v>
      </c>
    </row>
    <row r="3848" spans="1:20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  <c r="S3848" t="str">
        <f t="shared" si="60"/>
        <v>Quarterly</v>
      </c>
      <c r="T3848" cm="1">
        <f t="array" ref="T3848">_xlfn.SWITCH(S3848,"Annually",6,"Bi-Weekly",2,"Fortnightly",3,"Monthly",4,"Quarterly",5,"Weekly",1)</f>
        <v>5</v>
      </c>
    </row>
    <row r="3849" spans="1:20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  <c r="S3849" t="str">
        <f t="shared" si="60"/>
        <v>Fortnightly</v>
      </c>
      <c r="T3849" cm="1">
        <f t="array" ref="T3849">_xlfn.SWITCH(S3849,"Annually",6,"Bi-Weekly",2,"Fortnightly",3,"Monthly",4,"Quarterly",5,"Weekly",1)</f>
        <v>3</v>
      </c>
    </row>
    <row r="3850" spans="1:20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  <c r="S3850" t="str">
        <f t="shared" si="60"/>
        <v>Quarterly</v>
      </c>
      <c r="T3850" cm="1">
        <f t="array" ref="T3850">_xlfn.SWITCH(S3850,"Annually",6,"Bi-Weekly",2,"Fortnightly",3,"Monthly",4,"Quarterly",5,"Weekly",1)</f>
        <v>5</v>
      </c>
    </row>
    <row r="3851" spans="1:20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  <c r="S3851" t="str">
        <f t="shared" si="60"/>
        <v>Fortnightly</v>
      </c>
      <c r="T3851" cm="1">
        <f t="array" ref="T3851">_xlfn.SWITCH(S3851,"Annually",6,"Bi-Weekly",2,"Fortnightly",3,"Monthly",4,"Quarterly",5,"Weekly",1)</f>
        <v>3</v>
      </c>
    </row>
    <row r="3852" spans="1:20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  <c r="S3852" t="str">
        <f t="shared" si="60"/>
        <v>Quarterly</v>
      </c>
      <c r="T3852" cm="1">
        <f t="array" ref="T3852">_xlfn.SWITCH(S3852,"Annually",6,"Bi-Weekly",2,"Fortnightly",3,"Monthly",4,"Quarterly",5,"Weekly",1)</f>
        <v>5</v>
      </c>
    </row>
    <row r="3853" spans="1:20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  <c r="S3853" t="str">
        <f t="shared" si="60"/>
        <v>Annually</v>
      </c>
      <c r="T3853" cm="1">
        <f t="array" ref="T3853">_xlfn.SWITCH(S3853,"Annually",6,"Bi-Weekly",2,"Fortnightly",3,"Monthly",4,"Quarterly",5,"Weekly",1)</f>
        <v>6</v>
      </c>
    </row>
    <row r="3854" spans="1:20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  <c r="S3854" t="str">
        <f t="shared" si="60"/>
        <v>Weekly</v>
      </c>
      <c r="T3854" cm="1">
        <f t="array" ref="T3854">_xlfn.SWITCH(S3854,"Annually",6,"Bi-Weekly",2,"Fortnightly",3,"Monthly",4,"Quarterly",5,"Weekly",1)</f>
        <v>1</v>
      </c>
    </row>
    <row r="3855" spans="1:20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  <c r="S3855" t="str">
        <f t="shared" si="60"/>
        <v>Bi-Weekly</v>
      </c>
      <c r="T3855" cm="1">
        <f t="array" ref="T3855">_xlfn.SWITCH(S3855,"Annually",6,"Bi-Weekly",2,"Fortnightly",3,"Monthly",4,"Quarterly",5,"Weekly",1)</f>
        <v>2</v>
      </c>
    </row>
    <row r="3856" spans="1:20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  <c r="S3856" t="str">
        <f t="shared" si="60"/>
        <v>Annually</v>
      </c>
      <c r="T3856" cm="1">
        <f t="array" ref="T3856">_xlfn.SWITCH(S3856,"Annually",6,"Bi-Weekly",2,"Fortnightly",3,"Monthly",4,"Quarterly",5,"Weekly",1)</f>
        <v>6</v>
      </c>
    </row>
    <row r="3857" spans="1:20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  <c r="S3857" t="str">
        <f t="shared" si="60"/>
        <v>Quarterly</v>
      </c>
      <c r="T3857" cm="1">
        <f t="array" ref="T3857">_xlfn.SWITCH(S3857,"Annually",6,"Bi-Weekly",2,"Fortnightly",3,"Monthly",4,"Quarterly",5,"Weekly",1)</f>
        <v>5</v>
      </c>
    </row>
    <row r="3858" spans="1:20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  <c r="S3858" t="str">
        <f t="shared" si="60"/>
        <v>Quarterly</v>
      </c>
      <c r="T3858" cm="1">
        <f t="array" ref="T3858">_xlfn.SWITCH(S3858,"Annually",6,"Bi-Weekly",2,"Fortnightly",3,"Monthly",4,"Quarterly",5,"Weekly",1)</f>
        <v>5</v>
      </c>
    </row>
    <row r="3859" spans="1:20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  <c r="S3859" t="str">
        <f t="shared" si="60"/>
        <v>Quarterly</v>
      </c>
      <c r="T3859" cm="1">
        <f t="array" ref="T3859">_xlfn.SWITCH(S3859,"Annually",6,"Bi-Weekly",2,"Fortnightly",3,"Monthly",4,"Quarterly",5,"Weekly",1)</f>
        <v>5</v>
      </c>
    </row>
    <row r="3860" spans="1:20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  <c r="S3860" t="str">
        <f t="shared" si="60"/>
        <v>Quarterly</v>
      </c>
      <c r="T3860" cm="1">
        <f t="array" ref="T3860">_xlfn.SWITCH(S3860,"Annually",6,"Bi-Weekly",2,"Fortnightly",3,"Monthly",4,"Quarterly",5,"Weekly",1)</f>
        <v>5</v>
      </c>
    </row>
    <row r="3861" spans="1:20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  <c r="S3861" t="str">
        <f t="shared" si="60"/>
        <v>Bi-Weekly</v>
      </c>
      <c r="T3861" cm="1">
        <f t="array" ref="T3861">_xlfn.SWITCH(S3861,"Annually",6,"Bi-Weekly",2,"Fortnightly",3,"Monthly",4,"Quarterly",5,"Weekly",1)</f>
        <v>2</v>
      </c>
    </row>
    <row r="3862" spans="1:20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  <c r="S3862" t="str">
        <f t="shared" si="60"/>
        <v>Annually</v>
      </c>
      <c r="T3862" cm="1">
        <f t="array" ref="T3862">_xlfn.SWITCH(S3862,"Annually",6,"Bi-Weekly",2,"Fortnightly",3,"Monthly",4,"Quarterly",5,"Weekly",1)</f>
        <v>6</v>
      </c>
    </row>
    <row r="3863" spans="1:20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  <c r="S3863" t="str">
        <f t="shared" si="60"/>
        <v>Monthly</v>
      </c>
      <c r="T3863" cm="1">
        <f t="array" ref="T3863">_xlfn.SWITCH(S3863,"Annually",6,"Bi-Weekly",2,"Fortnightly",3,"Monthly",4,"Quarterly",5,"Weekly",1)</f>
        <v>4</v>
      </c>
    </row>
    <row r="3864" spans="1:20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  <c r="S3864" t="str">
        <f t="shared" si="60"/>
        <v>Monthly</v>
      </c>
      <c r="T3864" cm="1">
        <f t="array" ref="T3864">_xlfn.SWITCH(S3864,"Annually",6,"Bi-Weekly",2,"Fortnightly",3,"Monthly",4,"Quarterly",5,"Weekly",1)</f>
        <v>4</v>
      </c>
    </row>
    <row r="3865" spans="1:20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  <c r="S3865" t="str">
        <f t="shared" si="60"/>
        <v>Fortnightly</v>
      </c>
      <c r="T3865" cm="1">
        <f t="array" ref="T3865">_xlfn.SWITCH(S3865,"Annually",6,"Bi-Weekly",2,"Fortnightly",3,"Monthly",4,"Quarterly",5,"Weekly",1)</f>
        <v>3</v>
      </c>
    </row>
    <row r="3866" spans="1:20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  <c r="S3866" t="str">
        <f t="shared" si="60"/>
        <v>Fortnightly</v>
      </c>
      <c r="T3866" cm="1">
        <f t="array" ref="T3866">_xlfn.SWITCH(S3866,"Annually",6,"Bi-Weekly",2,"Fortnightly",3,"Monthly",4,"Quarterly",5,"Weekly",1)</f>
        <v>3</v>
      </c>
    </row>
    <row r="3867" spans="1:20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  <c r="S3867" t="str">
        <f t="shared" si="60"/>
        <v>Quarterly</v>
      </c>
      <c r="T3867" cm="1">
        <f t="array" ref="T3867">_xlfn.SWITCH(S3867,"Annually",6,"Bi-Weekly",2,"Fortnightly",3,"Monthly",4,"Quarterly",5,"Weekly",1)</f>
        <v>5</v>
      </c>
    </row>
    <row r="3868" spans="1:20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  <c r="S3868" t="str">
        <f t="shared" si="60"/>
        <v>Fortnightly</v>
      </c>
      <c r="T3868" cm="1">
        <f t="array" ref="T3868">_xlfn.SWITCH(S3868,"Annually",6,"Bi-Weekly",2,"Fortnightly",3,"Monthly",4,"Quarterly",5,"Weekly",1)</f>
        <v>3</v>
      </c>
    </row>
    <row r="3869" spans="1:20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  <c r="S3869" t="str">
        <f t="shared" si="60"/>
        <v>Monthly</v>
      </c>
      <c r="T3869" cm="1">
        <f t="array" ref="T3869">_xlfn.SWITCH(S3869,"Annually",6,"Bi-Weekly",2,"Fortnightly",3,"Monthly",4,"Quarterly",5,"Weekly",1)</f>
        <v>4</v>
      </c>
    </row>
    <row r="3870" spans="1:20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  <c r="S3870" t="str">
        <f t="shared" si="60"/>
        <v>Annually</v>
      </c>
      <c r="T3870" cm="1">
        <f t="array" ref="T3870">_xlfn.SWITCH(S3870,"Annually",6,"Bi-Weekly",2,"Fortnightly",3,"Monthly",4,"Quarterly",5,"Weekly",1)</f>
        <v>6</v>
      </c>
    </row>
    <row r="3871" spans="1:20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  <c r="S3871" t="str">
        <f t="shared" si="60"/>
        <v>Annually</v>
      </c>
      <c r="T3871" cm="1">
        <f t="array" ref="T3871">_xlfn.SWITCH(S3871,"Annually",6,"Bi-Weekly",2,"Fortnightly",3,"Monthly",4,"Quarterly",5,"Weekly",1)</f>
        <v>6</v>
      </c>
    </row>
    <row r="3872" spans="1:20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  <c r="S3872" t="str">
        <f t="shared" si="60"/>
        <v>Quarterly</v>
      </c>
      <c r="T3872" cm="1">
        <f t="array" ref="T3872">_xlfn.SWITCH(S3872,"Annually",6,"Bi-Weekly",2,"Fortnightly",3,"Monthly",4,"Quarterly",5,"Weekly",1)</f>
        <v>5</v>
      </c>
    </row>
    <row r="3873" spans="1:20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  <c r="S3873" t="str">
        <f t="shared" si="60"/>
        <v>Quarterly</v>
      </c>
      <c r="T3873" cm="1">
        <f t="array" ref="T3873">_xlfn.SWITCH(S3873,"Annually",6,"Bi-Weekly",2,"Fortnightly",3,"Monthly",4,"Quarterly",5,"Weekly",1)</f>
        <v>5</v>
      </c>
    </row>
    <row r="3874" spans="1:20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  <c r="S3874" t="str">
        <f t="shared" si="60"/>
        <v>Monthly</v>
      </c>
      <c r="T3874" cm="1">
        <f t="array" ref="T3874">_xlfn.SWITCH(S3874,"Annually",6,"Bi-Weekly",2,"Fortnightly",3,"Monthly",4,"Quarterly",5,"Weekly",1)</f>
        <v>4</v>
      </c>
    </row>
    <row r="3875" spans="1:20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  <c r="S3875" t="str">
        <f t="shared" si="60"/>
        <v>Weekly</v>
      </c>
      <c r="T3875" cm="1">
        <f t="array" ref="T3875">_xlfn.SWITCH(S3875,"Annually",6,"Bi-Weekly",2,"Fortnightly",3,"Monthly",4,"Quarterly",5,"Weekly",1)</f>
        <v>1</v>
      </c>
    </row>
    <row r="3876" spans="1:20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  <c r="S3876" t="str">
        <f t="shared" si="60"/>
        <v>Bi-Weekly</v>
      </c>
      <c r="T3876" cm="1">
        <f t="array" ref="T3876">_xlfn.SWITCH(S3876,"Annually",6,"Bi-Weekly",2,"Fortnightly",3,"Monthly",4,"Quarterly",5,"Weekly",1)</f>
        <v>2</v>
      </c>
    </row>
    <row r="3877" spans="1:20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  <c r="S3877" t="str">
        <f t="shared" si="60"/>
        <v>Annually</v>
      </c>
      <c r="T3877" cm="1">
        <f t="array" ref="T3877">_xlfn.SWITCH(S3877,"Annually",6,"Bi-Weekly",2,"Fortnightly",3,"Monthly",4,"Quarterly",5,"Weekly",1)</f>
        <v>6</v>
      </c>
    </row>
    <row r="3878" spans="1:20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  <c r="S3878" t="str">
        <f t="shared" si="60"/>
        <v>Annually</v>
      </c>
      <c r="T3878" cm="1">
        <f t="array" ref="T3878">_xlfn.SWITCH(S3878,"Annually",6,"Bi-Weekly",2,"Fortnightly",3,"Monthly",4,"Quarterly",5,"Weekly",1)</f>
        <v>6</v>
      </c>
    </row>
    <row r="3879" spans="1:20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  <c r="S3879" t="str">
        <f t="shared" si="60"/>
        <v>Monthly</v>
      </c>
      <c r="T3879" cm="1">
        <f t="array" ref="T3879">_xlfn.SWITCH(S3879,"Annually",6,"Bi-Weekly",2,"Fortnightly",3,"Monthly",4,"Quarterly",5,"Weekly",1)</f>
        <v>4</v>
      </c>
    </row>
    <row r="3880" spans="1:20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  <c r="S3880" t="str">
        <f t="shared" si="60"/>
        <v>Annually</v>
      </c>
      <c r="T3880" cm="1">
        <f t="array" ref="T3880">_xlfn.SWITCH(S3880,"Annually",6,"Bi-Weekly",2,"Fortnightly",3,"Monthly",4,"Quarterly",5,"Weekly",1)</f>
        <v>6</v>
      </c>
    </row>
    <row r="3881" spans="1:20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  <c r="S3881" t="str">
        <f t="shared" si="60"/>
        <v>Quarterly</v>
      </c>
      <c r="T3881" cm="1">
        <f t="array" ref="T3881">_xlfn.SWITCH(S3881,"Annually",6,"Bi-Weekly",2,"Fortnightly",3,"Monthly",4,"Quarterly",5,"Weekly",1)</f>
        <v>5</v>
      </c>
    </row>
    <row r="3882" spans="1:20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  <c r="S3882" t="str">
        <f t="shared" si="60"/>
        <v>Monthly</v>
      </c>
      <c r="T3882" cm="1">
        <f t="array" ref="T3882">_xlfn.SWITCH(S3882,"Annually",6,"Bi-Weekly",2,"Fortnightly",3,"Monthly",4,"Quarterly",5,"Weekly",1)</f>
        <v>4</v>
      </c>
    </row>
    <row r="3883" spans="1:20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  <c r="S3883" t="str">
        <f t="shared" si="60"/>
        <v>Weekly</v>
      </c>
      <c r="T3883" cm="1">
        <f t="array" ref="T3883">_xlfn.SWITCH(S3883,"Annually",6,"Bi-Weekly",2,"Fortnightly",3,"Monthly",4,"Quarterly",5,"Weekly",1)</f>
        <v>1</v>
      </c>
    </row>
    <row r="3884" spans="1:20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  <c r="S3884" t="str">
        <f t="shared" si="60"/>
        <v>Fortnightly</v>
      </c>
      <c r="T3884" cm="1">
        <f t="array" ref="T3884">_xlfn.SWITCH(S3884,"Annually",6,"Bi-Weekly",2,"Fortnightly",3,"Monthly",4,"Quarterly",5,"Weekly",1)</f>
        <v>3</v>
      </c>
    </row>
    <row r="3885" spans="1:20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  <c r="S3885" t="str">
        <f t="shared" si="60"/>
        <v>Fortnightly</v>
      </c>
      <c r="T3885" cm="1">
        <f t="array" ref="T3885">_xlfn.SWITCH(S3885,"Annually",6,"Bi-Weekly",2,"Fortnightly",3,"Monthly",4,"Quarterly",5,"Weekly",1)</f>
        <v>3</v>
      </c>
    </row>
    <row r="3886" spans="1:20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  <c r="S3886" t="str">
        <f t="shared" si="60"/>
        <v>Weekly</v>
      </c>
      <c r="T3886" cm="1">
        <f t="array" ref="T3886">_xlfn.SWITCH(S3886,"Annually",6,"Bi-Weekly",2,"Fortnightly",3,"Monthly",4,"Quarterly",5,"Weekly",1)</f>
        <v>1</v>
      </c>
    </row>
    <row r="3887" spans="1:20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  <c r="S3887" t="str">
        <f t="shared" si="60"/>
        <v>Quarterly</v>
      </c>
      <c r="T3887" cm="1">
        <f t="array" ref="T3887">_xlfn.SWITCH(S3887,"Annually",6,"Bi-Weekly",2,"Fortnightly",3,"Monthly",4,"Quarterly",5,"Weekly",1)</f>
        <v>5</v>
      </c>
    </row>
    <row r="3888" spans="1:20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  <c r="S3888" t="str">
        <f t="shared" si="60"/>
        <v>Quarterly</v>
      </c>
      <c r="T3888" cm="1">
        <f t="array" ref="T3888">_xlfn.SWITCH(S3888,"Annually",6,"Bi-Weekly",2,"Fortnightly",3,"Monthly",4,"Quarterly",5,"Weekly",1)</f>
        <v>5</v>
      </c>
    </row>
    <row r="3889" spans="1:20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  <c r="S3889" t="str">
        <f t="shared" si="60"/>
        <v>Quarterly</v>
      </c>
      <c r="T3889" cm="1">
        <f t="array" ref="T3889">_xlfn.SWITCH(S3889,"Annually",6,"Bi-Weekly",2,"Fortnightly",3,"Monthly",4,"Quarterly",5,"Weekly",1)</f>
        <v>5</v>
      </c>
    </row>
    <row r="3890" spans="1:20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  <c r="S3890" t="str">
        <f t="shared" si="60"/>
        <v>Bi-Weekly</v>
      </c>
      <c r="T3890" cm="1">
        <f t="array" ref="T3890">_xlfn.SWITCH(S3890,"Annually",6,"Bi-Weekly",2,"Fortnightly",3,"Monthly",4,"Quarterly",5,"Weekly",1)</f>
        <v>2</v>
      </c>
    </row>
    <row r="3891" spans="1:20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  <c r="S3891" t="str">
        <f t="shared" si="60"/>
        <v>Annually</v>
      </c>
      <c r="T3891" cm="1">
        <f t="array" ref="T3891">_xlfn.SWITCH(S3891,"Annually",6,"Bi-Weekly",2,"Fortnightly",3,"Monthly",4,"Quarterly",5,"Weekly",1)</f>
        <v>6</v>
      </c>
    </row>
    <row r="3892" spans="1:20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  <c r="S3892" t="str">
        <f t="shared" si="60"/>
        <v>Annually</v>
      </c>
      <c r="T3892" cm="1">
        <f t="array" ref="T3892">_xlfn.SWITCH(S3892,"Annually",6,"Bi-Weekly",2,"Fortnightly",3,"Monthly",4,"Quarterly",5,"Weekly",1)</f>
        <v>6</v>
      </c>
    </row>
    <row r="3893" spans="1:20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  <c r="S3893" t="str">
        <f t="shared" si="60"/>
        <v>Quarterly</v>
      </c>
      <c r="T3893" cm="1">
        <f t="array" ref="T3893">_xlfn.SWITCH(S3893,"Annually",6,"Bi-Weekly",2,"Fortnightly",3,"Monthly",4,"Quarterly",5,"Weekly",1)</f>
        <v>5</v>
      </c>
    </row>
    <row r="3894" spans="1:20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  <c r="S3894" t="str">
        <f t="shared" si="60"/>
        <v>Fortnightly</v>
      </c>
      <c r="T3894" cm="1">
        <f t="array" ref="T3894">_xlfn.SWITCH(S3894,"Annually",6,"Bi-Weekly",2,"Fortnightly",3,"Monthly",4,"Quarterly",5,"Weekly",1)</f>
        <v>3</v>
      </c>
    </row>
    <row r="3895" spans="1:20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  <c r="S3895" t="str">
        <f t="shared" si="60"/>
        <v>Bi-Weekly</v>
      </c>
      <c r="T3895" cm="1">
        <f t="array" ref="T3895">_xlfn.SWITCH(S3895,"Annually",6,"Bi-Weekly",2,"Fortnightly",3,"Monthly",4,"Quarterly",5,"Weekly",1)</f>
        <v>2</v>
      </c>
    </row>
    <row r="3896" spans="1:20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  <c r="S3896" t="str">
        <f t="shared" si="60"/>
        <v>Quarterly</v>
      </c>
      <c r="T3896" cm="1">
        <f t="array" ref="T3896">_xlfn.SWITCH(S3896,"Annually",6,"Bi-Weekly",2,"Fortnightly",3,"Monthly",4,"Quarterly",5,"Weekly",1)</f>
        <v>5</v>
      </c>
    </row>
    <row r="3897" spans="1:20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  <c r="S3897" t="str">
        <f t="shared" si="60"/>
        <v>Weekly</v>
      </c>
      <c r="T3897" cm="1">
        <f t="array" ref="T3897">_xlfn.SWITCH(S3897,"Annually",6,"Bi-Weekly",2,"Fortnightly",3,"Monthly",4,"Quarterly",5,"Weekly",1)</f>
        <v>1</v>
      </c>
    </row>
    <row r="3898" spans="1:20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  <c r="S3898" t="str">
        <f t="shared" si="60"/>
        <v>Bi-Weekly</v>
      </c>
      <c r="T3898" cm="1">
        <f t="array" ref="T3898">_xlfn.SWITCH(S3898,"Annually",6,"Bi-Weekly",2,"Fortnightly",3,"Monthly",4,"Quarterly",5,"Weekly",1)</f>
        <v>2</v>
      </c>
    </row>
    <row r="3899" spans="1:20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  <c r="S3899" t="str">
        <f t="shared" si="60"/>
        <v>Quarterly</v>
      </c>
      <c r="T3899" cm="1">
        <f t="array" ref="T3899">_xlfn.SWITCH(S3899,"Annually",6,"Bi-Weekly",2,"Fortnightly",3,"Monthly",4,"Quarterly",5,"Weekly",1)</f>
        <v>5</v>
      </c>
    </row>
    <row r="3900" spans="1:20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  <c r="S3900" t="str">
        <f t="shared" si="60"/>
        <v>Weekly</v>
      </c>
      <c r="T3900" cm="1">
        <f t="array" ref="T3900">_xlfn.SWITCH(S3900,"Annually",6,"Bi-Weekly",2,"Fortnightly",3,"Monthly",4,"Quarterly",5,"Weekly",1)</f>
        <v>1</v>
      </c>
    </row>
    <row r="3901" spans="1:20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  <c r="S3901" t="str">
        <f t="shared" si="60"/>
        <v>Quarterly</v>
      </c>
      <c r="T3901" cm="1">
        <f t="array" ref="T3901">_xlfn.SWITCH(S3901,"Annually",6,"Bi-Weekly",2,"Fortnightly",3,"Monthly",4,"Quarterly",5,"Weekly",1)</f>
        <v>5</v>
      </c>
    </row>
  </sheetData>
  <autoFilter ref="A1:S3901" xr:uid="{00000000-0001-0000-0300-000000000000}">
    <filterColumn colId="2">
      <filters>
        <filter val="Femal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CF65-A0B0-493B-8C56-2227D8A41178}">
  <dimension ref="A1:R2687"/>
  <sheetViews>
    <sheetView workbookViewId="0">
      <selection activeCell="A67" sqref="A67"/>
    </sheetView>
  </sheetViews>
  <sheetFormatPr defaultRowHeight="14.4" x14ac:dyDescent="0.3"/>
  <cols>
    <col min="1" max="1" width="12.5546875" bestFit="1" customWidth="1"/>
    <col min="2" max="2" width="28.21875" bestFit="1" customWidth="1"/>
    <col min="3" max="3" width="11.44140625" customWidth="1"/>
    <col min="4" max="4" width="10.77734375" bestFit="1" customWidth="1"/>
    <col min="5" max="5" width="13.109375" bestFit="1" customWidth="1"/>
    <col min="6" max="6" width="22.77734375" bestFit="1" customWidth="1"/>
    <col min="8" max="8" width="12" bestFit="1" customWidth="1"/>
    <col min="9" max="9" width="17" bestFit="1" customWidth="1"/>
  </cols>
  <sheetData>
    <row r="1" spans="1:4" x14ac:dyDescent="0.3">
      <c r="A1" s="30" t="s">
        <v>222</v>
      </c>
      <c r="B1" s="30"/>
    </row>
    <row r="2" spans="1:4" x14ac:dyDescent="0.3">
      <c r="A2" s="2" t="s">
        <v>4</v>
      </c>
      <c r="B2" t="s">
        <v>221</v>
      </c>
    </row>
    <row r="3" spans="1:4" x14ac:dyDescent="0.3">
      <c r="A3" s="3" t="s">
        <v>62</v>
      </c>
      <c r="B3" s="8">
        <v>602.80345983843927</v>
      </c>
    </row>
    <row r="4" spans="1:4" x14ac:dyDescent="0.3">
      <c r="A4" s="3" t="s">
        <v>153</v>
      </c>
      <c r="B4" s="8">
        <v>602.80345983843927</v>
      </c>
    </row>
    <row r="10" spans="1:4" x14ac:dyDescent="0.3">
      <c r="A10" s="30" t="s">
        <v>223</v>
      </c>
      <c r="B10" s="30"/>
    </row>
    <row r="11" spans="1:4" x14ac:dyDescent="0.3">
      <c r="B11" s="2" t="s">
        <v>169</v>
      </c>
    </row>
    <row r="12" spans="1:4" x14ac:dyDescent="0.3">
      <c r="B12" t="s">
        <v>152</v>
      </c>
      <c r="C12" t="s">
        <v>18</v>
      </c>
      <c r="D12" t="s">
        <v>153</v>
      </c>
    </row>
    <row r="13" spans="1:4" x14ac:dyDescent="0.3">
      <c r="A13" t="s">
        <v>221</v>
      </c>
      <c r="B13" s="8">
        <v>548.08293205025473</v>
      </c>
      <c r="C13" s="8">
        <v>566.70117831330231</v>
      </c>
      <c r="D13" s="8">
        <v>560.85396048652206</v>
      </c>
    </row>
    <row r="16" spans="1:4" x14ac:dyDescent="0.3">
      <c r="A16" s="30" t="s">
        <v>231</v>
      </c>
      <c r="B16" s="30"/>
    </row>
    <row r="17" spans="1:10" ht="15" thickBot="1" x14ac:dyDescent="0.35"/>
    <row r="18" spans="1:10" x14ac:dyDescent="0.3">
      <c r="A18" s="28"/>
      <c r="B18" s="28" t="s">
        <v>224</v>
      </c>
      <c r="C18" s="28" t="s">
        <v>225</v>
      </c>
    </row>
    <row r="19" spans="1:10" x14ac:dyDescent="0.3">
      <c r="A19" s="26" t="s">
        <v>226</v>
      </c>
      <c r="B19" s="26">
        <v>60.249198717948715</v>
      </c>
      <c r="C19" s="26">
        <v>59.536199095022624</v>
      </c>
    </row>
    <row r="20" spans="1:10" x14ac:dyDescent="0.3">
      <c r="A20" s="26" t="s">
        <v>232</v>
      </c>
      <c r="B20" s="26">
        <v>548.08000000000004</v>
      </c>
      <c r="C20" s="26">
        <v>566.70000000000005</v>
      </c>
    </row>
    <row r="21" spans="1:10" x14ac:dyDescent="0.3">
      <c r="A21" s="26" t="s">
        <v>227</v>
      </c>
      <c r="B21" s="26">
        <v>1248</v>
      </c>
      <c r="C21" s="26">
        <v>2652</v>
      </c>
    </row>
    <row r="22" spans="1:10" x14ac:dyDescent="0.3">
      <c r="A22" s="26" t="s">
        <v>228</v>
      </c>
      <c r="B22" s="26">
        <v>0</v>
      </c>
      <c r="C22" s="26"/>
    </row>
    <row r="23" spans="1:10" x14ac:dyDescent="0.3">
      <c r="A23" s="26" t="s">
        <v>233</v>
      </c>
      <c r="B23" s="26">
        <v>0.88243173032074684</v>
      </c>
      <c r="C23" s="26"/>
    </row>
    <row r="24" spans="1:10" x14ac:dyDescent="0.3">
      <c r="A24" s="26" t="s">
        <v>234</v>
      </c>
      <c r="B24" s="26">
        <v>0.18877169153880702</v>
      </c>
      <c r="C24" s="26"/>
    </row>
    <row r="25" spans="1:10" x14ac:dyDescent="0.3">
      <c r="A25" s="26" t="s">
        <v>235</v>
      </c>
      <c r="B25" s="26">
        <v>1.6448536269514715</v>
      </c>
      <c r="C25" s="26"/>
    </row>
    <row r="26" spans="1:10" x14ac:dyDescent="0.3">
      <c r="A26" s="26" t="s">
        <v>236</v>
      </c>
      <c r="B26" s="26">
        <v>0.37754338307761398</v>
      </c>
      <c r="C26" s="26"/>
    </row>
    <row r="27" spans="1:10" ht="15" thickBot="1" x14ac:dyDescent="0.35">
      <c r="A27" s="27" t="s">
        <v>237</v>
      </c>
      <c r="B27" s="27">
        <v>1.9599639845400536</v>
      </c>
      <c r="C27" s="27"/>
    </row>
    <row r="28" spans="1:10" ht="15" thickBot="1" x14ac:dyDescent="0.35">
      <c r="A28" s="27"/>
      <c r="B28" s="27"/>
      <c r="C28" s="27"/>
    </row>
    <row r="29" spans="1:10" x14ac:dyDescent="0.3">
      <c r="A29" s="36" t="s">
        <v>238</v>
      </c>
      <c r="B29" s="36"/>
      <c r="C29" s="36"/>
      <c r="D29" s="36"/>
      <c r="E29" s="36"/>
      <c r="F29" s="36"/>
    </row>
    <row r="31" spans="1:10" x14ac:dyDescent="0.3">
      <c r="A31" t="s">
        <v>89</v>
      </c>
      <c r="B31" t="s">
        <v>119</v>
      </c>
      <c r="C31" t="s">
        <v>116</v>
      </c>
      <c r="D31" t="s">
        <v>71</v>
      </c>
      <c r="F31" s="35" t="s">
        <v>277</v>
      </c>
      <c r="G31" s="35"/>
      <c r="H31" s="35"/>
      <c r="I31" s="35"/>
      <c r="J31" s="35"/>
    </row>
    <row r="32" spans="1:10" x14ac:dyDescent="0.3">
      <c r="A32">
        <v>64</v>
      </c>
      <c r="B32">
        <v>80</v>
      </c>
      <c r="C32">
        <v>41</v>
      </c>
      <c r="D32">
        <v>76</v>
      </c>
    </row>
    <row r="33" spans="1:18" ht="15" thickBot="1" x14ac:dyDescent="0.35">
      <c r="A33">
        <v>40</v>
      </c>
      <c r="B33">
        <v>66</v>
      </c>
      <c r="C33">
        <v>98</v>
      </c>
      <c r="D33">
        <v>98</v>
      </c>
      <c r="F33" t="s">
        <v>239</v>
      </c>
    </row>
    <row r="34" spans="1:18" ht="15" thickBot="1" x14ac:dyDescent="0.35">
      <c r="A34">
        <v>94</v>
      </c>
      <c r="B34">
        <v>82</v>
      </c>
      <c r="C34">
        <v>31</v>
      </c>
      <c r="D34">
        <v>56</v>
      </c>
      <c r="F34" s="28" t="s">
        <v>240</v>
      </c>
      <c r="G34" s="28" t="s">
        <v>241</v>
      </c>
      <c r="H34" s="28" t="s">
        <v>242</v>
      </c>
      <c r="I34" s="28" t="s">
        <v>243</v>
      </c>
      <c r="J34" s="28" t="s">
        <v>221</v>
      </c>
    </row>
    <row r="35" spans="1:18" x14ac:dyDescent="0.3">
      <c r="A35">
        <v>88</v>
      </c>
      <c r="B35">
        <v>88</v>
      </c>
      <c r="C35">
        <v>67</v>
      </c>
      <c r="D35">
        <v>50</v>
      </c>
      <c r="F35" s="26" t="s">
        <v>244</v>
      </c>
      <c r="G35" s="26">
        <v>4</v>
      </c>
      <c r="H35" s="26">
        <v>261</v>
      </c>
      <c r="I35" s="26">
        <v>65.25</v>
      </c>
      <c r="J35" s="26">
        <v>307.58333333333331</v>
      </c>
      <c r="N35" s="28"/>
      <c r="O35" s="28"/>
      <c r="P35" s="28"/>
      <c r="Q35" s="28"/>
      <c r="R35" s="28"/>
    </row>
    <row r="36" spans="1:18" x14ac:dyDescent="0.3">
      <c r="A36">
        <v>43</v>
      </c>
      <c r="B36">
        <v>53</v>
      </c>
      <c r="C36">
        <v>100</v>
      </c>
      <c r="D36">
        <v>99</v>
      </c>
      <c r="F36" s="26" t="s">
        <v>245</v>
      </c>
      <c r="G36" s="26">
        <v>4</v>
      </c>
      <c r="H36" s="26">
        <v>302</v>
      </c>
      <c r="I36" s="26">
        <v>75.5</v>
      </c>
      <c r="J36" s="26">
        <v>787.66666666666663</v>
      </c>
      <c r="N36" s="26"/>
      <c r="O36" s="26"/>
      <c r="P36" s="26"/>
      <c r="Q36" s="26"/>
      <c r="R36" s="26"/>
    </row>
    <row r="37" spans="1:18" x14ac:dyDescent="0.3">
      <c r="A37">
        <v>80</v>
      </c>
      <c r="B37">
        <v>65</v>
      </c>
      <c r="C37">
        <v>85</v>
      </c>
      <c r="D37">
        <v>81</v>
      </c>
      <c r="F37" s="26" t="s">
        <v>246</v>
      </c>
      <c r="G37" s="26">
        <v>4</v>
      </c>
      <c r="H37" s="26">
        <v>263</v>
      </c>
      <c r="I37" s="26">
        <v>65.75</v>
      </c>
      <c r="J37" s="26">
        <v>788.25</v>
      </c>
      <c r="N37" s="26"/>
      <c r="O37" s="26"/>
      <c r="P37" s="26"/>
      <c r="Q37" s="26"/>
      <c r="R37" s="26"/>
    </row>
    <row r="38" spans="1:18" x14ac:dyDescent="0.3">
      <c r="A38">
        <v>31</v>
      </c>
      <c r="B38">
        <v>95</v>
      </c>
      <c r="C38">
        <v>79</v>
      </c>
      <c r="D38">
        <v>64</v>
      </c>
      <c r="F38" s="26" t="s">
        <v>247</v>
      </c>
      <c r="G38" s="26">
        <v>4</v>
      </c>
      <c r="H38" s="26">
        <v>293</v>
      </c>
      <c r="I38" s="26">
        <v>73.25</v>
      </c>
      <c r="J38" s="26">
        <v>338.25</v>
      </c>
      <c r="N38" s="26"/>
      <c r="O38" s="26"/>
      <c r="P38" s="26"/>
      <c r="Q38" s="26"/>
      <c r="R38" s="26"/>
    </row>
    <row r="39" spans="1:18" x14ac:dyDescent="0.3">
      <c r="A39">
        <v>24</v>
      </c>
      <c r="B39">
        <v>44</v>
      </c>
      <c r="C39">
        <v>55</v>
      </c>
      <c r="D39">
        <v>56</v>
      </c>
      <c r="F39" s="26" t="s">
        <v>248</v>
      </c>
      <c r="G39" s="26">
        <v>4</v>
      </c>
      <c r="H39" s="26">
        <v>295</v>
      </c>
      <c r="I39" s="26">
        <v>73.75</v>
      </c>
      <c r="J39" s="26">
        <v>900.91666666666663</v>
      </c>
      <c r="P39" s="26"/>
      <c r="Q39" s="26"/>
      <c r="R39" s="26"/>
    </row>
    <row r="40" spans="1:18" x14ac:dyDescent="0.3">
      <c r="A40">
        <v>56</v>
      </c>
      <c r="B40">
        <v>69</v>
      </c>
      <c r="C40">
        <v>22</v>
      </c>
      <c r="D40">
        <v>32</v>
      </c>
      <c r="F40" s="26" t="s">
        <v>249</v>
      </c>
      <c r="G40" s="26">
        <v>4</v>
      </c>
      <c r="H40" s="26">
        <v>311</v>
      </c>
      <c r="I40" s="26">
        <v>77.75</v>
      </c>
      <c r="J40" s="26">
        <v>76.916666666666671</v>
      </c>
      <c r="P40" s="26"/>
      <c r="Q40" s="26"/>
      <c r="R40" s="26"/>
    </row>
    <row r="41" spans="1:18" x14ac:dyDescent="0.3">
      <c r="A41">
        <v>48</v>
      </c>
      <c r="B41">
        <v>23</v>
      </c>
      <c r="C41">
        <v>32</v>
      </c>
      <c r="D41">
        <v>68</v>
      </c>
      <c r="F41" s="26" t="s">
        <v>250</v>
      </c>
      <c r="G41" s="26">
        <v>4</v>
      </c>
      <c r="H41" s="26">
        <v>269</v>
      </c>
      <c r="I41" s="26">
        <v>67.25</v>
      </c>
      <c r="J41" s="26">
        <v>744.25</v>
      </c>
      <c r="P41" s="26"/>
      <c r="Q41" s="26"/>
      <c r="R41" s="26"/>
    </row>
    <row r="42" spans="1:18" x14ac:dyDescent="0.3">
      <c r="A42">
        <v>26</v>
      </c>
      <c r="B42">
        <v>97</v>
      </c>
      <c r="C42">
        <v>29</v>
      </c>
      <c r="D42">
        <v>37</v>
      </c>
      <c r="F42" s="26" t="s">
        <v>251</v>
      </c>
      <c r="G42" s="26">
        <v>4</v>
      </c>
      <c r="H42" s="26">
        <v>179</v>
      </c>
      <c r="I42" s="26">
        <v>44.75</v>
      </c>
      <c r="J42" s="26">
        <v>220.91666666666666</v>
      </c>
      <c r="P42" s="26"/>
      <c r="Q42" s="26"/>
      <c r="R42" s="26"/>
    </row>
    <row r="43" spans="1:18" x14ac:dyDescent="0.3">
      <c r="A43">
        <v>57</v>
      </c>
      <c r="B43">
        <v>96</v>
      </c>
      <c r="C43">
        <v>23</v>
      </c>
      <c r="D43">
        <v>31</v>
      </c>
      <c r="F43" s="26" t="s">
        <v>252</v>
      </c>
      <c r="G43" s="26">
        <v>4</v>
      </c>
      <c r="H43" s="26">
        <v>179</v>
      </c>
      <c r="I43" s="26">
        <v>44.75</v>
      </c>
      <c r="J43" s="26">
        <v>464.91666666666669</v>
      </c>
      <c r="P43" s="26"/>
      <c r="Q43" s="26"/>
      <c r="R43" s="26"/>
    </row>
    <row r="44" spans="1:18" x14ac:dyDescent="0.3">
      <c r="A44">
        <v>88</v>
      </c>
      <c r="B44">
        <v>93</v>
      </c>
      <c r="C44">
        <v>90</v>
      </c>
      <c r="D44">
        <v>81</v>
      </c>
      <c r="F44" s="26" t="s">
        <v>253</v>
      </c>
      <c r="G44" s="26">
        <v>4</v>
      </c>
      <c r="H44" s="26">
        <v>171</v>
      </c>
      <c r="I44" s="26">
        <v>42.75</v>
      </c>
      <c r="J44" s="26">
        <v>390.25</v>
      </c>
      <c r="P44" s="26"/>
      <c r="Q44" s="26"/>
      <c r="R44" s="26"/>
    </row>
    <row r="45" spans="1:18" x14ac:dyDescent="0.3">
      <c r="A45">
        <v>100</v>
      </c>
      <c r="B45">
        <v>74</v>
      </c>
      <c r="C45">
        <v>57</v>
      </c>
      <c r="D45">
        <v>91</v>
      </c>
      <c r="F45" s="26" t="s">
        <v>254</v>
      </c>
      <c r="G45" s="26">
        <v>4</v>
      </c>
      <c r="H45" s="26">
        <v>189</v>
      </c>
      <c r="I45" s="26">
        <v>47.25</v>
      </c>
      <c r="J45" s="26">
        <v>1121.5833333333333</v>
      </c>
      <c r="P45" s="26"/>
      <c r="Q45" s="26"/>
      <c r="R45" s="26"/>
    </row>
    <row r="46" spans="1:18" x14ac:dyDescent="0.3">
      <c r="A46">
        <v>74</v>
      </c>
      <c r="B46">
        <v>94</v>
      </c>
      <c r="C46">
        <v>88</v>
      </c>
      <c r="D46">
        <v>97</v>
      </c>
      <c r="F46" s="26" t="s">
        <v>255</v>
      </c>
      <c r="G46" s="26">
        <v>4</v>
      </c>
      <c r="H46" s="26">
        <v>207</v>
      </c>
      <c r="I46" s="26">
        <v>51.75</v>
      </c>
      <c r="J46" s="26">
        <v>1080.9166666666667</v>
      </c>
      <c r="P46" s="26"/>
      <c r="Q46" s="26"/>
      <c r="R46" s="26"/>
    </row>
    <row r="47" spans="1:18" x14ac:dyDescent="0.3">
      <c r="A47">
        <v>88</v>
      </c>
      <c r="B47">
        <v>88</v>
      </c>
      <c r="C47">
        <v>66</v>
      </c>
      <c r="D47">
        <v>67</v>
      </c>
      <c r="F47" s="26" t="s">
        <v>256</v>
      </c>
      <c r="G47" s="26">
        <v>4</v>
      </c>
      <c r="H47" s="26">
        <v>352</v>
      </c>
      <c r="I47" s="26">
        <v>88</v>
      </c>
      <c r="J47" s="26">
        <v>26</v>
      </c>
      <c r="P47" s="26"/>
      <c r="Q47" s="26"/>
      <c r="R47" s="26"/>
    </row>
    <row r="48" spans="1:18" x14ac:dyDescent="0.3">
      <c r="A48">
        <v>82</v>
      </c>
      <c r="B48">
        <v>94</v>
      </c>
      <c r="C48">
        <v>77</v>
      </c>
      <c r="D48">
        <v>58</v>
      </c>
      <c r="F48" s="26" t="s">
        <v>257</v>
      </c>
      <c r="G48" s="26">
        <v>4</v>
      </c>
      <c r="H48" s="26">
        <v>322</v>
      </c>
      <c r="I48" s="26">
        <v>80.5</v>
      </c>
      <c r="J48" s="26">
        <v>361.66666666666669</v>
      </c>
      <c r="P48" s="26"/>
      <c r="Q48" s="26"/>
      <c r="R48" s="26"/>
    </row>
    <row r="49" spans="1:18" x14ac:dyDescent="0.3">
      <c r="A49">
        <v>46</v>
      </c>
      <c r="B49">
        <v>95</v>
      </c>
      <c r="C49">
        <v>71</v>
      </c>
      <c r="D49">
        <v>71</v>
      </c>
      <c r="F49" s="26" t="s">
        <v>258</v>
      </c>
      <c r="G49" s="26">
        <v>4</v>
      </c>
      <c r="H49" s="26">
        <v>353</v>
      </c>
      <c r="I49" s="26">
        <v>88.25</v>
      </c>
      <c r="J49" s="26">
        <v>104.25</v>
      </c>
      <c r="P49" s="26"/>
      <c r="Q49" s="26"/>
      <c r="R49" s="26"/>
    </row>
    <row r="50" spans="1:18" x14ac:dyDescent="0.3">
      <c r="A50">
        <v>53</v>
      </c>
      <c r="B50">
        <v>83</v>
      </c>
      <c r="C50">
        <v>32</v>
      </c>
      <c r="D50">
        <v>89</v>
      </c>
      <c r="F50" s="26" t="s">
        <v>259</v>
      </c>
      <c r="G50" s="26">
        <v>4</v>
      </c>
      <c r="H50" s="26">
        <v>309</v>
      </c>
      <c r="I50" s="26">
        <v>77.25</v>
      </c>
      <c r="J50" s="26">
        <v>154.25</v>
      </c>
      <c r="P50" s="26"/>
      <c r="Q50" s="26"/>
      <c r="R50" s="26"/>
    </row>
    <row r="51" spans="1:18" x14ac:dyDescent="0.3">
      <c r="A51">
        <v>60</v>
      </c>
      <c r="B51">
        <v>25</v>
      </c>
      <c r="C51">
        <v>87</v>
      </c>
      <c r="D51">
        <v>32</v>
      </c>
      <c r="F51" s="26" t="s">
        <v>260</v>
      </c>
      <c r="G51" s="26">
        <v>4</v>
      </c>
      <c r="H51" s="26">
        <v>311</v>
      </c>
      <c r="I51" s="26">
        <v>77.75</v>
      </c>
      <c r="J51" s="26">
        <v>224.25</v>
      </c>
      <c r="P51" s="26"/>
      <c r="Q51" s="26"/>
      <c r="R51" s="26"/>
    </row>
    <row r="52" spans="1:18" x14ac:dyDescent="0.3">
      <c r="A52">
        <v>87</v>
      </c>
      <c r="B52">
        <v>45</v>
      </c>
      <c r="C52">
        <v>96</v>
      </c>
      <c r="D52">
        <v>98</v>
      </c>
      <c r="F52" s="26" t="s">
        <v>261</v>
      </c>
      <c r="G52" s="26">
        <v>4</v>
      </c>
      <c r="H52" s="26">
        <v>283</v>
      </c>
      <c r="I52" s="26">
        <v>70.75</v>
      </c>
      <c r="J52" s="26">
        <v>400.25</v>
      </c>
      <c r="P52" s="26"/>
      <c r="Q52" s="26"/>
      <c r="R52" s="26"/>
    </row>
    <row r="53" spans="1:18" x14ac:dyDescent="0.3">
      <c r="A53">
        <v>41</v>
      </c>
      <c r="B53">
        <v>84</v>
      </c>
      <c r="C53">
        <v>88</v>
      </c>
      <c r="D53">
        <v>74</v>
      </c>
      <c r="F53" s="26" t="s">
        <v>262</v>
      </c>
      <c r="G53" s="26">
        <v>4</v>
      </c>
      <c r="H53" s="26">
        <v>257</v>
      </c>
      <c r="I53" s="26">
        <v>64.25</v>
      </c>
      <c r="J53" s="26">
        <v>710.25</v>
      </c>
      <c r="P53" s="26"/>
      <c r="Q53" s="26"/>
      <c r="R53" s="26"/>
    </row>
    <row r="54" spans="1:18" x14ac:dyDescent="0.3">
      <c r="A54">
        <v>82</v>
      </c>
      <c r="B54">
        <v>32</v>
      </c>
      <c r="C54">
        <v>87</v>
      </c>
      <c r="D54">
        <v>44</v>
      </c>
      <c r="F54" s="26" t="s">
        <v>263</v>
      </c>
      <c r="G54" s="26">
        <v>4</v>
      </c>
      <c r="H54" s="26">
        <v>204</v>
      </c>
      <c r="I54" s="26">
        <v>51</v>
      </c>
      <c r="J54" s="26">
        <v>804.66666666666663</v>
      </c>
      <c r="P54" s="26"/>
      <c r="Q54" s="26"/>
      <c r="R54" s="26"/>
    </row>
    <row r="55" spans="1:18" x14ac:dyDescent="0.3">
      <c r="A55">
        <v>50</v>
      </c>
      <c r="B55">
        <v>65</v>
      </c>
      <c r="C55">
        <v>93</v>
      </c>
      <c r="D55">
        <v>92</v>
      </c>
      <c r="F55" s="26" t="s">
        <v>264</v>
      </c>
      <c r="G55" s="26">
        <v>4</v>
      </c>
      <c r="H55" s="26">
        <v>326</v>
      </c>
      <c r="I55" s="26">
        <v>81.5</v>
      </c>
      <c r="J55" s="26">
        <v>615</v>
      </c>
      <c r="P55" s="26"/>
      <c r="Q55" s="26"/>
      <c r="R55" s="26"/>
    </row>
    <row r="56" spans="1:18" x14ac:dyDescent="0.3">
      <c r="A56">
        <v>34</v>
      </c>
      <c r="C56">
        <v>64</v>
      </c>
      <c r="D56">
        <v>99</v>
      </c>
      <c r="F56" s="26" t="s">
        <v>265</v>
      </c>
      <c r="G56" s="26">
        <v>4</v>
      </c>
      <c r="H56" s="26">
        <v>287</v>
      </c>
      <c r="I56" s="26">
        <v>71.75</v>
      </c>
      <c r="J56" s="26">
        <v>454.91666666666669</v>
      </c>
      <c r="P56" s="26"/>
      <c r="Q56" s="26"/>
      <c r="R56" s="26"/>
    </row>
    <row r="57" spans="1:18" x14ac:dyDescent="0.3">
      <c r="A57">
        <v>97</v>
      </c>
      <c r="F57" s="26" t="s">
        <v>266</v>
      </c>
      <c r="G57" s="26">
        <v>4</v>
      </c>
      <c r="H57" s="26">
        <v>245</v>
      </c>
      <c r="I57" s="26">
        <v>61.25</v>
      </c>
      <c r="J57" s="26">
        <v>748.91666666666663</v>
      </c>
      <c r="P57" s="26"/>
      <c r="Q57" s="26"/>
      <c r="R57" s="26"/>
    </row>
    <row r="58" spans="1:18" ht="15" thickBot="1" x14ac:dyDescent="0.35">
      <c r="A58">
        <v>45</v>
      </c>
      <c r="F58" s="27" t="s">
        <v>267</v>
      </c>
      <c r="G58" s="27">
        <v>4</v>
      </c>
      <c r="H58" s="27">
        <v>300</v>
      </c>
      <c r="I58" s="27">
        <v>75</v>
      </c>
      <c r="J58" s="27">
        <v>446</v>
      </c>
      <c r="P58" s="26"/>
      <c r="Q58" s="26"/>
      <c r="R58" s="26"/>
    </row>
    <row r="59" spans="1:18" ht="15" thickBot="1" x14ac:dyDescent="0.35">
      <c r="F59" t="s">
        <v>268</v>
      </c>
      <c r="P59" s="26"/>
      <c r="Q59" s="26"/>
      <c r="R59" s="26"/>
    </row>
    <row r="60" spans="1:18" x14ac:dyDescent="0.3">
      <c r="F60" s="28" t="s">
        <v>269</v>
      </c>
      <c r="G60" s="28" t="s">
        <v>270</v>
      </c>
      <c r="H60" s="28" t="s">
        <v>229</v>
      </c>
      <c r="I60" s="28" t="s">
        <v>271</v>
      </c>
      <c r="J60" s="28" t="s">
        <v>230</v>
      </c>
      <c r="K60" s="28" t="s">
        <v>272</v>
      </c>
      <c r="L60" s="28" t="s">
        <v>273</v>
      </c>
      <c r="P60" s="26"/>
      <c r="Q60" s="26"/>
      <c r="R60" s="26"/>
    </row>
    <row r="61" spans="1:18" x14ac:dyDescent="0.3">
      <c r="F61" s="26" t="s">
        <v>274</v>
      </c>
      <c r="G61" s="26">
        <v>17510</v>
      </c>
      <c r="H61" s="26">
        <v>23</v>
      </c>
      <c r="I61" s="26">
        <v>761.304347826087</v>
      </c>
      <c r="J61" s="26">
        <v>1.4887600810320427</v>
      </c>
      <c r="K61" s="26">
        <v>0.103075755519138</v>
      </c>
      <c r="L61" s="26">
        <v>1.6802808944834819</v>
      </c>
      <c r="P61" s="26"/>
      <c r="Q61" s="26"/>
      <c r="R61" s="26"/>
    </row>
    <row r="62" spans="1:18" x14ac:dyDescent="0.3">
      <c r="F62" s="26" t="s">
        <v>275</v>
      </c>
      <c r="G62" s="26">
        <v>36818.5</v>
      </c>
      <c r="H62" s="26">
        <v>72</v>
      </c>
      <c r="I62" s="26">
        <v>511.36805555555554</v>
      </c>
      <c r="J62" s="26"/>
      <c r="K62" s="26"/>
      <c r="L62" s="26"/>
      <c r="P62" s="26"/>
      <c r="Q62" s="26"/>
      <c r="R62" s="26"/>
    </row>
    <row r="63" spans="1:18" x14ac:dyDescent="0.3">
      <c r="F63" s="26"/>
      <c r="G63" s="26"/>
      <c r="H63" s="26"/>
      <c r="I63" s="26"/>
      <c r="J63" s="26"/>
      <c r="K63" s="26"/>
      <c r="L63" s="26"/>
      <c r="P63" s="26"/>
      <c r="Q63" s="26"/>
      <c r="R63" s="26"/>
    </row>
    <row r="64" spans="1:18" ht="15" thickBot="1" x14ac:dyDescent="0.35">
      <c r="F64" s="27" t="s">
        <v>276</v>
      </c>
      <c r="G64" s="27">
        <v>54328.5</v>
      </c>
      <c r="H64" s="27">
        <v>95</v>
      </c>
      <c r="I64" s="27"/>
      <c r="J64" s="27"/>
      <c r="K64" s="27"/>
      <c r="L64" s="27"/>
      <c r="P64" s="26"/>
      <c r="Q64" s="26"/>
      <c r="R64" s="26"/>
    </row>
    <row r="65" spans="6:18" x14ac:dyDescent="0.3">
      <c r="F65" s="25" t="s">
        <v>278</v>
      </c>
      <c r="G65" s="25"/>
      <c r="H65" s="25"/>
      <c r="I65" s="25"/>
      <c r="P65" s="26"/>
      <c r="Q65" s="26"/>
      <c r="R65" s="26"/>
    </row>
    <row r="66" spans="6:18" x14ac:dyDescent="0.3">
      <c r="P66" s="26"/>
      <c r="Q66" s="26"/>
      <c r="R66" s="26"/>
    </row>
    <row r="67" spans="6:18" x14ac:dyDescent="0.3">
      <c r="P67" s="26"/>
      <c r="Q67" s="26"/>
      <c r="R67" s="26"/>
    </row>
    <row r="68" spans="6:18" x14ac:dyDescent="0.3">
      <c r="P68" s="26"/>
      <c r="Q68" s="26"/>
      <c r="R68" s="26"/>
    </row>
    <row r="69" spans="6:18" x14ac:dyDescent="0.3">
      <c r="P69" s="26"/>
      <c r="Q69" s="26"/>
      <c r="R69" s="26"/>
    </row>
    <row r="70" spans="6:18" x14ac:dyDescent="0.3">
      <c r="P70" s="26"/>
      <c r="Q70" s="26"/>
      <c r="R70" s="26"/>
    </row>
    <row r="71" spans="6:18" x14ac:dyDescent="0.3">
      <c r="P71" s="26"/>
      <c r="Q71" s="26"/>
      <c r="R71" s="26"/>
    </row>
    <row r="72" spans="6:18" x14ac:dyDescent="0.3">
      <c r="P72" s="26"/>
      <c r="Q72" s="26"/>
      <c r="R72" s="26"/>
    </row>
    <row r="73" spans="6:18" x14ac:dyDescent="0.3">
      <c r="P73" s="26"/>
      <c r="Q73" s="26"/>
      <c r="R73" s="26"/>
    </row>
    <row r="74" spans="6:18" x14ac:dyDescent="0.3">
      <c r="P74" s="26"/>
      <c r="Q74" s="26"/>
      <c r="R74" s="26"/>
    </row>
    <row r="75" spans="6:18" x14ac:dyDescent="0.3">
      <c r="N75" s="26"/>
      <c r="O75" s="26"/>
      <c r="P75" s="26"/>
      <c r="Q75" s="26"/>
      <c r="R75" s="26"/>
    </row>
    <row r="76" spans="6:18" x14ac:dyDescent="0.3">
      <c r="N76" s="26"/>
      <c r="O76" s="26"/>
      <c r="P76" s="26"/>
      <c r="Q76" s="26"/>
      <c r="R76" s="26"/>
    </row>
    <row r="77" spans="6:18" x14ac:dyDescent="0.3">
      <c r="N77" s="26"/>
      <c r="O77" s="26"/>
      <c r="P77" s="26"/>
      <c r="Q77" s="26"/>
      <c r="R77" s="26"/>
    </row>
    <row r="78" spans="6:18" x14ac:dyDescent="0.3">
      <c r="N78" s="26"/>
      <c r="O78" s="26"/>
      <c r="P78" s="26"/>
      <c r="Q78" s="26"/>
      <c r="R78" s="26"/>
    </row>
    <row r="79" spans="6:18" x14ac:dyDescent="0.3">
      <c r="N79" s="26"/>
      <c r="O79" s="26"/>
      <c r="P79" s="26"/>
      <c r="Q79" s="26"/>
      <c r="R79" s="26"/>
    </row>
    <row r="80" spans="6:18" x14ac:dyDescent="0.3">
      <c r="N80" s="26"/>
      <c r="O80" s="26"/>
      <c r="P80" s="26"/>
      <c r="Q80" s="26"/>
      <c r="R80" s="26"/>
    </row>
    <row r="81" spans="14:18" x14ac:dyDescent="0.3">
      <c r="N81" s="26"/>
      <c r="O81" s="26"/>
      <c r="P81" s="26"/>
      <c r="Q81" s="26"/>
      <c r="R81" s="26"/>
    </row>
    <row r="82" spans="14:18" x14ac:dyDescent="0.3">
      <c r="N82" s="26"/>
      <c r="O82" s="26"/>
      <c r="P82" s="26"/>
      <c r="Q82" s="26"/>
      <c r="R82" s="26"/>
    </row>
    <row r="83" spans="14:18" x14ac:dyDescent="0.3">
      <c r="N83" s="26"/>
      <c r="O83" s="26"/>
      <c r="P83" s="26"/>
      <c r="Q83" s="26"/>
      <c r="R83" s="26"/>
    </row>
    <row r="84" spans="14:18" x14ac:dyDescent="0.3">
      <c r="N84" s="26"/>
      <c r="O84" s="26"/>
      <c r="P84" s="26"/>
      <c r="Q84" s="26"/>
      <c r="R84" s="26"/>
    </row>
    <row r="85" spans="14:18" x14ac:dyDescent="0.3">
      <c r="N85" s="26"/>
      <c r="O85" s="26"/>
      <c r="P85" s="26"/>
      <c r="Q85" s="26"/>
      <c r="R85" s="26"/>
    </row>
    <row r="86" spans="14:18" x14ac:dyDescent="0.3">
      <c r="N86" s="26"/>
      <c r="O86" s="26"/>
      <c r="P86" s="26"/>
      <c r="Q86" s="26"/>
      <c r="R86" s="26"/>
    </row>
    <row r="87" spans="14:18" x14ac:dyDescent="0.3">
      <c r="N87" s="26"/>
      <c r="O87" s="26"/>
      <c r="P87" s="26"/>
      <c r="Q87" s="26"/>
      <c r="R87" s="26"/>
    </row>
    <row r="88" spans="14:18" x14ac:dyDescent="0.3">
      <c r="N88" s="26"/>
      <c r="O88" s="26"/>
      <c r="P88" s="26"/>
      <c r="Q88" s="26"/>
      <c r="R88" s="26"/>
    </row>
    <row r="89" spans="14:18" x14ac:dyDescent="0.3">
      <c r="N89" s="26"/>
      <c r="O89" s="26"/>
      <c r="P89" s="26"/>
      <c r="Q89" s="26"/>
      <c r="R89" s="26"/>
    </row>
    <row r="90" spans="14:18" x14ac:dyDescent="0.3">
      <c r="N90" s="26"/>
      <c r="O90" s="26"/>
      <c r="P90" s="26"/>
      <c r="Q90" s="26"/>
      <c r="R90" s="26"/>
    </row>
    <row r="91" spans="14:18" x14ac:dyDescent="0.3">
      <c r="N91" s="26"/>
      <c r="O91" s="26"/>
      <c r="P91" s="26"/>
      <c r="Q91" s="26"/>
      <c r="R91" s="26"/>
    </row>
    <row r="92" spans="14:18" x14ac:dyDescent="0.3">
      <c r="N92" s="26"/>
      <c r="O92" s="26"/>
      <c r="P92" s="26"/>
      <c r="Q92" s="26"/>
      <c r="R92" s="26"/>
    </row>
    <row r="93" spans="14:18" x14ac:dyDescent="0.3">
      <c r="N93" s="26"/>
      <c r="O93" s="26"/>
      <c r="P93" s="26"/>
      <c r="Q93" s="26"/>
      <c r="R93" s="26"/>
    </row>
    <row r="94" spans="14:18" x14ac:dyDescent="0.3">
      <c r="N94" s="26"/>
      <c r="O94" s="26"/>
      <c r="P94" s="26"/>
      <c r="Q94" s="26"/>
      <c r="R94" s="26"/>
    </row>
    <row r="95" spans="14:18" x14ac:dyDescent="0.3">
      <c r="N95" s="26"/>
      <c r="O95" s="26"/>
      <c r="P95" s="26"/>
      <c r="Q95" s="26"/>
      <c r="R95" s="26"/>
    </row>
    <row r="96" spans="14:18" x14ac:dyDescent="0.3">
      <c r="N96" s="26"/>
      <c r="O96" s="26"/>
      <c r="P96" s="26"/>
      <c r="Q96" s="26"/>
      <c r="R96" s="26"/>
    </row>
    <row r="97" spans="14:18" x14ac:dyDescent="0.3">
      <c r="N97" s="26"/>
      <c r="O97" s="26"/>
      <c r="P97" s="26"/>
      <c r="Q97" s="26"/>
      <c r="R97" s="26"/>
    </row>
    <row r="98" spans="14:18" x14ac:dyDescent="0.3">
      <c r="N98" s="26"/>
      <c r="O98" s="26"/>
      <c r="P98" s="26"/>
      <c r="Q98" s="26"/>
      <c r="R98" s="26"/>
    </row>
    <row r="99" spans="14:18" x14ac:dyDescent="0.3">
      <c r="N99" s="26"/>
      <c r="O99" s="26"/>
      <c r="P99" s="26"/>
      <c r="Q99" s="26"/>
      <c r="R99" s="26"/>
    </row>
    <row r="100" spans="14:18" x14ac:dyDescent="0.3">
      <c r="N100" s="26"/>
      <c r="O100" s="26"/>
      <c r="P100" s="26"/>
      <c r="Q100" s="26"/>
      <c r="R100" s="26"/>
    </row>
    <row r="101" spans="14:18" x14ac:dyDescent="0.3">
      <c r="N101" s="26"/>
      <c r="O101" s="26"/>
      <c r="P101" s="26"/>
      <c r="Q101" s="26"/>
      <c r="R101" s="26"/>
    </row>
    <row r="102" spans="14:18" x14ac:dyDescent="0.3">
      <c r="N102" s="26"/>
      <c r="O102" s="26"/>
      <c r="P102" s="26"/>
      <c r="Q102" s="26"/>
      <c r="R102" s="26"/>
    </row>
    <row r="103" spans="14:18" x14ac:dyDescent="0.3">
      <c r="N103" s="26"/>
      <c r="O103" s="26"/>
      <c r="P103" s="26"/>
      <c r="Q103" s="26"/>
      <c r="R103" s="26"/>
    </row>
    <row r="104" spans="14:18" x14ac:dyDescent="0.3">
      <c r="N104" s="26"/>
      <c r="O104" s="26"/>
      <c r="P104" s="26"/>
      <c r="Q104" s="26"/>
      <c r="R104" s="26"/>
    </row>
    <row r="105" spans="14:18" x14ac:dyDescent="0.3">
      <c r="N105" s="26"/>
      <c r="O105" s="26"/>
      <c r="P105" s="26"/>
      <c r="Q105" s="26"/>
      <c r="R105" s="26"/>
    </row>
    <row r="106" spans="14:18" x14ac:dyDescent="0.3">
      <c r="N106" s="26"/>
      <c r="O106" s="26"/>
      <c r="P106" s="26"/>
      <c r="Q106" s="26"/>
      <c r="R106" s="26"/>
    </row>
    <row r="107" spans="14:18" x14ac:dyDescent="0.3">
      <c r="N107" s="26"/>
      <c r="O107" s="26"/>
      <c r="P107" s="26"/>
      <c r="Q107" s="26"/>
      <c r="R107" s="26"/>
    </row>
    <row r="108" spans="14:18" x14ac:dyDescent="0.3">
      <c r="N108" s="26"/>
      <c r="O108" s="26"/>
      <c r="P108" s="26"/>
      <c r="Q108" s="26"/>
      <c r="R108" s="26"/>
    </row>
    <row r="109" spans="14:18" x14ac:dyDescent="0.3">
      <c r="N109" s="26"/>
      <c r="O109" s="26"/>
      <c r="P109" s="26"/>
      <c r="Q109" s="26"/>
      <c r="R109" s="26"/>
    </row>
    <row r="110" spans="14:18" x14ac:dyDescent="0.3">
      <c r="N110" s="26"/>
      <c r="O110" s="26"/>
      <c r="P110" s="26"/>
      <c r="Q110" s="26"/>
      <c r="R110" s="26"/>
    </row>
    <row r="111" spans="14:18" x14ac:dyDescent="0.3">
      <c r="N111" s="26"/>
      <c r="O111" s="26"/>
      <c r="P111" s="26"/>
      <c r="Q111" s="26"/>
      <c r="R111" s="26"/>
    </row>
    <row r="112" spans="14:18" x14ac:dyDescent="0.3">
      <c r="N112" s="26"/>
      <c r="O112" s="26"/>
      <c r="P112" s="26"/>
      <c r="Q112" s="26"/>
      <c r="R112" s="26"/>
    </row>
    <row r="113" spans="14:18" x14ac:dyDescent="0.3">
      <c r="N113" s="26"/>
      <c r="O113" s="26"/>
      <c r="P113" s="26"/>
      <c r="Q113" s="26"/>
      <c r="R113" s="26"/>
    </row>
    <row r="114" spans="14:18" x14ac:dyDescent="0.3">
      <c r="N114" s="26"/>
      <c r="O114" s="26"/>
      <c r="P114" s="26"/>
      <c r="Q114" s="26"/>
      <c r="R114" s="26"/>
    </row>
    <row r="115" spans="14:18" x14ac:dyDescent="0.3">
      <c r="N115" s="26"/>
      <c r="O115" s="26"/>
      <c r="P115" s="26"/>
      <c r="Q115" s="26"/>
      <c r="R115" s="26"/>
    </row>
    <row r="116" spans="14:18" x14ac:dyDescent="0.3">
      <c r="N116" s="26"/>
      <c r="O116" s="26"/>
      <c r="P116" s="26"/>
      <c r="Q116" s="26"/>
      <c r="R116" s="26"/>
    </row>
    <row r="117" spans="14:18" x14ac:dyDescent="0.3">
      <c r="N117" s="26"/>
      <c r="O117" s="26"/>
      <c r="P117" s="26"/>
      <c r="Q117" s="26"/>
      <c r="R117" s="26"/>
    </row>
    <row r="118" spans="14:18" x14ac:dyDescent="0.3">
      <c r="N118" s="26"/>
      <c r="O118" s="26"/>
      <c r="P118" s="26"/>
      <c r="Q118" s="26"/>
      <c r="R118" s="26"/>
    </row>
    <row r="119" spans="14:18" x14ac:dyDescent="0.3">
      <c r="N119" s="26"/>
      <c r="O119" s="26"/>
      <c r="P119" s="26"/>
      <c r="Q119" s="26"/>
      <c r="R119" s="26"/>
    </row>
    <row r="120" spans="14:18" x14ac:dyDescent="0.3">
      <c r="N120" s="26"/>
      <c r="O120" s="26"/>
      <c r="P120" s="26"/>
      <c r="Q120" s="26"/>
      <c r="R120" s="26"/>
    </row>
    <row r="121" spans="14:18" x14ac:dyDescent="0.3">
      <c r="N121" s="26"/>
      <c r="O121" s="26"/>
      <c r="P121" s="26"/>
      <c r="Q121" s="26"/>
      <c r="R121" s="26"/>
    </row>
    <row r="122" spans="14:18" x14ac:dyDescent="0.3">
      <c r="N122" s="26"/>
      <c r="O122" s="26"/>
      <c r="P122" s="26"/>
      <c r="Q122" s="26"/>
      <c r="R122" s="26"/>
    </row>
    <row r="123" spans="14:18" x14ac:dyDescent="0.3">
      <c r="N123" s="26"/>
      <c r="O123" s="26"/>
      <c r="P123" s="26"/>
      <c r="Q123" s="26"/>
      <c r="R123" s="26"/>
    </row>
    <row r="124" spans="14:18" x14ac:dyDescent="0.3">
      <c r="N124" s="26"/>
      <c r="O124" s="26"/>
      <c r="P124" s="26"/>
      <c r="Q124" s="26"/>
      <c r="R124" s="26"/>
    </row>
    <row r="125" spans="14:18" x14ac:dyDescent="0.3">
      <c r="N125" s="26"/>
      <c r="O125" s="26"/>
      <c r="P125" s="26"/>
      <c r="Q125" s="26"/>
      <c r="R125" s="26"/>
    </row>
    <row r="126" spans="14:18" x14ac:dyDescent="0.3">
      <c r="N126" s="26"/>
      <c r="O126" s="26"/>
      <c r="P126" s="26"/>
      <c r="Q126" s="26"/>
      <c r="R126" s="26"/>
    </row>
    <row r="127" spans="14:18" x14ac:dyDescent="0.3">
      <c r="N127" s="26"/>
      <c r="O127" s="26"/>
      <c r="P127" s="26"/>
      <c r="Q127" s="26"/>
      <c r="R127" s="26"/>
    </row>
    <row r="128" spans="14:18" x14ac:dyDescent="0.3">
      <c r="N128" s="26"/>
      <c r="O128" s="26"/>
      <c r="P128" s="26"/>
      <c r="Q128" s="26"/>
      <c r="R128" s="26"/>
    </row>
    <row r="129" spans="14:18" x14ac:dyDescent="0.3">
      <c r="N129" s="26"/>
      <c r="O129" s="26"/>
      <c r="P129" s="26"/>
      <c r="Q129" s="26"/>
      <c r="R129" s="26"/>
    </row>
    <row r="130" spans="14:18" x14ac:dyDescent="0.3">
      <c r="N130" s="26"/>
      <c r="O130" s="26"/>
      <c r="P130" s="26"/>
      <c r="Q130" s="26"/>
      <c r="R130" s="26"/>
    </row>
    <row r="131" spans="14:18" x14ac:dyDescent="0.3">
      <c r="N131" s="26"/>
      <c r="O131" s="26"/>
      <c r="P131" s="26"/>
      <c r="Q131" s="26"/>
      <c r="R131" s="26"/>
    </row>
    <row r="132" spans="14:18" x14ac:dyDescent="0.3">
      <c r="N132" s="26"/>
      <c r="O132" s="26"/>
      <c r="P132" s="26"/>
      <c r="Q132" s="26"/>
      <c r="R132" s="26"/>
    </row>
    <row r="133" spans="14:18" x14ac:dyDescent="0.3">
      <c r="N133" s="26"/>
      <c r="O133" s="26"/>
      <c r="P133" s="26"/>
      <c r="Q133" s="26"/>
      <c r="R133" s="26"/>
    </row>
    <row r="134" spans="14:18" x14ac:dyDescent="0.3">
      <c r="N134" s="26"/>
      <c r="O134" s="26"/>
      <c r="P134" s="26"/>
      <c r="Q134" s="26"/>
      <c r="R134" s="26"/>
    </row>
    <row r="135" spans="14:18" x14ac:dyDescent="0.3">
      <c r="N135" s="26"/>
      <c r="O135" s="26"/>
      <c r="P135" s="26"/>
      <c r="Q135" s="26"/>
      <c r="R135" s="26"/>
    </row>
    <row r="136" spans="14:18" x14ac:dyDescent="0.3">
      <c r="N136" s="26"/>
      <c r="O136" s="26"/>
      <c r="P136" s="26"/>
      <c r="Q136" s="26"/>
      <c r="R136" s="26"/>
    </row>
    <row r="137" spans="14:18" x14ac:dyDescent="0.3">
      <c r="N137" s="26"/>
      <c r="O137" s="26"/>
      <c r="P137" s="26"/>
      <c r="Q137" s="26"/>
      <c r="R137" s="26"/>
    </row>
    <row r="138" spans="14:18" x14ac:dyDescent="0.3">
      <c r="N138" s="26"/>
      <c r="O138" s="26"/>
      <c r="P138" s="26"/>
      <c r="Q138" s="26"/>
      <c r="R138" s="26"/>
    </row>
    <row r="139" spans="14:18" x14ac:dyDescent="0.3">
      <c r="N139" s="26"/>
      <c r="O139" s="26"/>
      <c r="P139" s="26"/>
      <c r="Q139" s="26"/>
      <c r="R139" s="26"/>
    </row>
    <row r="140" spans="14:18" x14ac:dyDescent="0.3">
      <c r="N140" s="26"/>
      <c r="O140" s="26"/>
      <c r="P140" s="26"/>
      <c r="Q140" s="26"/>
      <c r="R140" s="26"/>
    </row>
    <row r="141" spans="14:18" x14ac:dyDescent="0.3">
      <c r="N141" s="26"/>
      <c r="O141" s="26"/>
      <c r="P141" s="26"/>
      <c r="Q141" s="26"/>
      <c r="R141" s="26"/>
    </row>
    <row r="142" spans="14:18" x14ac:dyDescent="0.3">
      <c r="N142" s="26"/>
      <c r="O142" s="26"/>
      <c r="P142" s="26"/>
      <c r="Q142" s="26"/>
      <c r="R142" s="26"/>
    </row>
    <row r="143" spans="14:18" x14ac:dyDescent="0.3">
      <c r="N143" s="26"/>
      <c r="O143" s="26"/>
      <c r="P143" s="26"/>
      <c r="Q143" s="26"/>
      <c r="R143" s="26"/>
    </row>
    <row r="144" spans="14:18" x14ac:dyDescent="0.3">
      <c r="N144" s="26"/>
      <c r="O144" s="26"/>
      <c r="P144" s="26"/>
      <c r="Q144" s="26"/>
      <c r="R144" s="26"/>
    </row>
    <row r="145" spans="14:18" x14ac:dyDescent="0.3">
      <c r="N145" s="26"/>
      <c r="O145" s="26"/>
      <c r="P145" s="26"/>
      <c r="Q145" s="26"/>
      <c r="R145" s="26"/>
    </row>
    <row r="146" spans="14:18" x14ac:dyDescent="0.3">
      <c r="N146" s="26"/>
      <c r="O146" s="26"/>
      <c r="P146" s="26"/>
      <c r="Q146" s="26"/>
      <c r="R146" s="26"/>
    </row>
    <row r="147" spans="14:18" x14ac:dyDescent="0.3">
      <c r="N147" s="26"/>
      <c r="O147" s="26"/>
      <c r="P147" s="26"/>
      <c r="Q147" s="26"/>
      <c r="R147" s="26"/>
    </row>
    <row r="148" spans="14:18" x14ac:dyDescent="0.3">
      <c r="N148" s="26"/>
      <c r="O148" s="26"/>
      <c r="P148" s="26"/>
      <c r="Q148" s="26"/>
      <c r="R148" s="26"/>
    </row>
    <row r="149" spans="14:18" x14ac:dyDescent="0.3">
      <c r="N149" s="26"/>
      <c r="O149" s="26"/>
      <c r="P149" s="26"/>
      <c r="Q149" s="26"/>
      <c r="R149" s="26"/>
    </row>
    <row r="150" spans="14:18" x14ac:dyDescent="0.3">
      <c r="N150" s="26"/>
      <c r="O150" s="26"/>
      <c r="P150" s="26"/>
      <c r="Q150" s="26"/>
      <c r="R150" s="26"/>
    </row>
    <row r="151" spans="14:18" x14ac:dyDescent="0.3">
      <c r="N151" s="26"/>
      <c r="O151" s="26"/>
      <c r="P151" s="26"/>
      <c r="Q151" s="26"/>
      <c r="R151" s="26"/>
    </row>
    <row r="152" spans="14:18" x14ac:dyDescent="0.3">
      <c r="N152" s="26"/>
      <c r="O152" s="26"/>
      <c r="P152" s="26"/>
      <c r="Q152" s="26"/>
      <c r="R152" s="26"/>
    </row>
    <row r="153" spans="14:18" x14ac:dyDescent="0.3">
      <c r="N153" s="26"/>
      <c r="O153" s="26"/>
      <c r="P153" s="26"/>
      <c r="Q153" s="26"/>
      <c r="R153" s="26"/>
    </row>
    <row r="154" spans="14:18" x14ac:dyDescent="0.3">
      <c r="N154" s="26"/>
      <c r="O154" s="26"/>
      <c r="P154" s="26"/>
      <c r="Q154" s="26"/>
      <c r="R154" s="26"/>
    </row>
    <row r="155" spans="14:18" x14ac:dyDescent="0.3">
      <c r="N155" s="26"/>
      <c r="O155" s="26"/>
      <c r="P155" s="26"/>
      <c r="Q155" s="26"/>
      <c r="R155" s="26"/>
    </row>
    <row r="156" spans="14:18" x14ac:dyDescent="0.3">
      <c r="N156" s="26"/>
      <c r="O156" s="26"/>
      <c r="P156" s="26"/>
      <c r="Q156" s="26"/>
      <c r="R156" s="26"/>
    </row>
    <row r="157" spans="14:18" x14ac:dyDescent="0.3">
      <c r="N157" s="26"/>
      <c r="O157" s="26"/>
      <c r="P157" s="26"/>
      <c r="Q157" s="26"/>
      <c r="R157" s="26"/>
    </row>
    <row r="158" spans="14:18" x14ac:dyDescent="0.3">
      <c r="N158" s="26"/>
      <c r="O158" s="26"/>
      <c r="P158" s="26"/>
      <c r="Q158" s="26"/>
      <c r="R158" s="26"/>
    </row>
    <row r="159" spans="14:18" x14ac:dyDescent="0.3">
      <c r="N159" s="26"/>
      <c r="O159" s="26"/>
      <c r="P159" s="26"/>
      <c r="Q159" s="26"/>
      <c r="R159" s="26"/>
    </row>
    <row r="160" spans="14:18" x14ac:dyDescent="0.3">
      <c r="N160" s="26"/>
      <c r="O160" s="26"/>
      <c r="P160" s="26"/>
      <c r="Q160" s="26"/>
      <c r="R160" s="26"/>
    </row>
    <row r="161" spans="14:18" x14ac:dyDescent="0.3">
      <c r="N161" s="26"/>
      <c r="O161" s="26"/>
      <c r="P161" s="26"/>
      <c r="Q161" s="26"/>
      <c r="R161" s="26"/>
    </row>
    <row r="162" spans="14:18" x14ac:dyDescent="0.3">
      <c r="N162" s="26"/>
      <c r="O162" s="26"/>
      <c r="P162" s="26"/>
      <c r="Q162" s="26"/>
      <c r="R162" s="26"/>
    </row>
    <row r="163" spans="14:18" x14ac:dyDescent="0.3">
      <c r="N163" s="26"/>
      <c r="O163" s="26"/>
      <c r="P163" s="26"/>
      <c r="Q163" s="26"/>
      <c r="R163" s="26"/>
    </row>
    <row r="164" spans="14:18" x14ac:dyDescent="0.3">
      <c r="N164" s="26"/>
      <c r="O164" s="26"/>
      <c r="P164" s="26"/>
      <c r="Q164" s="26"/>
      <c r="R164" s="26"/>
    </row>
    <row r="165" spans="14:18" x14ac:dyDescent="0.3">
      <c r="N165" s="26"/>
      <c r="O165" s="26"/>
      <c r="P165" s="26"/>
      <c r="Q165" s="26"/>
      <c r="R165" s="26"/>
    </row>
    <row r="166" spans="14:18" x14ac:dyDescent="0.3">
      <c r="N166" s="26"/>
      <c r="O166" s="26"/>
      <c r="P166" s="26"/>
      <c r="Q166" s="26"/>
      <c r="R166" s="26"/>
    </row>
    <row r="167" spans="14:18" x14ac:dyDescent="0.3">
      <c r="N167" s="26"/>
      <c r="O167" s="26"/>
      <c r="P167" s="26"/>
      <c r="Q167" s="26"/>
      <c r="R167" s="26"/>
    </row>
    <row r="168" spans="14:18" x14ac:dyDescent="0.3">
      <c r="N168" s="26"/>
      <c r="O168" s="26"/>
      <c r="P168" s="26"/>
      <c r="Q168" s="26"/>
      <c r="R168" s="26"/>
    </row>
    <row r="169" spans="14:18" x14ac:dyDescent="0.3">
      <c r="N169" s="26"/>
      <c r="O169" s="26"/>
      <c r="P169" s="26"/>
      <c r="Q169" s="26"/>
      <c r="R169" s="26"/>
    </row>
    <row r="170" spans="14:18" x14ac:dyDescent="0.3">
      <c r="N170" s="26"/>
      <c r="O170" s="26"/>
      <c r="P170" s="26"/>
      <c r="Q170" s="26"/>
      <c r="R170" s="26"/>
    </row>
    <row r="171" spans="14:18" x14ac:dyDescent="0.3">
      <c r="N171" s="26"/>
      <c r="O171" s="26"/>
      <c r="P171" s="26"/>
      <c r="Q171" s="26"/>
      <c r="R171" s="26"/>
    </row>
    <row r="172" spans="14:18" x14ac:dyDescent="0.3">
      <c r="N172" s="26"/>
      <c r="O172" s="26"/>
      <c r="P172" s="26"/>
      <c r="Q172" s="26"/>
      <c r="R172" s="26"/>
    </row>
    <row r="173" spans="14:18" x14ac:dyDescent="0.3">
      <c r="N173" s="26"/>
      <c r="O173" s="26"/>
      <c r="P173" s="26"/>
      <c r="Q173" s="26"/>
      <c r="R173" s="26"/>
    </row>
    <row r="174" spans="14:18" x14ac:dyDescent="0.3">
      <c r="N174" s="26"/>
      <c r="O174" s="26"/>
      <c r="P174" s="26"/>
      <c r="Q174" s="26"/>
      <c r="R174" s="26"/>
    </row>
    <row r="175" spans="14:18" x14ac:dyDescent="0.3">
      <c r="N175" s="26"/>
      <c r="O175" s="26"/>
      <c r="P175" s="26"/>
      <c r="Q175" s="26"/>
      <c r="R175" s="26"/>
    </row>
    <row r="176" spans="14:18" x14ac:dyDescent="0.3">
      <c r="N176" s="26"/>
      <c r="O176" s="26"/>
      <c r="P176" s="26"/>
      <c r="Q176" s="26"/>
      <c r="R176" s="26"/>
    </row>
    <row r="177" spans="14:18" x14ac:dyDescent="0.3">
      <c r="N177" s="26"/>
      <c r="O177" s="26"/>
      <c r="P177" s="26"/>
      <c r="Q177" s="26"/>
      <c r="R177" s="26"/>
    </row>
    <row r="178" spans="14:18" x14ac:dyDescent="0.3">
      <c r="N178" s="26"/>
      <c r="O178" s="26"/>
      <c r="P178" s="26"/>
      <c r="Q178" s="26"/>
      <c r="R178" s="26"/>
    </row>
    <row r="179" spans="14:18" x14ac:dyDescent="0.3">
      <c r="N179" s="26"/>
      <c r="O179" s="26"/>
      <c r="P179" s="26"/>
      <c r="Q179" s="26"/>
      <c r="R179" s="26"/>
    </row>
    <row r="180" spans="14:18" x14ac:dyDescent="0.3">
      <c r="N180" s="26"/>
      <c r="O180" s="26"/>
      <c r="P180" s="26"/>
      <c r="Q180" s="26"/>
      <c r="R180" s="26"/>
    </row>
    <row r="181" spans="14:18" x14ac:dyDescent="0.3">
      <c r="N181" s="26"/>
      <c r="O181" s="26"/>
      <c r="P181" s="26"/>
      <c r="Q181" s="26"/>
      <c r="R181" s="26"/>
    </row>
    <row r="182" spans="14:18" x14ac:dyDescent="0.3">
      <c r="N182" s="26"/>
      <c r="O182" s="26"/>
      <c r="P182" s="26"/>
      <c r="Q182" s="26"/>
      <c r="R182" s="26"/>
    </row>
    <row r="183" spans="14:18" x14ac:dyDescent="0.3">
      <c r="N183" s="26"/>
      <c r="O183" s="26"/>
      <c r="P183" s="26"/>
      <c r="Q183" s="26"/>
      <c r="R183" s="26"/>
    </row>
    <row r="184" spans="14:18" x14ac:dyDescent="0.3">
      <c r="N184" s="26"/>
      <c r="O184" s="26"/>
      <c r="P184" s="26"/>
      <c r="Q184" s="26"/>
      <c r="R184" s="26"/>
    </row>
    <row r="185" spans="14:18" x14ac:dyDescent="0.3">
      <c r="N185" s="26"/>
      <c r="O185" s="26"/>
      <c r="P185" s="26"/>
      <c r="Q185" s="26"/>
      <c r="R185" s="26"/>
    </row>
    <row r="186" spans="14:18" x14ac:dyDescent="0.3">
      <c r="N186" s="26"/>
      <c r="O186" s="26"/>
      <c r="P186" s="26"/>
      <c r="Q186" s="26"/>
      <c r="R186" s="26"/>
    </row>
    <row r="187" spans="14:18" x14ac:dyDescent="0.3">
      <c r="N187" s="26"/>
      <c r="O187" s="26"/>
      <c r="P187" s="26"/>
      <c r="Q187" s="26"/>
      <c r="R187" s="26"/>
    </row>
    <row r="188" spans="14:18" x14ac:dyDescent="0.3">
      <c r="N188" s="26"/>
      <c r="O188" s="26"/>
      <c r="P188" s="26"/>
      <c r="Q188" s="26"/>
      <c r="R188" s="26"/>
    </row>
    <row r="189" spans="14:18" x14ac:dyDescent="0.3">
      <c r="N189" s="26"/>
      <c r="O189" s="26"/>
      <c r="P189" s="26"/>
      <c r="Q189" s="26"/>
      <c r="R189" s="26"/>
    </row>
    <row r="190" spans="14:18" x14ac:dyDescent="0.3">
      <c r="N190" s="26"/>
      <c r="O190" s="26"/>
      <c r="P190" s="26"/>
      <c r="Q190" s="26"/>
      <c r="R190" s="26"/>
    </row>
    <row r="191" spans="14:18" x14ac:dyDescent="0.3">
      <c r="N191" s="26"/>
      <c r="O191" s="26"/>
      <c r="P191" s="26"/>
      <c r="Q191" s="26"/>
      <c r="R191" s="26"/>
    </row>
    <row r="192" spans="14:18" x14ac:dyDescent="0.3">
      <c r="N192" s="26"/>
      <c r="O192" s="26"/>
      <c r="P192" s="26"/>
      <c r="Q192" s="26"/>
      <c r="R192" s="26"/>
    </row>
    <row r="193" spans="14:18" x14ac:dyDescent="0.3">
      <c r="N193" s="26"/>
      <c r="O193" s="26"/>
      <c r="P193" s="26"/>
      <c r="Q193" s="26"/>
      <c r="R193" s="26"/>
    </row>
    <row r="194" spans="14:18" x14ac:dyDescent="0.3">
      <c r="N194" s="26"/>
      <c r="O194" s="26"/>
      <c r="P194" s="26"/>
      <c r="Q194" s="26"/>
      <c r="R194" s="26"/>
    </row>
    <row r="195" spans="14:18" x14ac:dyDescent="0.3">
      <c r="N195" s="26"/>
      <c r="O195" s="26"/>
      <c r="P195" s="26"/>
      <c r="Q195" s="26"/>
      <c r="R195" s="26"/>
    </row>
    <row r="196" spans="14:18" x14ac:dyDescent="0.3">
      <c r="N196" s="26"/>
      <c r="O196" s="26"/>
      <c r="P196" s="26"/>
      <c r="Q196" s="26"/>
      <c r="R196" s="26"/>
    </row>
    <row r="197" spans="14:18" x14ac:dyDescent="0.3">
      <c r="N197" s="26"/>
      <c r="O197" s="26"/>
      <c r="P197" s="26"/>
      <c r="Q197" s="26"/>
      <c r="R197" s="26"/>
    </row>
    <row r="198" spans="14:18" x14ac:dyDescent="0.3">
      <c r="N198" s="26"/>
      <c r="O198" s="26"/>
      <c r="P198" s="26"/>
      <c r="Q198" s="26"/>
      <c r="R198" s="26"/>
    </row>
    <row r="199" spans="14:18" x14ac:dyDescent="0.3">
      <c r="N199" s="26"/>
      <c r="O199" s="26"/>
      <c r="P199" s="26"/>
      <c r="Q199" s="26"/>
      <c r="R199" s="26"/>
    </row>
    <row r="200" spans="14:18" x14ac:dyDescent="0.3">
      <c r="N200" s="26"/>
      <c r="O200" s="26"/>
      <c r="P200" s="26"/>
      <c r="Q200" s="26"/>
      <c r="R200" s="26"/>
    </row>
    <row r="201" spans="14:18" x14ac:dyDescent="0.3">
      <c r="N201" s="26"/>
      <c r="O201" s="26"/>
      <c r="P201" s="26"/>
      <c r="Q201" s="26"/>
      <c r="R201" s="26"/>
    </row>
    <row r="202" spans="14:18" x14ac:dyDescent="0.3">
      <c r="N202" s="26"/>
      <c r="O202" s="26"/>
      <c r="P202" s="26"/>
      <c r="Q202" s="26"/>
      <c r="R202" s="26"/>
    </row>
    <row r="203" spans="14:18" x14ac:dyDescent="0.3">
      <c r="N203" s="26"/>
      <c r="O203" s="26"/>
      <c r="P203" s="26"/>
      <c r="Q203" s="26"/>
      <c r="R203" s="26"/>
    </row>
    <row r="204" spans="14:18" x14ac:dyDescent="0.3">
      <c r="N204" s="26"/>
      <c r="O204" s="26"/>
      <c r="P204" s="26"/>
      <c r="Q204" s="26"/>
      <c r="R204" s="26"/>
    </row>
    <row r="205" spans="14:18" x14ac:dyDescent="0.3">
      <c r="N205" s="26"/>
      <c r="O205" s="26"/>
      <c r="P205" s="26"/>
      <c r="Q205" s="26"/>
      <c r="R205" s="26"/>
    </row>
    <row r="206" spans="14:18" x14ac:dyDescent="0.3">
      <c r="N206" s="26"/>
      <c r="O206" s="26"/>
      <c r="P206" s="26"/>
      <c r="Q206" s="26"/>
      <c r="R206" s="26"/>
    </row>
    <row r="207" spans="14:18" x14ac:dyDescent="0.3">
      <c r="N207" s="26"/>
      <c r="O207" s="26"/>
      <c r="P207" s="26"/>
      <c r="Q207" s="26"/>
      <c r="R207" s="26"/>
    </row>
    <row r="208" spans="14:18" x14ac:dyDescent="0.3">
      <c r="N208" s="26"/>
      <c r="O208" s="26"/>
      <c r="P208" s="26"/>
      <c r="Q208" s="26"/>
      <c r="R208" s="26"/>
    </row>
    <row r="209" spans="14:18" x14ac:dyDescent="0.3">
      <c r="N209" s="26"/>
      <c r="O209" s="26"/>
      <c r="P209" s="26"/>
      <c r="Q209" s="26"/>
      <c r="R209" s="26"/>
    </row>
    <row r="210" spans="14:18" x14ac:dyDescent="0.3">
      <c r="N210" s="26"/>
      <c r="O210" s="26"/>
      <c r="P210" s="26"/>
      <c r="Q210" s="26"/>
      <c r="R210" s="26"/>
    </row>
    <row r="211" spans="14:18" x14ac:dyDescent="0.3">
      <c r="N211" s="26"/>
      <c r="O211" s="26"/>
      <c r="P211" s="26"/>
      <c r="Q211" s="26"/>
      <c r="R211" s="26"/>
    </row>
    <row r="212" spans="14:18" x14ac:dyDescent="0.3">
      <c r="N212" s="26"/>
      <c r="O212" s="26"/>
      <c r="P212" s="26"/>
      <c r="Q212" s="26"/>
      <c r="R212" s="26"/>
    </row>
    <row r="213" spans="14:18" x14ac:dyDescent="0.3">
      <c r="N213" s="26"/>
      <c r="O213" s="26"/>
      <c r="P213" s="26"/>
      <c r="Q213" s="26"/>
      <c r="R213" s="26"/>
    </row>
    <row r="214" spans="14:18" x14ac:dyDescent="0.3">
      <c r="N214" s="26"/>
      <c r="O214" s="26"/>
      <c r="P214" s="26"/>
      <c r="Q214" s="26"/>
      <c r="R214" s="26"/>
    </row>
    <row r="215" spans="14:18" x14ac:dyDescent="0.3">
      <c r="N215" s="26"/>
      <c r="O215" s="26"/>
      <c r="P215" s="26"/>
      <c r="Q215" s="26"/>
      <c r="R215" s="26"/>
    </row>
    <row r="216" spans="14:18" x14ac:dyDescent="0.3">
      <c r="N216" s="26"/>
      <c r="O216" s="26"/>
      <c r="P216" s="26"/>
      <c r="Q216" s="26"/>
      <c r="R216" s="26"/>
    </row>
    <row r="217" spans="14:18" x14ac:dyDescent="0.3">
      <c r="N217" s="26"/>
      <c r="O217" s="26"/>
      <c r="P217" s="26"/>
      <c r="Q217" s="26"/>
      <c r="R217" s="26"/>
    </row>
    <row r="218" spans="14:18" x14ac:dyDescent="0.3">
      <c r="N218" s="26"/>
      <c r="O218" s="26"/>
      <c r="P218" s="26"/>
      <c r="Q218" s="26"/>
      <c r="R218" s="26"/>
    </row>
    <row r="219" spans="14:18" x14ac:dyDescent="0.3">
      <c r="N219" s="26"/>
      <c r="O219" s="26"/>
      <c r="P219" s="26"/>
      <c r="Q219" s="26"/>
      <c r="R219" s="26"/>
    </row>
    <row r="220" spans="14:18" x14ac:dyDescent="0.3">
      <c r="N220" s="26"/>
      <c r="O220" s="26"/>
      <c r="P220" s="26"/>
      <c r="Q220" s="26"/>
      <c r="R220" s="26"/>
    </row>
    <row r="221" spans="14:18" x14ac:dyDescent="0.3">
      <c r="N221" s="26"/>
      <c r="O221" s="26"/>
      <c r="P221" s="26"/>
      <c r="Q221" s="26"/>
      <c r="R221" s="26"/>
    </row>
    <row r="222" spans="14:18" x14ac:dyDescent="0.3">
      <c r="N222" s="26"/>
      <c r="O222" s="26"/>
      <c r="P222" s="26"/>
      <c r="Q222" s="26"/>
      <c r="R222" s="26"/>
    </row>
    <row r="223" spans="14:18" x14ac:dyDescent="0.3">
      <c r="N223" s="26"/>
      <c r="O223" s="26"/>
      <c r="P223" s="26"/>
      <c r="Q223" s="26"/>
      <c r="R223" s="26"/>
    </row>
    <row r="224" spans="14:18" x14ac:dyDescent="0.3">
      <c r="N224" s="26"/>
      <c r="O224" s="26"/>
      <c r="P224" s="26"/>
      <c r="Q224" s="26"/>
      <c r="R224" s="26"/>
    </row>
    <row r="225" spans="14:18" x14ac:dyDescent="0.3">
      <c r="N225" s="26"/>
      <c r="O225" s="26"/>
      <c r="P225" s="26"/>
      <c r="Q225" s="26"/>
      <c r="R225" s="26"/>
    </row>
    <row r="226" spans="14:18" x14ac:dyDescent="0.3">
      <c r="N226" s="26"/>
      <c r="O226" s="26"/>
      <c r="P226" s="26"/>
      <c r="Q226" s="26"/>
      <c r="R226" s="26"/>
    </row>
    <row r="227" spans="14:18" x14ac:dyDescent="0.3">
      <c r="N227" s="26"/>
      <c r="O227" s="26"/>
      <c r="P227" s="26"/>
      <c r="Q227" s="26"/>
      <c r="R227" s="26"/>
    </row>
    <row r="228" spans="14:18" x14ac:dyDescent="0.3">
      <c r="N228" s="26"/>
      <c r="O228" s="26"/>
      <c r="P228" s="26"/>
      <c r="Q228" s="26"/>
      <c r="R228" s="26"/>
    </row>
    <row r="229" spans="14:18" x14ac:dyDescent="0.3">
      <c r="N229" s="26"/>
      <c r="O229" s="26"/>
      <c r="P229" s="26"/>
      <c r="Q229" s="26"/>
      <c r="R229" s="26"/>
    </row>
    <row r="230" spans="14:18" x14ac:dyDescent="0.3">
      <c r="N230" s="26"/>
      <c r="O230" s="26"/>
      <c r="P230" s="26"/>
      <c r="Q230" s="26"/>
      <c r="R230" s="26"/>
    </row>
    <row r="231" spans="14:18" x14ac:dyDescent="0.3">
      <c r="N231" s="26"/>
      <c r="O231" s="26"/>
      <c r="P231" s="26"/>
      <c r="Q231" s="26"/>
      <c r="R231" s="26"/>
    </row>
    <row r="232" spans="14:18" x14ac:dyDescent="0.3">
      <c r="N232" s="26"/>
      <c r="O232" s="26"/>
      <c r="P232" s="26"/>
      <c r="Q232" s="26"/>
      <c r="R232" s="26"/>
    </row>
    <row r="233" spans="14:18" x14ac:dyDescent="0.3">
      <c r="N233" s="26"/>
      <c r="O233" s="26"/>
      <c r="P233" s="26"/>
      <c r="Q233" s="26"/>
      <c r="R233" s="26"/>
    </row>
    <row r="234" spans="14:18" x14ac:dyDescent="0.3">
      <c r="N234" s="26"/>
      <c r="O234" s="26"/>
      <c r="P234" s="26"/>
      <c r="Q234" s="26"/>
      <c r="R234" s="26"/>
    </row>
    <row r="235" spans="14:18" x14ac:dyDescent="0.3">
      <c r="N235" s="26"/>
      <c r="O235" s="26"/>
      <c r="P235" s="26"/>
      <c r="Q235" s="26"/>
      <c r="R235" s="26"/>
    </row>
    <row r="236" spans="14:18" x14ac:dyDescent="0.3">
      <c r="N236" s="26"/>
      <c r="O236" s="26"/>
      <c r="P236" s="26"/>
      <c r="Q236" s="26"/>
      <c r="R236" s="26"/>
    </row>
    <row r="237" spans="14:18" x14ac:dyDescent="0.3">
      <c r="N237" s="26"/>
      <c r="O237" s="26"/>
      <c r="P237" s="26"/>
      <c r="Q237" s="26"/>
      <c r="R237" s="26"/>
    </row>
    <row r="238" spans="14:18" x14ac:dyDescent="0.3">
      <c r="N238" s="26"/>
      <c r="O238" s="26"/>
      <c r="P238" s="26"/>
      <c r="Q238" s="26"/>
      <c r="R238" s="26"/>
    </row>
    <row r="239" spans="14:18" x14ac:dyDescent="0.3">
      <c r="N239" s="26"/>
      <c r="O239" s="26"/>
      <c r="P239" s="26"/>
      <c r="Q239" s="26"/>
      <c r="R239" s="26"/>
    </row>
    <row r="240" spans="14:18" x14ac:dyDescent="0.3">
      <c r="N240" s="26"/>
      <c r="O240" s="26"/>
      <c r="P240" s="26"/>
      <c r="Q240" s="26"/>
      <c r="R240" s="26"/>
    </row>
    <row r="241" spans="14:18" x14ac:dyDescent="0.3">
      <c r="N241" s="26"/>
      <c r="O241" s="26"/>
      <c r="P241" s="26"/>
      <c r="Q241" s="26"/>
      <c r="R241" s="26"/>
    </row>
    <row r="242" spans="14:18" x14ac:dyDescent="0.3">
      <c r="N242" s="26"/>
      <c r="O242" s="26"/>
      <c r="P242" s="26"/>
      <c r="Q242" s="26"/>
      <c r="R242" s="26"/>
    </row>
    <row r="243" spans="14:18" x14ac:dyDescent="0.3">
      <c r="N243" s="26"/>
      <c r="O243" s="26"/>
      <c r="P243" s="26"/>
      <c r="Q243" s="26"/>
      <c r="R243" s="26"/>
    </row>
    <row r="244" spans="14:18" x14ac:dyDescent="0.3">
      <c r="N244" s="26"/>
      <c r="O244" s="26"/>
      <c r="P244" s="26"/>
      <c r="Q244" s="26"/>
      <c r="R244" s="26"/>
    </row>
    <row r="245" spans="14:18" x14ac:dyDescent="0.3">
      <c r="N245" s="26"/>
      <c r="O245" s="26"/>
      <c r="P245" s="26"/>
      <c r="Q245" s="26"/>
      <c r="R245" s="26"/>
    </row>
    <row r="246" spans="14:18" x14ac:dyDescent="0.3">
      <c r="N246" s="26"/>
      <c r="O246" s="26"/>
      <c r="P246" s="26"/>
      <c r="Q246" s="26"/>
      <c r="R246" s="26"/>
    </row>
    <row r="247" spans="14:18" x14ac:dyDescent="0.3">
      <c r="N247" s="26"/>
      <c r="O247" s="26"/>
      <c r="P247" s="26"/>
      <c r="Q247" s="26"/>
      <c r="R247" s="26"/>
    </row>
    <row r="248" spans="14:18" x14ac:dyDescent="0.3">
      <c r="N248" s="26"/>
      <c r="O248" s="26"/>
      <c r="P248" s="26"/>
      <c r="Q248" s="26"/>
      <c r="R248" s="26"/>
    </row>
    <row r="249" spans="14:18" x14ac:dyDescent="0.3">
      <c r="N249" s="26"/>
      <c r="O249" s="26"/>
      <c r="P249" s="26"/>
      <c r="Q249" s="26"/>
      <c r="R249" s="26"/>
    </row>
    <row r="250" spans="14:18" x14ac:dyDescent="0.3">
      <c r="N250" s="26"/>
      <c r="O250" s="26"/>
      <c r="P250" s="26"/>
      <c r="Q250" s="26"/>
      <c r="R250" s="26"/>
    </row>
    <row r="251" spans="14:18" x14ac:dyDescent="0.3">
      <c r="N251" s="26"/>
      <c r="O251" s="26"/>
      <c r="P251" s="26"/>
      <c r="Q251" s="26"/>
      <c r="R251" s="26"/>
    </row>
    <row r="252" spans="14:18" x14ac:dyDescent="0.3">
      <c r="N252" s="26"/>
      <c r="O252" s="26"/>
      <c r="P252" s="26"/>
      <c r="Q252" s="26"/>
      <c r="R252" s="26"/>
    </row>
    <row r="253" spans="14:18" x14ac:dyDescent="0.3">
      <c r="N253" s="26"/>
      <c r="O253" s="26"/>
      <c r="P253" s="26"/>
      <c r="Q253" s="26"/>
      <c r="R253" s="26"/>
    </row>
    <row r="254" spans="14:18" x14ac:dyDescent="0.3">
      <c r="N254" s="26"/>
      <c r="O254" s="26"/>
      <c r="P254" s="26"/>
      <c r="Q254" s="26"/>
      <c r="R254" s="26"/>
    </row>
    <row r="255" spans="14:18" x14ac:dyDescent="0.3">
      <c r="N255" s="26"/>
      <c r="O255" s="26"/>
      <c r="P255" s="26"/>
      <c r="Q255" s="26"/>
      <c r="R255" s="26"/>
    </row>
    <row r="256" spans="14:18" x14ac:dyDescent="0.3">
      <c r="N256" s="26"/>
      <c r="O256" s="26"/>
      <c r="P256" s="26"/>
      <c r="Q256" s="26"/>
      <c r="R256" s="26"/>
    </row>
    <row r="257" spans="14:18" x14ac:dyDescent="0.3">
      <c r="N257" s="26"/>
      <c r="O257" s="26"/>
      <c r="P257" s="26"/>
      <c r="Q257" s="26"/>
      <c r="R257" s="26"/>
    </row>
    <row r="258" spans="14:18" x14ac:dyDescent="0.3">
      <c r="N258" s="26"/>
      <c r="O258" s="26"/>
      <c r="P258" s="26"/>
      <c r="Q258" s="26"/>
      <c r="R258" s="26"/>
    </row>
    <row r="259" spans="14:18" x14ac:dyDescent="0.3">
      <c r="N259" s="26"/>
      <c r="O259" s="26"/>
      <c r="P259" s="26"/>
      <c r="Q259" s="26"/>
      <c r="R259" s="26"/>
    </row>
    <row r="260" spans="14:18" x14ac:dyDescent="0.3">
      <c r="N260" s="26"/>
      <c r="O260" s="26"/>
      <c r="P260" s="26"/>
      <c r="Q260" s="26"/>
      <c r="R260" s="26"/>
    </row>
    <row r="261" spans="14:18" x14ac:dyDescent="0.3">
      <c r="N261" s="26"/>
      <c r="O261" s="26"/>
      <c r="P261" s="26"/>
      <c r="Q261" s="26"/>
      <c r="R261" s="26"/>
    </row>
    <row r="262" spans="14:18" x14ac:dyDescent="0.3">
      <c r="N262" s="26"/>
      <c r="O262" s="26"/>
      <c r="P262" s="26"/>
      <c r="Q262" s="26"/>
      <c r="R262" s="26"/>
    </row>
    <row r="263" spans="14:18" x14ac:dyDescent="0.3">
      <c r="N263" s="26"/>
      <c r="O263" s="26"/>
      <c r="P263" s="26"/>
      <c r="Q263" s="26"/>
      <c r="R263" s="26"/>
    </row>
    <row r="264" spans="14:18" x14ac:dyDescent="0.3">
      <c r="N264" s="26"/>
      <c r="O264" s="26"/>
      <c r="P264" s="26"/>
      <c r="Q264" s="26"/>
      <c r="R264" s="26"/>
    </row>
    <row r="265" spans="14:18" x14ac:dyDescent="0.3">
      <c r="N265" s="26"/>
      <c r="O265" s="26"/>
      <c r="P265" s="26"/>
      <c r="Q265" s="26"/>
      <c r="R265" s="26"/>
    </row>
    <row r="266" spans="14:18" x14ac:dyDescent="0.3">
      <c r="N266" s="26"/>
      <c r="O266" s="26"/>
      <c r="P266" s="26"/>
      <c r="Q266" s="26"/>
      <c r="R266" s="26"/>
    </row>
    <row r="267" spans="14:18" x14ac:dyDescent="0.3">
      <c r="N267" s="26"/>
      <c r="O267" s="26"/>
      <c r="P267" s="26"/>
      <c r="Q267" s="26"/>
      <c r="R267" s="26"/>
    </row>
    <row r="268" spans="14:18" x14ac:dyDescent="0.3">
      <c r="N268" s="26"/>
      <c r="O268" s="26"/>
      <c r="P268" s="26"/>
      <c r="Q268" s="26"/>
      <c r="R268" s="26"/>
    </row>
    <row r="269" spans="14:18" x14ac:dyDescent="0.3">
      <c r="N269" s="26"/>
      <c r="O269" s="26"/>
      <c r="P269" s="26"/>
      <c r="Q269" s="26"/>
      <c r="R269" s="26"/>
    </row>
    <row r="270" spans="14:18" x14ac:dyDescent="0.3">
      <c r="N270" s="26"/>
      <c r="O270" s="26"/>
      <c r="P270" s="26"/>
      <c r="Q270" s="26"/>
      <c r="R270" s="26"/>
    </row>
    <row r="271" spans="14:18" x14ac:dyDescent="0.3">
      <c r="N271" s="26"/>
      <c r="O271" s="26"/>
      <c r="P271" s="26"/>
      <c r="Q271" s="26"/>
      <c r="R271" s="26"/>
    </row>
    <row r="272" spans="14:18" x14ac:dyDescent="0.3">
      <c r="N272" s="26"/>
      <c r="O272" s="26"/>
      <c r="P272" s="26"/>
      <c r="Q272" s="26"/>
      <c r="R272" s="26"/>
    </row>
    <row r="273" spans="14:18" x14ac:dyDescent="0.3">
      <c r="N273" s="26"/>
      <c r="O273" s="26"/>
      <c r="P273" s="26"/>
      <c r="Q273" s="26"/>
      <c r="R273" s="26"/>
    </row>
    <row r="274" spans="14:18" x14ac:dyDescent="0.3">
      <c r="N274" s="26"/>
      <c r="O274" s="26"/>
      <c r="P274" s="26"/>
      <c r="Q274" s="26"/>
      <c r="R274" s="26"/>
    </row>
    <row r="275" spans="14:18" x14ac:dyDescent="0.3">
      <c r="N275" s="26"/>
      <c r="O275" s="26"/>
      <c r="P275" s="26"/>
      <c r="Q275" s="26"/>
      <c r="R275" s="26"/>
    </row>
    <row r="276" spans="14:18" x14ac:dyDescent="0.3">
      <c r="N276" s="26"/>
      <c r="O276" s="26"/>
      <c r="P276" s="26"/>
      <c r="Q276" s="26"/>
      <c r="R276" s="26"/>
    </row>
    <row r="277" spans="14:18" x14ac:dyDescent="0.3">
      <c r="N277" s="26"/>
      <c r="O277" s="26"/>
      <c r="P277" s="26"/>
      <c r="Q277" s="26"/>
      <c r="R277" s="26"/>
    </row>
    <row r="278" spans="14:18" x14ac:dyDescent="0.3">
      <c r="N278" s="26"/>
      <c r="O278" s="26"/>
      <c r="P278" s="26"/>
      <c r="Q278" s="26"/>
      <c r="R278" s="26"/>
    </row>
    <row r="279" spans="14:18" x14ac:dyDescent="0.3">
      <c r="N279" s="26"/>
      <c r="O279" s="26"/>
      <c r="P279" s="26"/>
      <c r="Q279" s="26"/>
      <c r="R279" s="26"/>
    </row>
    <row r="280" spans="14:18" x14ac:dyDescent="0.3">
      <c r="N280" s="26"/>
      <c r="O280" s="26"/>
      <c r="P280" s="26"/>
      <c r="Q280" s="26"/>
      <c r="R280" s="26"/>
    </row>
    <row r="281" spans="14:18" x14ac:dyDescent="0.3">
      <c r="N281" s="26"/>
      <c r="O281" s="26"/>
      <c r="P281" s="26"/>
      <c r="Q281" s="26"/>
      <c r="R281" s="26"/>
    </row>
    <row r="282" spans="14:18" x14ac:dyDescent="0.3">
      <c r="N282" s="26"/>
      <c r="O282" s="26"/>
      <c r="P282" s="26"/>
      <c r="Q282" s="26"/>
      <c r="R282" s="26"/>
    </row>
    <row r="283" spans="14:18" x14ac:dyDescent="0.3">
      <c r="N283" s="26"/>
      <c r="O283" s="26"/>
      <c r="P283" s="26"/>
      <c r="Q283" s="26"/>
      <c r="R283" s="26"/>
    </row>
    <row r="284" spans="14:18" x14ac:dyDescent="0.3">
      <c r="N284" s="26"/>
      <c r="O284" s="26"/>
      <c r="P284" s="26"/>
      <c r="Q284" s="26"/>
      <c r="R284" s="26"/>
    </row>
    <row r="285" spans="14:18" x14ac:dyDescent="0.3">
      <c r="N285" s="26"/>
      <c r="O285" s="26"/>
      <c r="P285" s="26"/>
      <c r="Q285" s="26"/>
      <c r="R285" s="26"/>
    </row>
    <row r="286" spans="14:18" x14ac:dyDescent="0.3">
      <c r="N286" s="26"/>
      <c r="O286" s="26"/>
      <c r="P286" s="26"/>
      <c r="Q286" s="26"/>
      <c r="R286" s="26"/>
    </row>
    <row r="287" spans="14:18" x14ac:dyDescent="0.3">
      <c r="N287" s="26"/>
      <c r="O287" s="26"/>
      <c r="P287" s="26"/>
      <c r="Q287" s="26"/>
      <c r="R287" s="26"/>
    </row>
    <row r="288" spans="14:18" x14ac:dyDescent="0.3">
      <c r="N288" s="26"/>
      <c r="O288" s="26"/>
      <c r="P288" s="26"/>
      <c r="Q288" s="26"/>
      <c r="R288" s="26"/>
    </row>
    <row r="289" spans="14:18" x14ac:dyDescent="0.3">
      <c r="N289" s="26"/>
      <c r="O289" s="26"/>
      <c r="P289" s="26"/>
      <c r="Q289" s="26"/>
      <c r="R289" s="26"/>
    </row>
    <row r="290" spans="14:18" x14ac:dyDescent="0.3">
      <c r="N290" s="26"/>
      <c r="O290" s="26"/>
      <c r="P290" s="26"/>
      <c r="Q290" s="26"/>
      <c r="R290" s="26"/>
    </row>
    <row r="291" spans="14:18" x14ac:dyDescent="0.3">
      <c r="N291" s="26"/>
      <c r="O291" s="26"/>
      <c r="P291" s="26"/>
      <c r="Q291" s="26"/>
      <c r="R291" s="26"/>
    </row>
    <row r="292" spans="14:18" x14ac:dyDescent="0.3">
      <c r="N292" s="26"/>
      <c r="O292" s="26"/>
      <c r="P292" s="26"/>
      <c r="Q292" s="26"/>
      <c r="R292" s="26"/>
    </row>
    <row r="293" spans="14:18" x14ac:dyDescent="0.3">
      <c r="N293" s="26"/>
      <c r="O293" s="26"/>
      <c r="P293" s="26"/>
      <c r="Q293" s="26"/>
      <c r="R293" s="26"/>
    </row>
    <row r="294" spans="14:18" x14ac:dyDescent="0.3">
      <c r="N294" s="26"/>
      <c r="O294" s="26"/>
      <c r="P294" s="26"/>
      <c r="Q294" s="26"/>
      <c r="R294" s="26"/>
    </row>
    <row r="295" spans="14:18" x14ac:dyDescent="0.3">
      <c r="N295" s="26"/>
      <c r="O295" s="26"/>
      <c r="P295" s="26"/>
      <c r="Q295" s="26"/>
      <c r="R295" s="26"/>
    </row>
    <row r="296" spans="14:18" x14ac:dyDescent="0.3">
      <c r="N296" s="26"/>
      <c r="O296" s="26"/>
      <c r="P296" s="26"/>
      <c r="Q296" s="26"/>
      <c r="R296" s="26"/>
    </row>
    <row r="297" spans="14:18" x14ac:dyDescent="0.3">
      <c r="N297" s="26"/>
      <c r="O297" s="26"/>
      <c r="P297" s="26"/>
      <c r="Q297" s="26"/>
      <c r="R297" s="26"/>
    </row>
    <row r="298" spans="14:18" x14ac:dyDescent="0.3">
      <c r="N298" s="26"/>
      <c r="O298" s="26"/>
      <c r="P298" s="26"/>
      <c r="Q298" s="26"/>
      <c r="R298" s="26"/>
    </row>
    <row r="299" spans="14:18" x14ac:dyDescent="0.3">
      <c r="N299" s="26"/>
      <c r="O299" s="26"/>
      <c r="P299" s="26"/>
      <c r="Q299" s="26"/>
      <c r="R299" s="26"/>
    </row>
    <row r="300" spans="14:18" x14ac:dyDescent="0.3">
      <c r="N300" s="26"/>
      <c r="O300" s="26"/>
      <c r="P300" s="26"/>
      <c r="Q300" s="26"/>
      <c r="R300" s="26"/>
    </row>
    <row r="301" spans="14:18" x14ac:dyDescent="0.3">
      <c r="N301" s="26"/>
      <c r="O301" s="26"/>
      <c r="P301" s="26"/>
      <c r="Q301" s="26"/>
      <c r="R301" s="26"/>
    </row>
    <row r="302" spans="14:18" x14ac:dyDescent="0.3">
      <c r="N302" s="26"/>
      <c r="O302" s="26"/>
      <c r="P302" s="26"/>
      <c r="Q302" s="26"/>
      <c r="R302" s="26"/>
    </row>
    <row r="303" spans="14:18" x14ac:dyDescent="0.3">
      <c r="N303" s="26"/>
      <c r="O303" s="26"/>
      <c r="P303" s="26"/>
      <c r="Q303" s="26"/>
      <c r="R303" s="26"/>
    </row>
    <row r="304" spans="14:18" x14ac:dyDescent="0.3">
      <c r="N304" s="26"/>
      <c r="O304" s="26"/>
      <c r="P304" s="26"/>
      <c r="Q304" s="26"/>
      <c r="R304" s="26"/>
    </row>
    <row r="305" spans="14:18" x14ac:dyDescent="0.3">
      <c r="N305" s="26"/>
      <c r="O305" s="26"/>
      <c r="P305" s="26"/>
      <c r="Q305" s="26"/>
      <c r="R305" s="26"/>
    </row>
    <row r="306" spans="14:18" x14ac:dyDescent="0.3">
      <c r="N306" s="26"/>
      <c r="O306" s="26"/>
      <c r="P306" s="26"/>
      <c r="Q306" s="26"/>
      <c r="R306" s="26"/>
    </row>
    <row r="307" spans="14:18" x14ac:dyDescent="0.3">
      <c r="N307" s="26"/>
      <c r="O307" s="26"/>
      <c r="P307" s="26"/>
      <c r="Q307" s="26"/>
      <c r="R307" s="26"/>
    </row>
    <row r="308" spans="14:18" x14ac:dyDescent="0.3">
      <c r="N308" s="26"/>
      <c r="O308" s="26"/>
      <c r="P308" s="26"/>
      <c r="Q308" s="26"/>
      <c r="R308" s="26"/>
    </row>
    <row r="309" spans="14:18" x14ac:dyDescent="0.3">
      <c r="N309" s="26"/>
      <c r="O309" s="26"/>
      <c r="P309" s="26"/>
      <c r="Q309" s="26"/>
      <c r="R309" s="26"/>
    </row>
    <row r="310" spans="14:18" x14ac:dyDescent="0.3">
      <c r="N310" s="26"/>
      <c r="O310" s="26"/>
      <c r="P310" s="26"/>
      <c r="Q310" s="26"/>
      <c r="R310" s="26"/>
    </row>
    <row r="311" spans="14:18" x14ac:dyDescent="0.3">
      <c r="N311" s="26"/>
      <c r="O311" s="26"/>
      <c r="P311" s="26"/>
      <c r="Q311" s="26"/>
      <c r="R311" s="26"/>
    </row>
    <row r="312" spans="14:18" x14ac:dyDescent="0.3">
      <c r="N312" s="26"/>
      <c r="O312" s="26"/>
      <c r="P312" s="26"/>
      <c r="Q312" s="26"/>
      <c r="R312" s="26"/>
    </row>
    <row r="313" spans="14:18" x14ac:dyDescent="0.3">
      <c r="N313" s="26"/>
      <c r="O313" s="26"/>
      <c r="P313" s="26"/>
      <c r="Q313" s="26"/>
      <c r="R313" s="26"/>
    </row>
    <row r="314" spans="14:18" x14ac:dyDescent="0.3">
      <c r="N314" s="26"/>
      <c r="O314" s="26"/>
      <c r="P314" s="26"/>
      <c r="Q314" s="26"/>
      <c r="R314" s="26"/>
    </row>
    <row r="315" spans="14:18" x14ac:dyDescent="0.3">
      <c r="N315" s="26"/>
      <c r="O315" s="26"/>
      <c r="P315" s="26"/>
      <c r="Q315" s="26"/>
      <c r="R315" s="26"/>
    </row>
    <row r="316" spans="14:18" x14ac:dyDescent="0.3">
      <c r="N316" s="26"/>
      <c r="O316" s="26"/>
      <c r="P316" s="26"/>
      <c r="Q316" s="26"/>
      <c r="R316" s="26"/>
    </row>
    <row r="317" spans="14:18" x14ac:dyDescent="0.3">
      <c r="N317" s="26"/>
      <c r="O317" s="26"/>
      <c r="P317" s="26"/>
      <c r="Q317" s="26"/>
      <c r="R317" s="26"/>
    </row>
    <row r="318" spans="14:18" x14ac:dyDescent="0.3">
      <c r="N318" s="26"/>
      <c r="O318" s="26"/>
      <c r="P318" s="26"/>
      <c r="Q318" s="26"/>
      <c r="R318" s="26"/>
    </row>
    <row r="319" spans="14:18" x14ac:dyDescent="0.3">
      <c r="N319" s="26"/>
      <c r="O319" s="26"/>
      <c r="P319" s="26"/>
      <c r="Q319" s="26"/>
      <c r="R319" s="26"/>
    </row>
    <row r="320" spans="14:18" x14ac:dyDescent="0.3">
      <c r="N320" s="26"/>
      <c r="O320" s="26"/>
      <c r="P320" s="26"/>
      <c r="Q320" s="26"/>
      <c r="R320" s="26"/>
    </row>
    <row r="321" spans="14:18" x14ac:dyDescent="0.3">
      <c r="N321" s="26"/>
      <c r="O321" s="26"/>
      <c r="P321" s="26"/>
      <c r="Q321" s="26"/>
      <c r="R321" s="26"/>
    </row>
    <row r="322" spans="14:18" x14ac:dyDescent="0.3">
      <c r="N322" s="26"/>
      <c r="O322" s="26"/>
      <c r="P322" s="26"/>
      <c r="Q322" s="26"/>
      <c r="R322" s="26"/>
    </row>
    <row r="323" spans="14:18" x14ac:dyDescent="0.3">
      <c r="N323" s="26"/>
      <c r="O323" s="26"/>
      <c r="P323" s="26"/>
      <c r="Q323" s="26"/>
      <c r="R323" s="26"/>
    </row>
    <row r="324" spans="14:18" x14ac:dyDescent="0.3">
      <c r="N324" s="26"/>
      <c r="O324" s="26"/>
      <c r="P324" s="26"/>
      <c r="Q324" s="26"/>
      <c r="R324" s="26"/>
    </row>
    <row r="325" spans="14:18" x14ac:dyDescent="0.3">
      <c r="N325" s="26"/>
      <c r="O325" s="26"/>
      <c r="P325" s="26"/>
      <c r="Q325" s="26"/>
      <c r="R325" s="26"/>
    </row>
    <row r="326" spans="14:18" x14ac:dyDescent="0.3">
      <c r="N326" s="26"/>
      <c r="O326" s="26"/>
      <c r="P326" s="26"/>
      <c r="Q326" s="26"/>
      <c r="R326" s="26"/>
    </row>
    <row r="327" spans="14:18" x14ac:dyDescent="0.3">
      <c r="N327" s="26"/>
      <c r="O327" s="26"/>
      <c r="P327" s="26"/>
      <c r="Q327" s="26"/>
      <c r="R327" s="26"/>
    </row>
    <row r="328" spans="14:18" x14ac:dyDescent="0.3">
      <c r="N328" s="26"/>
      <c r="O328" s="26"/>
      <c r="P328" s="26"/>
      <c r="Q328" s="26"/>
      <c r="R328" s="26"/>
    </row>
    <row r="329" spans="14:18" x14ac:dyDescent="0.3">
      <c r="N329" s="26"/>
      <c r="O329" s="26"/>
      <c r="P329" s="26"/>
      <c r="Q329" s="26"/>
      <c r="R329" s="26"/>
    </row>
    <row r="330" spans="14:18" x14ac:dyDescent="0.3">
      <c r="N330" s="26"/>
      <c r="O330" s="26"/>
      <c r="P330" s="26"/>
      <c r="Q330" s="26"/>
      <c r="R330" s="26"/>
    </row>
    <row r="331" spans="14:18" x14ac:dyDescent="0.3">
      <c r="N331" s="26"/>
      <c r="O331" s="26"/>
      <c r="P331" s="26"/>
      <c r="Q331" s="26"/>
      <c r="R331" s="26"/>
    </row>
    <row r="332" spans="14:18" x14ac:dyDescent="0.3">
      <c r="N332" s="26"/>
      <c r="O332" s="26"/>
      <c r="P332" s="26"/>
      <c r="Q332" s="26"/>
      <c r="R332" s="26"/>
    </row>
    <row r="333" spans="14:18" x14ac:dyDescent="0.3">
      <c r="N333" s="26"/>
      <c r="O333" s="26"/>
      <c r="P333" s="26"/>
      <c r="Q333" s="26"/>
      <c r="R333" s="26"/>
    </row>
    <row r="334" spans="14:18" x14ac:dyDescent="0.3">
      <c r="N334" s="26"/>
      <c r="O334" s="26"/>
      <c r="P334" s="26"/>
      <c r="Q334" s="26"/>
      <c r="R334" s="26"/>
    </row>
    <row r="335" spans="14:18" x14ac:dyDescent="0.3">
      <c r="N335" s="26"/>
      <c r="O335" s="26"/>
      <c r="P335" s="26"/>
      <c r="Q335" s="26"/>
      <c r="R335" s="26"/>
    </row>
    <row r="336" spans="14:18" x14ac:dyDescent="0.3">
      <c r="N336" s="26"/>
      <c r="O336" s="26"/>
      <c r="P336" s="26"/>
      <c r="Q336" s="26"/>
      <c r="R336" s="26"/>
    </row>
    <row r="337" spans="14:18" x14ac:dyDescent="0.3">
      <c r="N337" s="26"/>
      <c r="O337" s="26"/>
      <c r="P337" s="26"/>
      <c r="Q337" s="26"/>
      <c r="R337" s="26"/>
    </row>
    <row r="338" spans="14:18" x14ac:dyDescent="0.3">
      <c r="N338" s="26"/>
      <c r="O338" s="26"/>
      <c r="P338" s="26"/>
      <c r="Q338" s="26"/>
      <c r="R338" s="26"/>
    </row>
    <row r="339" spans="14:18" x14ac:dyDescent="0.3">
      <c r="N339" s="26"/>
      <c r="O339" s="26"/>
      <c r="P339" s="26"/>
      <c r="Q339" s="26"/>
      <c r="R339" s="26"/>
    </row>
    <row r="340" spans="14:18" x14ac:dyDescent="0.3">
      <c r="N340" s="26"/>
      <c r="O340" s="26"/>
      <c r="P340" s="26"/>
      <c r="Q340" s="26"/>
      <c r="R340" s="26"/>
    </row>
    <row r="341" spans="14:18" x14ac:dyDescent="0.3">
      <c r="N341" s="26"/>
      <c r="O341" s="26"/>
      <c r="P341" s="26"/>
      <c r="Q341" s="26"/>
      <c r="R341" s="26"/>
    </row>
    <row r="342" spans="14:18" x14ac:dyDescent="0.3">
      <c r="N342" s="26"/>
      <c r="O342" s="26"/>
      <c r="P342" s="26"/>
      <c r="Q342" s="26"/>
      <c r="R342" s="26"/>
    </row>
    <row r="343" spans="14:18" x14ac:dyDescent="0.3">
      <c r="N343" s="26"/>
      <c r="O343" s="26"/>
      <c r="P343" s="26"/>
      <c r="Q343" s="26"/>
      <c r="R343" s="26"/>
    </row>
    <row r="344" spans="14:18" x14ac:dyDescent="0.3">
      <c r="N344" s="26"/>
      <c r="O344" s="26"/>
      <c r="P344" s="26"/>
      <c r="Q344" s="26"/>
      <c r="R344" s="26"/>
    </row>
    <row r="345" spans="14:18" x14ac:dyDescent="0.3">
      <c r="N345" s="26"/>
      <c r="O345" s="26"/>
      <c r="P345" s="26"/>
      <c r="Q345" s="26"/>
      <c r="R345" s="26"/>
    </row>
    <row r="346" spans="14:18" x14ac:dyDescent="0.3">
      <c r="N346" s="26"/>
      <c r="O346" s="26"/>
      <c r="P346" s="26"/>
      <c r="Q346" s="26"/>
      <c r="R346" s="26"/>
    </row>
    <row r="347" spans="14:18" x14ac:dyDescent="0.3">
      <c r="N347" s="26"/>
      <c r="O347" s="26"/>
      <c r="P347" s="26"/>
      <c r="Q347" s="26"/>
      <c r="R347" s="26"/>
    </row>
    <row r="348" spans="14:18" x14ac:dyDescent="0.3">
      <c r="N348" s="26"/>
      <c r="O348" s="26"/>
      <c r="P348" s="26"/>
      <c r="Q348" s="26"/>
      <c r="R348" s="26"/>
    </row>
    <row r="349" spans="14:18" x14ac:dyDescent="0.3">
      <c r="N349" s="26"/>
      <c r="O349" s="26"/>
      <c r="P349" s="26"/>
      <c r="Q349" s="26"/>
      <c r="R349" s="26"/>
    </row>
    <row r="350" spans="14:18" x14ac:dyDescent="0.3">
      <c r="N350" s="26"/>
      <c r="O350" s="26"/>
      <c r="P350" s="26"/>
      <c r="Q350" s="26"/>
      <c r="R350" s="26"/>
    </row>
    <row r="351" spans="14:18" x14ac:dyDescent="0.3">
      <c r="N351" s="26"/>
      <c r="O351" s="26"/>
      <c r="P351" s="26"/>
      <c r="Q351" s="26"/>
      <c r="R351" s="26"/>
    </row>
    <row r="352" spans="14:18" x14ac:dyDescent="0.3">
      <c r="N352" s="26"/>
      <c r="O352" s="26"/>
      <c r="P352" s="26"/>
      <c r="Q352" s="26"/>
      <c r="R352" s="26"/>
    </row>
    <row r="353" spans="14:18" x14ac:dyDescent="0.3">
      <c r="N353" s="26"/>
      <c r="O353" s="26"/>
      <c r="P353" s="26"/>
      <c r="Q353" s="26"/>
      <c r="R353" s="26"/>
    </row>
    <row r="354" spans="14:18" x14ac:dyDescent="0.3">
      <c r="N354" s="26"/>
      <c r="O354" s="26"/>
      <c r="P354" s="26"/>
      <c r="Q354" s="26"/>
      <c r="R354" s="26"/>
    </row>
    <row r="355" spans="14:18" x14ac:dyDescent="0.3">
      <c r="N355" s="26"/>
      <c r="O355" s="26"/>
      <c r="P355" s="26"/>
      <c r="Q355" s="26"/>
      <c r="R355" s="26"/>
    </row>
    <row r="356" spans="14:18" x14ac:dyDescent="0.3">
      <c r="N356" s="26"/>
      <c r="O356" s="26"/>
      <c r="P356" s="26"/>
      <c r="Q356" s="26"/>
      <c r="R356" s="26"/>
    </row>
    <row r="357" spans="14:18" x14ac:dyDescent="0.3">
      <c r="N357" s="26"/>
      <c r="O357" s="26"/>
      <c r="P357" s="26"/>
      <c r="Q357" s="26"/>
      <c r="R357" s="26"/>
    </row>
    <row r="358" spans="14:18" x14ac:dyDescent="0.3">
      <c r="N358" s="26"/>
      <c r="O358" s="26"/>
      <c r="P358" s="26"/>
      <c r="Q358" s="26"/>
      <c r="R358" s="26"/>
    </row>
    <row r="359" spans="14:18" x14ac:dyDescent="0.3">
      <c r="N359" s="26"/>
      <c r="O359" s="26"/>
      <c r="P359" s="26"/>
      <c r="Q359" s="26"/>
      <c r="R359" s="26"/>
    </row>
    <row r="360" spans="14:18" x14ac:dyDescent="0.3">
      <c r="N360" s="26"/>
      <c r="O360" s="26"/>
      <c r="P360" s="26"/>
      <c r="Q360" s="26"/>
      <c r="R360" s="26"/>
    </row>
    <row r="361" spans="14:18" x14ac:dyDescent="0.3">
      <c r="N361" s="26"/>
      <c r="O361" s="26"/>
      <c r="P361" s="26"/>
      <c r="Q361" s="26"/>
      <c r="R361" s="26"/>
    </row>
    <row r="362" spans="14:18" x14ac:dyDescent="0.3">
      <c r="N362" s="26"/>
      <c r="O362" s="26"/>
      <c r="P362" s="26"/>
      <c r="Q362" s="26"/>
      <c r="R362" s="26"/>
    </row>
    <row r="363" spans="14:18" x14ac:dyDescent="0.3">
      <c r="N363" s="26"/>
      <c r="O363" s="26"/>
      <c r="P363" s="26"/>
      <c r="Q363" s="26"/>
      <c r="R363" s="26"/>
    </row>
    <row r="364" spans="14:18" x14ac:dyDescent="0.3">
      <c r="N364" s="26"/>
      <c r="O364" s="26"/>
      <c r="P364" s="26"/>
      <c r="Q364" s="26"/>
      <c r="R364" s="26"/>
    </row>
    <row r="365" spans="14:18" x14ac:dyDescent="0.3">
      <c r="N365" s="26"/>
      <c r="O365" s="26"/>
      <c r="P365" s="26"/>
      <c r="Q365" s="26"/>
      <c r="R365" s="26"/>
    </row>
    <row r="366" spans="14:18" x14ac:dyDescent="0.3">
      <c r="N366" s="26"/>
      <c r="O366" s="26"/>
      <c r="P366" s="26"/>
      <c r="Q366" s="26"/>
      <c r="R366" s="26"/>
    </row>
    <row r="367" spans="14:18" x14ac:dyDescent="0.3">
      <c r="N367" s="26"/>
      <c r="O367" s="26"/>
      <c r="P367" s="26"/>
      <c r="Q367" s="26"/>
      <c r="R367" s="26"/>
    </row>
    <row r="368" spans="14:18" x14ac:dyDescent="0.3">
      <c r="N368" s="26"/>
      <c r="O368" s="26"/>
      <c r="P368" s="26"/>
      <c r="Q368" s="26"/>
      <c r="R368" s="26"/>
    </row>
    <row r="369" spans="14:18" x14ac:dyDescent="0.3">
      <c r="N369" s="26"/>
      <c r="O369" s="26"/>
      <c r="P369" s="26"/>
      <c r="Q369" s="26"/>
      <c r="R369" s="26"/>
    </row>
    <row r="370" spans="14:18" x14ac:dyDescent="0.3">
      <c r="N370" s="26"/>
      <c r="O370" s="26"/>
      <c r="P370" s="26"/>
      <c r="Q370" s="26"/>
      <c r="R370" s="26"/>
    </row>
    <row r="371" spans="14:18" x14ac:dyDescent="0.3">
      <c r="N371" s="26"/>
      <c r="O371" s="26"/>
      <c r="P371" s="26"/>
      <c r="Q371" s="26"/>
      <c r="R371" s="26"/>
    </row>
    <row r="372" spans="14:18" x14ac:dyDescent="0.3">
      <c r="N372" s="26"/>
      <c r="O372" s="26"/>
      <c r="P372" s="26"/>
      <c r="Q372" s="26"/>
      <c r="R372" s="26"/>
    </row>
    <row r="373" spans="14:18" x14ac:dyDescent="0.3">
      <c r="N373" s="26"/>
      <c r="O373" s="26"/>
      <c r="P373" s="26"/>
      <c r="Q373" s="26"/>
      <c r="R373" s="26"/>
    </row>
    <row r="374" spans="14:18" x14ac:dyDescent="0.3">
      <c r="N374" s="26"/>
      <c r="O374" s="26"/>
      <c r="P374" s="26"/>
      <c r="Q374" s="26"/>
      <c r="R374" s="26"/>
    </row>
    <row r="375" spans="14:18" x14ac:dyDescent="0.3">
      <c r="N375" s="26"/>
      <c r="O375" s="26"/>
      <c r="P375" s="26"/>
      <c r="Q375" s="26"/>
      <c r="R375" s="26"/>
    </row>
    <row r="376" spans="14:18" x14ac:dyDescent="0.3">
      <c r="N376" s="26"/>
      <c r="O376" s="26"/>
      <c r="P376" s="26"/>
      <c r="Q376" s="26"/>
      <c r="R376" s="26"/>
    </row>
    <row r="377" spans="14:18" x14ac:dyDescent="0.3">
      <c r="N377" s="26"/>
      <c r="O377" s="26"/>
      <c r="P377" s="26"/>
      <c r="Q377" s="26"/>
      <c r="R377" s="26"/>
    </row>
    <row r="378" spans="14:18" x14ac:dyDescent="0.3">
      <c r="N378" s="26"/>
      <c r="O378" s="26"/>
      <c r="P378" s="26"/>
      <c r="Q378" s="26"/>
      <c r="R378" s="26"/>
    </row>
    <row r="379" spans="14:18" x14ac:dyDescent="0.3">
      <c r="N379" s="26"/>
      <c r="O379" s="26"/>
      <c r="P379" s="26"/>
      <c r="Q379" s="26"/>
      <c r="R379" s="26"/>
    </row>
    <row r="380" spans="14:18" x14ac:dyDescent="0.3">
      <c r="N380" s="26"/>
      <c r="O380" s="26"/>
      <c r="P380" s="26"/>
      <c r="Q380" s="26"/>
      <c r="R380" s="26"/>
    </row>
    <row r="381" spans="14:18" x14ac:dyDescent="0.3">
      <c r="N381" s="26"/>
      <c r="O381" s="26"/>
      <c r="P381" s="26"/>
      <c r="Q381" s="26"/>
      <c r="R381" s="26"/>
    </row>
    <row r="382" spans="14:18" x14ac:dyDescent="0.3">
      <c r="N382" s="26"/>
      <c r="O382" s="26"/>
      <c r="P382" s="26"/>
      <c r="Q382" s="26"/>
      <c r="R382" s="26"/>
    </row>
    <row r="383" spans="14:18" x14ac:dyDescent="0.3">
      <c r="N383" s="26"/>
      <c r="O383" s="26"/>
      <c r="P383" s="26"/>
      <c r="Q383" s="26"/>
      <c r="R383" s="26"/>
    </row>
    <row r="384" spans="14:18" x14ac:dyDescent="0.3">
      <c r="N384" s="26"/>
      <c r="O384" s="26"/>
      <c r="P384" s="26"/>
      <c r="Q384" s="26"/>
      <c r="R384" s="26"/>
    </row>
    <row r="385" spans="14:18" x14ac:dyDescent="0.3">
      <c r="N385" s="26"/>
      <c r="O385" s="26"/>
      <c r="P385" s="26"/>
      <c r="Q385" s="26"/>
      <c r="R385" s="26"/>
    </row>
    <row r="386" spans="14:18" x14ac:dyDescent="0.3">
      <c r="N386" s="26"/>
      <c r="O386" s="26"/>
      <c r="P386" s="26"/>
      <c r="Q386" s="26"/>
      <c r="R386" s="26"/>
    </row>
    <row r="387" spans="14:18" x14ac:dyDescent="0.3">
      <c r="N387" s="26"/>
      <c r="O387" s="26"/>
      <c r="P387" s="26"/>
      <c r="Q387" s="26"/>
      <c r="R387" s="26"/>
    </row>
    <row r="388" spans="14:18" x14ac:dyDescent="0.3">
      <c r="N388" s="26"/>
      <c r="O388" s="26"/>
      <c r="P388" s="26"/>
      <c r="Q388" s="26"/>
      <c r="R388" s="26"/>
    </row>
    <row r="389" spans="14:18" x14ac:dyDescent="0.3">
      <c r="N389" s="26"/>
      <c r="O389" s="26"/>
      <c r="P389" s="26"/>
      <c r="Q389" s="26"/>
      <c r="R389" s="26"/>
    </row>
    <row r="390" spans="14:18" x14ac:dyDescent="0.3">
      <c r="N390" s="26"/>
      <c r="O390" s="26"/>
      <c r="P390" s="26"/>
      <c r="Q390" s="26"/>
      <c r="R390" s="26"/>
    </row>
    <row r="391" spans="14:18" x14ac:dyDescent="0.3">
      <c r="N391" s="26"/>
      <c r="O391" s="26"/>
      <c r="P391" s="26"/>
      <c r="Q391" s="26"/>
      <c r="R391" s="26"/>
    </row>
    <row r="392" spans="14:18" x14ac:dyDescent="0.3">
      <c r="N392" s="26"/>
      <c r="O392" s="26"/>
      <c r="P392" s="26"/>
      <c r="Q392" s="26"/>
      <c r="R392" s="26"/>
    </row>
    <row r="393" spans="14:18" x14ac:dyDescent="0.3">
      <c r="N393" s="26"/>
      <c r="O393" s="26"/>
      <c r="P393" s="26"/>
      <c r="Q393" s="26"/>
      <c r="R393" s="26"/>
    </row>
    <row r="394" spans="14:18" x14ac:dyDescent="0.3">
      <c r="N394" s="26"/>
      <c r="O394" s="26"/>
      <c r="P394" s="26"/>
      <c r="Q394" s="26"/>
      <c r="R394" s="26"/>
    </row>
    <row r="395" spans="14:18" x14ac:dyDescent="0.3">
      <c r="N395" s="26"/>
      <c r="O395" s="26"/>
      <c r="P395" s="26"/>
      <c r="Q395" s="26"/>
      <c r="R395" s="26"/>
    </row>
    <row r="396" spans="14:18" x14ac:dyDescent="0.3">
      <c r="N396" s="26"/>
      <c r="O396" s="26"/>
      <c r="P396" s="26"/>
      <c r="Q396" s="26"/>
      <c r="R396" s="26"/>
    </row>
    <row r="397" spans="14:18" x14ac:dyDescent="0.3">
      <c r="N397" s="26"/>
      <c r="O397" s="26"/>
      <c r="P397" s="26"/>
      <c r="Q397" s="26"/>
      <c r="R397" s="26"/>
    </row>
    <row r="398" spans="14:18" x14ac:dyDescent="0.3">
      <c r="N398" s="26"/>
      <c r="O398" s="26"/>
      <c r="P398" s="26"/>
      <c r="Q398" s="26"/>
      <c r="R398" s="26"/>
    </row>
    <row r="399" spans="14:18" x14ac:dyDescent="0.3">
      <c r="N399" s="26"/>
      <c r="O399" s="26"/>
      <c r="P399" s="26"/>
      <c r="Q399" s="26"/>
      <c r="R399" s="26"/>
    </row>
    <row r="400" spans="14:18" x14ac:dyDescent="0.3">
      <c r="N400" s="26"/>
      <c r="O400" s="26"/>
      <c r="P400" s="26"/>
      <c r="Q400" s="26"/>
      <c r="R400" s="26"/>
    </row>
    <row r="401" spans="14:18" x14ac:dyDescent="0.3">
      <c r="N401" s="26"/>
      <c r="O401" s="26"/>
      <c r="P401" s="26"/>
      <c r="Q401" s="26"/>
      <c r="R401" s="26"/>
    </row>
    <row r="402" spans="14:18" x14ac:dyDescent="0.3">
      <c r="N402" s="26"/>
      <c r="O402" s="26"/>
      <c r="P402" s="26"/>
      <c r="Q402" s="26"/>
      <c r="R402" s="26"/>
    </row>
    <row r="403" spans="14:18" x14ac:dyDescent="0.3">
      <c r="N403" s="26"/>
      <c r="O403" s="26"/>
      <c r="P403" s="26"/>
      <c r="Q403" s="26"/>
      <c r="R403" s="26"/>
    </row>
    <row r="404" spans="14:18" x14ac:dyDescent="0.3">
      <c r="N404" s="26"/>
      <c r="O404" s="26"/>
      <c r="P404" s="26"/>
      <c r="Q404" s="26"/>
      <c r="R404" s="26"/>
    </row>
    <row r="405" spans="14:18" x14ac:dyDescent="0.3">
      <c r="N405" s="26"/>
      <c r="O405" s="26"/>
      <c r="P405" s="26"/>
      <c r="Q405" s="26"/>
      <c r="R405" s="26"/>
    </row>
    <row r="406" spans="14:18" x14ac:dyDescent="0.3">
      <c r="N406" s="26"/>
      <c r="O406" s="26"/>
      <c r="P406" s="26"/>
      <c r="Q406" s="26"/>
      <c r="R406" s="26"/>
    </row>
    <row r="407" spans="14:18" x14ac:dyDescent="0.3">
      <c r="N407" s="26"/>
      <c r="O407" s="26"/>
      <c r="P407" s="26"/>
      <c r="Q407" s="26"/>
      <c r="R407" s="26"/>
    </row>
    <row r="408" spans="14:18" x14ac:dyDescent="0.3">
      <c r="N408" s="26"/>
      <c r="O408" s="26"/>
      <c r="P408" s="26"/>
      <c r="Q408" s="26"/>
      <c r="R408" s="26"/>
    </row>
    <row r="409" spans="14:18" x14ac:dyDescent="0.3">
      <c r="N409" s="26"/>
      <c r="O409" s="26"/>
      <c r="P409" s="26"/>
      <c r="Q409" s="26"/>
      <c r="R409" s="26"/>
    </row>
    <row r="410" spans="14:18" x14ac:dyDescent="0.3">
      <c r="N410" s="26"/>
      <c r="O410" s="26"/>
      <c r="P410" s="26"/>
      <c r="Q410" s="26"/>
      <c r="R410" s="26"/>
    </row>
    <row r="411" spans="14:18" x14ac:dyDescent="0.3">
      <c r="N411" s="26"/>
      <c r="O411" s="26"/>
      <c r="P411" s="26"/>
      <c r="Q411" s="26"/>
      <c r="R411" s="26"/>
    </row>
    <row r="412" spans="14:18" x14ac:dyDescent="0.3">
      <c r="N412" s="26"/>
      <c r="O412" s="26"/>
      <c r="P412" s="26"/>
      <c r="Q412" s="26"/>
      <c r="R412" s="26"/>
    </row>
    <row r="413" spans="14:18" x14ac:dyDescent="0.3">
      <c r="N413" s="26"/>
      <c r="O413" s="26"/>
      <c r="P413" s="26"/>
      <c r="Q413" s="26"/>
      <c r="R413" s="26"/>
    </row>
    <row r="414" spans="14:18" x14ac:dyDescent="0.3">
      <c r="N414" s="26"/>
      <c r="O414" s="26"/>
      <c r="P414" s="26"/>
      <c r="Q414" s="26"/>
      <c r="R414" s="26"/>
    </row>
    <row r="415" spans="14:18" x14ac:dyDescent="0.3">
      <c r="N415" s="26"/>
      <c r="O415" s="26"/>
      <c r="P415" s="26"/>
      <c r="Q415" s="26"/>
      <c r="R415" s="26"/>
    </row>
    <row r="416" spans="14:18" x14ac:dyDescent="0.3">
      <c r="N416" s="26"/>
      <c r="O416" s="26"/>
      <c r="P416" s="26"/>
      <c r="Q416" s="26"/>
      <c r="R416" s="26"/>
    </row>
    <row r="417" spans="14:18" x14ac:dyDescent="0.3">
      <c r="N417" s="26"/>
      <c r="O417" s="26"/>
      <c r="P417" s="26"/>
      <c r="Q417" s="26"/>
      <c r="R417" s="26"/>
    </row>
    <row r="418" spans="14:18" x14ac:dyDescent="0.3">
      <c r="N418" s="26"/>
      <c r="O418" s="26"/>
      <c r="P418" s="26"/>
      <c r="Q418" s="26"/>
      <c r="R418" s="26"/>
    </row>
    <row r="419" spans="14:18" x14ac:dyDescent="0.3">
      <c r="N419" s="26"/>
      <c r="O419" s="26"/>
      <c r="P419" s="26"/>
      <c r="Q419" s="26"/>
      <c r="R419" s="26"/>
    </row>
    <row r="420" spans="14:18" x14ac:dyDescent="0.3">
      <c r="N420" s="26"/>
      <c r="O420" s="26"/>
      <c r="P420" s="26"/>
      <c r="Q420" s="26"/>
      <c r="R420" s="26"/>
    </row>
    <row r="421" spans="14:18" x14ac:dyDescent="0.3">
      <c r="N421" s="26"/>
      <c r="O421" s="26"/>
      <c r="P421" s="26"/>
      <c r="Q421" s="26"/>
      <c r="R421" s="26"/>
    </row>
    <row r="422" spans="14:18" x14ac:dyDescent="0.3">
      <c r="N422" s="26"/>
      <c r="O422" s="26"/>
      <c r="P422" s="26"/>
      <c r="Q422" s="26"/>
      <c r="R422" s="26"/>
    </row>
    <row r="423" spans="14:18" x14ac:dyDescent="0.3">
      <c r="N423" s="26"/>
      <c r="O423" s="26"/>
      <c r="P423" s="26"/>
      <c r="Q423" s="26"/>
      <c r="R423" s="26"/>
    </row>
    <row r="424" spans="14:18" x14ac:dyDescent="0.3">
      <c r="N424" s="26"/>
      <c r="O424" s="26"/>
      <c r="P424" s="26"/>
      <c r="Q424" s="26"/>
      <c r="R424" s="26"/>
    </row>
    <row r="425" spans="14:18" x14ac:dyDescent="0.3">
      <c r="N425" s="26"/>
      <c r="O425" s="26"/>
      <c r="P425" s="26"/>
      <c r="Q425" s="26"/>
      <c r="R425" s="26"/>
    </row>
    <row r="426" spans="14:18" x14ac:dyDescent="0.3">
      <c r="N426" s="26"/>
      <c r="O426" s="26"/>
      <c r="P426" s="26"/>
      <c r="Q426" s="26"/>
      <c r="R426" s="26"/>
    </row>
    <row r="427" spans="14:18" x14ac:dyDescent="0.3">
      <c r="N427" s="26"/>
      <c r="O427" s="26"/>
      <c r="P427" s="26"/>
      <c r="Q427" s="26"/>
      <c r="R427" s="26"/>
    </row>
    <row r="428" spans="14:18" x14ac:dyDescent="0.3">
      <c r="N428" s="26"/>
      <c r="O428" s="26"/>
      <c r="P428" s="26"/>
      <c r="Q428" s="26"/>
      <c r="R428" s="26"/>
    </row>
    <row r="429" spans="14:18" x14ac:dyDescent="0.3">
      <c r="N429" s="26"/>
      <c r="O429" s="26"/>
      <c r="P429" s="26"/>
      <c r="Q429" s="26"/>
      <c r="R429" s="26"/>
    </row>
    <row r="430" spans="14:18" x14ac:dyDescent="0.3">
      <c r="N430" s="26"/>
      <c r="O430" s="26"/>
      <c r="P430" s="26"/>
      <c r="Q430" s="26"/>
      <c r="R430" s="26"/>
    </row>
    <row r="431" spans="14:18" x14ac:dyDescent="0.3">
      <c r="N431" s="26"/>
      <c r="O431" s="26"/>
      <c r="P431" s="26"/>
      <c r="Q431" s="26"/>
      <c r="R431" s="26"/>
    </row>
    <row r="432" spans="14:18" x14ac:dyDescent="0.3">
      <c r="N432" s="26"/>
      <c r="O432" s="26"/>
      <c r="P432" s="26"/>
      <c r="Q432" s="26"/>
      <c r="R432" s="26"/>
    </row>
    <row r="433" spans="14:18" x14ac:dyDescent="0.3">
      <c r="N433" s="26"/>
      <c r="O433" s="26"/>
      <c r="P433" s="26"/>
      <c r="Q433" s="26"/>
      <c r="R433" s="26"/>
    </row>
    <row r="434" spans="14:18" x14ac:dyDescent="0.3">
      <c r="N434" s="26"/>
      <c r="O434" s="26"/>
      <c r="P434" s="26"/>
      <c r="Q434" s="26"/>
      <c r="R434" s="26"/>
    </row>
    <row r="435" spans="14:18" x14ac:dyDescent="0.3">
      <c r="N435" s="26"/>
      <c r="O435" s="26"/>
      <c r="P435" s="26"/>
      <c r="Q435" s="26"/>
      <c r="R435" s="26"/>
    </row>
    <row r="436" spans="14:18" x14ac:dyDescent="0.3">
      <c r="N436" s="26"/>
      <c r="O436" s="26"/>
      <c r="P436" s="26"/>
      <c r="Q436" s="26"/>
      <c r="R436" s="26"/>
    </row>
    <row r="437" spans="14:18" x14ac:dyDescent="0.3">
      <c r="N437" s="26"/>
      <c r="O437" s="26"/>
      <c r="P437" s="26"/>
      <c r="Q437" s="26"/>
      <c r="R437" s="26"/>
    </row>
    <row r="438" spans="14:18" x14ac:dyDescent="0.3">
      <c r="N438" s="26"/>
      <c r="O438" s="26"/>
      <c r="P438" s="26"/>
      <c r="Q438" s="26"/>
      <c r="R438" s="26"/>
    </row>
    <row r="439" spans="14:18" x14ac:dyDescent="0.3">
      <c r="N439" s="26"/>
      <c r="O439" s="26"/>
      <c r="P439" s="26"/>
      <c r="Q439" s="26"/>
      <c r="R439" s="26"/>
    </row>
    <row r="440" spans="14:18" x14ac:dyDescent="0.3">
      <c r="N440" s="26"/>
      <c r="O440" s="26"/>
      <c r="P440" s="26"/>
      <c r="Q440" s="26"/>
      <c r="R440" s="26"/>
    </row>
    <row r="441" spans="14:18" x14ac:dyDescent="0.3">
      <c r="N441" s="26"/>
      <c r="O441" s="26"/>
      <c r="P441" s="26"/>
      <c r="Q441" s="26"/>
      <c r="R441" s="26"/>
    </row>
    <row r="442" spans="14:18" x14ac:dyDescent="0.3">
      <c r="N442" s="26"/>
      <c r="O442" s="26"/>
      <c r="P442" s="26"/>
      <c r="Q442" s="26"/>
      <c r="R442" s="26"/>
    </row>
    <row r="443" spans="14:18" x14ac:dyDescent="0.3">
      <c r="N443" s="26"/>
      <c r="O443" s="26"/>
      <c r="P443" s="26"/>
      <c r="Q443" s="26"/>
      <c r="R443" s="26"/>
    </row>
    <row r="444" spans="14:18" x14ac:dyDescent="0.3">
      <c r="N444" s="26"/>
      <c r="O444" s="26"/>
      <c r="P444" s="26"/>
      <c r="Q444" s="26"/>
      <c r="R444" s="26"/>
    </row>
    <row r="445" spans="14:18" x14ac:dyDescent="0.3">
      <c r="N445" s="26"/>
      <c r="O445" s="26"/>
      <c r="P445" s="26"/>
      <c r="Q445" s="26"/>
      <c r="R445" s="26"/>
    </row>
    <row r="446" spans="14:18" x14ac:dyDescent="0.3">
      <c r="N446" s="26"/>
      <c r="O446" s="26"/>
      <c r="P446" s="26"/>
      <c r="Q446" s="26"/>
      <c r="R446" s="26"/>
    </row>
    <row r="447" spans="14:18" x14ac:dyDescent="0.3">
      <c r="N447" s="26"/>
      <c r="O447" s="26"/>
      <c r="P447" s="26"/>
      <c r="Q447" s="26"/>
      <c r="R447" s="26"/>
    </row>
    <row r="448" spans="14:18" x14ac:dyDescent="0.3">
      <c r="N448" s="26"/>
      <c r="O448" s="26"/>
      <c r="P448" s="26"/>
      <c r="Q448" s="26"/>
      <c r="R448" s="26"/>
    </row>
    <row r="449" spans="14:18" x14ac:dyDescent="0.3">
      <c r="N449" s="26"/>
      <c r="O449" s="26"/>
      <c r="P449" s="26"/>
      <c r="Q449" s="26"/>
      <c r="R449" s="26"/>
    </row>
    <row r="450" spans="14:18" x14ac:dyDescent="0.3">
      <c r="N450" s="26"/>
      <c r="O450" s="26"/>
      <c r="P450" s="26"/>
      <c r="Q450" s="26"/>
      <c r="R450" s="26"/>
    </row>
    <row r="451" spans="14:18" x14ac:dyDescent="0.3">
      <c r="N451" s="26"/>
      <c r="O451" s="26"/>
      <c r="P451" s="26"/>
      <c r="Q451" s="26"/>
      <c r="R451" s="26"/>
    </row>
    <row r="452" spans="14:18" x14ac:dyDescent="0.3">
      <c r="N452" s="26"/>
      <c r="O452" s="26"/>
      <c r="P452" s="26"/>
      <c r="Q452" s="26"/>
      <c r="R452" s="26"/>
    </row>
    <row r="453" spans="14:18" x14ac:dyDescent="0.3">
      <c r="N453" s="26"/>
      <c r="O453" s="26"/>
      <c r="P453" s="26"/>
      <c r="Q453" s="26"/>
      <c r="R453" s="26"/>
    </row>
    <row r="454" spans="14:18" x14ac:dyDescent="0.3">
      <c r="N454" s="26"/>
      <c r="O454" s="26"/>
      <c r="P454" s="26"/>
      <c r="Q454" s="26"/>
      <c r="R454" s="26"/>
    </row>
    <row r="455" spans="14:18" x14ac:dyDescent="0.3">
      <c r="N455" s="26"/>
      <c r="O455" s="26"/>
      <c r="P455" s="26"/>
      <c r="Q455" s="26"/>
      <c r="R455" s="26"/>
    </row>
    <row r="456" spans="14:18" x14ac:dyDescent="0.3">
      <c r="N456" s="26"/>
      <c r="O456" s="26"/>
      <c r="P456" s="26"/>
      <c r="Q456" s="26"/>
      <c r="R456" s="26"/>
    </row>
    <row r="457" spans="14:18" x14ac:dyDescent="0.3">
      <c r="N457" s="26"/>
      <c r="O457" s="26"/>
      <c r="P457" s="26"/>
      <c r="Q457" s="26"/>
      <c r="R457" s="26"/>
    </row>
    <row r="458" spans="14:18" x14ac:dyDescent="0.3">
      <c r="N458" s="26"/>
      <c r="O458" s="26"/>
      <c r="P458" s="26"/>
      <c r="Q458" s="26"/>
      <c r="R458" s="26"/>
    </row>
    <row r="459" spans="14:18" x14ac:dyDescent="0.3">
      <c r="N459" s="26"/>
      <c r="O459" s="26"/>
      <c r="P459" s="26"/>
      <c r="Q459" s="26"/>
      <c r="R459" s="26"/>
    </row>
    <row r="460" spans="14:18" x14ac:dyDescent="0.3">
      <c r="N460" s="26"/>
      <c r="O460" s="26"/>
      <c r="P460" s="26"/>
      <c r="Q460" s="26"/>
      <c r="R460" s="26"/>
    </row>
    <row r="461" spans="14:18" x14ac:dyDescent="0.3">
      <c r="N461" s="26"/>
      <c r="O461" s="26"/>
      <c r="P461" s="26"/>
      <c r="Q461" s="26"/>
      <c r="R461" s="26"/>
    </row>
    <row r="462" spans="14:18" x14ac:dyDescent="0.3">
      <c r="N462" s="26"/>
      <c r="O462" s="26"/>
      <c r="P462" s="26"/>
      <c r="Q462" s="26"/>
      <c r="R462" s="26"/>
    </row>
    <row r="463" spans="14:18" x14ac:dyDescent="0.3">
      <c r="N463" s="26"/>
      <c r="O463" s="26"/>
      <c r="P463" s="26"/>
      <c r="Q463" s="26"/>
      <c r="R463" s="26"/>
    </row>
    <row r="464" spans="14:18" x14ac:dyDescent="0.3">
      <c r="N464" s="26"/>
      <c r="O464" s="26"/>
      <c r="P464" s="26"/>
      <c r="Q464" s="26"/>
      <c r="R464" s="26"/>
    </row>
    <row r="465" spans="14:18" x14ac:dyDescent="0.3">
      <c r="N465" s="26"/>
      <c r="O465" s="26"/>
      <c r="P465" s="26"/>
      <c r="Q465" s="26"/>
      <c r="R465" s="26"/>
    </row>
    <row r="466" spans="14:18" x14ac:dyDescent="0.3">
      <c r="N466" s="26"/>
      <c r="O466" s="26"/>
      <c r="P466" s="26"/>
      <c r="Q466" s="26"/>
      <c r="R466" s="26"/>
    </row>
    <row r="467" spans="14:18" x14ac:dyDescent="0.3">
      <c r="N467" s="26"/>
      <c r="O467" s="26"/>
      <c r="P467" s="26"/>
      <c r="Q467" s="26"/>
      <c r="R467" s="26"/>
    </row>
    <row r="468" spans="14:18" x14ac:dyDescent="0.3">
      <c r="N468" s="26"/>
      <c r="O468" s="26"/>
      <c r="P468" s="26"/>
      <c r="Q468" s="26"/>
      <c r="R468" s="26"/>
    </row>
    <row r="469" spans="14:18" x14ac:dyDescent="0.3">
      <c r="N469" s="26"/>
      <c r="O469" s="26"/>
      <c r="P469" s="26"/>
      <c r="Q469" s="26"/>
      <c r="R469" s="26"/>
    </row>
    <row r="470" spans="14:18" x14ac:dyDescent="0.3">
      <c r="N470" s="26"/>
      <c r="O470" s="26"/>
      <c r="P470" s="26"/>
      <c r="Q470" s="26"/>
      <c r="R470" s="26"/>
    </row>
    <row r="471" spans="14:18" x14ac:dyDescent="0.3">
      <c r="N471" s="26"/>
      <c r="O471" s="26"/>
      <c r="P471" s="26"/>
      <c r="Q471" s="26"/>
      <c r="R471" s="26"/>
    </row>
    <row r="472" spans="14:18" x14ac:dyDescent="0.3">
      <c r="N472" s="26"/>
      <c r="O472" s="26"/>
      <c r="P472" s="26"/>
      <c r="Q472" s="26"/>
      <c r="R472" s="26"/>
    </row>
    <row r="473" spans="14:18" x14ac:dyDescent="0.3">
      <c r="N473" s="26"/>
      <c r="O473" s="26"/>
      <c r="P473" s="26"/>
      <c r="Q473" s="26"/>
      <c r="R473" s="26"/>
    </row>
    <row r="474" spans="14:18" x14ac:dyDescent="0.3">
      <c r="N474" s="26"/>
      <c r="O474" s="26"/>
      <c r="P474" s="26"/>
      <c r="Q474" s="26"/>
      <c r="R474" s="26"/>
    </row>
    <row r="475" spans="14:18" x14ac:dyDescent="0.3">
      <c r="N475" s="26"/>
      <c r="O475" s="26"/>
      <c r="P475" s="26"/>
      <c r="Q475" s="26"/>
      <c r="R475" s="26"/>
    </row>
    <row r="476" spans="14:18" x14ac:dyDescent="0.3">
      <c r="N476" s="26"/>
      <c r="O476" s="26"/>
      <c r="P476" s="26"/>
      <c r="Q476" s="26"/>
      <c r="R476" s="26"/>
    </row>
    <row r="477" spans="14:18" x14ac:dyDescent="0.3">
      <c r="N477" s="26"/>
      <c r="O477" s="26"/>
      <c r="P477" s="26"/>
      <c r="Q477" s="26"/>
      <c r="R477" s="26"/>
    </row>
    <row r="478" spans="14:18" x14ac:dyDescent="0.3">
      <c r="N478" s="26"/>
      <c r="O478" s="26"/>
      <c r="P478" s="26"/>
      <c r="Q478" s="26"/>
      <c r="R478" s="26"/>
    </row>
    <row r="479" spans="14:18" x14ac:dyDescent="0.3">
      <c r="N479" s="26"/>
      <c r="O479" s="26"/>
      <c r="P479" s="26"/>
      <c r="Q479" s="26"/>
      <c r="R479" s="26"/>
    </row>
    <row r="480" spans="14:18" x14ac:dyDescent="0.3">
      <c r="N480" s="26"/>
      <c r="O480" s="26"/>
      <c r="P480" s="26"/>
      <c r="Q480" s="26"/>
      <c r="R480" s="26"/>
    </row>
    <row r="481" spans="14:18" x14ac:dyDescent="0.3">
      <c r="N481" s="26"/>
      <c r="O481" s="26"/>
      <c r="P481" s="26"/>
      <c r="Q481" s="26"/>
      <c r="R481" s="26"/>
    </row>
    <row r="482" spans="14:18" x14ac:dyDescent="0.3">
      <c r="N482" s="26"/>
      <c r="O482" s="26"/>
      <c r="P482" s="26"/>
      <c r="Q482" s="26"/>
      <c r="R482" s="26"/>
    </row>
    <row r="483" spans="14:18" x14ac:dyDescent="0.3">
      <c r="N483" s="26"/>
      <c r="O483" s="26"/>
      <c r="P483" s="26"/>
      <c r="Q483" s="26"/>
      <c r="R483" s="26"/>
    </row>
    <row r="484" spans="14:18" x14ac:dyDescent="0.3">
      <c r="N484" s="26"/>
      <c r="O484" s="26"/>
      <c r="P484" s="26"/>
      <c r="Q484" s="26"/>
      <c r="R484" s="26"/>
    </row>
    <row r="485" spans="14:18" x14ac:dyDescent="0.3">
      <c r="N485" s="26"/>
      <c r="O485" s="26"/>
      <c r="P485" s="26"/>
      <c r="Q485" s="26"/>
      <c r="R485" s="26"/>
    </row>
    <row r="486" spans="14:18" x14ac:dyDescent="0.3">
      <c r="N486" s="26"/>
      <c r="O486" s="26"/>
      <c r="P486" s="26"/>
      <c r="Q486" s="26"/>
      <c r="R486" s="26"/>
    </row>
    <row r="487" spans="14:18" x14ac:dyDescent="0.3">
      <c r="N487" s="26"/>
      <c r="O487" s="26"/>
      <c r="P487" s="26"/>
      <c r="Q487" s="26"/>
      <c r="R487" s="26"/>
    </row>
    <row r="488" spans="14:18" x14ac:dyDescent="0.3">
      <c r="N488" s="26"/>
      <c r="O488" s="26"/>
      <c r="P488" s="26"/>
      <c r="Q488" s="26"/>
      <c r="R488" s="26"/>
    </row>
    <row r="489" spans="14:18" x14ac:dyDescent="0.3">
      <c r="N489" s="26"/>
      <c r="O489" s="26"/>
      <c r="P489" s="26"/>
      <c r="Q489" s="26"/>
      <c r="R489" s="26"/>
    </row>
    <row r="490" spans="14:18" x14ac:dyDescent="0.3">
      <c r="N490" s="26"/>
      <c r="O490" s="26"/>
      <c r="P490" s="26"/>
      <c r="Q490" s="26"/>
      <c r="R490" s="26"/>
    </row>
    <row r="491" spans="14:18" x14ac:dyDescent="0.3">
      <c r="N491" s="26"/>
      <c r="O491" s="26"/>
      <c r="P491" s="26"/>
      <c r="Q491" s="26"/>
      <c r="R491" s="26"/>
    </row>
    <row r="492" spans="14:18" x14ac:dyDescent="0.3">
      <c r="N492" s="26"/>
      <c r="O492" s="26"/>
      <c r="P492" s="26"/>
      <c r="Q492" s="26"/>
      <c r="R492" s="26"/>
    </row>
    <row r="493" spans="14:18" x14ac:dyDescent="0.3">
      <c r="N493" s="26"/>
      <c r="O493" s="26"/>
      <c r="P493" s="26"/>
      <c r="Q493" s="26"/>
      <c r="R493" s="26"/>
    </row>
    <row r="494" spans="14:18" x14ac:dyDescent="0.3">
      <c r="N494" s="26"/>
      <c r="O494" s="26"/>
      <c r="P494" s="26"/>
      <c r="Q494" s="26"/>
      <c r="R494" s="26"/>
    </row>
    <row r="495" spans="14:18" x14ac:dyDescent="0.3">
      <c r="N495" s="26"/>
      <c r="O495" s="26"/>
      <c r="P495" s="26"/>
      <c r="Q495" s="26"/>
      <c r="R495" s="26"/>
    </row>
    <row r="496" spans="14:18" x14ac:dyDescent="0.3">
      <c r="N496" s="26"/>
      <c r="O496" s="26"/>
      <c r="P496" s="26"/>
      <c r="Q496" s="26"/>
      <c r="R496" s="26"/>
    </row>
    <row r="497" spans="14:18" x14ac:dyDescent="0.3">
      <c r="N497" s="26"/>
      <c r="O497" s="26"/>
      <c r="P497" s="26"/>
      <c r="Q497" s="26"/>
      <c r="R497" s="26"/>
    </row>
    <row r="498" spans="14:18" x14ac:dyDescent="0.3">
      <c r="N498" s="26"/>
      <c r="O498" s="26"/>
      <c r="P498" s="26"/>
      <c r="Q498" s="26"/>
      <c r="R498" s="26"/>
    </row>
    <row r="499" spans="14:18" x14ac:dyDescent="0.3">
      <c r="N499" s="26"/>
      <c r="O499" s="26"/>
      <c r="P499" s="26"/>
      <c r="Q499" s="26"/>
      <c r="R499" s="26"/>
    </row>
    <row r="500" spans="14:18" x14ac:dyDescent="0.3">
      <c r="N500" s="26"/>
      <c r="O500" s="26"/>
      <c r="P500" s="26"/>
      <c r="Q500" s="26"/>
      <c r="R500" s="26"/>
    </row>
    <row r="501" spans="14:18" x14ac:dyDescent="0.3">
      <c r="N501" s="26"/>
      <c r="O501" s="26"/>
      <c r="P501" s="26"/>
      <c r="Q501" s="26"/>
      <c r="R501" s="26"/>
    </row>
    <row r="502" spans="14:18" x14ac:dyDescent="0.3">
      <c r="N502" s="26"/>
      <c r="O502" s="26"/>
      <c r="P502" s="26"/>
      <c r="Q502" s="26"/>
      <c r="R502" s="26"/>
    </row>
    <row r="503" spans="14:18" x14ac:dyDescent="0.3">
      <c r="N503" s="26"/>
      <c r="O503" s="26"/>
      <c r="P503" s="26"/>
      <c r="Q503" s="26"/>
      <c r="R503" s="26"/>
    </row>
    <row r="504" spans="14:18" x14ac:dyDescent="0.3">
      <c r="N504" s="26"/>
      <c r="O504" s="26"/>
      <c r="P504" s="26"/>
      <c r="Q504" s="26"/>
      <c r="R504" s="26"/>
    </row>
    <row r="505" spans="14:18" x14ac:dyDescent="0.3">
      <c r="N505" s="26"/>
      <c r="O505" s="26"/>
      <c r="P505" s="26"/>
      <c r="Q505" s="26"/>
      <c r="R505" s="26"/>
    </row>
    <row r="506" spans="14:18" x14ac:dyDescent="0.3">
      <c r="N506" s="26"/>
      <c r="O506" s="26"/>
      <c r="P506" s="26"/>
      <c r="Q506" s="26"/>
      <c r="R506" s="26"/>
    </row>
    <row r="507" spans="14:18" x14ac:dyDescent="0.3">
      <c r="N507" s="26"/>
      <c r="O507" s="26"/>
      <c r="P507" s="26"/>
      <c r="Q507" s="26"/>
      <c r="R507" s="26"/>
    </row>
    <row r="508" spans="14:18" x14ac:dyDescent="0.3">
      <c r="N508" s="26"/>
      <c r="O508" s="26"/>
      <c r="P508" s="26"/>
      <c r="Q508" s="26"/>
      <c r="R508" s="26"/>
    </row>
    <row r="509" spans="14:18" x14ac:dyDescent="0.3">
      <c r="N509" s="26"/>
      <c r="O509" s="26"/>
      <c r="P509" s="26"/>
      <c r="Q509" s="26"/>
      <c r="R509" s="26"/>
    </row>
    <row r="510" spans="14:18" x14ac:dyDescent="0.3">
      <c r="N510" s="26"/>
      <c r="O510" s="26"/>
      <c r="P510" s="26"/>
      <c r="Q510" s="26"/>
      <c r="R510" s="26"/>
    </row>
    <row r="511" spans="14:18" x14ac:dyDescent="0.3">
      <c r="N511" s="26"/>
      <c r="O511" s="26"/>
      <c r="P511" s="26"/>
      <c r="Q511" s="26"/>
      <c r="R511" s="26"/>
    </row>
    <row r="512" spans="14:18" x14ac:dyDescent="0.3">
      <c r="N512" s="26"/>
      <c r="O512" s="26"/>
      <c r="P512" s="26"/>
      <c r="Q512" s="26"/>
      <c r="R512" s="26"/>
    </row>
    <row r="513" spans="14:18" x14ac:dyDescent="0.3">
      <c r="N513" s="26"/>
      <c r="O513" s="26"/>
      <c r="P513" s="26"/>
      <c r="Q513" s="26"/>
      <c r="R513" s="26"/>
    </row>
    <row r="514" spans="14:18" x14ac:dyDescent="0.3">
      <c r="N514" s="26"/>
      <c r="O514" s="26"/>
      <c r="P514" s="26"/>
      <c r="Q514" s="26"/>
      <c r="R514" s="26"/>
    </row>
    <row r="515" spans="14:18" x14ac:dyDescent="0.3">
      <c r="N515" s="26"/>
      <c r="O515" s="26"/>
      <c r="P515" s="26"/>
      <c r="Q515" s="26"/>
      <c r="R515" s="26"/>
    </row>
    <row r="516" spans="14:18" x14ac:dyDescent="0.3">
      <c r="N516" s="26"/>
      <c r="O516" s="26"/>
      <c r="P516" s="26"/>
      <c r="Q516" s="26"/>
      <c r="R516" s="26"/>
    </row>
    <row r="517" spans="14:18" x14ac:dyDescent="0.3">
      <c r="N517" s="26"/>
      <c r="O517" s="26"/>
      <c r="P517" s="26"/>
      <c r="Q517" s="26"/>
      <c r="R517" s="26"/>
    </row>
    <row r="518" spans="14:18" x14ac:dyDescent="0.3">
      <c r="N518" s="26"/>
      <c r="O518" s="26"/>
      <c r="P518" s="26"/>
      <c r="Q518" s="26"/>
      <c r="R518" s="26"/>
    </row>
    <row r="519" spans="14:18" x14ac:dyDescent="0.3">
      <c r="N519" s="26"/>
      <c r="O519" s="26"/>
      <c r="P519" s="26"/>
      <c r="Q519" s="26"/>
      <c r="R519" s="26"/>
    </row>
    <row r="520" spans="14:18" x14ac:dyDescent="0.3">
      <c r="N520" s="26"/>
      <c r="O520" s="26"/>
      <c r="P520" s="26"/>
      <c r="Q520" s="26"/>
      <c r="R520" s="26"/>
    </row>
    <row r="521" spans="14:18" x14ac:dyDescent="0.3">
      <c r="N521" s="26"/>
      <c r="O521" s="26"/>
      <c r="P521" s="26"/>
      <c r="Q521" s="26"/>
      <c r="R521" s="26"/>
    </row>
    <row r="522" spans="14:18" x14ac:dyDescent="0.3">
      <c r="N522" s="26"/>
      <c r="O522" s="26"/>
      <c r="P522" s="26"/>
      <c r="Q522" s="26"/>
      <c r="R522" s="26"/>
    </row>
    <row r="523" spans="14:18" x14ac:dyDescent="0.3">
      <c r="N523" s="26"/>
      <c r="O523" s="26"/>
      <c r="P523" s="26"/>
      <c r="Q523" s="26"/>
      <c r="R523" s="26"/>
    </row>
    <row r="524" spans="14:18" x14ac:dyDescent="0.3">
      <c r="N524" s="26"/>
      <c r="O524" s="26"/>
      <c r="P524" s="26"/>
      <c r="Q524" s="26"/>
      <c r="R524" s="26"/>
    </row>
    <row r="525" spans="14:18" x14ac:dyDescent="0.3">
      <c r="N525" s="26"/>
      <c r="O525" s="26"/>
      <c r="P525" s="26"/>
      <c r="Q525" s="26"/>
      <c r="R525" s="26"/>
    </row>
    <row r="526" spans="14:18" x14ac:dyDescent="0.3">
      <c r="N526" s="26"/>
      <c r="O526" s="26"/>
      <c r="P526" s="26"/>
      <c r="Q526" s="26"/>
      <c r="R526" s="26"/>
    </row>
    <row r="527" spans="14:18" x14ac:dyDescent="0.3">
      <c r="N527" s="26"/>
      <c r="O527" s="26"/>
      <c r="P527" s="26"/>
      <c r="Q527" s="26"/>
      <c r="R527" s="26"/>
    </row>
    <row r="528" spans="14:18" x14ac:dyDescent="0.3">
      <c r="N528" s="26"/>
      <c r="O528" s="26"/>
      <c r="P528" s="26"/>
      <c r="Q528" s="26"/>
      <c r="R528" s="26"/>
    </row>
    <row r="529" spans="14:18" x14ac:dyDescent="0.3">
      <c r="N529" s="26"/>
      <c r="O529" s="26"/>
      <c r="P529" s="26"/>
      <c r="Q529" s="26"/>
      <c r="R529" s="26"/>
    </row>
    <row r="530" spans="14:18" x14ac:dyDescent="0.3">
      <c r="N530" s="26"/>
      <c r="O530" s="26"/>
      <c r="P530" s="26"/>
      <c r="Q530" s="26"/>
      <c r="R530" s="26"/>
    </row>
    <row r="531" spans="14:18" x14ac:dyDescent="0.3">
      <c r="N531" s="26"/>
      <c r="O531" s="26"/>
      <c r="P531" s="26"/>
      <c r="Q531" s="26"/>
      <c r="R531" s="26"/>
    </row>
    <row r="532" spans="14:18" x14ac:dyDescent="0.3">
      <c r="N532" s="26"/>
      <c r="O532" s="26"/>
      <c r="P532" s="26"/>
      <c r="Q532" s="26"/>
      <c r="R532" s="26"/>
    </row>
    <row r="533" spans="14:18" x14ac:dyDescent="0.3">
      <c r="N533" s="26"/>
      <c r="O533" s="26"/>
      <c r="P533" s="26"/>
      <c r="Q533" s="26"/>
      <c r="R533" s="26"/>
    </row>
    <row r="534" spans="14:18" x14ac:dyDescent="0.3">
      <c r="N534" s="26"/>
      <c r="O534" s="26"/>
      <c r="P534" s="26"/>
      <c r="Q534" s="26"/>
      <c r="R534" s="26"/>
    </row>
    <row r="535" spans="14:18" x14ac:dyDescent="0.3">
      <c r="N535" s="26"/>
      <c r="O535" s="26"/>
      <c r="P535" s="26"/>
      <c r="Q535" s="26"/>
      <c r="R535" s="26"/>
    </row>
    <row r="536" spans="14:18" x14ac:dyDescent="0.3">
      <c r="N536" s="26"/>
      <c r="O536" s="26"/>
      <c r="P536" s="26"/>
      <c r="Q536" s="26"/>
      <c r="R536" s="26"/>
    </row>
    <row r="537" spans="14:18" x14ac:dyDescent="0.3">
      <c r="N537" s="26"/>
      <c r="O537" s="26"/>
      <c r="P537" s="26"/>
      <c r="Q537" s="26"/>
      <c r="R537" s="26"/>
    </row>
    <row r="538" spans="14:18" x14ac:dyDescent="0.3">
      <c r="N538" s="26"/>
      <c r="O538" s="26"/>
      <c r="P538" s="26"/>
      <c r="Q538" s="26"/>
      <c r="R538" s="26"/>
    </row>
    <row r="539" spans="14:18" x14ac:dyDescent="0.3">
      <c r="N539" s="26"/>
      <c r="O539" s="26"/>
      <c r="P539" s="26"/>
      <c r="Q539" s="26"/>
      <c r="R539" s="26"/>
    </row>
    <row r="540" spans="14:18" x14ac:dyDescent="0.3">
      <c r="N540" s="26"/>
      <c r="O540" s="26"/>
      <c r="P540" s="26"/>
      <c r="Q540" s="26"/>
      <c r="R540" s="26"/>
    </row>
    <row r="541" spans="14:18" x14ac:dyDescent="0.3">
      <c r="N541" s="26"/>
      <c r="O541" s="26"/>
      <c r="P541" s="26"/>
      <c r="Q541" s="26"/>
      <c r="R541" s="26"/>
    </row>
    <row r="542" spans="14:18" x14ac:dyDescent="0.3">
      <c r="N542" s="26"/>
      <c r="O542" s="26"/>
      <c r="P542" s="26"/>
      <c r="Q542" s="26"/>
      <c r="R542" s="26"/>
    </row>
    <row r="543" spans="14:18" x14ac:dyDescent="0.3">
      <c r="N543" s="26"/>
      <c r="O543" s="26"/>
      <c r="P543" s="26"/>
      <c r="Q543" s="26"/>
      <c r="R543" s="26"/>
    </row>
    <row r="544" spans="14:18" x14ac:dyDescent="0.3">
      <c r="N544" s="26"/>
      <c r="O544" s="26"/>
      <c r="P544" s="26"/>
      <c r="Q544" s="26"/>
      <c r="R544" s="26"/>
    </row>
    <row r="545" spans="14:18" x14ac:dyDescent="0.3">
      <c r="N545" s="26"/>
      <c r="O545" s="26"/>
      <c r="P545" s="26"/>
      <c r="Q545" s="26"/>
      <c r="R545" s="26"/>
    </row>
    <row r="546" spans="14:18" x14ac:dyDescent="0.3">
      <c r="N546" s="26"/>
      <c r="O546" s="26"/>
      <c r="P546" s="26"/>
      <c r="Q546" s="26"/>
      <c r="R546" s="26"/>
    </row>
    <row r="547" spans="14:18" x14ac:dyDescent="0.3">
      <c r="N547" s="26"/>
      <c r="O547" s="26"/>
      <c r="P547" s="26"/>
      <c r="Q547" s="26"/>
      <c r="R547" s="26"/>
    </row>
    <row r="548" spans="14:18" x14ac:dyDescent="0.3">
      <c r="N548" s="26"/>
      <c r="O548" s="26"/>
      <c r="P548" s="26"/>
      <c r="Q548" s="26"/>
      <c r="R548" s="26"/>
    </row>
    <row r="549" spans="14:18" x14ac:dyDescent="0.3">
      <c r="N549" s="26"/>
      <c r="O549" s="26"/>
      <c r="P549" s="26"/>
      <c r="Q549" s="26"/>
      <c r="R549" s="26"/>
    </row>
    <row r="550" spans="14:18" x14ac:dyDescent="0.3">
      <c r="N550" s="26"/>
      <c r="O550" s="26"/>
      <c r="P550" s="26"/>
      <c r="Q550" s="26"/>
      <c r="R550" s="26"/>
    </row>
    <row r="551" spans="14:18" x14ac:dyDescent="0.3">
      <c r="N551" s="26"/>
      <c r="O551" s="26"/>
      <c r="P551" s="26"/>
      <c r="Q551" s="26"/>
      <c r="R551" s="26"/>
    </row>
    <row r="552" spans="14:18" x14ac:dyDescent="0.3">
      <c r="N552" s="26"/>
      <c r="O552" s="26"/>
      <c r="P552" s="26"/>
      <c r="Q552" s="26"/>
      <c r="R552" s="26"/>
    </row>
    <row r="553" spans="14:18" x14ac:dyDescent="0.3">
      <c r="N553" s="26"/>
      <c r="O553" s="26"/>
      <c r="P553" s="26"/>
      <c r="Q553" s="26"/>
      <c r="R553" s="26"/>
    </row>
    <row r="554" spans="14:18" x14ac:dyDescent="0.3">
      <c r="N554" s="26"/>
      <c r="O554" s="26"/>
      <c r="P554" s="26"/>
      <c r="Q554" s="26"/>
      <c r="R554" s="26"/>
    </row>
    <row r="555" spans="14:18" x14ac:dyDescent="0.3">
      <c r="N555" s="26"/>
      <c r="O555" s="26"/>
      <c r="P555" s="26"/>
      <c r="Q555" s="26"/>
      <c r="R555" s="26"/>
    </row>
    <row r="556" spans="14:18" x14ac:dyDescent="0.3">
      <c r="N556" s="26"/>
      <c r="O556" s="26"/>
      <c r="P556" s="26"/>
      <c r="Q556" s="26"/>
      <c r="R556" s="26"/>
    </row>
    <row r="557" spans="14:18" x14ac:dyDescent="0.3">
      <c r="N557" s="26"/>
      <c r="O557" s="26"/>
      <c r="P557" s="26"/>
      <c r="Q557" s="26"/>
      <c r="R557" s="26"/>
    </row>
    <row r="558" spans="14:18" x14ac:dyDescent="0.3">
      <c r="N558" s="26"/>
      <c r="O558" s="26"/>
      <c r="P558" s="26"/>
      <c r="Q558" s="26"/>
      <c r="R558" s="26"/>
    </row>
    <row r="559" spans="14:18" x14ac:dyDescent="0.3">
      <c r="N559" s="26"/>
      <c r="O559" s="26"/>
      <c r="P559" s="26"/>
      <c r="Q559" s="26"/>
      <c r="R559" s="26"/>
    </row>
    <row r="560" spans="14:18" x14ac:dyDescent="0.3">
      <c r="N560" s="26"/>
      <c r="O560" s="26"/>
      <c r="P560" s="26"/>
      <c r="Q560" s="26"/>
      <c r="R560" s="26"/>
    </row>
    <row r="561" spans="14:18" x14ac:dyDescent="0.3">
      <c r="N561" s="26"/>
      <c r="O561" s="26"/>
      <c r="P561" s="26"/>
      <c r="Q561" s="26"/>
      <c r="R561" s="26"/>
    </row>
    <row r="562" spans="14:18" x14ac:dyDescent="0.3">
      <c r="N562" s="26"/>
      <c r="O562" s="26"/>
      <c r="P562" s="26"/>
      <c r="Q562" s="26"/>
      <c r="R562" s="26"/>
    </row>
    <row r="563" spans="14:18" x14ac:dyDescent="0.3">
      <c r="N563" s="26"/>
      <c r="O563" s="26"/>
      <c r="P563" s="26"/>
      <c r="Q563" s="26"/>
      <c r="R563" s="26"/>
    </row>
    <row r="564" spans="14:18" x14ac:dyDescent="0.3">
      <c r="N564" s="26"/>
      <c r="O564" s="26"/>
      <c r="P564" s="26"/>
      <c r="Q564" s="26"/>
      <c r="R564" s="26"/>
    </row>
    <row r="565" spans="14:18" x14ac:dyDescent="0.3">
      <c r="N565" s="26"/>
      <c r="O565" s="26"/>
      <c r="P565" s="26"/>
      <c r="Q565" s="26"/>
      <c r="R565" s="26"/>
    </row>
    <row r="566" spans="14:18" x14ac:dyDescent="0.3">
      <c r="N566" s="26"/>
      <c r="O566" s="26"/>
      <c r="P566" s="26"/>
      <c r="Q566" s="26"/>
      <c r="R566" s="26"/>
    </row>
    <row r="567" spans="14:18" x14ac:dyDescent="0.3">
      <c r="N567" s="26"/>
      <c r="O567" s="26"/>
      <c r="P567" s="26"/>
      <c r="Q567" s="26"/>
      <c r="R567" s="26"/>
    </row>
    <row r="568" spans="14:18" x14ac:dyDescent="0.3">
      <c r="N568" s="26"/>
      <c r="O568" s="26"/>
      <c r="P568" s="26"/>
      <c r="Q568" s="26"/>
      <c r="R568" s="26"/>
    </row>
    <row r="569" spans="14:18" x14ac:dyDescent="0.3">
      <c r="N569" s="26"/>
      <c r="O569" s="26"/>
      <c r="P569" s="26"/>
      <c r="Q569" s="26"/>
      <c r="R569" s="26"/>
    </row>
    <row r="570" spans="14:18" x14ac:dyDescent="0.3">
      <c r="N570" s="26"/>
      <c r="O570" s="26"/>
      <c r="P570" s="26"/>
      <c r="Q570" s="26"/>
      <c r="R570" s="26"/>
    </row>
    <row r="571" spans="14:18" x14ac:dyDescent="0.3">
      <c r="N571" s="26"/>
      <c r="O571" s="26"/>
      <c r="P571" s="26"/>
      <c r="Q571" s="26"/>
      <c r="R571" s="26"/>
    </row>
    <row r="572" spans="14:18" x14ac:dyDescent="0.3">
      <c r="N572" s="26"/>
      <c r="O572" s="26"/>
      <c r="P572" s="26"/>
      <c r="Q572" s="26"/>
      <c r="R572" s="26"/>
    </row>
    <row r="573" spans="14:18" x14ac:dyDescent="0.3">
      <c r="N573" s="26"/>
      <c r="O573" s="26"/>
      <c r="P573" s="26"/>
      <c r="Q573" s="26"/>
      <c r="R573" s="26"/>
    </row>
    <row r="574" spans="14:18" x14ac:dyDescent="0.3">
      <c r="N574" s="26"/>
      <c r="O574" s="26"/>
      <c r="P574" s="26"/>
      <c r="Q574" s="26"/>
      <c r="R574" s="26"/>
    </row>
    <row r="575" spans="14:18" x14ac:dyDescent="0.3">
      <c r="N575" s="26"/>
      <c r="O575" s="26"/>
      <c r="P575" s="26"/>
      <c r="Q575" s="26"/>
      <c r="R575" s="26"/>
    </row>
    <row r="576" spans="14:18" x14ac:dyDescent="0.3">
      <c r="N576" s="26"/>
      <c r="O576" s="26"/>
      <c r="P576" s="26"/>
      <c r="Q576" s="26"/>
      <c r="R576" s="26"/>
    </row>
    <row r="577" spans="14:18" x14ac:dyDescent="0.3">
      <c r="N577" s="26"/>
      <c r="O577" s="26"/>
      <c r="P577" s="26"/>
      <c r="Q577" s="26"/>
      <c r="R577" s="26"/>
    </row>
    <row r="578" spans="14:18" x14ac:dyDescent="0.3">
      <c r="N578" s="26"/>
      <c r="O578" s="26"/>
      <c r="P578" s="26"/>
      <c r="Q578" s="26"/>
      <c r="R578" s="26"/>
    </row>
    <row r="579" spans="14:18" x14ac:dyDescent="0.3">
      <c r="N579" s="26"/>
      <c r="O579" s="26"/>
      <c r="P579" s="26"/>
      <c r="Q579" s="26"/>
      <c r="R579" s="26"/>
    </row>
    <row r="580" spans="14:18" x14ac:dyDescent="0.3">
      <c r="N580" s="26"/>
      <c r="O580" s="26"/>
      <c r="P580" s="26"/>
      <c r="Q580" s="26"/>
      <c r="R580" s="26"/>
    </row>
    <row r="581" spans="14:18" x14ac:dyDescent="0.3">
      <c r="N581" s="26"/>
      <c r="O581" s="26"/>
      <c r="P581" s="26"/>
      <c r="Q581" s="26"/>
      <c r="R581" s="26"/>
    </row>
    <row r="582" spans="14:18" x14ac:dyDescent="0.3">
      <c r="N582" s="26"/>
      <c r="O582" s="26"/>
      <c r="P582" s="26"/>
      <c r="Q582" s="26"/>
      <c r="R582" s="26"/>
    </row>
    <row r="583" spans="14:18" x14ac:dyDescent="0.3">
      <c r="N583" s="26"/>
      <c r="O583" s="26"/>
      <c r="P583" s="26"/>
      <c r="Q583" s="26"/>
      <c r="R583" s="26"/>
    </row>
    <row r="584" spans="14:18" x14ac:dyDescent="0.3">
      <c r="N584" s="26"/>
      <c r="O584" s="26"/>
      <c r="P584" s="26"/>
      <c r="Q584" s="26"/>
      <c r="R584" s="26"/>
    </row>
    <row r="585" spans="14:18" x14ac:dyDescent="0.3">
      <c r="N585" s="26"/>
      <c r="O585" s="26"/>
      <c r="P585" s="26"/>
      <c r="Q585" s="26"/>
      <c r="R585" s="26"/>
    </row>
    <row r="586" spans="14:18" x14ac:dyDescent="0.3">
      <c r="N586" s="26"/>
      <c r="O586" s="26"/>
      <c r="P586" s="26"/>
      <c r="Q586" s="26"/>
      <c r="R586" s="26"/>
    </row>
    <row r="587" spans="14:18" x14ac:dyDescent="0.3">
      <c r="N587" s="26"/>
      <c r="O587" s="26"/>
      <c r="P587" s="26"/>
      <c r="Q587" s="26"/>
      <c r="R587" s="26"/>
    </row>
    <row r="588" spans="14:18" x14ac:dyDescent="0.3">
      <c r="N588" s="26"/>
      <c r="O588" s="26"/>
      <c r="P588" s="26"/>
      <c r="Q588" s="26"/>
      <c r="R588" s="26"/>
    </row>
    <row r="589" spans="14:18" x14ac:dyDescent="0.3">
      <c r="N589" s="26"/>
      <c r="O589" s="26"/>
      <c r="P589" s="26"/>
      <c r="Q589" s="26"/>
      <c r="R589" s="26"/>
    </row>
    <row r="590" spans="14:18" x14ac:dyDescent="0.3">
      <c r="N590" s="26"/>
      <c r="O590" s="26"/>
      <c r="P590" s="26"/>
      <c r="Q590" s="26"/>
      <c r="R590" s="26"/>
    </row>
    <row r="591" spans="14:18" x14ac:dyDescent="0.3">
      <c r="N591" s="26"/>
      <c r="O591" s="26"/>
      <c r="P591" s="26"/>
      <c r="Q591" s="26"/>
      <c r="R591" s="26"/>
    </row>
    <row r="592" spans="14:18" x14ac:dyDescent="0.3">
      <c r="N592" s="26"/>
      <c r="O592" s="26"/>
      <c r="P592" s="26"/>
      <c r="Q592" s="26"/>
      <c r="R592" s="26"/>
    </row>
    <row r="593" spans="14:18" x14ac:dyDescent="0.3">
      <c r="N593" s="26"/>
      <c r="O593" s="26"/>
      <c r="P593" s="26"/>
      <c r="Q593" s="26"/>
      <c r="R593" s="26"/>
    </row>
    <row r="594" spans="14:18" x14ac:dyDescent="0.3">
      <c r="N594" s="26"/>
      <c r="O594" s="26"/>
      <c r="P594" s="26"/>
      <c r="Q594" s="26"/>
      <c r="R594" s="26"/>
    </row>
    <row r="595" spans="14:18" x14ac:dyDescent="0.3">
      <c r="N595" s="26"/>
      <c r="O595" s="26"/>
      <c r="P595" s="26"/>
      <c r="Q595" s="26"/>
      <c r="R595" s="26"/>
    </row>
    <row r="596" spans="14:18" x14ac:dyDescent="0.3">
      <c r="N596" s="26"/>
      <c r="O596" s="26"/>
      <c r="P596" s="26"/>
      <c r="Q596" s="26"/>
      <c r="R596" s="26"/>
    </row>
    <row r="597" spans="14:18" x14ac:dyDescent="0.3">
      <c r="N597" s="26"/>
      <c r="O597" s="26"/>
      <c r="P597" s="26"/>
      <c r="Q597" s="26"/>
      <c r="R597" s="26"/>
    </row>
    <row r="598" spans="14:18" x14ac:dyDescent="0.3">
      <c r="N598" s="26"/>
      <c r="O598" s="26"/>
      <c r="P598" s="26"/>
      <c r="Q598" s="26"/>
      <c r="R598" s="26"/>
    </row>
    <row r="599" spans="14:18" x14ac:dyDescent="0.3">
      <c r="N599" s="26"/>
      <c r="O599" s="26"/>
      <c r="P599" s="26"/>
      <c r="Q599" s="26"/>
      <c r="R599" s="26"/>
    </row>
    <row r="600" spans="14:18" x14ac:dyDescent="0.3">
      <c r="N600" s="26"/>
      <c r="O600" s="26"/>
      <c r="P600" s="26"/>
      <c r="Q600" s="26"/>
      <c r="R600" s="26"/>
    </row>
    <row r="601" spans="14:18" x14ac:dyDescent="0.3">
      <c r="N601" s="26"/>
      <c r="O601" s="26"/>
      <c r="P601" s="26"/>
      <c r="Q601" s="26"/>
      <c r="R601" s="26"/>
    </row>
    <row r="602" spans="14:18" x14ac:dyDescent="0.3">
      <c r="N602" s="26"/>
      <c r="O602" s="26"/>
      <c r="P602" s="26"/>
      <c r="Q602" s="26"/>
      <c r="R602" s="26"/>
    </row>
    <row r="603" spans="14:18" x14ac:dyDescent="0.3">
      <c r="N603" s="26"/>
      <c r="O603" s="26"/>
      <c r="P603" s="26"/>
      <c r="Q603" s="26"/>
      <c r="R603" s="26"/>
    </row>
    <row r="604" spans="14:18" x14ac:dyDescent="0.3">
      <c r="N604" s="26"/>
      <c r="O604" s="26"/>
      <c r="P604" s="26"/>
      <c r="Q604" s="26"/>
      <c r="R604" s="26"/>
    </row>
    <row r="605" spans="14:18" x14ac:dyDescent="0.3">
      <c r="N605" s="26"/>
      <c r="O605" s="26"/>
      <c r="P605" s="26"/>
      <c r="Q605" s="26"/>
      <c r="R605" s="26"/>
    </row>
    <row r="606" spans="14:18" x14ac:dyDescent="0.3">
      <c r="N606" s="26"/>
      <c r="O606" s="26"/>
      <c r="P606" s="26"/>
      <c r="Q606" s="26"/>
      <c r="R606" s="26"/>
    </row>
    <row r="607" spans="14:18" x14ac:dyDescent="0.3">
      <c r="N607" s="26"/>
      <c r="O607" s="26"/>
      <c r="P607" s="26"/>
      <c r="Q607" s="26"/>
      <c r="R607" s="26"/>
    </row>
    <row r="608" spans="14:18" x14ac:dyDescent="0.3">
      <c r="N608" s="26"/>
      <c r="O608" s="26"/>
      <c r="P608" s="26"/>
      <c r="Q608" s="26"/>
      <c r="R608" s="26"/>
    </row>
    <row r="609" spans="14:18" x14ac:dyDescent="0.3">
      <c r="N609" s="26"/>
      <c r="O609" s="26"/>
      <c r="P609" s="26"/>
      <c r="Q609" s="26"/>
      <c r="R609" s="26"/>
    </row>
    <row r="610" spans="14:18" x14ac:dyDescent="0.3">
      <c r="N610" s="26"/>
      <c r="O610" s="26"/>
      <c r="P610" s="26"/>
      <c r="Q610" s="26"/>
      <c r="R610" s="26"/>
    </row>
    <row r="611" spans="14:18" x14ac:dyDescent="0.3">
      <c r="N611" s="26"/>
      <c r="O611" s="26"/>
      <c r="P611" s="26"/>
      <c r="Q611" s="26"/>
      <c r="R611" s="26"/>
    </row>
    <row r="612" spans="14:18" x14ac:dyDescent="0.3">
      <c r="N612" s="26"/>
      <c r="O612" s="26"/>
      <c r="P612" s="26"/>
      <c r="Q612" s="26"/>
      <c r="R612" s="26"/>
    </row>
    <row r="613" spans="14:18" x14ac:dyDescent="0.3">
      <c r="N613" s="26"/>
      <c r="O613" s="26"/>
      <c r="P613" s="26"/>
      <c r="Q613" s="26"/>
      <c r="R613" s="26"/>
    </row>
    <row r="614" spans="14:18" x14ac:dyDescent="0.3">
      <c r="N614" s="26"/>
      <c r="O614" s="26"/>
      <c r="P614" s="26"/>
      <c r="Q614" s="26"/>
      <c r="R614" s="26"/>
    </row>
    <row r="615" spans="14:18" x14ac:dyDescent="0.3">
      <c r="N615" s="26"/>
      <c r="O615" s="26"/>
      <c r="P615" s="26"/>
      <c r="Q615" s="26"/>
      <c r="R615" s="26"/>
    </row>
    <row r="616" spans="14:18" x14ac:dyDescent="0.3">
      <c r="N616" s="26"/>
      <c r="O616" s="26"/>
      <c r="P616" s="26"/>
      <c r="Q616" s="26"/>
      <c r="R616" s="26"/>
    </row>
    <row r="617" spans="14:18" x14ac:dyDescent="0.3">
      <c r="N617" s="26"/>
      <c r="O617" s="26"/>
      <c r="P617" s="26"/>
      <c r="Q617" s="26"/>
      <c r="R617" s="26"/>
    </row>
    <row r="618" spans="14:18" x14ac:dyDescent="0.3">
      <c r="N618" s="26"/>
      <c r="O618" s="26"/>
      <c r="P618" s="26"/>
      <c r="Q618" s="26"/>
      <c r="R618" s="26"/>
    </row>
    <row r="619" spans="14:18" x14ac:dyDescent="0.3">
      <c r="N619" s="26"/>
      <c r="O619" s="26"/>
      <c r="P619" s="26"/>
      <c r="Q619" s="26"/>
      <c r="R619" s="26"/>
    </row>
    <row r="620" spans="14:18" x14ac:dyDescent="0.3">
      <c r="N620" s="26"/>
      <c r="O620" s="26"/>
      <c r="P620" s="26"/>
      <c r="Q620" s="26"/>
      <c r="R620" s="26"/>
    </row>
    <row r="621" spans="14:18" x14ac:dyDescent="0.3">
      <c r="N621" s="26"/>
      <c r="O621" s="26"/>
      <c r="P621" s="26"/>
      <c r="Q621" s="26"/>
      <c r="R621" s="26"/>
    </row>
    <row r="622" spans="14:18" x14ac:dyDescent="0.3">
      <c r="N622" s="26"/>
      <c r="O622" s="26"/>
      <c r="P622" s="26"/>
      <c r="Q622" s="26"/>
      <c r="R622" s="26"/>
    </row>
    <row r="623" spans="14:18" x14ac:dyDescent="0.3">
      <c r="N623" s="26"/>
      <c r="O623" s="26"/>
      <c r="P623" s="26"/>
      <c r="Q623" s="26"/>
      <c r="R623" s="26"/>
    </row>
    <row r="624" spans="14:18" x14ac:dyDescent="0.3">
      <c r="N624" s="26"/>
      <c r="O624" s="26"/>
      <c r="P624" s="26"/>
      <c r="Q624" s="26"/>
      <c r="R624" s="26"/>
    </row>
    <row r="625" spans="14:18" x14ac:dyDescent="0.3">
      <c r="N625" s="26"/>
      <c r="O625" s="26"/>
      <c r="P625" s="26"/>
      <c r="Q625" s="26"/>
      <c r="R625" s="26"/>
    </row>
    <row r="626" spans="14:18" x14ac:dyDescent="0.3">
      <c r="N626" s="26"/>
      <c r="O626" s="26"/>
      <c r="P626" s="26"/>
      <c r="Q626" s="26"/>
      <c r="R626" s="26"/>
    </row>
    <row r="627" spans="14:18" x14ac:dyDescent="0.3">
      <c r="N627" s="26"/>
      <c r="O627" s="26"/>
      <c r="P627" s="26"/>
      <c r="Q627" s="26"/>
      <c r="R627" s="26"/>
    </row>
    <row r="628" spans="14:18" x14ac:dyDescent="0.3">
      <c r="N628" s="26"/>
      <c r="O628" s="26"/>
      <c r="P628" s="26"/>
      <c r="Q628" s="26"/>
      <c r="R628" s="26"/>
    </row>
    <row r="629" spans="14:18" x14ac:dyDescent="0.3">
      <c r="N629" s="26"/>
      <c r="O629" s="26"/>
      <c r="P629" s="26"/>
      <c r="Q629" s="26"/>
      <c r="R629" s="26"/>
    </row>
    <row r="630" spans="14:18" x14ac:dyDescent="0.3">
      <c r="N630" s="26"/>
      <c r="O630" s="26"/>
      <c r="P630" s="26"/>
      <c r="Q630" s="26"/>
      <c r="R630" s="26"/>
    </row>
    <row r="631" spans="14:18" x14ac:dyDescent="0.3">
      <c r="N631" s="26"/>
      <c r="O631" s="26"/>
      <c r="P631" s="26"/>
      <c r="Q631" s="26"/>
      <c r="R631" s="26"/>
    </row>
    <row r="632" spans="14:18" x14ac:dyDescent="0.3">
      <c r="N632" s="26"/>
      <c r="O632" s="26"/>
      <c r="P632" s="26"/>
      <c r="Q632" s="26"/>
      <c r="R632" s="26"/>
    </row>
    <row r="633" spans="14:18" x14ac:dyDescent="0.3">
      <c r="N633" s="26"/>
      <c r="O633" s="26"/>
      <c r="P633" s="26"/>
      <c r="Q633" s="26"/>
      <c r="R633" s="26"/>
    </row>
    <row r="634" spans="14:18" x14ac:dyDescent="0.3">
      <c r="N634" s="26"/>
      <c r="O634" s="26"/>
      <c r="P634" s="26"/>
      <c r="Q634" s="26"/>
      <c r="R634" s="26"/>
    </row>
    <row r="635" spans="14:18" x14ac:dyDescent="0.3">
      <c r="N635" s="26"/>
      <c r="O635" s="26"/>
      <c r="P635" s="26"/>
      <c r="Q635" s="26"/>
      <c r="R635" s="26"/>
    </row>
    <row r="636" spans="14:18" x14ac:dyDescent="0.3">
      <c r="N636" s="26"/>
      <c r="O636" s="26"/>
      <c r="P636" s="26"/>
      <c r="Q636" s="26"/>
      <c r="R636" s="26"/>
    </row>
    <row r="637" spans="14:18" x14ac:dyDescent="0.3">
      <c r="N637" s="26"/>
      <c r="O637" s="26"/>
      <c r="P637" s="26"/>
      <c r="Q637" s="26"/>
      <c r="R637" s="26"/>
    </row>
    <row r="638" spans="14:18" x14ac:dyDescent="0.3">
      <c r="N638" s="26"/>
      <c r="O638" s="26"/>
      <c r="P638" s="26"/>
      <c r="Q638" s="26"/>
      <c r="R638" s="26"/>
    </row>
    <row r="639" spans="14:18" x14ac:dyDescent="0.3">
      <c r="N639" s="26"/>
      <c r="O639" s="26"/>
      <c r="P639" s="26"/>
      <c r="Q639" s="26"/>
      <c r="R639" s="26"/>
    </row>
    <row r="640" spans="14:18" x14ac:dyDescent="0.3">
      <c r="N640" s="26"/>
      <c r="O640" s="26"/>
      <c r="P640" s="26"/>
      <c r="Q640" s="26"/>
      <c r="R640" s="26"/>
    </row>
    <row r="641" spans="14:18" x14ac:dyDescent="0.3">
      <c r="N641" s="26"/>
      <c r="O641" s="26"/>
      <c r="P641" s="26"/>
      <c r="Q641" s="26"/>
      <c r="R641" s="26"/>
    </row>
    <row r="642" spans="14:18" x14ac:dyDescent="0.3">
      <c r="N642" s="26"/>
      <c r="O642" s="26"/>
      <c r="P642" s="26"/>
      <c r="Q642" s="26"/>
      <c r="R642" s="26"/>
    </row>
    <row r="643" spans="14:18" x14ac:dyDescent="0.3">
      <c r="N643" s="26"/>
      <c r="O643" s="26"/>
      <c r="P643" s="26"/>
      <c r="Q643" s="26"/>
      <c r="R643" s="26"/>
    </row>
    <row r="644" spans="14:18" x14ac:dyDescent="0.3">
      <c r="N644" s="26"/>
      <c r="O644" s="26"/>
      <c r="P644" s="26"/>
      <c r="Q644" s="26"/>
      <c r="R644" s="26"/>
    </row>
    <row r="645" spans="14:18" x14ac:dyDescent="0.3">
      <c r="N645" s="26"/>
      <c r="O645" s="26"/>
      <c r="P645" s="26"/>
      <c r="Q645" s="26"/>
      <c r="R645" s="26"/>
    </row>
    <row r="646" spans="14:18" x14ac:dyDescent="0.3">
      <c r="N646" s="26"/>
      <c r="O646" s="26"/>
      <c r="P646" s="26"/>
      <c r="Q646" s="26"/>
      <c r="R646" s="26"/>
    </row>
    <row r="647" spans="14:18" x14ac:dyDescent="0.3">
      <c r="N647" s="26"/>
      <c r="O647" s="26"/>
      <c r="P647" s="26"/>
      <c r="Q647" s="26"/>
      <c r="R647" s="26"/>
    </row>
    <row r="648" spans="14:18" x14ac:dyDescent="0.3">
      <c r="N648" s="26"/>
      <c r="O648" s="26"/>
      <c r="P648" s="26"/>
      <c r="Q648" s="26"/>
      <c r="R648" s="26"/>
    </row>
    <row r="649" spans="14:18" x14ac:dyDescent="0.3">
      <c r="N649" s="26"/>
      <c r="O649" s="26"/>
      <c r="P649" s="26"/>
      <c r="Q649" s="26"/>
      <c r="R649" s="26"/>
    </row>
    <row r="650" spans="14:18" x14ac:dyDescent="0.3">
      <c r="N650" s="26"/>
      <c r="O650" s="26"/>
      <c r="P650" s="26"/>
      <c r="Q650" s="26"/>
      <c r="R650" s="26"/>
    </row>
    <row r="651" spans="14:18" x14ac:dyDescent="0.3">
      <c r="N651" s="26"/>
      <c r="O651" s="26"/>
      <c r="P651" s="26"/>
      <c r="Q651" s="26"/>
      <c r="R651" s="26"/>
    </row>
    <row r="652" spans="14:18" x14ac:dyDescent="0.3">
      <c r="N652" s="26"/>
      <c r="O652" s="26"/>
      <c r="P652" s="26"/>
      <c r="Q652" s="26"/>
      <c r="R652" s="26"/>
    </row>
    <row r="653" spans="14:18" x14ac:dyDescent="0.3">
      <c r="N653" s="26"/>
      <c r="O653" s="26"/>
      <c r="P653" s="26"/>
      <c r="Q653" s="26"/>
      <c r="R653" s="26"/>
    </row>
    <row r="654" spans="14:18" x14ac:dyDescent="0.3">
      <c r="N654" s="26"/>
      <c r="O654" s="26"/>
      <c r="P654" s="26"/>
      <c r="Q654" s="26"/>
      <c r="R654" s="26"/>
    </row>
    <row r="655" spans="14:18" x14ac:dyDescent="0.3">
      <c r="N655" s="26"/>
      <c r="O655" s="26"/>
      <c r="P655" s="26"/>
      <c r="Q655" s="26"/>
      <c r="R655" s="26"/>
    </row>
    <row r="656" spans="14:18" x14ac:dyDescent="0.3">
      <c r="N656" s="26"/>
      <c r="O656" s="26"/>
      <c r="P656" s="26"/>
      <c r="Q656" s="26"/>
      <c r="R656" s="26"/>
    </row>
    <row r="657" spans="14:18" x14ac:dyDescent="0.3">
      <c r="N657" s="26"/>
      <c r="O657" s="26"/>
      <c r="P657" s="26"/>
      <c r="Q657" s="26"/>
      <c r="R657" s="26"/>
    </row>
    <row r="658" spans="14:18" x14ac:dyDescent="0.3">
      <c r="N658" s="26"/>
      <c r="O658" s="26"/>
      <c r="P658" s="26"/>
      <c r="Q658" s="26"/>
      <c r="R658" s="26"/>
    </row>
    <row r="659" spans="14:18" x14ac:dyDescent="0.3">
      <c r="N659" s="26"/>
      <c r="O659" s="26"/>
      <c r="P659" s="26"/>
      <c r="Q659" s="26"/>
      <c r="R659" s="26"/>
    </row>
    <row r="660" spans="14:18" x14ac:dyDescent="0.3">
      <c r="N660" s="26"/>
      <c r="O660" s="26"/>
      <c r="P660" s="26"/>
      <c r="Q660" s="26"/>
      <c r="R660" s="26"/>
    </row>
    <row r="661" spans="14:18" x14ac:dyDescent="0.3">
      <c r="N661" s="26"/>
      <c r="O661" s="26"/>
      <c r="P661" s="26"/>
      <c r="Q661" s="26"/>
      <c r="R661" s="26"/>
    </row>
    <row r="662" spans="14:18" x14ac:dyDescent="0.3">
      <c r="N662" s="26"/>
      <c r="O662" s="26"/>
      <c r="P662" s="26"/>
      <c r="Q662" s="26"/>
      <c r="R662" s="26"/>
    </row>
    <row r="663" spans="14:18" x14ac:dyDescent="0.3">
      <c r="N663" s="26"/>
      <c r="O663" s="26"/>
      <c r="P663" s="26"/>
      <c r="Q663" s="26"/>
      <c r="R663" s="26"/>
    </row>
    <row r="664" spans="14:18" x14ac:dyDescent="0.3">
      <c r="N664" s="26"/>
      <c r="O664" s="26"/>
      <c r="P664" s="26"/>
      <c r="Q664" s="26"/>
      <c r="R664" s="26"/>
    </row>
    <row r="665" spans="14:18" x14ac:dyDescent="0.3">
      <c r="N665" s="26"/>
      <c r="O665" s="26"/>
      <c r="P665" s="26"/>
      <c r="Q665" s="26"/>
      <c r="R665" s="26"/>
    </row>
    <row r="666" spans="14:18" x14ac:dyDescent="0.3">
      <c r="N666" s="26"/>
      <c r="O666" s="26"/>
      <c r="P666" s="26"/>
      <c r="Q666" s="26"/>
      <c r="R666" s="26"/>
    </row>
    <row r="667" spans="14:18" x14ac:dyDescent="0.3">
      <c r="N667" s="26"/>
      <c r="O667" s="26"/>
      <c r="P667" s="26"/>
      <c r="Q667" s="26"/>
      <c r="R667" s="26"/>
    </row>
    <row r="668" spans="14:18" x14ac:dyDescent="0.3">
      <c r="N668" s="26"/>
      <c r="O668" s="26"/>
      <c r="P668" s="26"/>
      <c r="Q668" s="26"/>
      <c r="R668" s="26"/>
    </row>
    <row r="669" spans="14:18" x14ac:dyDescent="0.3">
      <c r="N669" s="26"/>
      <c r="O669" s="26"/>
      <c r="P669" s="26"/>
      <c r="Q669" s="26"/>
      <c r="R669" s="26"/>
    </row>
    <row r="670" spans="14:18" x14ac:dyDescent="0.3">
      <c r="N670" s="26"/>
      <c r="O670" s="26"/>
      <c r="P670" s="26"/>
      <c r="Q670" s="26"/>
      <c r="R670" s="26"/>
    </row>
    <row r="671" spans="14:18" x14ac:dyDescent="0.3">
      <c r="N671" s="26"/>
      <c r="O671" s="26"/>
      <c r="P671" s="26"/>
      <c r="Q671" s="26"/>
      <c r="R671" s="26"/>
    </row>
    <row r="672" spans="14:18" x14ac:dyDescent="0.3">
      <c r="N672" s="26"/>
      <c r="O672" s="26"/>
      <c r="P672" s="26"/>
      <c r="Q672" s="26"/>
      <c r="R672" s="26"/>
    </row>
    <row r="673" spans="14:18" x14ac:dyDescent="0.3">
      <c r="N673" s="26"/>
      <c r="O673" s="26"/>
      <c r="P673" s="26"/>
      <c r="Q673" s="26"/>
      <c r="R673" s="26"/>
    </row>
    <row r="674" spans="14:18" x14ac:dyDescent="0.3">
      <c r="N674" s="26"/>
      <c r="O674" s="26"/>
      <c r="P674" s="26"/>
      <c r="Q674" s="26"/>
      <c r="R674" s="26"/>
    </row>
    <row r="675" spans="14:18" x14ac:dyDescent="0.3">
      <c r="N675" s="26"/>
      <c r="O675" s="26"/>
      <c r="P675" s="26"/>
      <c r="Q675" s="26"/>
      <c r="R675" s="26"/>
    </row>
    <row r="676" spans="14:18" x14ac:dyDescent="0.3">
      <c r="N676" s="26"/>
      <c r="O676" s="26"/>
      <c r="P676" s="26"/>
      <c r="Q676" s="26"/>
      <c r="R676" s="26"/>
    </row>
    <row r="677" spans="14:18" x14ac:dyDescent="0.3">
      <c r="N677" s="26"/>
      <c r="O677" s="26"/>
      <c r="P677" s="26"/>
      <c r="Q677" s="26"/>
      <c r="R677" s="26"/>
    </row>
    <row r="678" spans="14:18" x14ac:dyDescent="0.3">
      <c r="N678" s="26"/>
      <c r="O678" s="26"/>
      <c r="P678" s="26"/>
      <c r="Q678" s="26"/>
      <c r="R678" s="26"/>
    </row>
    <row r="679" spans="14:18" x14ac:dyDescent="0.3">
      <c r="N679" s="26"/>
      <c r="O679" s="26"/>
      <c r="P679" s="26"/>
      <c r="Q679" s="26"/>
      <c r="R679" s="26"/>
    </row>
    <row r="680" spans="14:18" x14ac:dyDescent="0.3">
      <c r="N680" s="26"/>
      <c r="O680" s="26"/>
      <c r="P680" s="26"/>
      <c r="Q680" s="26"/>
      <c r="R680" s="26"/>
    </row>
    <row r="681" spans="14:18" x14ac:dyDescent="0.3">
      <c r="N681" s="26"/>
      <c r="O681" s="26"/>
      <c r="P681" s="26"/>
      <c r="Q681" s="26"/>
      <c r="R681" s="26"/>
    </row>
    <row r="682" spans="14:18" x14ac:dyDescent="0.3">
      <c r="N682" s="26"/>
      <c r="O682" s="26"/>
      <c r="P682" s="26"/>
      <c r="Q682" s="26"/>
      <c r="R682" s="26"/>
    </row>
    <row r="683" spans="14:18" x14ac:dyDescent="0.3">
      <c r="N683" s="26"/>
      <c r="O683" s="26"/>
      <c r="P683" s="26"/>
      <c r="Q683" s="26"/>
      <c r="R683" s="26"/>
    </row>
    <row r="684" spans="14:18" x14ac:dyDescent="0.3">
      <c r="N684" s="26"/>
      <c r="O684" s="26"/>
      <c r="P684" s="26"/>
      <c r="Q684" s="26"/>
      <c r="R684" s="26"/>
    </row>
    <row r="685" spans="14:18" x14ac:dyDescent="0.3">
      <c r="N685" s="26"/>
      <c r="O685" s="26"/>
      <c r="P685" s="26"/>
      <c r="Q685" s="26"/>
      <c r="R685" s="26"/>
    </row>
    <row r="686" spans="14:18" x14ac:dyDescent="0.3">
      <c r="N686" s="26"/>
      <c r="O686" s="26"/>
      <c r="P686" s="26"/>
      <c r="Q686" s="26"/>
      <c r="R686" s="26"/>
    </row>
    <row r="687" spans="14:18" x14ac:dyDescent="0.3">
      <c r="N687" s="26"/>
      <c r="O687" s="26"/>
      <c r="P687" s="26"/>
      <c r="Q687" s="26"/>
      <c r="R687" s="26"/>
    </row>
    <row r="688" spans="14:18" x14ac:dyDescent="0.3">
      <c r="N688" s="26"/>
      <c r="O688" s="26"/>
      <c r="P688" s="26"/>
      <c r="Q688" s="26"/>
      <c r="R688" s="26"/>
    </row>
    <row r="689" spans="14:18" x14ac:dyDescent="0.3">
      <c r="N689" s="26"/>
      <c r="O689" s="26"/>
      <c r="P689" s="26"/>
      <c r="Q689" s="26"/>
      <c r="R689" s="26"/>
    </row>
    <row r="690" spans="14:18" x14ac:dyDescent="0.3">
      <c r="N690" s="26"/>
      <c r="O690" s="26"/>
      <c r="P690" s="26"/>
      <c r="Q690" s="26"/>
      <c r="R690" s="26"/>
    </row>
    <row r="691" spans="14:18" x14ac:dyDescent="0.3">
      <c r="N691" s="26"/>
      <c r="O691" s="26"/>
      <c r="P691" s="26"/>
      <c r="Q691" s="26"/>
      <c r="R691" s="26"/>
    </row>
    <row r="692" spans="14:18" x14ac:dyDescent="0.3">
      <c r="N692" s="26"/>
      <c r="O692" s="26"/>
      <c r="P692" s="26"/>
      <c r="Q692" s="26"/>
      <c r="R692" s="26"/>
    </row>
    <row r="693" spans="14:18" x14ac:dyDescent="0.3">
      <c r="N693" s="26"/>
      <c r="O693" s="26"/>
      <c r="P693" s="26"/>
      <c r="Q693" s="26"/>
      <c r="R693" s="26"/>
    </row>
    <row r="694" spans="14:18" x14ac:dyDescent="0.3">
      <c r="N694" s="26"/>
      <c r="O694" s="26"/>
      <c r="P694" s="26"/>
      <c r="Q694" s="26"/>
      <c r="R694" s="26"/>
    </row>
    <row r="695" spans="14:18" x14ac:dyDescent="0.3">
      <c r="N695" s="26"/>
      <c r="O695" s="26"/>
      <c r="P695" s="26"/>
      <c r="Q695" s="26"/>
      <c r="R695" s="26"/>
    </row>
    <row r="696" spans="14:18" x14ac:dyDescent="0.3">
      <c r="N696" s="26"/>
      <c r="O696" s="26"/>
      <c r="P696" s="26"/>
      <c r="Q696" s="26"/>
      <c r="R696" s="26"/>
    </row>
    <row r="697" spans="14:18" x14ac:dyDescent="0.3">
      <c r="N697" s="26"/>
      <c r="O697" s="26"/>
      <c r="P697" s="26"/>
      <c r="Q697" s="26"/>
      <c r="R697" s="26"/>
    </row>
    <row r="698" spans="14:18" x14ac:dyDescent="0.3">
      <c r="N698" s="26"/>
      <c r="O698" s="26"/>
      <c r="P698" s="26"/>
      <c r="Q698" s="26"/>
      <c r="R698" s="26"/>
    </row>
    <row r="699" spans="14:18" x14ac:dyDescent="0.3">
      <c r="N699" s="26"/>
      <c r="O699" s="26"/>
      <c r="P699" s="26"/>
      <c r="Q699" s="26"/>
      <c r="R699" s="26"/>
    </row>
    <row r="700" spans="14:18" x14ac:dyDescent="0.3">
      <c r="N700" s="26"/>
      <c r="O700" s="26"/>
      <c r="P700" s="26"/>
      <c r="Q700" s="26"/>
      <c r="R700" s="26"/>
    </row>
    <row r="701" spans="14:18" x14ac:dyDescent="0.3">
      <c r="N701" s="26"/>
      <c r="O701" s="26"/>
      <c r="P701" s="26"/>
      <c r="Q701" s="26"/>
      <c r="R701" s="26"/>
    </row>
    <row r="702" spans="14:18" x14ac:dyDescent="0.3">
      <c r="N702" s="26"/>
      <c r="O702" s="26"/>
      <c r="P702" s="26"/>
      <c r="Q702" s="26"/>
      <c r="R702" s="26"/>
    </row>
    <row r="703" spans="14:18" x14ac:dyDescent="0.3">
      <c r="N703" s="26"/>
      <c r="O703" s="26"/>
      <c r="P703" s="26"/>
      <c r="Q703" s="26"/>
      <c r="R703" s="26"/>
    </row>
    <row r="704" spans="14:18" x14ac:dyDescent="0.3">
      <c r="N704" s="26"/>
      <c r="O704" s="26"/>
      <c r="P704" s="26"/>
      <c r="Q704" s="26"/>
      <c r="R704" s="26"/>
    </row>
    <row r="705" spans="14:18" x14ac:dyDescent="0.3">
      <c r="N705" s="26"/>
      <c r="O705" s="26"/>
      <c r="P705" s="26"/>
      <c r="Q705" s="26"/>
      <c r="R705" s="26"/>
    </row>
    <row r="706" spans="14:18" x14ac:dyDescent="0.3">
      <c r="N706" s="26"/>
      <c r="O706" s="26"/>
      <c r="P706" s="26"/>
      <c r="Q706" s="26"/>
      <c r="R706" s="26"/>
    </row>
    <row r="707" spans="14:18" x14ac:dyDescent="0.3">
      <c r="N707" s="26"/>
      <c r="O707" s="26"/>
      <c r="P707" s="26"/>
      <c r="Q707" s="26"/>
      <c r="R707" s="26"/>
    </row>
    <row r="708" spans="14:18" x14ac:dyDescent="0.3">
      <c r="N708" s="26"/>
      <c r="O708" s="26"/>
      <c r="P708" s="26"/>
      <c r="Q708" s="26"/>
      <c r="R708" s="26"/>
    </row>
    <row r="709" spans="14:18" x14ac:dyDescent="0.3">
      <c r="N709" s="26"/>
      <c r="O709" s="26"/>
      <c r="P709" s="26"/>
      <c r="Q709" s="26"/>
      <c r="R709" s="26"/>
    </row>
    <row r="710" spans="14:18" x14ac:dyDescent="0.3">
      <c r="N710" s="26"/>
      <c r="O710" s="26"/>
      <c r="P710" s="26"/>
      <c r="Q710" s="26"/>
      <c r="R710" s="26"/>
    </row>
    <row r="711" spans="14:18" x14ac:dyDescent="0.3">
      <c r="N711" s="26"/>
      <c r="O711" s="26"/>
      <c r="P711" s="26"/>
      <c r="Q711" s="26"/>
      <c r="R711" s="26"/>
    </row>
    <row r="712" spans="14:18" x14ac:dyDescent="0.3">
      <c r="N712" s="26"/>
      <c r="O712" s="26"/>
      <c r="P712" s="26"/>
      <c r="Q712" s="26"/>
      <c r="R712" s="26"/>
    </row>
    <row r="713" spans="14:18" x14ac:dyDescent="0.3">
      <c r="N713" s="26"/>
      <c r="O713" s="26"/>
      <c r="P713" s="26"/>
      <c r="Q713" s="26"/>
      <c r="R713" s="26"/>
    </row>
    <row r="714" spans="14:18" x14ac:dyDescent="0.3">
      <c r="N714" s="26"/>
      <c r="O714" s="26"/>
      <c r="P714" s="26"/>
      <c r="Q714" s="26"/>
      <c r="R714" s="26"/>
    </row>
    <row r="715" spans="14:18" x14ac:dyDescent="0.3">
      <c r="N715" s="26"/>
      <c r="O715" s="26"/>
      <c r="P715" s="26"/>
      <c r="Q715" s="26"/>
      <c r="R715" s="26"/>
    </row>
    <row r="716" spans="14:18" x14ac:dyDescent="0.3">
      <c r="N716" s="26"/>
      <c r="O716" s="26"/>
      <c r="P716" s="26"/>
      <c r="Q716" s="26"/>
      <c r="R716" s="26"/>
    </row>
    <row r="717" spans="14:18" x14ac:dyDescent="0.3">
      <c r="N717" s="26"/>
      <c r="O717" s="26"/>
      <c r="P717" s="26"/>
      <c r="Q717" s="26"/>
      <c r="R717" s="26"/>
    </row>
    <row r="718" spans="14:18" x14ac:dyDescent="0.3">
      <c r="N718" s="26"/>
      <c r="O718" s="26"/>
      <c r="P718" s="26"/>
      <c r="Q718" s="26"/>
      <c r="R718" s="26"/>
    </row>
    <row r="719" spans="14:18" x14ac:dyDescent="0.3">
      <c r="N719" s="26"/>
      <c r="O719" s="26"/>
      <c r="P719" s="26"/>
      <c r="Q719" s="26"/>
      <c r="R719" s="26"/>
    </row>
    <row r="720" spans="14:18" x14ac:dyDescent="0.3">
      <c r="N720" s="26"/>
      <c r="O720" s="26"/>
      <c r="P720" s="26"/>
      <c r="Q720" s="26"/>
      <c r="R720" s="26"/>
    </row>
    <row r="721" spans="14:18" x14ac:dyDescent="0.3">
      <c r="N721" s="26"/>
      <c r="O721" s="26"/>
      <c r="P721" s="26"/>
      <c r="Q721" s="26"/>
      <c r="R721" s="26"/>
    </row>
    <row r="722" spans="14:18" x14ac:dyDescent="0.3">
      <c r="N722" s="26"/>
      <c r="O722" s="26"/>
      <c r="P722" s="26"/>
      <c r="Q722" s="26"/>
      <c r="R722" s="26"/>
    </row>
    <row r="723" spans="14:18" x14ac:dyDescent="0.3">
      <c r="N723" s="26"/>
      <c r="O723" s="26"/>
      <c r="P723" s="26"/>
      <c r="Q723" s="26"/>
      <c r="R723" s="26"/>
    </row>
    <row r="724" spans="14:18" x14ac:dyDescent="0.3">
      <c r="N724" s="26"/>
      <c r="O724" s="26"/>
      <c r="P724" s="26"/>
      <c r="Q724" s="26"/>
      <c r="R724" s="26"/>
    </row>
    <row r="725" spans="14:18" x14ac:dyDescent="0.3">
      <c r="N725" s="26"/>
      <c r="O725" s="26"/>
      <c r="P725" s="26"/>
      <c r="Q725" s="26"/>
      <c r="R725" s="26"/>
    </row>
    <row r="726" spans="14:18" x14ac:dyDescent="0.3">
      <c r="N726" s="26"/>
      <c r="O726" s="26"/>
      <c r="P726" s="26"/>
      <c r="Q726" s="26"/>
      <c r="R726" s="26"/>
    </row>
    <row r="727" spans="14:18" x14ac:dyDescent="0.3">
      <c r="N727" s="26"/>
      <c r="O727" s="26"/>
      <c r="P727" s="26"/>
      <c r="Q727" s="26"/>
      <c r="R727" s="26"/>
    </row>
    <row r="728" spans="14:18" x14ac:dyDescent="0.3">
      <c r="N728" s="26"/>
      <c r="O728" s="26"/>
      <c r="P728" s="26"/>
      <c r="Q728" s="26"/>
      <c r="R728" s="26"/>
    </row>
    <row r="729" spans="14:18" x14ac:dyDescent="0.3">
      <c r="N729" s="26"/>
      <c r="O729" s="26"/>
      <c r="P729" s="26"/>
      <c r="Q729" s="26"/>
      <c r="R729" s="26"/>
    </row>
    <row r="730" spans="14:18" x14ac:dyDescent="0.3">
      <c r="N730" s="26"/>
      <c r="O730" s="26"/>
      <c r="P730" s="26"/>
      <c r="Q730" s="26"/>
      <c r="R730" s="26"/>
    </row>
    <row r="731" spans="14:18" x14ac:dyDescent="0.3">
      <c r="N731" s="26"/>
      <c r="O731" s="26"/>
      <c r="P731" s="26"/>
      <c r="Q731" s="26"/>
      <c r="R731" s="26"/>
    </row>
    <row r="732" spans="14:18" x14ac:dyDescent="0.3">
      <c r="N732" s="26"/>
      <c r="O732" s="26"/>
      <c r="P732" s="26"/>
      <c r="Q732" s="26"/>
      <c r="R732" s="26"/>
    </row>
    <row r="733" spans="14:18" x14ac:dyDescent="0.3">
      <c r="N733" s="26"/>
      <c r="O733" s="26"/>
      <c r="P733" s="26"/>
      <c r="Q733" s="26"/>
      <c r="R733" s="26"/>
    </row>
    <row r="734" spans="14:18" x14ac:dyDescent="0.3">
      <c r="N734" s="26"/>
      <c r="O734" s="26"/>
      <c r="P734" s="26"/>
      <c r="Q734" s="26"/>
      <c r="R734" s="26"/>
    </row>
    <row r="735" spans="14:18" x14ac:dyDescent="0.3">
      <c r="N735" s="26"/>
      <c r="O735" s="26"/>
      <c r="P735" s="26"/>
      <c r="Q735" s="26"/>
      <c r="R735" s="26"/>
    </row>
    <row r="736" spans="14:18" x14ac:dyDescent="0.3">
      <c r="N736" s="26"/>
      <c r="O736" s="26"/>
      <c r="P736" s="26"/>
      <c r="Q736" s="26"/>
      <c r="R736" s="26"/>
    </row>
    <row r="737" spans="14:18" x14ac:dyDescent="0.3">
      <c r="N737" s="26"/>
      <c r="O737" s="26"/>
      <c r="P737" s="26"/>
      <c r="Q737" s="26"/>
      <c r="R737" s="26"/>
    </row>
    <row r="738" spans="14:18" x14ac:dyDescent="0.3">
      <c r="N738" s="26"/>
      <c r="O738" s="26"/>
      <c r="P738" s="26"/>
      <c r="Q738" s="26"/>
      <c r="R738" s="26"/>
    </row>
    <row r="739" spans="14:18" x14ac:dyDescent="0.3">
      <c r="N739" s="26"/>
      <c r="O739" s="26"/>
      <c r="P739" s="26"/>
      <c r="Q739" s="26"/>
      <c r="R739" s="26"/>
    </row>
    <row r="740" spans="14:18" x14ac:dyDescent="0.3">
      <c r="N740" s="26"/>
      <c r="O740" s="26"/>
      <c r="P740" s="26"/>
      <c r="Q740" s="26"/>
      <c r="R740" s="26"/>
    </row>
    <row r="741" spans="14:18" x14ac:dyDescent="0.3">
      <c r="N741" s="26"/>
      <c r="O741" s="26"/>
      <c r="P741" s="26"/>
      <c r="Q741" s="26"/>
      <c r="R741" s="26"/>
    </row>
    <row r="742" spans="14:18" x14ac:dyDescent="0.3">
      <c r="N742" s="26"/>
      <c r="O742" s="26"/>
      <c r="P742" s="26"/>
      <c r="Q742" s="26"/>
      <c r="R742" s="26"/>
    </row>
    <row r="743" spans="14:18" x14ac:dyDescent="0.3">
      <c r="N743" s="26"/>
      <c r="O743" s="26"/>
      <c r="P743" s="26"/>
      <c r="Q743" s="26"/>
      <c r="R743" s="26"/>
    </row>
    <row r="744" spans="14:18" x14ac:dyDescent="0.3">
      <c r="N744" s="26"/>
      <c r="O744" s="26"/>
      <c r="P744" s="26"/>
      <c r="Q744" s="26"/>
      <c r="R744" s="26"/>
    </row>
    <row r="745" spans="14:18" x14ac:dyDescent="0.3">
      <c r="N745" s="26"/>
      <c r="O745" s="26"/>
      <c r="P745" s="26"/>
      <c r="Q745" s="26"/>
      <c r="R745" s="26"/>
    </row>
    <row r="746" spans="14:18" x14ac:dyDescent="0.3">
      <c r="N746" s="26"/>
      <c r="O746" s="26"/>
      <c r="P746" s="26"/>
      <c r="Q746" s="26"/>
      <c r="R746" s="26"/>
    </row>
    <row r="747" spans="14:18" x14ac:dyDescent="0.3">
      <c r="N747" s="26"/>
      <c r="O747" s="26"/>
      <c r="P747" s="26"/>
      <c r="Q747" s="26"/>
      <c r="R747" s="26"/>
    </row>
    <row r="748" spans="14:18" x14ac:dyDescent="0.3">
      <c r="N748" s="26"/>
      <c r="O748" s="26"/>
      <c r="P748" s="26"/>
      <c r="Q748" s="26"/>
      <c r="R748" s="26"/>
    </row>
    <row r="749" spans="14:18" x14ac:dyDescent="0.3">
      <c r="N749" s="26"/>
      <c r="O749" s="26"/>
      <c r="P749" s="26"/>
      <c r="Q749" s="26"/>
      <c r="R749" s="26"/>
    </row>
    <row r="750" spans="14:18" x14ac:dyDescent="0.3">
      <c r="N750" s="26"/>
      <c r="O750" s="26"/>
      <c r="P750" s="26"/>
      <c r="Q750" s="26"/>
      <c r="R750" s="26"/>
    </row>
    <row r="751" spans="14:18" x14ac:dyDescent="0.3">
      <c r="N751" s="26"/>
      <c r="O751" s="26"/>
      <c r="P751" s="26"/>
      <c r="Q751" s="26"/>
      <c r="R751" s="26"/>
    </row>
    <row r="752" spans="14:18" x14ac:dyDescent="0.3">
      <c r="N752" s="26"/>
      <c r="O752" s="26"/>
      <c r="P752" s="26"/>
      <c r="Q752" s="26"/>
      <c r="R752" s="26"/>
    </row>
    <row r="753" spans="14:18" x14ac:dyDescent="0.3">
      <c r="N753" s="26"/>
      <c r="O753" s="26"/>
      <c r="P753" s="26"/>
      <c r="Q753" s="26"/>
      <c r="R753" s="26"/>
    </row>
    <row r="754" spans="14:18" x14ac:dyDescent="0.3">
      <c r="N754" s="26"/>
      <c r="O754" s="26"/>
      <c r="P754" s="26"/>
      <c r="Q754" s="26"/>
      <c r="R754" s="26"/>
    </row>
    <row r="755" spans="14:18" x14ac:dyDescent="0.3">
      <c r="N755" s="26"/>
      <c r="O755" s="26"/>
      <c r="P755" s="26"/>
      <c r="Q755" s="26"/>
      <c r="R755" s="26"/>
    </row>
    <row r="756" spans="14:18" x14ac:dyDescent="0.3">
      <c r="N756" s="26"/>
      <c r="O756" s="26"/>
      <c r="P756" s="26"/>
      <c r="Q756" s="26"/>
      <c r="R756" s="26"/>
    </row>
    <row r="757" spans="14:18" x14ac:dyDescent="0.3">
      <c r="N757" s="26"/>
      <c r="O757" s="26"/>
      <c r="P757" s="26"/>
      <c r="Q757" s="26"/>
      <c r="R757" s="26"/>
    </row>
    <row r="758" spans="14:18" x14ac:dyDescent="0.3">
      <c r="N758" s="26"/>
      <c r="O758" s="26"/>
      <c r="P758" s="26"/>
      <c r="Q758" s="26"/>
      <c r="R758" s="26"/>
    </row>
    <row r="759" spans="14:18" x14ac:dyDescent="0.3">
      <c r="N759" s="26"/>
      <c r="O759" s="26"/>
      <c r="P759" s="26"/>
      <c r="Q759" s="26"/>
      <c r="R759" s="26"/>
    </row>
    <row r="760" spans="14:18" x14ac:dyDescent="0.3">
      <c r="N760" s="26"/>
      <c r="O760" s="26"/>
      <c r="P760" s="26"/>
      <c r="Q760" s="26"/>
      <c r="R760" s="26"/>
    </row>
    <row r="761" spans="14:18" x14ac:dyDescent="0.3">
      <c r="N761" s="26"/>
      <c r="O761" s="26"/>
      <c r="P761" s="26"/>
      <c r="Q761" s="26"/>
      <c r="R761" s="26"/>
    </row>
    <row r="762" spans="14:18" x14ac:dyDescent="0.3">
      <c r="N762" s="26"/>
      <c r="O762" s="26"/>
      <c r="P762" s="26"/>
      <c r="Q762" s="26"/>
      <c r="R762" s="26"/>
    </row>
    <row r="763" spans="14:18" x14ac:dyDescent="0.3">
      <c r="N763" s="26"/>
      <c r="O763" s="26"/>
      <c r="P763" s="26"/>
      <c r="Q763" s="26"/>
      <c r="R763" s="26"/>
    </row>
    <row r="764" spans="14:18" x14ac:dyDescent="0.3">
      <c r="N764" s="26"/>
      <c r="O764" s="26"/>
      <c r="P764" s="26"/>
      <c r="Q764" s="26"/>
      <c r="R764" s="26"/>
    </row>
    <row r="765" spans="14:18" x14ac:dyDescent="0.3">
      <c r="N765" s="26"/>
      <c r="O765" s="26"/>
      <c r="P765" s="26"/>
      <c r="Q765" s="26"/>
      <c r="R765" s="26"/>
    </row>
    <row r="766" spans="14:18" x14ac:dyDescent="0.3">
      <c r="N766" s="26"/>
      <c r="O766" s="26"/>
      <c r="P766" s="26"/>
      <c r="Q766" s="26"/>
      <c r="R766" s="26"/>
    </row>
    <row r="767" spans="14:18" x14ac:dyDescent="0.3">
      <c r="N767" s="26"/>
      <c r="O767" s="26"/>
      <c r="P767" s="26"/>
      <c r="Q767" s="26"/>
      <c r="R767" s="26"/>
    </row>
    <row r="768" spans="14:18" x14ac:dyDescent="0.3">
      <c r="N768" s="26"/>
      <c r="O768" s="26"/>
      <c r="P768" s="26"/>
      <c r="Q768" s="26"/>
      <c r="R768" s="26"/>
    </row>
    <row r="769" spans="14:18" x14ac:dyDescent="0.3">
      <c r="N769" s="26"/>
      <c r="O769" s="26"/>
      <c r="P769" s="26"/>
      <c r="Q769" s="26"/>
      <c r="R769" s="26"/>
    </row>
    <row r="770" spans="14:18" x14ac:dyDescent="0.3">
      <c r="N770" s="26"/>
      <c r="O770" s="26"/>
      <c r="P770" s="26"/>
      <c r="Q770" s="26"/>
      <c r="R770" s="26"/>
    </row>
    <row r="771" spans="14:18" x14ac:dyDescent="0.3">
      <c r="N771" s="26"/>
      <c r="O771" s="26"/>
      <c r="P771" s="26"/>
      <c r="Q771" s="26"/>
      <c r="R771" s="26"/>
    </row>
    <row r="772" spans="14:18" x14ac:dyDescent="0.3">
      <c r="N772" s="26"/>
      <c r="O772" s="26"/>
      <c r="P772" s="26"/>
      <c r="Q772" s="26"/>
      <c r="R772" s="26"/>
    </row>
    <row r="773" spans="14:18" x14ac:dyDescent="0.3">
      <c r="N773" s="26"/>
      <c r="O773" s="26"/>
      <c r="P773" s="26"/>
      <c r="Q773" s="26"/>
      <c r="R773" s="26"/>
    </row>
    <row r="774" spans="14:18" x14ac:dyDescent="0.3">
      <c r="N774" s="26"/>
      <c r="O774" s="26"/>
      <c r="P774" s="26"/>
      <c r="Q774" s="26"/>
      <c r="R774" s="26"/>
    </row>
    <row r="775" spans="14:18" x14ac:dyDescent="0.3">
      <c r="N775" s="26"/>
      <c r="O775" s="26"/>
      <c r="P775" s="26"/>
      <c r="Q775" s="26"/>
      <c r="R775" s="26"/>
    </row>
    <row r="776" spans="14:18" x14ac:dyDescent="0.3">
      <c r="N776" s="26"/>
      <c r="O776" s="26"/>
      <c r="P776" s="26"/>
      <c r="Q776" s="26"/>
      <c r="R776" s="26"/>
    </row>
    <row r="777" spans="14:18" x14ac:dyDescent="0.3">
      <c r="N777" s="26"/>
      <c r="O777" s="26"/>
      <c r="P777" s="26"/>
      <c r="Q777" s="26"/>
      <c r="R777" s="26"/>
    </row>
    <row r="778" spans="14:18" x14ac:dyDescent="0.3">
      <c r="N778" s="26"/>
      <c r="O778" s="26"/>
      <c r="P778" s="26"/>
      <c r="Q778" s="26"/>
      <c r="R778" s="26"/>
    </row>
    <row r="779" spans="14:18" x14ac:dyDescent="0.3">
      <c r="N779" s="26"/>
      <c r="O779" s="26"/>
      <c r="P779" s="26"/>
      <c r="Q779" s="26"/>
      <c r="R779" s="26"/>
    </row>
    <row r="780" spans="14:18" x14ac:dyDescent="0.3">
      <c r="N780" s="26"/>
      <c r="O780" s="26"/>
      <c r="P780" s="26"/>
      <c r="Q780" s="26"/>
      <c r="R780" s="26"/>
    </row>
    <row r="781" spans="14:18" x14ac:dyDescent="0.3">
      <c r="N781" s="26"/>
      <c r="O781" s="26"/>
      <c r="P781" s="26"/>
      <c r="Q781" s="26"/>
      <c r="R781" s="26"/>
    </row>
    <row r="782" spans="14:18" x14ac:dyDescent="0.3">
      <c r="N782" s="26"/>
      <c r="O782" s="26"/>
      <c r="P782" s="26"/>
      <c r="Q782" s="26"/>
      <c r="R782" s="26"/>
    </row>
    <row r="783" spans="14:18" x14ac:dyDescent="0.3">
      <c r="N783" s="26"/>
      <c r="O783" s="26"/>
      <c r="P783" s="26"/>
      <c r="Q783" s="26"/>
      <c r="R783" s="26"/>
    </row>
    <row r="784" spans="14:18" x14ac:dyDescent="0.3">
      <c r="N784" s="26"/>
      <c r="O784" s="26"/>
      <c r="P784" s="26"/>
      <c r="Q784" s="26"/>
      <c r="R784" s="26"/>
    </row>
    <row r="785" spans="14:18" x14ac:dyDescent="0.3">
      <c r="N785" s="26"/>
      <c r="O785" s="26"/>
      <c r="P785" s="26"/>
      <c r="Q785" s="26"/>
      <c r="R785" s="26"/>
    </row>
    <row r="786" spans="14:18" x14ac:dyDescent="0.3">
      <c r="N786" s="26"/>
      <c r="O786" s="26"/>
      <c r="P786" s="26"/>
      <c r="Q786" s="26"/>
      <c r="R786" s="26"/>
    </row>
    <row r="787" spans="14:18" x14ac:dyDescent="0.3">
      <c r="N787" s="26"/>
      <c r="O787" s="26"/>
      <c r="P787" s="26"/>
      <c r="Q787" s="26"/>
      <c r="R787" s="26"/>
    </row>
    <row r="788" spans="14:18" x14ac:dyDescent="0.3">
      <c r="N788" s="26"/>
      <c r="O788" s="26"/>
      <c r="P788" s="26"/>
      <c r="Q788" s="26"/>
      <c r="R788" s="26"/>
    </row>
    <row r="789" spans="14:18" x14ac:dyDescent="0.3">
      <c r="N789" s="26"/>
      <c r="O789" s="26"/>
      <c r="P789" s="26"/>
      <c r="Q789" s="26"/>
      <c r="R789" s="26"/>
    </row>
    <row r="790" spans="14:18" x14ac:dyDescent="0.3">
      <c r="N790" s="26"/>
      <c r="O790" s="26"/>
      <c r="P790" s="26"/>
      <c r="Q790" s="26"/>
      <c r="R790" s="26"/>
    </row>
    <row r="791" spans="14:18" x14ac:dyDescent="0.3">
      <c r="N791" s="26"/>
      <c r="O791" s="26"/>
      <c r="P791" s="26"/>
      <c r="Q791" s="26"/>
      <c r="R791" s="26"/>
    </row>
    <row r="792" spans="14:18" x14ac:dyDescent="0.3">
      <c r="N792" s="26"/>
      <c r="O792" s="26"/>
      <c r="P792" s="26"/>
      <c r="Q792" s="26"/>
      <c r="R792" s="26"/>
    </row>
    <row r="793" spans="14:18" x14ac:dyDescent="0.3">
      <c r="N793" s="26"/>
      <c r="O793" s="26"/>
      <c r="P793" s="26"/>
      <c r="Q793" s="26"/>
      <c r="R793" s="26"/>
    </row>
    <row r="794" spans="14:18" x14ac:dyDescent="0.3">
      <c r="N794" s="26"/>
      <c r="O794" s="26"/>
      <c r="P794" s="26"/>
      <c r="Q794" s="26"/>
      <c r="R794" s="26"/>
    </row>
    <row r="795" spans="14:18" x14ac:dyDescent="0.3">
      <c r="N795" s="26"/>
      <c r="O795" s="26"/>
      <c r="P795" s="26"/>
      <c r="Q795" s="26"/>
      <c r="R795" s="26"/>
    </row>
    <row r="796" spans="14:18" x14ac:dyDescent="0.3">
      <c r="N796" s="26"/>
      <c r="O796" s="26"/>
      <c r="P796" s="26"/>
      <c r="Q796" s="26"/>
      <c r="R796" s="26"/>
    </row>
    <row r="797" spans="14:18" x14ac:dyDescent="0.3">
      <c r="N797" s="26"/>
      <c r="O797" s="26"/>
      <c r="P797" s="26"/>
      <c r="Q797" s="26"/>
      <c r="R797" s="26"/>
    </row>
    <row r="798" spans="14:18" x14ac:dyDescent="0.3">
      <c r="N798" s="26"/>
      <c r="O798" s="26"/>
      <c r="P798" s="26"/>
      <c r="Q798" s="26"/>
      <c r="R798" s="26"/>
    </row>
    <row r="799" spans="14:18" x14ac:dyDescent="0.3">
      <c r="N799" s="26"/>
      <c r="O799" s="26"/>
      <c r="P799" s="26"/>
      <c r="Q799" s="26"/>
      <c r="R799" s="26"/>
    </row>
    <row r="800" spans="14:18" x14ac:dyDescent="0.3">
      <c r="N800" s="26"/>
      <c r="O800" s="26"/>
      <c r="P800" s="26"/>
      <c r="Q800" s="26"/>
      <c r="R800" s="26"/>
    </row>
    <row r="801" spans="14:18" x14ac:dyDescent="0.3">
      <c r="N801" s="26"/>
      <c r="O801" s="26"/>
      <c r="P801" s="26"/>
      <c r="Q801" s="26"/>
      <c r="R801" s="26"/>
    </row>
    <row r="802" spans="14:18" x14ac:dyDescent="0.3">
      <c r="N802" s="26"/>
      <c r="O802" s="26"/>
      <c r="P802" s="26"/>
      <c r="Q802" s="26"/>
      <c r="R802" s="26"/>
    </row>
    <row r="803" spans="14:18" x14ac:dyDescent="0.3">
      <c r="N803" s="26"/>
      <c r="O803" s="26"/>
      <c r="P803" s="26"/>
      <c r="Q803" s="26"/>
      <c r="R803" s="26"/>
    </row>
    <row r="804" spans="14:18" x14ac:dyDescent="0.3">
      <c r="N804" s="26"/>
      <c r="O804" s="26"/>
      <c r="P804" s="26"/>
      <c r="Q804" s="26"/>
      <c r="R804" s="26"/>
    </row>
    <row r="805" spans="14:18" x14ac:dyDescent="0.3">
      <c r="N805" s="26"/>
      <c r="O805" s="26"/>
      <c r="P805" s="26"/>
      <c r="Q805" s="26"/>
      <c r="R805" s="26"/>
    </row>
    <row r="806" spans="14:18" x14ac:dyDescent="0.3">
      <c r="N806" s="26"/>
      <c r="O806" s="26"/>
      <c r="P806" s="26"/>
      <c r="Q806" s="26"/>
      <c r="R806" s="26"/>
    </row>
    <row r="807" spans="14:18" x14ac:dyDescent="0.3">
      <c r="N807" s="26"/>
      <c r="O807" s="26"/>
      <c r="P807" s="26"/>
      <c r="Q807" s="26"/>
      <c r="R807" s="26"/>
    </row>
    <row r="808" spans="14:18" x14ac:dyDescent="0.3">
      <c r="N808" s="26"/>
      <c r="O808" s="26"/>
      <c r="P808" s="26"/>
      <c r="Q808" s="26"/>
      <c r="R808" s="26"/>
    </row>
    <row r="809" spans="14:18" x14ac:dyDescent="0.3">
      <c r="N809" s="26"/>
      <c r="O809" s="26"/>
      <c r="P809" s="26"/>
      <c r="Q809" s="26"/>
      <c r="R809" s="26"/>
    </row>
    <row r="810" spans="14:18" x14ac:dyDescent="0.3">
      <c r="N810" s="26"/>
      <c r="O810" s="26"/>
      <c r="P810" s="26"/>
      <c r="Q810" s="26"/>
      <c r="R810" s="26"/>
    </row>
    <row r="811" spans="14:18" x14ac:dyDescent="0.3">
      <c r="N811" s="26"/>
      <c r="O811" s="26"/>
      <c r="P811" s="26"/>
      <c r="Q811" s="26"/>
      <c r="R811" s="26"/>
    </row>
    <row r="812" spans="14:18" x14ac:dyDescent="0.3">
      <c r="N812" s="26"/>
      <c r="O812" s="26"/>
      <c r="P812" s="26"/>
      <c r="Q812" s="26"/>
      <c r="R812" s="26"/>
    </row>
    <row r="813" spans="14:18" x14ac:dyDescent="0.3">
      <c r="N813" s="26"/>
      <c r="O813" s="26"/>
      <c r="P813" s="26"/>
      <c r="Q813" s="26"/>
      <c r="R813" s="26"/>
    </row>
    <row r="814" spans="14:18" x14ac:dyDescent="0.3">
      <c r="N814" s="26"/>
      <c r="O814" s="26"/>
      <c r="P814" s="26"/>
      <c r="Q814" s="26"/>
      <c r="R814" s="26"/>
    </row>
    <row r="815" spans="14:18" x14ac:dyDescent="0.3">
      <c r="N815" s="26"/>
      <c r="O815" s="26"/>
      <c r="P815" s="26"/>
      <c r="Q815" s="26"/>
      <c r="R815" s="26"/>
    </row>
    <row r="816" spans="14:18" x14ac:dyDescent="0.3">
      <c r="N816" s="26"/>
      <c r="O816" s="26"/>
      <c r="P816" s="26"/>
      <c r="Q816" s="26"/>
      <c r="R816" s="26"/>
    </row>
    <row r="817" spans="14:18" x14ac:dyDescent="0.3">
      <c r="N817" s="26"/>
      <c r="O817" s="26"/>
      <c r="P817" s="26"/>
      <c r="Q817" s="26"/>
      <c r="R817" s="26"/>
    </row>
    <row r="818" spans="14:18" x14ac:dyDescent="0.3">
      <c r="N818" s="26"/>
      <c r="O818" s="26"/>
      <c r="P818" s="26"/>
      <c r="Q818" s="26"/>
      <c r="R818" s="26"/>
    </row>
    <row r="819" spans="14:18" x14ac:dyDescent="0.3">
      <c r="N819" s="26"/>
      <c r="O819" s="26"/>
      <c r="P819" s="26"/>
      <c r="Q819" s="26"/>
      <c r="R819" s="26"/>
    </row>
    <row r="820" spans="14:18" x14ac:dyDescent="0.3">
      <c r="N820" s="26"/>
      <c r="O820" s="26"/>
      <c r="P820" s="26"/>
      <c r="Q820" s="26"/>
      <c r="R820" s="26"/>
    </row>
    <row r="821" spans="14:18" x14ac:dyDescent="0.3">
      <c r="N821" s="26"/>
      <c r="O821" s="26"/>
      <c r="P821" s="26"/>
      <c r="Q821" s="26"/>
      <c r="R821" s="26"/>
    </row>
    <row r="822" spans="14:18" x14ac:dyDescent="0.3">
      <c r="N822" s="26"/>
      <c r="O822" s="26"/>
      <c r="P822" s="26"/>
      <c r="Q822" s="26"/>
      <c r="R822" s="26"/>
    </row>
    <row r="823" spans="14:18" x14ac:dyDescent="0.3">
      <c r="N823" s="26"/>
      <c r="O823" s="26"/>
      <c r="P823" s="26"/>
      <c r="Q823" s="26"/>
      <c r="R823" s="26"/>
    </row>
    <row r="824" spans="14:18" x14ac:dyDescent="0.3">
      <c r="N824" s="26"/>
      <c r="O824" s="26"/>
      <c r="P824" s="26"/>
      <c r="Q824" s="26"/>
      <c r="R824" s="26"/>
    </row>
    <row r="825" spans="14:18" x14ac:dyDescent="0.3">
      <c r="N825" s="26"/>
      <c r="O825" s="26"/>
      <c r="P825" s="26"/>
      <c r="Q825" s="26"/>
      <c r="R825" s="26"/>
    </row>
    <row r="826" spans="14:18" x14ac:dyDescent="0.3">
      <c r="N826" s="26"/>
      <c r="O826" s="26"/>
      <c r="P826" s="26"/>
      <c r="Q826" s="26"/>
      <c r="R826" s="26"/>
    </row>
    <row r="827" spans="14:18" x14ac:dyDescent="0.3">
      <c r="N827" s="26"/>
      <c r="O827" s="26"/>
      <c r="P827" s="26"/>
      <c r="Q827" s="26"/>
      <c r="R827" s="26"/>
    </row>
    <row r="828" spans="14:18" x14ac:dyDescent="0.3">
      <c r="N828" s="26"/>
      <c r="O828" s="26"/>
      <c r="P828" s="26"/>
      <c r="Q828" s="26"/>
      <c r="R828" s="26"/>
    </row>
    <row r="829" spans="14:18" x14ac:dyDescent="0.3">
      <c r="N829" s="26"/>
      <c r="O829" s="26"/>
      <c r="P829" s="26"/>
      <c r="Q829" s="26"/>
      <c r="R829" s="26"/>
    </row>
    <row r="830" spans="14:18" x14ac:dyDescent="0.3">
      <c r="N830" s="26"/>
      <c r="O830" s="26"/>
      <c r="P830" s="26"/>
      <c r="Q830" s="26"/>
      <c r="R830" s="26"/>
    </row>
    <row r="831" spans="14:18" x14ac:dyDescent="0.3">
      <c r="N831" s="26"/>
      <c r="O831" s="26"/>
      <c r="P831" s="26"/>
      <c r="Q831" s="26"/>
      <c r="R831" s="26"/>
    </row>
    <row r="832" spans="14:18" x14ac:dyDescent="0.3">
      <c r="N832" s="26"/>
      <c r="O832" s="26"/>
      <c r="P832" s="26"/>
      <c r="Q832" s="26"/>
      <c r="R832" s="26"/>
    </row>
    <row r="833" spans="14:18" x14ac:dyDescent="0.3">
      <c r="N833" s="26"/>
      <c r="O833" s="26"/>
      <c r="P833" s="26"/>
      <c r="Q833" s="26"/>
      <c r="R833" s="26"/>
    </row>
    <row r="834" spans="14:18" x14ac:dyDescent="0.3">
      <c r="N834" s="26"/>
      <c r="O834" s="26"/>
      <c r="P834" s="26"/>
      <c r="Q834" s="26"/>
      <c r="R834" s="26"/>
    </row>
    <row r="835" spans="14:18" x14ac:dyDescent="0.3">
      <c r="N835" s="26"/>
      <c r="O835" s="26"/>
      <c r="P835" s="26"/>
      <c r="Q835" s="26"/>
      <c r="R835" s="26"/>
    </row>
    <row r="836" spans="14:18" x14ac:dyDescent="0.3">
      <c r="N836" s="26"/>
      <c r="O836" s="26"/>
      <c r="P836" s="26"/>
      <c r="Q836" s="26"/>
      <c r="R836" s="26"/>
    </row>
    <row r="837" spans="14:18" x14ac:dyDescent="0.3">
      <c r="N837" s="26"/>
      <c r="O837" s="26"/>
      <c r="P837" s="26"/>
      <c r="Q837" s="26"/>
      <c r="R837" s="26"/>
    </row>
    <row r="838" spans="14:18" x14ac:dyDescent="0.3">
      <c r="N838" s="26"/>
      <c r="O838" s="26"/>
      <c r="P838" s="26"/>
      <c r="Q838" s="26"/>
      <c r="R838" s="26"/>
    </row>
    <row r="839" spans="14:18" x14ac:dyDescent="0.3">
      <c r="N839" s="26"/>
      <c r="O839" s="26"/>
      <c r="P839" s="26"/>
      <c r="Q839" s="26"/>
      <c r="R839" s="26"/>
    </row>
    <row r="840" spans="14:18" x14ac:dyDescent="0.3">
      <c r="N840" s="26"/>
      <c r="O840" s="26"/>
      <c r="P840" s="26"/>
      <c r="Q840" s="26"/>
      <c r="R840" s="26"/>
    </row>
    <row r="841" spans="14:18" x14ac:dyDescent="0.3">
      <c r="N841" s="26"/>
      <c r="O841" s="26"/>
      <c r="P841" s="26"/>
      <c r="Q841" s="26"/>
      <c r="R841" s="26"/>
    </row>
    <row r="842" spans="14:18" x14ac:dyDescent="0.3">
      <c r="N842" s="26"/>
      <c r="O842" s="26"/>
      <c r="P842" s="26"/>
      <c r="Q842" s="26"/>
      <c r="R842" s="26"/>
    </row>
    <row r="843" spans="14:18" x14ac:dyDescent="0.3">
      <c r="N843" s="26"/>
      <c r="O843" s="26"/>
      <c r="P843" s="26"/>
      <c r="Q843" s="26"/>
      <c r="R843" s="26"/>
    </row>
    <row r="844" spans="14:18" x14ac:dyDescent="0.3">
      <c r="N844" s="26"/>
      <c r="O844" s="26"/>
      <c r="P844" s="26"/>
      <c r="Q844" s="26"/>
      <c r="R844" s="26"/>
    </row>
    <row r="845" spans="14:18" x14ac:dyDescent="0.3">
      <c r="N845" s="26"/>
      <c r="O845" s="26"/>
      <c r="P845" s="26"/>
      <c r="Q845" s="26"/>
      <c r="R845" s="26"/>
    </row>
    <row r="846" spans="14:18" x14ac:dyDescent="0.3">
      <c r="N846" s="26"/>
      <c r="O846" s="26"/>
      <c r="P846" s="26"/>
      <c r="Q846" s="26"/>
      <c r="R846" s="26"/>
    </row>
    <row r="847" spans="14:18" x14ac:dyDescent="0.3">
      <c r="N847" s="26"/>
      <c r="O847" s="26"/>
      <c r="P847" s="26"/>
      <c r="Q847" s="26"/>
      <c r="R847" s="26"/>
    </row>
    <row r="848" spans="14:18" x14ac:dyDescent="0.3">
      <c r="N848" s="26"/>
      <c r="O848" s="26"/>
      <c r="P848" s="26"/>
      <c r="Q848" s="26"/>
      <c r="R848" s="26"/>
    </row>
    <row r="849" spans="14:18" x14ac:dyDescent="0.3">
      <c r="N849" s="26"/>
      <c r="O849" s="26"/>
      <c r="P849" s="26"/>
      <c r="Q849" s="26"/>
      <c r="R849" s="26"/>
    </row>
    <row r="850" spans="14:18" x14ac:dyDescent="0.3">
      <c r="N850" s="26"/>
      <c r="O850" s="26"/>
      <c r="P850" s="26"/>
      <c r="Q850" s="26"/>
      <c r="R850" s="26"/>
    </row>
    <row r="851" spans="14:18" x14ac:dyDescent="0.3">
      <c r="N851" s="26"/>
      <c r="O851" s="26"/>
      <c r="P851" s="26"/>
      <c r="Q851" s="26"/>
      <c r="R851" s="26"/>
    </row>
    <row r="852" spans="14:18" x14ac:dyDescent="0.3">
      <c r="N852" s="26"/>
      <c r="O852" s="26"/>
      <c r="P852" s="26"/>
      <c r="Q852" s="26"/>
      <c r="R852" s="26"/>
    </row>
    <row r="853" spans="14:18" x14ac:dyDescent="0.3">
      <c r="N853" s="26"/>
      <c r="O853" s="26"/>
      <c r="P853" s="26"/>
      <c r="Q853" s="26"/>
      <c r="R853" s="26"/>
    </row>
    <row r="854" spans="14:18" x14ac:dyDescent="0.3">
      <c r="N854" s="26"/>
      <c r="O854" s="26"/>
      <c r="P854" s="26"/>
      <c r="Q854" s="26"/>
      <c r="R854" s="26"/>
    </row>
    <row r="855" spans="14:18" x14ac:dyDescent="0.3">
      <c r="N855" s="26"/>
      <c r="O855" s="26"/>
      <c r="P855" s="26"/>
      <c r="Q855" s="26"/>
      <c r="R855" s="26"/>
    </row>
    <row r="856" spans="14:18" x14ac:dyDescent="0.3">
      <c r="N856" s="26"/>
      <c r="O856" s="26"/>
      <c r="P856" s="26"/>
      <c r="Q856" s="26"/>
      <c r="R856" s="26"/>
    </row>
    <row r="857" spans="14:18" x14ac:dyDescent="0.3">
      <c r="N857" s="26"/>
      <c r="O857" s="26"/>
      <c r="P857" s="26"/>
      <c r="Q857" s="26"/>
      <c r="R857" s="26"/>
    </row>
    <row r="858" spans="14:18" x14ac:dyDescent="0.3">
      <c r="N858" s="26"/>
      <c r="O858" s="26"/>
      <c r="P858" s="26"/>
      <c r="Q858" s="26"/>
      <c r="R858" s="26"/>
    </row>
    <row r="859" spans="14:18" x14ac:dyDescent="0.3">
      <c r="N859" s="26"/>
      <c r="O859" s="26"/>
      <c r="P859" s="26"/>
      <c r="Q859" s="26"/>
      <c r="R859" s="26"/>
    </row>
    <row r="860" spans="14:18" x14ac:dyDescent="0.3">
      <c r="N860" s="26"/>
      <c r="O860" s="26"/>
      <c r="P860" s="26"/>
      <c r="Q860" s="26"/>
      <c r="R860" s="26"/>
    </row>
    <row r="861" spans="14:18" x14ac:dyDescent="0.3">
      <c r="N861" s="26"/>
      <c r="O861" s="26"/>
      <c r="P861" s="26"/>
      <c r="Q861" s="26"/>
      <c r="R861" s="26"/>
    </row>
    <row r="862" spans="14:18" x14ac:dyDescent="0.3">
      <c r="N862" s="26"/>
      <c r="O862" s="26"/>
      <c r="P862" s="26"/>
      <c r="Q862" s="26"/>
      <c r="R862" s="26"/>
    </row>
    <row r="863" spans="14:18" x14ac:dyDescent="0.3">
      <c r="N863" s="26"/>
      <c r="O863" s="26"/>
      <c r="P863" s="26"/>
      <c r="Q863" s="26"/>
      <c r="R863" s="26"/>
    </row>
    <row r="864" spans="14:18" x14ac:dyDescent="0.3">
      <c r="N864" s="26"/>
      <c r="O864" s="26"/>
      <c r="P864" s="26"/>
      <c r="Q864" s="26"/>
      <c r="R864" s="26"/>
    </row>
    <row r="865" spans="14:18" x14ac:dyDescent="0.3">
      <c r="N865" s="26"/>
      <c r="O865" s="26"/>
      <c r="P865" s="26"/>
      <c r="Q865" s="26"/>
      <c r="R865" s="26"/>
    </row>
    <row r="866" spans="14:18" x14ac:dyDescent="0.3">
      <c r="N866" s="26"/>
      <c r="O866" s="26"/>
      <c r="P866" s="26"/>
      <c r="Q866" s="26"/>
      <c r="R866" s="26"/>
    </row>
    <row r="867" spans="14:18" x14ac:dyDescent="0.3">
      <c r="N867" s="26"/>
      <c r="O867" s="26"/>
      <c r="P867" s="26"/>
      <c r="Q867" s="26"/>
      <c r="R867" s="26"/>
    </row>
    <row r="868" spans="14:18" x14ac:dyDescent="0.3">
      <c r="N868" s="26"/>
      <c r="O868" s="26"/>
      <c r="P868" s="26"/>
      <c r="Q868" s="26"/>
      <c r="R868" s="26"/>
    </row>
    <row r="869" spans="14:18" x14ac:dyDescent="0.3">
      <c r="N869" s="26"/>
      <c r="O869" s="26"/>
      <c r="P869" s="26"/>
      <c r="Q869" s="26"/>
      <c r="R869" s="26"/>
    </row>
    <row r="870" spans="14:18" x14ac:dyDescent="0.3">
      <c r="N870" s="26"/>
      <c r="O870" s="26"/>
      <c r="P870" s="26"/>
      <c r="Q870" s="26"/>
      <c r="R870" s="26"/>
    </row>
    <row r="871" spans="14:18" x14ac:dyDescent="0.3">
      <c r="N871" s="26"/>
      <c r="O871" s="26"/>
      <c r="P871" s="26"/>
      <c r="Q871" s="26"/>
      <c r="R871" s="26"/>
    </row>
    <row r="872" spans="14:18" x14ac:dyDescent="0.3">
      <c r="N872" s="26"/>
      <c r="O872" s="26"/>
      <c r="P872" s="26"/>
      <c r="Q872" s="26"/>
      <c r="R872" s="26"/>
    </row>
    <row r="873" spans="14:18" x14ac:dyDescent="0.3">
      <c r="N873" s="26"/>
      <c r="O873" s="26"/>
      <c r="P873" s="26"/>
      <c r="Q873" s="26"/>
      <c r="R873" s="26"/>
    </row>
    <row r="874" spans="14:18" x14ac:dyDescent="0.3">
      <c r="N874" s="26"/>
      <c r="O874" s="26"/>
      <c r="P874" s="26"/>
      <c r="Q874" s="26"/>
      <c r="R874" s="26"/>
    </row>
    <row r="875" spans="14:18" x14ac:dyDescent="0.3">
      <c r="N875" s="26"/>
      <c r="O875" s="26"/>
      <c r="P875" s="26"/>
      <c r="Q875" s="26"/>
      <c r="R875" s="26"/>
    </row>
    <row r="876" spans="14:18" x14ac:dyDescent="0.3">
      <c r="N876" s="26"/>
      <c r="O876" s="26"/>
      <c r="P876" s="26"/>
      <c r="Q876" s="26"/>
      <c r="R876" s="26"/>
    </row>
    <row r="877" spans="14:18" x14ac:dyDescent="0.3">
      <c r="N877" s="26"/>
      <c r="O877" s="26"/>
      <c r="P877" s="26"/>
      <c r="Q877" s="26"/>
      <c r="R877" s="26"/>
    </row>
    <row r="878" spans="14:18" x14ac:dyDescent="0.3">
      <c r="N878" s="26"/>
      <c r="O878" s="26"/>
      <c r="P878" s="26"/>
      <c r="Q878" s="26"/>
      <c r="R878" s="26"/>
    </row>
    <row r="879" spans="14:18" x14ac:dyDescent="0.3">
      <c r="N879" s="26"/>
      <c r="O879" s="26"/>
      <c r="P879" s="26"/>
      <c r="Q879" s="26"/>
      <c r="R879" s="26"/>
    </row>
    <row r="880" spans="14:18" x14ac:dyDescent="0.3">
      <c r="N880" s="26"/>
      <c r="O880" s="26"/>
      <c r="P880" s="26"/>
      <c r="Q880" s="26"/>
      <c r="R880" s="26"/>
    </row>
    <row r="881" spans="14:18" x14ac:dyDescent="0.3">
      <c r="N881" s="26"/>
      <c r="O881" s="26"/>
      <c r="P881" s="26"/>
      <c r="Q881" s="26"/>
      <c r="R881" s="26"/>
    </row>
    <row r="882" spans="14:18" x14ac:dyDescent="0.3">
      <c r="N882" s="26"/>
      <c r="O882" s="26"/>
      <c r="P882" s="26"/>
      <c r="Q882" s="26"/>
      <c r="R882" s="26"/>
    </row>
    <row r="883" spans="14:18" x14ac:dyDescent="0.3">
      <c r="N883" s="26"/>
      <c r="O883" s="26"/>
      <c r="P883" s="26"/>
      <c r="Q883" s="26"/>
      <c r="R883" s="26"/>
    </row>
    <row r="884" spans="14:18" x14ac:dyDescent="0.3">
      <c r="N884" s="26"/>
      <c r="O884" s="26"/>
      <c r="P884" s="26"/>
      <c r="Q884" s="26"/>
      <c r="R884" s="26"/>
    </row>
    <row r="885" spans="14:18" x14ac:dyDescent="0.3">
      <c r="N885" s="26"/>
      <c r="O885" s="26"/>
      <c r="P885" s="26"/>
      <c r="Q885" s="26"/>
      <c r="R885" s="26"/>
    </row>
    <row r="886" spans="14:18" x14ac:dyDescent="0.3">
      <c r="N886" s="26"/>
      <c r="O886" s="26"/>
      <c r="P886" s="26"/>
      <c r="Q886" s="26"/>
      <c r="R886" s="26"/>
    </row>
    <row r="887" spans="14:18" x14ac:dyDescent="0.3">
      <c r="N887" s="26"/>
      <c r="O887" s="26"/>
      <c r="P887" s="26"/>
      <c r="Q887" s="26"/>
      <c r="R887" s="26"/>
    </row>
    <row r="888" spans="14:18" x14ac:dyDescent="0.3">
      <c r="N888" s="26"/>
      <c r="O888" s="26"/>
      <c r="P888" s="26"/>
      <c r="Q888" s="26"/>
      <c r="R888" s="26"/>
    </row>
    <row r="889" spans="14:18" x14ac:dyDescent="0.3">
      <c r="N889" s="26"/>
      <c r="O889" s="26"/>
      <c r="P889" s="26"/>
      <c r="Q889" s="26"/>
      <c r="R889" s="26"/>
    </row>
    <row r="890" spans="14:18" x14ac:dyDescent="0.3">
      <c r="N890" s="26"/>
      <c r="O890" s="26"/>
      <c r="P890" s="26"/>
      <c r="Q890" s="26"/>
      <c r="R890" s="26"/>
    </row>
    <row r="891" spans="14:18" x14ac:dyDescent="0.3">
      <c r="N891" s="26"/>
      <c r="O891" s="26"/>
      <c r="P891" s="26"/>
      <c r="Q891" s="26"/>
      <c r="R891" s="26"/>
    </row>
    <row r="892" spans="14:18" x14ac:dyDescent="0.3">
      <c r="N892" s="26"/>
      <c r="O892" s="26"/>
      <c r="P892" s="26"/>
      <c r="Q892" s="26"/>
      <c r="R892" s="26"/>
    </row>
    <row r="893" spans="14:18" x14ac:dyDescent="0.3">
      <c r="N893" s="26"/>
      <c r="O893" s="26"/>
      <c r="P893" s="26"/>
      <c r="Q893" s="26"/>
      <c r="R893" s="26"/>
    </row>
    <row r="894" spans="14:18" x14ac:dyDescent="0.3">
      <c r="N894" s="26"/>
      <c r="O894" s="26"/>
      <c r="P894" s="26"/>
      <c r="Q894" s="26"/>
      <c r="R894" s="26"/>
    </row>
    <row r="895" spans="14:18" x14ac:dyDescent="0.3">
      <c r="N895" s="26"/>
      <c r="O895" s="26"/>
      <c r="P895" s="26"/>
      <c r="Q895" s="26"/>
      <c r="R895" s="26"/>
    </row>
    <row r="896" spans="14:18" x14ac:dyDescent="0.3">
      <c r="N896" s="26"/>
      <c r="O896" s="26"/>
      <c r="P896" s="26"/>
      <c r="Q896" s="26"/>
      <c r="R896" s="26"/>
    </row>
    <row r="897" spans="14:18" x14ac:dyDescent="0.3">
      <c r="N897" s="26"/>
      <c r="O897" s="26"/>
      <c r="P897" s="26"/>
      <c r="Q897" s="26"/>
      <c r="R897" s="26"/>
    </row>
    <row r="898" spans="14:18" x14ac:dyDescent="0.3">
      <c r="N898" s="26"/>
      <c r="O898" s="26"/>
      <c r="P898" s="26"/>
      <c r="Q898" s="26"/>
      <c r="R898" s="26"/>
    </row>
    <row r="899" spans="14:18" x14ac:dyDescent="0.3">
      <c r="N899" s="26"/>
      <c r="O899" s="26"/>
      <c r="P899" s="26"/>
      <c r="Q899" s="26"/>
      <c r="R899" s="26"/>
    </row>
    <row r="900" spans="14:18" x14ac:dyDescent="0.3">
      <c r="N900" s="26"/>
      <c r="O900" s="26"/>
      <c r="P900" s="26"/>
      <c r="Q900" s="26"/>
      <c r="R900" s="26"/>
    </row>
    <row r="901" spans="14:18" x14ac:dyDescent="0.3">
      <c r="N901" s="26"/>
      <c r="O901" s="26"/>
      <c r="P901" s="26"/>
      <c r="Q901" s="26"/>
      <c r="R901" s="26"/>
    </row>
    <row r="902" spans="14:18" x14ac:dyDescent="0.3">
      <c r="N902" s="26"/>
      <c r="O902" s="26"/>
      <c r="P902" s="26"/>
      <c r="Q902" s="26"/>
      <c r="R902" s="26"/>
    </row>
    <row r="903" spans="14:18" x14ac:dyDescent="0.3">
      <c r="N903" s="26"/>
      <c r="O903" s="26"/>
      <c r="P903" s="26"/>
      <c r="Q903" s="26"/>
      <c r="R903" s="26"/>
    </row>
    <row r="904" spans="14:18" x14ac:dyDescent="0.3">
      <c r="N904" s="26"/>
      <c r="O904" s="26"/>
      <c r="P904" s="26"/>
      <c r="Q904" s="26"/>
      <c r="R904" s="26"/>
    </row>
    <row r="905" spans="14:18" x14ac:dyDescent="0.3">
      <c r="N905" s="26"/>
      <c r="O905" s="26"/>
      <c r="P905" s="26"/>
      <c r="Q905" s="26"/>
      <c r="R905" s="26"/>
    </row>
    <row r="906" spans="14:18" x14ac:dyDescent="0.3">
      <c r="N906" s="26"/>
      <c r="O906" s="26"/>
      <c r="P906" s="26"/>
      <c r="Q906" s="26"/>
      <c r="R906" s="26"/>
    </row>
    <row r="907" spans="14:18" x14ac:dyDescent="0.3">
      <c r="N907" s="26"/>
      <c r="O907" s="26"/>
      <c r="P907" s="26"/>
      <c r="Q907" s="26"/>
      <c r="R907" s="26"/>
    </row>
    <row r="908" spans="14:18" x14ac:dyDescent="0.3">
      <c r="N908" s="26"/>
      <c r="O908" s="26"/>
      <c r="P908" s="26"/>
      <c r="Q908" s="26"/>
      <c r="R908" s="26"/>
    </row>
    <row r="909" spans="14:18" x14ac:dyDescent="0.3">
      <c r="N909" s="26"/>
      <c r="O909" s="26"/>
      <c r="P909" s="26"/>
      <c r="Q909" s="26"/>
      <c r="R909" s="26"/>
    </row>
    <row r="910" spans="14:18" x14ac:dyDescent="0.3">
      <c r="N910" s="26"/>
      <c r="O910" s="26"/>
      <c r="P910" s="26"/>
      <c r="Q910" s="26"/>
      <c r="R910" s="26"/>
    </row>
    <row r="911" spans="14:18" x14ac:dyDescent="0.3">
      <c r="N911" s="26"/>
      <c r="O911" s="26"/>
      <c r="P911" s="26"/>
      <c r="Q911" s="26"/>
      <c r="R911" s="26"/>
    </row>
    <row r="912" spans="14:18" x14ac:dyDescent="0.3">
      <c r="N912" s="26"/>
      <c r="O912" s="26"/>
      <c r="P912" s="26"/>
      <c r="Q912" s="26"/>
      <c r="R912" s="26"/>
    </row>
    <row r="913" spans="14:18" x14ac:dyDescent="0.3">
      <c r="N913" s="26"/>
      <c r="O913" s="26"/>
      <c r="P913" s="26"/>
      <c r="Q913" s="26"/>
      <c r="R913" s="26"/>
    </row>
    <row r="914" spans="14:18" x14ac:dyDescent="0.3">
      <c r="N914" s="26"/>
      <c r="O914" s="26"/>
      <c r="P914" s="26"/>
      <c r="Q914" s="26"/>
      <c r="R914" s="26"/>
    </row>
    <row r="915" spans="14:18" x14ac:dyDescent="0.3">
      <c r="N915" s="26"/>
      <c r="O915" s="26"/>
      <c r="P915" s="26"/>
      <c r="Q915" s="26"/>
      <c r="R915" s="26"/>
    </row>
    <row r="916" spans="14:18" x14ac:dyDescent="0.3">
      <c r="N916" s="26"/>
      <c r="O916" s="26"/>
      <c r="P916" s="26"/>
      <c r="Q916" s="26"/>
      <c r="R916" s="26"/>
    </row>
    <row r="917" spans="14:18" x14ac:dyDescent="0.3">
      <c r="N917" s="26"/>
      <c r="O917" s="26"/>
      <c r="P917" s="26"/>
      <c r="Q917" s="26"/>
      <c r="R917" s="26"/>
    </row>
    <row r="918" spans="14:18" x14ac:dyDescent="0.3">
      <c r="N918" s="26"/>
      <c r="O918" s="26"/>
      <c r="P918" s="26"/>
      <c r="Q918" s="26"/>
      <c r="R918" s="26"/>
    </row>
    <row r="919" spans="14:18" x14ac:dyDescent="0.3">
      <c r="N919" s="26"/>
      <c r="O919" s="26"/>
      <c r="P919" s="26"/>
      <c r="Q919" s="26"/>
      <c r="R919" s="26"/>
    </row>
    <row r="920" spans="14:18" x14ac:dyDescent="0.3">
      <c r="N920" s="26"/>
      <c r="O920" s="26"/>
      <c r="P920" s="26"/>
      <c r="Q920" s="26"/>
      <c r="R920" s="26"/>
    </row>
    <row r="921" spans="14:18" x14ac:dyDescent="0.3">
      <c r="N921" s="26"/>
      <c r="O921" s="26"/>
      <c r="P921" s="26"/>
      <c r="Q921" s="26"/>
      <c r="R921" s="26"/>
    </row>
    <row r="922" spans="14:18" x14ac:dyDescent="0.3">
      <c r="N922" s="26"/>
      <c r="O922" s="26"/>
      <c r="P922" s="26"/>
      <c r="Q922" s="26"/>
      <c r="R922" s="26"/>
    </row>
    <row r="923" spans="14:18" x14ac:dyDescent="0.3">
      <c r="N923" s="26"/>
      <c r="O923" s="26"/>
      <c r="P923" s="26"/>
      <c r="Q923" s="26"/>
      <c r="R923" s="26"/>
    </row>
    <row r="924" spans="14:18" x14ac:dyDescent="0.3">
      <c r="N924" s="26"/>
      <c r="O924" s="26"/>
      <c r="P924" s="26"/>
      <c r="Q924" s="26"/>
      <c r="R924" s="26"/>
    </row>
    <row r="925" spans="14:18" x14ac:dyDescent="0.3">
      <c r="N925" s="26"/>
      <c r="O925" s="26"/>
      <c r="P925" s="26"/>
      <c r="Q925" s="26"/>
      <c r="R925" s="26"/>
    </row>
    <row r="926" spans="14:18" x14ac:dyDescent="0.3">
      <c r="N926" s="26"/>
      <c r="O926" s="26"/>
      <c r="P926" s="26"/>
      <c r="Q926" s="26"/>
      <c r="R926" s="26"/>
    </row>
    <row r="927" spans="14:18" x14ac:dyDescent="0.3">
      <c r="N927" s="26"/>
      <c r="O927" s="26"/>
      <c r="P927" s="26"/>
      <c r="Q927" s="26"/>
      <c r="R927" s="26"/>
    </row>
    <row r="928" spans="14:18" x14ac:dyDescent="0.3">
      <c r="N928" s="26"/>
      <c r="O928" s="26"/>
      <c r="P928" s="26"/>
      <c r="Q928" s="26"/>
      <c r="R928" s="26"/>
    </row>
    <row r="929" spans="14:18" x14ac:dyDescent="0.3">
      <c r="N929" s="26"/>
      <c r="O929" s="26"/>
      <c r="P929" s="26"/>
      <c r="Q929" s="26"/>
      <c r="R929" s="26"/>
    </row>
    <row r="930" spans="14:18" x14ac:dyDescent="0.3">
      <c r="N930" s="26"/>
      <c r="O930" s="26"/>
      <c r="P930" s="26"/>
      <c r="Q930" s="26"/>
      <c r="R930" s="26"/>
    </row>
    <row r="931" spans="14:18" x14ac:dyDescent="0.3">
      <c r="N931" s="26"/>
      <c r="O931" s="26"/>
      <c r="P931" s="26"/>
      <c r="Q931" s="26"/>
      <c r="R931" s="26"/>
    </row>
    <row r="932" spans="14:18" x14ac:dyDescent="0.3">
      <c r="N932" s="26"/>
      <c r="O932" s="26"/>
      <c r="P932" s="26"/>
      <c r="Q932" s="26"/>
      <c r="R932" s="26"/>
    </row>
    <row r="933" spans="14:18" x14ac:dyDescent="0.3">
      <c r="N933" s="26"/>
      <c r="O933" s="26"/>
      <c r="P933" s="26"/>
      <c r="Q933" s="26"/>
      <c r="R933" s="26"/>
    </row>
    <row r="934" spans="14:18" x14ac:dyDescent="0.3">
      <c r="N934" s="26"/>
      <c r="O934" s="26"/>
      <c r="P934" s="26"/>
      <c r="Q934" s="26"/>
      <c r="R934" s="26"/>
    </row>
    <row r="935" spans="14:18" x14ac:dyDescent="0.3">
      <c r="N935" s="26"/>
      <c r="O935" s="26"/>
      <c r="P935" s="26"/>
      <c r="Q935" s="26"/>
      <c r="R935" s="26"/>
    </row>
    <row r="936" spans="14:18" x14ac:dyDescent="0.3">
      <c r="N936" s="26"/>
      <c r="O936" s="26"/>
      <c r="P936" s="26"/>
      <c r="Q936" s="26"/>
      <c r="R936" s="26"/>
    </row>
    <row r="937" spans="14:18" x14ac:dyDescent="0.3">
      <c r="N937" s="26"/>
      <c r="O937" s="26"/>
      <c r="P937" s="26"/>
      <c r="Q937" s="26"/>
      <c r="R937" s="26"/>
    </row>
    <row r="938" spans="14:18" x14ac:dyDescent="0.3">
      <c r="N938" s="26"/>
      <c r="O938" s="26"/>
      <c r="P938" s="26"/>
      <c r="Q938" s="26"/>
      <c r="R938" s="26"/>
    </row>
    <row r="939" spans="14:18" x14ac:dyDescent="0.3">
      <c r="N939" s="26"/>
      <c r="O939" s="26"/>
      <c r="P939" s="26"/>
      <c r="Q939" s="26"/>
      <c r="R939" s="26"/>
    </row>
    <row r="940" spans="14:18" x14ac:dyDescent="0.3">
      <c r="N940" s="26"/>
      <c r="O940" s="26"/>
      <c r="P940" s="26"/>
      <c r="Q940" s="26"/>
      <c r="R940" s="26"/>
    </row>
    <row r="941" spans="14:18" x14ac:dyDescent="0.3">
      <c r="N941" s="26"/>
      <c r="O941" s="26"/>
      <c r="P941" s="26"/>
      <c r="Q941" s="26"/>
      <c r="R941" s="26"/>
    </row>
    <row r="942" spans="14:18" x14ac:dyDescent="0.3">
      <c r="N942" s="26"/>
      <c r="O942" s="26"/>
      <c r="P942" s="26"/>
      <c r="Q942" s="26"/>
      <c r="R942" s="26"/>
    </row>
    <row r="943" spans="14:18" x14ac:dyDescent="0.3">
      <c r="N943" s="26"/>
      <c r="O943" s="26"/>
      <c r="P943" s="26"/>
      <c r="Q943" s="26"/>
      <c r="R943" s="26"/>
    </row>
    <row r="944" spans="14:18" x14ac:dyDescent="0.3">
      <c r="N944" s="26"/>
      <c r="O944" s="26"/>
      <c r="P944" s="26"/>
      <c r="Q944" s="26"/>
      <c r="R944" s="26"/>
    </row>
    <row r="945" spans="14:18" x14ac:dyDescent="0.3">
      <c r="N945" s="26"/>
      <c r="O945" s="26"/>
      <c r="P945" s="26"/>
      <c r="Q945" s="26"/>
      <c r="R945" s="26"/>
    </row>
    <row r="946" spans="14:18" x14ac:dyDescent="0.3">
      <c r="N946" s="26"/>
      <c r="O946" s="26"/>
      <c r="P946" s="26"/>
      <c r="Q946" s="26"/>
      <c r="R946" s="26"/>
    </row>
    <row r="947" spans="14:18" x14ac:dyDescent="0.3">
      <c r="N947" s="26"/>
      <c r="O947" s="26"/>
      <c r="P947" s="26"/>
      <c r="Q947" s="26"/>
      <c r="R947" s="26"/>
    </row>
    <row r="948" spans="14:18" x14ac:dyDescent="0.3">
      <c r="N948" s="26"/>
      <c r="O948" s="26"/>
      <c r="P948" s="26"/>
      <c r="Q948" s="26"/>
      <c r="R948" s="26"/>
    </row>
    <row r="949" spans="14:18" x14ac:dyDescent="0.3">
      <c r="N949" s="26"/>
      <c r="O949" s="26"/>
      <c r="P949" s="26"/>
      <c r="Q949" s="26"/>
      <c r="R949" s="26"/>
    </row>
    <row r="950" spans="14:18" x14ac:dyDescent="0.3">
      <c r="N950" s="26"/>
      <c r="O950" s="26"/>
      <c r="P950" s="26"/>
      <c r="Q950" s="26"/>
      <c r="R950" s="26"/>
    </row>
    <row r="951" spans="14:18" x14ac:dyDescent="0.3">
      <c r="N951" s="26"/>
      <c r="O951" s="26"/>
      <c r="P951" s="26"/>
      <c r="Q951" s="26"/>
      <c r="R951" s="26"/>
    </row>
    <row r="952" spans="14:18" x14ac:dyDescent="0.3">
      <c r="N952" s="26"/>
      <c r="O952" s="26"/>
      <c r="P952" s="26"/>
      <c r="Q952" s="26"/>
      <c r="R952" s="26"/>
    </row>
    <row r="953" spans="14:18" x14ac:dyDescent="0.3">
      <c r="N953" s="26"/>
      <c r="O953" s="26"/>
      <c r="P953" s="26"/>
      <c r="Q953" s="26"/>
      <c r="R953" s="26"/>
    </row>
    <row r="954" spans="14:18" x14ac:dyDescent="0.3">
      <c r="N954" s="26"/>
      <c r="O954" s="26"/>
      <c r="P954" s="26"/>
      <c r="Q954" s="26"/>
      <c r="R954" s="26"/>
    </row>
    <row r="955" spans="14:18" x14ac:dyDescent="0.3">
      <c r="N955" s="26"/>
      <c r="O955" s="26"/>
      <c r="P955" s="26"/>
      <c r="Q955" s="26"/>
      <c r="R955" s="26"/>
    </row>
    <row r="956" spans="14:18" x14ac:dyDescent="0.3">
      <c r="N956" s="26"/>
      <c r="O956" s="26"/>
      <c r="P956" s="26"/>
      <c r="Q956" s="26"/>
      <c r="R956" s="26"/>
    </row>
    <row r="957" spans="14:18" x14ac:dyDescent="0.3">
      <c r="N957" s="26"/>
      <c r="O957" s="26"/>
      <c r="P957" s="26"/>
      <c r="Q957" s="26"/>
      <c r="R957" s="26"/>
    </row>
    <row r="958" spans="14:18" x14ac:dyDescent="0.3">
      <c r="N958" s="26"/>
      <c r="O958" s="26"/>
      <c r="P958" s="26"/>
      <c r="Q958" s="26"/>
      <c r="R958" s="26"/>
    </row>
    <row r="959" spans="14:18" x14ac:dyDescent="0.3">
      <c r="N959" s="26"/>
      <c r="O959" s="26"/>
      <c r="P959" s="26"/>
      <c r="Q959" s="26"/>
      <c r="R959" s="26"/>
    </row>
    <row r="960" spans="14:18" x14ac:dyDescent="0.3">
      <c r="N960" s="26"/>
      <c r="O960" s="26"/>
      <c r="P960" s="26"/>
      <c r="Q960" s="26"/>
      <c r="R960" s="26"/>
    </row>
    <row r="961" spans="14:18" x14ac:dyDescent="0.3">
      <c r="N961" s="26"/>
      <c r="O961" s="26"/>
      <c r="P961" s="26"/>
      <c r="Q961" s="26"/>
      <c r="R961" s="26"/>
    </row>
    <row r="962" spans="14:18" x14ac:dyDescent="0.3">
      <c r="N962" s="26"/>
      <c r="O962" s="26"/>
      <c r="P962" s="26"/>
      <c r="Q962" s="26"/>
      <c r="R962" s="26"/>
    </row>
    <row r="963" spans="14:18" x14ac:dyDescent="0.3">
      <c r="N963" s="26"/>
      <c r="O963" s="26"/>
      <c r="P963" s="26"/>
      <c r="Q963" s="26"/>
      <c r="R963" s="26"/>
    </row>
    <row r="964" spans="14:18" x14ac:dyDescent="0.3">
      <c r="N964" s="26"/>
      <c r="O964" s="26"/>
      <c r="P964" s="26"/>
      <c r="Q964" s="26"/>
      <c r="R964" s="26"/>
    </row>
    <row r="965" spans="14:18" x14ac:dyDescent="0.3">
      <c r="N965" s="26"/>
      <c r="O965" s="26"/>
      <c r="P965" s="26"/>
      <c r="Q965" s="26"/>
      <c r="R965" s="26"/>
    </row>
    <row r="966" spans="14:18" x14ac:dyDescent="0.3">
      <c r="N966" s="26"/>
      <c r="O966" s="26"/>
      <c r="P966" s="26"/>
      <c r="Q966" s="26"/>
      <c r="R966" s="26"/>
    </row>
    <row r="967" spans="14:18" x14ac:dyDescent="0.3">
      <c r="N967" s="26"/>
      <c r="O967" s="26"/>
      <c r="P967" s="26"/>
      <c r="Q967" s="26"/>
      <c r="R967" s="26"/>
    </row>
    <row r="968" spans="14:18" x14ac:dyDescent="0.3">
      <c r="N968" s="26"/>
      <c r="O968" s="26"/>
      <c r="P968" s="26"/>
      <c r="Q968" s="26"/>
      <c r="R968" s="26"/>
    </row>
    <row r="969" spans="14:18" x14ac:dyDescent="0.3">
      <c r="N969" s="26"/>
      <c r="O969" s="26"/>
      <c r="P969" s="26"/>
      <c r="Q969" s="26"/>
      <c r="R969" s="26"/>
    </row>
    <row r="970" spans="14:18" x14ac:dyDescent="0.3">
      <c r="N970" s="26"/>
      <c r="O970" s="26"/>
      <c r="P970" s="26"/>
      <c r="Q970" s="26"/>
      <c r="R970" s="26"/>
    </row>
    <row r="971" spans="14:18" x14ac:dyDescent="0.3">
      <c r="N971" s="26"/>
      <c r="O971" s="26"/>
      <c r="P971" s="26"/>
      <c r="Q971" s="26"/>
      <c r="R971" s="26"/>
    </row>
    <row r="972" spans="14:18" x14ac:dyDescent="0.3">
      <c r="N972" s="26"/>
      <c r="O972" s="26"/>
      <c r="P972" s="26"/>
      <c r="Q972" s="26"/>
      <c r="R972" s="26"/>
    </row>
    <row r="973" spans="14:18" x14ac:dyDescent="0.3">
      <c r="N973" s="26"/>
      <c r="O973" s="26"/>
      <c r="P973" s="26"/>
      <c r="Q973" s="26"/>
      <c r="R973" s="26"/>
    </row>
    <row r="974" spans="14:18" x14ac:dyDescent="0.3">
      <c r="N974" s="26"/>
      <c r="O974" s="26"/>
      <c r="P974" s="26"/>
      <c r="Q974" s="26"/>
      <c r="R974" s="26"/>
    </row>
    <row r="975" spans="14:18" x14ac:dyDescent="0.3">
      <c r="N975" s="26"/>
      <c r="O975" s="26"/>
      <c r="P975" s="26"/>
      <c r="Q975" s="26"/>
      <c r="R975" s="26"/>
    </row>
    <row r="976" spans="14:18" x14ac:dyDescent="0.3">
      <c r="N976" s="26"/>
      <c r="O976" s="26"/>
      <c r="P976" s="26"/>
      <c r="Q976" s="26"/>
      <c r="R976" s="26"/>
    </row>
    <row r="977" spans="14:18" x14ac:dyDescent="0.3">
      <c r="N977" s="26"/>
      <c r="O977" s="26"/>
      <c r="P977" s="26"/>
      <c r="Q977" s="26"/>
      <c r="R977" s="26"/>
    </row>
    <row r="978" spans="14:18" x14ac:dyDescent="0.3">
      <c r="N978" s="26"/>
      <c r="O978" s="26"/>
      <c r="P978" s="26"/>
      <c r="Q978" s="26"/>
      <c r="R978" s="26"/>
    </row>
    <row r="979" spans="14:18" x14ac:dyDescent="0.3">
      <c r="N979" s="26"/>
      <c r="O979" s="26"/>
      <c r="P979" s="26"/>
      <c r="Q979" s="26"/>
      <c r="R979" s="26"/>
    </row>
    <row r="980" spans="14:18" x14ac:dyDescent="0.3">
      <c r="N980" s="26"/>
      <c r="O980" s="26"/>
      <c r="P980" s="26"/>
      <c r="Q980" s="26"/>
      <c r="R980" s="26"/>
    </row>
    <row r="981" spans="14:18" x14ac:dyDescent="0.3">
      <c r="N981" s="26"/>
      <c r="O981" s="26"/>
      <c r="P981" s="26"/>
      <c r="Q981" s="26"/>
      <c r="R981" s="26"/>
    </row>
    <row r="982" spans="14:18" x14ac:dyDescent="0.3">
      <c r="N982" s="26"/>
      <c r="O982" s="26"/>
      <c r="P982" s="26"/>
      <c r="Q982" s="26"/>
      <c r="R982" s="26"/>
    </row>
    <row r="983" spans="14:18" x14ac:dyDescent="0.3">
      <c r="N983" s="26"/>
      <c r="O983" s="26"/>
      <c r="P983" s="26"/>
      <c r="Q983" s="26"/>
      <c r="R983" s="26"/>
    </row>
    <row r="984" spans="14:18" x14ac:dyDescent="0.3">
      <c r="N984" s="26"/>
      <c r="O984" s="26"/>
      <c r="P984" s="26"/>
      <c r="Q984" s="26"/>
      <c r="R984" s="26"/>
    </row>
    <row r="985" spans="14:18" x14ac:dyDescent="0.3">
      <c r="N985" s="26"/>
      <c r="O985" s="26"/>
      <c r="P985" s="26"/>
      <c r="Q985" s="26"/>
      <c r="R985" s="26"/>
    </row>
    <row r="986" spans="14:18" x14ac:dyDescent="0.3">
      <c r="N986" s="26"/>
      <c r="O986" s="26"/>
      <c r="P986" s="26"/>
      <c r="Q986" s="26"/>
      <c r="R986" s="26"/>
    </row>
    <row r="987" spans="14:18" x14ac:dyDescent="0.3">
      <c r="N987" s="26"/>
      <c r="O987" s="26"/>
      <c r="P987" s="26"/>
      <c r="Q987" s="26"/>
      <c r="R987" s="26"/>
    </row>
    <row r="988" spans="14:18" x14ac:dyDescent="0.3">
      <c r="N988" s="26"/>
      <c r="O988" s="26"/>
      <c r="P988" s="26"/>
      <c r="Q988" s="26"/>
      <c r="R988" s="26"/>
    </row>
    <row r="989" spans="14:18" x14ac:dyDescent="0.3">
      <c r="N989" s="26"/>
      <c r="O989" s="26"/>
      <c r="P989" s="26"/>
      <c r="Q989" s="26"/>
      <c r="R989" s="26"/>
    </row>
    <row r="990" spans="14:18" x14ac:dyDescent="0.3">
      <c r="N990" s="26"/>
      <c r="O990" s="26"/>
      <c r="P990" s="26"/>
      <c r="Q990" s="26"/>
      <c r="R990" s="26"/>
    </row>
    <row r="991" spans="14:18" x14ac:dyDescent="0.3">
      <c r="N991" s="26"/>
      <c r="O991" s="26"/>
      <c r="P991" s="26"/>
      <c r="Q991" s="26"/>
      <c r="R991" s="26"/>
    </row>
    <row r="992" spans="14:18" x14ac:dyDescent="0.3">
      <c r="N992" s="26"/>
      <c r="O992" s="26"/>
      <c r="P992" s="26"/>
      <c r="Q992" s="26"/>
      <c r="R992" s="26"/>
    </row>
    <row r="993" spans="14:18" x14ac:dyDescent="0.3">
      <c r="N993" s="26"/>
      <c r="O993" s="26"/>
      <c r="P993" s="26"/>
      <c r="Q993" s="26"/>
      <c r="R993" s="26"/>
    </row>
    <row r="994" spans="14:18" x14ac:dyDescent="0.3">
      <c r="N994" s="26"/>
      <c r="O994" s="26"/>
      <c r="P994" s="26"/>
      <c r="Q994" s="26"/>
      <c r="R994" s="26"/>
    </row>
    <row r="995" spans="14:18" x14ac:dyDescent="0.3">
      <c r="N995" s="26"/>
      <c r="O995" s="26"/>
      <c r="P995" s="26"/>
      <c r="Q995" s="26"/>
      <c r="R995" s="26"/>
    </row>
    <row r="996" spans="14:18" x14ac:dyDescent="0.3">
      <c r="N996" s="26"/>
      <c r="O996" s="26"/>
      <c r="P996" s="26"/>
      <c r="Q996" s="26"/>
      <c r="R996" s="26"/>
    </row>
    <row r="997" spans="14:18" x14ac:dyDescent="0.3">
      <c r="N997" s="26"/>
      <c r="O997" s="26"/>
      <c r="P997" s="26"/>
      <c r="Q997" s="26"/>
      <c r="R997" s="26"/>
    </row>
    <row r="998" spans="14:18" x14ac:dyDescent="0.3">
      <c r="N998" s="26"/>
      <c r="O998" s="26"/>
      <c r="P998" s="26"/>
      <c r="Q998" s="26"/>
      <c r="R998" s="26"/>
    </row>
    <row r="999" spans="14:18" x14ac:dyDescent="0.3">
      <c r="N999" s="26"/>
      <c r="O999" s="26"/>
      <c r="P999" s="26"/>
      <c r="Q999" s="26"/>
      <c r="R999" s="26"/>
    </row>
    <row r="1000" spans="14:18" x14ac:dyDescent="0.3">
      <c r="N1000" s="26"/>
      <c r="O1000" s="26"/>
      <c r="P1000" s="26"/>
      <c r="Q1000" s="26"/>
      <c r="R1000" s="26"/>
    </row>
    <row r="1001" spans="14:18" x14ac:dyDescent="0.3">
      <c r="N1001" s="26"/>
      <c r="O1001" s="26"/>
      <c r="P1001" s="26"/>
      <c r="Q1001" s="26"/>
      <c r="R1001" s="26"/>
    </row>
    <row r="1002" spans="14:18" x14ac:dyDescent="0.3">
      <c r="N1002" s="26"/>
      <c r="O1002" s="26"/>
      <c r="P1002" s="26"/>
      <c r="Q1002" s="26"/>
      <c r="R1002" s="26"/>
    </row>
    <row r="1003" spans="14:18" x14ac:dyDescent="0.3">
      <c r="N1003" s="26"/>
      <c r="O1003" s="26"/>
      <c r="P1003" s="26"/>
      <c r="Q1003" s="26"/>
      <c r="R1003" s="26"/>
    </row>
    <row r="1004" spans="14:18" x14ac:dyDescent="0.3">
      <c r="N1004" s="26"/>
      <c r="O1004" s="26"/>
      <c r="P1004" s="26"/>
      <c r="Q1004" s="26"/>
      <c r="R1004" s="26"/>
    </row>
    <row r="1005" spans="14:18" x14ac:dyDescent="0.3">
      <c r="N1005" s="26"/>
      <c r="O1005" s="26"/>
      <c r="P1005" s="26"/>
      <c r="Q1005" s="26"/>
      <c r="R1005" s="26"/>
    </row>
    <row r="1006" spans="14:18" x14ac:dyDescent="0.3">
      <c r="N1006" s="26"/>
      <c r="O1006" s="26"/>
      <c r="P1006" s="26"/>
      <c r="Q1006" s="26"/>
      <c r="R1006" s="26"/>
    </row>
    <row r="1007" spans="14:18" x14ac:dyDescent="0.3">
      <c r="N1007" s="26"/>
      <c r="O1007" s="26"/>
      <c r="P1007" s="26"/>
      <c r="Q1007" s="26"/>
      <c r="R1007" s="26"/>
    </row>
    <row r="1008" spans="14:18" x14ac:dyDescent="0.3">
      <c r="N1008" s="26"/>
      <c r="O1008" s="26"/>
      <c r="P1008" s="26"/>
      <c r="Q1008" s="26"/>
      <c r="R1008" s="26"/>
    </row>
    <row r="1009" spans="14:18" x14ac:dyDescent="0.3">
      <c r="N1009" s="26"/>
      <c r="O1009" s="26"/>
      <c r="P1009" s="26"/>
      <c r="Q1009" s="26"/>
      <c r="R1009" s="26"/>
    </row>
    <row r="1010" spans="14:18" x14ac:dyDescent="0.3">
      <c r="N1010" s="26"/>
      <c r="O1010" s="26"/>
      <c r="P1010" s="26"/>
      <c r="Q1010" s="26"/>
      <c r="R1010" s="26"/>
    </row>
    <row r="1011" spans="14:18" x14ac:dyDescent="0.3">
      <c r="N1011" s="26"/>
      <c r="O1011" s="26"/>
      <c r="P1011" s="26"/>
      <c r="Q1011" s="26"/>
      <c r="R1011" s="26"/>
    </row>
    <row r="1012" spans="14:18" x14ac:dyDescent="0.3">
      <c r="N1012" s="26"/>
      <c r="O1012" s="26"/>
      <c r="P1012" s="26"/>
      <c r="Q1012" s="26"/>
      <c r="R1012" s="26"/>
    </row>
    <row r="1013" spans="14:18" x14ac:dyDescent="0.3">
      <c r="N1013" s="26"/>
      <c r="O1013" s="26"/>
      <c r="P1013" s="26"/>
      <c r="Q1013" s="26"/>
      <c r="R1013" s="26"/>
    </row>
    <row r="1014" spans="14:18" x14ac:dyDescent="0.3">
      <c r="N1014" s="26"/>
      <c r="O1014" s="26"/>
      <c r="P1014" s="26"/>
      <c r="Q1014" s="26"/>
      <c r="R1014" s="26"/>
    </row>
    <row r="1015" spans="14:18" x14ac:dyDescent="0.3">
      <c r="N1015" s="26"/>
      <c r="O1015" s="26"/>
      <c r="P1015" s="26"/>
      <c r="Q1015" s="26"/>
      <c r="R1015" s="26"/>
    </row>
    <row r="1016" spans="14:18" x14ac:dyDescent="0.3">
      <c r="N1016" s="26"/>
      <c r="O1016" s="26"/>
      <c r="P1016" s="26"/>
      <c r="Q1016" s="26"/>
      <c r="R1016" s="26"/>
    </row>
    <row r="1017" spans="14:18" x14ac:dyDescent="0.3">
      <c r="N1017" s="26"/>
      <c r="O1017" s="26"/>
      <c r="P1017" s="26"/>
      <c r="Q1017" s="26"/>
      <c r="R1017" s="26"/>
    </row>
    <row r="1018" spans="14:18" x14ac:dyDescent="0.3">
      <c r="N1018" s="26"/>
      <c r="O1018" s="26"/>
      <c r="P1018" s="26"/>
      <c r="Q1018" s="26"/>
      <c r="R1018" s="26"/>
    </row>
    <row r="1019" spans="14:18" x14ac:dyDescent="0.3">
      <c r="N1019" s="26"/>
      <c r="O1019" s="26"/>
      <c r="P1019" s="26"/>
      <c r="Q1019" s="26"/>
      <c r="R1019" s="26"/>
    </row>
    <row r="1020" spans="14:18" x14ac:dyDescent="0.3">
      <c r="N1020" s="26"/>
      <c r="O1020" s="26"/>
      <c r="P1020" s="26"/>
      <c r="Q1020" s="26"/>
      <c r="R1020" s="26"/>
    </row>
    <row r="1021" spans="14:18" x14ac:dyDescent="0.3">
      <c r="N1021" s="26"/>
      <c r="O1021" s="26"/>
      <c r="P1021" s="26"/>
      <c r="Q1021" s="26"/>
      <c r="R1021" s="26"/>
    </row>
    <row r="1022" spans="14:18" x14ac:dyDescent="0.3">
      <c r="N1022" s="26"/>
      <c r="O1022" s="26"/>
      <c r="P1022" s="26"/>
      <c r="Q1022" s="26"/>
      <c r="R1022" s="26"/>
    </row>
    <row r="1023" spans="14:18" x14ac:dyDescent="0.3">
      <c r="N1023" s="26"/>
      <c r="O1023" s="26"/>
      <c r="P1023" s="26"/>
      <c r="Q1023" s="26"/>
      <c r="R1023" s="26"/>
    </row>
    <row r="1024" spans="14:18" x14ac:dyDescent="0.3">
      <c r="N1024" s="26"/>
      <c r="O1024" s="26"/>
      <c r="P1024" s="26"/>
      <c r="Q1024" s="26"/>
      <c r="R1024" s="26"/>
    </row>
    <row r="1025" spans="14:18" x14ac:dyDescent="0.3">
      <c r="N1025" s="26"/>
      <c r="O1025" s="26"/>
      <c r="P1025" s="26"/>
      <c r="Q1025" s="26"/>
      <c r="R1025" s="26"/>
    </row>
    <row r="1026" spans="14:18" x14ac:dyDescent="0.3">
      <c r="N1026" s="26"/>
      <c r="O1026" s="26"/>
      <c r="P1026" s="26"/>
      <c r="Q1026" s="26"/>
      <c r="R1026" s="26"/>
    </row>
    <row r="1027" spans="14:18" x14ac:dyDescent="0.3">
      <c r="N1027" s="26"/>
      <c r="O1027" s="26"/>
      <c r="P1027" s="26"/>
      <c r="Q1027" s="26"/>
      <c r="R1027" s="26"/>
    </row>
    <row r="1028" spans="14:18" x14ac:dyDescent="0.3">
      <c r="N1028" s="26"/>
      <c r="O1028" s="26"/>
      <c r="P1028" s="26"/>
      <c r="Q1028" s="26"/>
      <c r="R1028" s="26"/>
    </row>
    <row r="1029" spans="14:18" x14ac:dyDescent="0.3">
      <c r="N1029" s="26"/>
      <c r="O1029" s="26"/>
      <c r="P1029" s="26"/>
      <c r="Q1029" s="26"/>
      <c r="R1029" s="26"/>
    </row>
    <row r="1030" spans="14:18" x14ac:dyDescent="0.3">
      <c r="N1030" s="26"/>
      <c r="O1030" s="26"/>
      <c r="P1030" s="26"/>
      <c r="Q1030" s="26"/>
      <c r="R1030" s="26"/>
    </row>
    <row r="1031" spans="14:18" x14ac:dyDescent="0.3">
      <c r="N1031" s="26"/>
      <c r="O1031" s="26"/>
      <c r="P1031" s="26"/>
      <c r="Q1031" s="26"/>
      <c r="R1031" s="26"/>
    </row>
    <row r="1032" spans="14:18" x14ac:dyDescent="0.3">
      <c r="N1032" s="26"/>
      <c r="O1032" s="26"/>
      <c r="P1032" s="26"/>
      <c r="Q1032" s="26"/>
      <c r="R1032" s="26"/>
    </row>
    <row r="1033" spans="14:18" x14ac:dyDescent="0.3">
      <c r="N1033" s="26"/>
      <c r="O1033" s="26"/>
      <c r="P1033" s="26"/>
      <c r="Q1033" s="26"/>
      <c r="R1033" s="26"/>
    </row>
    <row r="1034" spans="14:18" x14ac:dyDescent="0.3">
      <c r="N1034" s="26"/>
      <c r="O1034" s="26"/>
      <c r="P1034" s="26"/>
      <c r="Q1034" s="26"/>
      <c r="R1034" s="26"/>
    </row>
    <row r="1035" spans="14:18" x14ac:dyDescent="0.3">
      <c r="N1035" s="26"/>
      <c r="O1035" s="26"/>
      <c r="P1035" s="26"/>
      <c r="Q1035" s="26"/>
      <c r="R1035" s="26"/>
    </row>
    <row r="1036" spans="14:18" x14ac:dyDescent="0.3">
      <c r="N1036" s="26"/>
      <c r="O1036" s="26"/>
      <c r="P1036" s="26"/>
      <c r="Q1036" s="26"/>
      <c r="R1036" s="26"/>
    </row>
    <row r="1037" spans="14:18" x14ac:dyDescent="0.3">
      <c r="N1037" s="26"/>
      <c r="O1037" s="26"/>
      <c r="P1037" s="26"/>
      <c r="Q1037" s="26"/>
      <c r="R1037" s="26"/>
    </row>
    <row r="1038" spans="14:18" x14ac:dyDescent="0.3">
      <c r="N1038" s="26"/>
      <c r="O1038" s="26"/>
      <c r="P1038" s="26"/>
      <c r="Q1038" s="26"/>
      <c r="R1038" s="26"/>
    </row>
    <row r="1039" spans="14:18" x14ac:dyDescent="0.3">
      <c r="N1039" s="26"/>
      <c r="O1039" s="26"/>
      <c r="P1039" s="26"/>
      <c r="Q1039" s="26"/>
      <c r="R1039" s="26"/>
    </row>
    <row r="1040" spans="14:18" x14ac:dyDescent="0.3">
      <c r="N1040" s="26"/>
      <c r="O1040" s="26"/>
      <c r="P1040" s="26"/>
      <c r="Q1040" s="26"/>
      <c r="R1040" s="26"/>
    </row>
    <row r="1041" spans="14:18" x14ac:dyDescent="0.3">
      <c r="N1041" s="26"/>
      <c r="O1041" s="26"/>
      <c r="P1041" s="26"/>
      <c r="Q1041" s="26"/>
      <c r="R1041" s="26"/>
    </row>
    <row r="1042" spans="14:18" x14ac:dyDescent="0.3">
      <c r="N1042" s="26"/>
      <c r="O1042" s="26"/>
      <c r="P1042" s="26"/>
      <c r="Q1042" s="26"/>
      <c r="R1042" s="26"/>
    </row>
    <row r="1043" spans="14:18" x14ac:dyDescent="0.3">
      <c r="N1043" s="26"/>
      <c r="O1043" s="26"/>
      <c r="P1043" s="26"/>
      <c r="Q1043" s="26"/>
      <c r="R1043" s="26"/>
    </row>
    <row r="1044" spans="14:18" x14ac:dyDescent="0.3">
      <c r="N1044" s="26"/>
      <c r="O1044" s="26"/>
      <c r="P1044" s="26"/>
      <c r="Q1044" s="26"/>
      <c r="R1044" s="26"/>
    </row>
    <row r="1045" spans="14:18" x14ac:dyDescent="0.3">
      <c r="N1045" s="26"/>
      <c r="O1045" s="26"/>
      <c r="P1045" s="26"/>
      <c r="Q1045" s="26"/>
      <c r="R1045" s="26"/>
    </row>
    <row r="1046" spans="14:18" x14ac:dyDescent="0.3">
      <c r="N1046" s="26"/>
      <c r="O1046" s="26"/>
      <c r="P1046" s="26"/>
      <c r="Q1046" s="26"/>
      <c r="R1046" s="26"/>
    </row>
    <row r="1047" spans="14:18" x14ac:dyDescent="0.3">
      <c r="N1047" s="26"/>
      <c r="O1047" s="26"/>
      <c r="P1047" s="26"/>
      <c r="Q1047" s="26"/>
      <c r="R1047" s="26"/>
    </row>
    <row r="1048" spans="14:18" x14ac:dyDescent="0.3">
      <c r="N1048" s="26"/>
      <c r="O1048" s="26"/>
      <c r="P1048" s="26"/>
      <c r="Q1048" s="26"/>
      <c r="R1048" s="26"/>
    </row>
    <row r="1049" spans="14:18" x14ac:dyDescent="0.3">
      <c r="N1049" s="26"/>
      <c r="O1049" s="26"/>
      <c r="P1049" s="26"/>
      <c r="Q1049" s="26"/>
      <c r="R1049" s="26"/>
    </row>
    <row r="1050" spans="14:18" x14ac:dyDescent="0.3">
      <c r="N1050" s="26"/>
      <c r="O1050" s="26"/>
      <c r="P1050" s="26"/>
      <c r="Q1050" s="26"/>
      <c r="R1050" s="26"/>
    </row>
    <row r="1051" spans="14:18" x14ac:dyDescent="0.3">
      <c r="N1051" s="26"/>
      <c r="O1051" s="26"/>
      <c r="P1051" s="26"/>
      <c r="Q1051" s="26"/>
      <c r="R1051" s="26"/>
    </row>
    <row r="1052" spans="14:18" x14ac:dyDescent="0.3">
      <c r="N1052" s="26"/>
      <c r="O1052" s="26"/>
      <c r="P1052" s="26"/>
      <c r="Q1052" s="26"/>
      <c r="R1052" s="26"/>
    </row>
    <row r="1053" spans="14:18" x14ac:dyDescent="0.3">
      <c r="N1053" s="26"/>
      <c r="O1053" s="26"/>
      <c r="P1053" s="26"/>
      <c r="Q1053" s="26"/>
      <c r="R1053" s="26"/>
    </row>
    <row r="1054" spans="14:18" x14ac:dyDescent="0.3">
      <c r="N1054" s="26"/>
      <c r="O1054" s="26"/>
      <c r="P1054" s="26"/>
      <c r="Q1054" s="26"/>
      <c r="R1054" s="26"/>
    </row>
    <row r="1055" spans="14:18" x14ac:dyDescent="0.3">
      <c r="N1055" s="26"/>
      <c r="O1055" s="26"/>
      <c r="P1055" s="26"/>
      <c r="Q1055" s="26"/>
      <c r="R1055" s="26"/>
    </row>
    <row r="1056" spans="14:18" x14ac:dyDescent="0.3">
      <c r="N1056" s="26"/>
      <c r="O1056" s="26"/>
      <c r="P1056" s="26"/>
      <c r="Q1056" s="26"/>
      <c r="R1056" s="26"/>
    </row>
    <row r="1057" spans="14:18" x14ac:dyDescent="0.3">
      <c r="N1057" s="26"/>
      <c r="O1057" s="26"/>
      <c r="P1057" s="26"/>
      <c r="Q1057" s="26"/>
      <c r="R1057" s="26"/>
    </row>
    <row r="1058" spans="14:18" x14ac:dyDescent="0.3">
      <c r="N1058" s="26"/>
      <c r="O1058" s="26"/>
      <c r="P1058" s="26"/>
      <c r="Q1058" s="26"/>
      <c r="R1058" s="26"/>
    </row>
    <row r="1059" spans="14:18" x14ac:dyDescent="0.3">
      <c r="N1059" s="26"/>
      <c r="O1059" s="26"/>
      <c r="P1059" s="26"/>
      <c r="Q1059" s="26"/>
      <c r="R1059" s="26"/>
    </row>
    <row r="1060" spans="14:18" x14ac:dyDescent="0.3">
      <c r="N1060" s="26"/>
      <c r="O1060" s="26"/>
      <c r="P1060" s="26"/>
      <c r="Q1060" s="26"/>
      <c r="R1060" s="26"/>
    </row>
    <row r="1061" spans="14:18" x14ac:dyDescent="0.3">
      <c r="N1061" s="26"/>
      <c r="O1061" s="26"/>
      <c r="P1061" s="26"/>
      <c r="Q1061" s="26"/>
      <c r="R1061" s="26"/>
    </row>
    <row r="1062" spans="14:18" x14ac:dyDescent="0.3">
      <c r="N1062" s="26"/>
      <c r="O1062" s="26"/>
      <c r="P1062" s="26"/>
      <c r="Q1062" s="26"/>
      <c r="R1062" s="26"/>
    </row>
    <row r="1063" spans="14:18" x14ac:dyDescent="0.3">
      <c r="N1063" s="26"/>
      <c r="O1063" s="26"/>
      <c r="P1063" s="26"/>
      <c r="Q1063" s="26"/>
      <c r="R1063" s="26"/>
    </row>
    <row r="1064" spans="14:18" x14ac:dyDescent="0.3">
      <c r="N1064" s="26"/>
      <c r="O1064" s="26"/>
      <c r="P1064" s="26"/>
      <c r="Q1064" s="26"/>
      <c r="R1064" s="26"/>
    </row>
    <row r="1065" spans="14:18" x14ac:dyDescent="0.3">
      <c r="N1065" s="26"/>
      <c r="O1065" s="26"/>
      <c r="P1065" s="26"/>
      <c r="Q1065" s="26"/>
      <c r="R1065" s="26"/>
    </row>
    <row r="1066" spans="14:18" x14ac:dyDescent="0.3">
      <c r="N1066" s="26"/>
      <c r="O1066" s="26"/>
      <c r="P1066" s="26"/>
      <c r="Q1066" s="26"/>
      <c r="R1066" s="26"/>
    </row>
    <row r="1067" spans="14:18" x14ac:dyDescent="0.3">
      <c r="N1067" s="26"/>
      <c r="O1067" s="26"/>
      <c r="P1067" s="26"/>
      <c r="Q1067" s="26"/>
      <c r="R1067" s="26"/>
    </row>
    <row r="1068" spans="14:18" x14ac:dyDescent="0.3">
      <c r="N1068" s="26"/>
      <c r="O1068" s="26"/>
      <c r="P1068" s="26"/>
      <c r="Q1068" s="26"/>
      <c r="R1068" s="26"/>
    </row>
    <row r="1069" spans="14:18" x14ac:dyDescent="0.3">
      <c r="N1069" s="26"/>
      <c r="O1069" s="26"/>
      <c r="P1069" s="26"/>
      <c r="Q1069" s="26"/>
      <c r="R1069" s="26"/>
    </row>
    <row r="1070" spans="14:18" x14ac:dyDescent="0.3">
      <c r="N1070" s="26"/>
      <c r="O1070" s="26"/>
      <c r="P1070" s="26"/>
      <c r="Q1070" s="26"/>
      <c r="R1070" s="26"/>
    </row>
    <row r="1071" spans="14:18" x14ac:dyDescent="0.3">
      <c r="N1071" s="26"/>
      <c r="O1071" s="26"/>
      <c r="P1071" s="26"/>
      <c r="Q1071" s="26"/>
      <c r="R1071" s="26"/>
    </row>
    <row r="1072" spans="14:18" x14ac:dyDescent="0.3">
      <c r="N1072" s="26"/>
      <c r="O1072" s="26"/>
      <c r="P1072" s="26"/>
      <c r="Q1072" s="26"/>
      <c r="R1072" s="26"/>
    </row>
    <row r="1073" spans="14:18" x14ac:dyDescent="0.3">
      <c r="N1073" s="26"/>
      <c r="O1073" s="26"/>
      <c r="P1073" s="26"/>
      <c r="Q1073" s="26"/>
      <c r="R1073" s="26"/>
    </row>
    <row r="1074" spans="14:18" x14ac:dyDescent="0.3">
      <c r="N1074" s="26"/>
      <c r="O1074" s="26"/>
      <c r="P1074" s="26"/>
      <c r="Q1074" s="26"/>
      <c r="R1074" s="26"/>
    </row>
    <row r="1075" spans="14:18" x14ac:dyDescent="0.3">
      <c r="N1075" s="26"/>
      <c r="O1075" s="26"/>
      <c r="P1075" s="26"/>
      <c r="Q1075" s="26"/>
      <c r="R1075" s="26"/>
    </row>
    <row r="1076" spans="14:18" x14ac:dyDescent="0.3">
      <c r="N1076" s="26"/>
      <c r="O1076" s="26"/>
      <c r="P1076" s="26"/>
      <c r="Q1076" s="26"/>
      <c r="R1076" s="26"/>
    </row>
    <row r="1077" spans="14:18" x14ac:dyDescent="0.3">
      <c r="N1077" s="26"/>
      <c r="O1077" s="26"/>
      <c r="P1077" s="26"/>
      <c r="Q1077" s="26"/>
      <c r="R1077" s="26"/>
    </row>
    <row r="1078" spans="14:18" x14ac:dyDescent="0.3">
      <c r="N1078" s="26"/>
      <c r="O1078" s="26"/>
      <c r="P1078" s="26"/>
      <c r="Q1078" s="26"/>
      <c r="R1078" s="26"/>
    </row>
    <row r="1079" spans="14:18" x14ac:dyDescent="0.3">
      <c r="N1079" s="26"/>
      <c r="O1079" s="26"/>
      <c r="P1079" s="26"/>
      <c r="Q1079" s="26"/>
      <c r="R1079" s="26"/>
    </row>
    <row r="1080" spans="14:18" x14ac:dyDescent="0.3">
      <c r="N1080" s="26"/>
      <c r="O1080" s="26"/>
      <c r="P1080" s="26"/>
      <c r="Q1080" s="26"/>
      <c r="R1080" s="26"/>
    </row>
    <row r="1081" spans="14:18" x14ac:dyDescent="0.3">
      <c r="N1081" s="26"/>
      <c r="O1081" s="26"/>
      <c r="P1081" s="26"/>
      <c r="Q1081" s="26"/>
      <c r="R1081" s="26"/>
    </row>
    <row r="1082" spans="14:18" x14ac:dyDescent="0.3">
      <c r="N1082" s="26"/>
      <c r="O1082" s="26"/>
      <c r="P1082" s="26"/>
      <c r="Q1082" s="26"/>
      <c r="R1082" s="26"/>
    </row>
    <row r="1083" spans="14:18" x14ac:dyDescent="0.3">
      <c r="N1083" s="26"/>
      <c r="O1083" s="26"/>
      <c r="P1083" s="26"/>
      <c r="Q1083" s="26"/>
      <c r="R1083" s="26"/>
    </row>
    <row r="1084" spans="14:18" x14ac:dyDescent="0.3">
      <c r="N1084" s="26"/>
      <c r="O1084" s="26"/>
      <c r="P1084" s="26"/>
      <c r="Q1084" s="26"/>
      <c r="R1084" s="26"/>
    </row>
    <row r="1085" spans="14:18" x14ac:dyDescent="0.3">
      <c r="N1085" s="26"/>
      <c r="O1085" s="26"/>
      <c r="P1085" s="26"/>
      <c r="Q1085" s="26"/>
      <c r="R1085" s="26"/>
    </row>
    <row r="1086" spans="14:18" x14ac:dyDescent="0.3">
      <c r="N1086" s="26"/>
      <c r="O1086" s="26"/>
      <c r="P1086" s="26"/>
      <c r="Q1086" s="26"/>
      <c r="R1086" s="26"/>
    </row>
    <row r="1087" spans="14:18" x14ac:dyDescent="0.3">
      <c r="N1087" s="26"/>
      <c r="O1087" s="26"/>
      <c r="P1087" s="26"/>
      <c r="Q1087" s="26"/>
      <c r="R1087" s="26"/>
    </row>
    <row r="1088" spans="14:18" x14ac:dyDescent="0.3">
      <c r="N1088" s="26"/>
      <c r="O1088" s="26"/>
      <c r="P1088" s="26"/>
      <c r="Q1088" s="26"/>
      <c r="R1088" s="26"/>
    </row>
    <row r="1089" spans="14:18" x14ac:dyDescent="0.3">
      <c r="N1089" s="26"/>
      <c r="O1089" s="26"/>
      <c r="P1089" s="26"/>
      <c r="Q1089" s="26"/>
      <c r="R1089" s="26"/>
    </row>
    <row r="1090" spans="14:18" x14ac:dyDescent="0.3">
      <c r="N1090" s="26"/>
      <c r="O1090" s="26"/>
      <c r="P1090" s="26"/>
      <c r="Q1090" s="26"/>
      <c r="R1090" s="26"/>
    </row>
    <row r="1091" spans="14:18" x14ac:dyDescent="0.3">
      <c r="N1091" s="26"/>
      <c r="O1091" s="26"/>
      <c r="P1091" s="26"/>
      <c r="Q1091" s="26"/>
      <c r="R1091" s="26"/>
    </row>
    <row r="1092" spans="14:18" x14ac:dyDescent="0.3">
      <c r="N1092" s="26"/>
      <c r="O1092" s="26"/>
      <c r="P1092" s="26"/>
      <c r="Q1092" s="26"/>
      <c r="R1092" s="26"/>
    </row>
    <row r="1093" spans="14:18" x14ac:dyDescent="0.3">
      <c r="N1093" s="26"/>
      <c r="O1093" s="26"/>
      <c r="P1093" s="26"/>
      <c r="Q1093" s="26"/>
      <c r="R1093" s="26"/>
    </row>
    <row r="1094" spans="14:18" x14ac:dyDescent="0.3">
      <c r="N1094" s="26"/>
      <c r="O1094" s="26"/>
      <c r="P1094" s="26"/>
      <c r="Q1094" s="26"/>
      <c r="R1094" s="26"/>
    </row>
    <row r="1095" spans="14:18" x14ac:dyDescent="0.3">
      <c r="N1095" s="26"/>
      <c r="O1095" s="26"/>
      <c r="P1095" s="26"/>
      <c r="Q1095" s="26"/>
      <c r="R1095" s="26"/>
    </row>
    <row r="1096" spans="14:18" x14ac:dyDescent="0.3">
      <c r="N1096" s="26"/>
      <c r="O1096" s="26"/>
      <c r="P1096" s="26"/>
      <c r="Q1096" s="26"/>
      <c r="R1096" s="26"/>
    </row>
    <row r="1097" spans="14:18" x14ac:dyDescent="0.3">
      <c r="N1097" s="26"/>
      <c r="O1097" s="26"/>
      <c r="P1097" s="26"/>
      <c r="Q1097" s="26"/>
      <c r="R1097" s="26"/>
    </row>
    <row r="1098" spans="14:18" x14ac:dyDescent="0.3">
      <c r="N1098" s="26"/>
      <c r="O1098" s="26"/>
      <c r="P1098" s="26"/>
      <c r="Q1098" s="26"/>
      <c r="R1098" s="26"/>
    </row>
    <row r="1099" spans="14:18" x14ac:dyDescent="0.3">
      <c r="N1099" s="26"/>
      <c r="O1099" s="26"/>
      <c r="P1099" s="26"/>
      <c r="Q1099" s="26"/>
      <c r="R1099" s="26"/>
    </row>
    <row r="1100" spans="14:18" x14ac:dyDescent="0.3">
      <c r="N1100" s="26"/>
      <c r="O1100" s="26"/>
      <c r="P1100" s="26"/>
      <c r="Q1100" s="26"/>
      <c r="R1100" s="26"/>
    </row>
    <row r="1101" spans="14:18" x14ac:dyDescent="0.3">
      <c r="N1101" s="26"/>
      <c r="O1101" s="26"/>
      <c r="P1101" s="26"/>
      <c r="Q1101" s="26"/>
      <c r="R1101" s="26"/>
    </row>
    <row r="1102" spans="14:18" x14ac:dyDescent="0.3">
      <c r="N1102" s="26"/>
      <c r="O1102" s="26"/>
      <c r="P1102" s="26"/>
      <c r="Q1102" s="26"/>
      <c r="R1102" s="26"/>
    </row>
    <row r="1103" spans="14:18" x14ac:dyDescent="0.3">
      <c r="N1103" s="26"/>
      <c r="O1103" s="26"/>
      <c r="P1103" s="26"/>
      <c r="Q1103" s="26"/>
      <c r="R1103" s="26"/>
    </row>
    <row r="1104" spans="14:18" x14ac:dyDescent="0.3">
      <c r="N1104" s="26"/>
      <c r="O1104" s="26"/>
      <c r="P1104" s="26"/>
      <c r="Q1104" s="26"/>
      <c r="R1104" s="26"/>
    </row>
    <row r="1105" spans="14:18" x14ac:dyDescent="0.3">
      <c r="N1105" s="26"/>
      <c r="O1105" s="26"/>
      <c r="P1105" s="26"/>
      <c r="Q1105" s="26"/>
      <c r="R1105" s="26"/>
    </row>
    <row r="1106" spans="14:18" x14ac:dyDescent="0.3">
      <c r="N1106" s="26"/>
      <c r="O1106" s="26"/>
      <c r="P1106" s="26"/>
      <c r="Q1106" s="26"/>
      <c r="R1106" s="26"/>
    </row>
    <row r="1107" spans="14:18" x14ac:dyDescent="0.3">
      <c r="N1107" s="26"/>
      <c r="O1107" s="26"/>
      <c r="P1107" s="26"/>
      <c r="Q1107" s="26"/>
      <c r="R1107" s="26"/>
    </row>
    <row r="1108" spans="14:18" x14ac:dyDescent="0.3">
      <c r="N1108" s="26"/>
      <c r="O1108" s="26"/>
      <c r="P1108" s="26"/>
      <c r="Q1108" s="26"/>
      <c r="R1108" s="26"/>
    </row>
    <row r="1109" spans="14:18" x14ac:dyDescent="0.3">
      <c r="N1109" s="26"/>
      <c r="O1109" s="26"/>
      <c r="P1109" s="26"/>
      <c r="Q1109" s="26"/>
      <c r="R1109" s="26"/>
    </row>
    <row r="1110" spans="14:18" x14ac:dyDescent="0.3">
      <c r="N1110" s="26"/>
      <c r="O1110" s="26"/>
      <c r="P1110" s="26"/>
      <c r="Q1110" s="26"/>
      <c r="R1110" s="26"/>
    </row>
    <row r="1111" spans="14:18" x14ac:dyDescent="0.3">
      <c r="N1111" s="26"/>
      <c r="O1111" s="26"/>
      <c r="P1111" s="26"/>
      <c r="Q1111" s="26"/>
      <c r="R1111" s="26"/>
    </row>
    <row r="1112" spans="14:18" x14ac:dyDescent="0.3">
      <c r="N1112" s="26"/>
      <c r="O1112" s="26"/>
      <c r="P1112" s="26"/>
      <c r="Q1112" s="26"/>
      <c r="R1112" s="26"/>
    </row>
    <row r="1113" spans="14:18" x14ac:dyDescent="0.3">
      <c r="N1113" s="26"/>
      <c r="O1113" s="26"/>
      <c r="P1113" s="26"/>
      <c r="Q1113" s="26"/>
      <c r="R1113" s="26"/>
    </row>
    <row r="1114" spans="14:18" x14ac:dyDescent="0.3">
      <c r="N1114" s="26"/>
      <c r="O1114" s="26"/>
      <c r="P1114" s="26"/>
      <c r="Q1114" s="26"/>
      <c r="R1114" s="26"/>
    </row>
    <row r="1115" spans="14:18" x14ac:dyDescent="0.3">
      <c r="N1115" s="26"/>
      <c r="O1115" s="26"/>
      <c r="P1115" s="26"/>
      <c r="Q1115" s="26"/>
      <c r="R1115" s="26"/>
    </row>
    <row r="1116" spans="14:18" x14ac:dyDescent="0.3">
      <c r="N1116" s="26"/>
      <c r="O1116" s="26"/>
      <c r="P1116" s="26"/>
      <c r="Q1116" s="26"/>
      <c r="R1116" s="26"/>
    </row>
    <row r="1117" spans="14:18" x14ac:dyDescent="0.3">
      <c r="N1117" s="26"/>
      <c r="O1117" s="26"/>
      <c r="P1117" s="26"/>
      <c r="Q1117" s="26"/>
      <c r="R1117" s="26"/>
    </row>
    <row r="1118" spans="14:18" x14ac:dyDescent="0.3">
      <c r="N1118" s="26"/>
      <c r="O1118" s="26"/>
      <c r="P1118" s="26"/>
      <c r="Q1118" s="26"/>
      <c r="R1118" s="26"/>
    </row>
    <row r="1119" spans="14:18" x14ac:dyDescent="0.3">
      <c r="N1119" s="26"/>
      <c r="O1119" s="26"/>
      <c r="P1119" s="26"/>
      <c r="Q1119" s="26"/>
      <c r="R1119" s="26"/>
    </row>
    <row r="1120" spans="14:18" x14ac:dyDescent="0.3">
      <c r="N1120" s="26"/>
      <c r="O1120" s="26"/>
      <c r="P1120" s="26"/>
      <c r="Q1120" s="26"/>
      <c r="R1120" s="26"/>
    </row>
    <row r="1121" spans="14:18" x14ac:dyDescent="0.3">
      <c r="N1121" s="26"/>
      <c r="O1121" s="26"/>
      <c r="P1121" s="26"/>
      <c r="Q1121" s="26"/>
      <c r="R1121" s="26"/>
    </row>
    <row r="1122" spans="14:18" x14ac:dyDescent="0.3">
      <c r="N1122" s="26"/>
      <c r="O1122" s="26"/>
      <c r="P1122" s="26"/>
      <c r="Q1122" s="26"/>
      <c r="R1122" s="26"/>
    </row>
    <row r="1123" spans="14:18" x14ac:dyDescent="0.3">
      <c r="N1123" s="26"/>
      <c r="O1123" s="26"/>
      <c r="P1123" s="26"/>
      <c r="Q1123" s="26"/>
      <c r="R1123" s="26"/>
    </row>
    <row r="1124" spans="14:18" x14ac:dyDescent="0.3">
      <c r="N1124" s="26"/>
      <c r="O1124" s="26"/>
      <c r="P1124" s="26"/>
      <c r="Q1124" s="26"/>
      <c r="R1124" s="26"/>
    </row>
    <row r="1125" spans="14:18" x14ac:dyDescent="0.3">
      <c r="N1125" s="26"/>
      <c r="O1125" s="26"/>
      <c r="P1125" s="26"/>
      <c r="Q1125" s="26"/>
      <c r="R1125" s="26"/>
    </row>
    <row r="1126" spans="14:18" x14ac:dyDescent="0.3">
      <c r="N1126" s="26"/>
      <c r="O1126" s="26"/>
      <c r="P1126" s="26"/>
      <c r="Q1126" s="26"/>
      <c r="R1126" s="26"/>
    </row>
    <row r="1127" spans="14:18" x14ac:dyDescent="0.3">
      <c r="N1127" s="26"/>
      <c r="O1127" s="26"/>
      <c r="P1127" s="26"/>
      <c r="Q1127" s="26"/>
      <c r="R1127" s="26"/>
    </row>
    <row r="1128" spans="14:18" x14ac:dyDescent="0.3">
      <c r="N1128" s="26"/>
      <c r="O1128" s="26"/>
      <c r="P1128" s="26"/>
      <c r="Q1128" s="26"/>
      <c r="R1128" s="26"/>
    </row>
    <row r="1129" spans="14:18" x14ac:dyDescent="0.3">
      <c r="N1129" s="26"/>
      <c r="O1129" s="26"/>
      <c r="P1129" s="26"/>
      <c r="Q1129" s="26"/>
      <c r="R1129" s="26"/>
    </row>
    <row r="1130" spans="14:18" x14ac:dyDescent="0.3">
      <c r="N1130" s="26"/>
      <c r="O1130" s="26"/>
      <c r="P1130" s="26"/>
      <c r="Q1130" s="26"/>
      <c r="R1130" s="26"/>
    </row>
    <row r="1131" spans="14:18" x14ac:dyDescent="0.3">
      <c r="N1131" s="26"/>
      <c r="O1131" s="26"/>
      <c r="P1131" s="26"/>
      <c r="Q1131" s="26"/>
      <c r="R1131" s="26"/>
    </row>
    <row r="1132" spans="14:18" x14ac:dyDescent="0.3">
      <c r="N1132" s="26"/>
      <c r="O1132" s="26"/>
      <c r="P1132" s="26"/>
      <c r="Q1132" s="26"/>
      <c r="R1132" s="26"/>
    </row>
    <row r="1133" spans="14:18" x14ac:dyDescent="0.3">
      <c r="N1133" s="26"/>
      <c r="O1133" s="26"/>
      <c r="P1133" s="26"/>
      <c r="Q1133" s="26"/>
      <c r="R1133" s="26"/>
    </row>
    <row r="1134" spans="14:18" x14ac:dyDescent="0.3">
      <c r="N1134" s="26"/>
      <c r="O1134" s="26"/>
      <c r="P1134" s="26"/>
      <c r="Q1134" s="26"/>
      <c r="R1134" s="26"/>
    </row>
    <row r="1135" spans="14:18" x14ac:dyDescent="0.3">
      <c r="N1135" s="26"/>
      <c r="O1135" s="26"/>
      <c r="P1135" s="26"/>
      <c r="Q1135" s="26"/>
      <c r="R1135" s="26"/>
    </row>
    <row r="1136" spans="14:18" x14ac:dyDescent="0.3">
      <c r="N1136" s="26"/>
      <c r="O1136" s="26"/>
      <c r="P1136" s="26"/>
      <c r="Q1136" s="26"/>
      <c r="R1136" s="26"/>
    </row>
    <row r="1137" spans="14:18" x14ac:dyDescent="0.3">
      <c r="N1137" s="26"/>
      <c r="O1137" s="26"/>
      <c r="P1137" s="26"/>
      <c r="Q1137" s="26"/>
      <c r="R1137" s="26"/>
    </row>
    <row r="1138" spans="14:18" x14ac:dyDescent="0.3">
      <c r="N1138" s="26"/>
      <c r="O1138" s="26"/>
      <c r="P1138" s="26"/>
      <c r="Q1138" s="26"/>
      <c r="R1138" s="26"/>
    </row>
    <row r="1139" spans="14:18" x14ac:dyDescent="0.3">
      <c r="N1139" s="26"/>
      <c r="O1139" s="26"/>
      <c r="P1139" s="26"/>
      <c r="Q1139" s="26"/>
      <c r="R1139" s="26"/>
    </row>
    <row r="1140" spans="14:18" x14ac:dyDescent="0.3">
      <c r="N1140" s="26"/>
      <c r="O1140" s="26"/>
      <c r="P1140" s="26"/>
      <c r="Q1140" s="26"/>
      <c r="R1140" s="26"/>
    </row>
    <row r="1141" spans="14:18" x14ac:dyDescent="0.3">
      <c r="N1141" s="26"/>
      <c r="O1141" s="26"/>
      <c r="P1141" s="26"/>
      <c r="Q1141" s="26"/>
      <c r="R1141" s="26"/>
    </row>
    <row r="1142" spans="14:18" x14ac:dyDescent="0.3">
      <c r="N1142" s="26"/>
      <c r="O1142" s="26"/>
      <c r="P1142" s="26"/>
      <c r="Q1142" s="26"/>
      <c r="R1142" s="26"/>
    </row>
    <row r="1143" spans="14:18" x14ac:dyDescent="0.3">
      <c r="N1143" s="26"/>
      <c r="O1143" s="26"/>
      <c r="P1143" s="26"/>
      <c r="Q1143" s="26"/>
      <c r="R1143" s="26"/>
    </row>
    <row r="1144" spans="14:18" x14ac:dyDescent="0.3">
      <c r="N1144" s="26"/>
      <c r="O1144" s="26"/>
      <c r="P1144" s="26"/>
      <c r="Q1144" s="26"/>
      <c r="R1144" s="26"/>
    </row>
    <row r="1145" spans="14:18" x14ac:dyDescent="0.3">
      <c r="N1145" s="26"/>
      <c r="O1145" s="26"/>
      <c r="P1145" s="26"/>
      <c r="Q1145" s="26"/>
      <c r="R1145" s="26"/>
    </row>
    <row r="1146" spans="14:18" x14ac:dyDescent="0.3">
      <c r="N1146" s="26"/>
      <c r="O1146" s="26"/>
      <c r="P1146" s="26"/>
      <c r="Q1146" s="26"/>
      <c r="R1146" s="26"/>
    </row>
    <row r="1147" spans="14:18" x14ac:dyDescent="0.3">
      <c r="N1147" s="26"/>
      <c r="O1147" s="26"/>
      <c r="P1147" s="26"/>
      <c r="Q1147" s="26"/>
      <c r="R1147" s="26"/>
    </row>
    <row r="1148" spans="14:18" x14ac:dyDescent="0.3">
      <c r="N1148" s="26"/>
      <c r="O1148" s="26"/>
      <c r="P1148" s="26"/>
      <c r="Q1148" s="26"/>
      <c r="R1148" s="26"/>
    </row>
    <row r="1149" spans="14:18" x14ac:dyDescent="0.3">
      <c r="N1149" s="26"/>
      <c r="O1149" s="26"/>
      <c r="P1149" s="26"/>
      <c r="Q1149" s="26"/>
      <c r="R1149" s="26"/>
    </row>
    <row r="1150" spans="14:18" x14ac:dyDescent="0.3">
      <c r="N1150" s="26"/>
      <c r="O1150" s="26"/>
      <c r="P1150" s="26"/>
      <c r="Q1150" s="26"/>
      <c r="R1150" s="26"/>
    </row>
    <row r="1151" spans="14:18" x14ac:dyDescent="0.3">
      <c r="N1151" s="26"/>
      <c r="O1151" s="26"/>
      <c r="P1151" s="26"/>
      <c r="Q1151" s="26"/>
      <c r="R1151" s="26"/>
    </row>
    <row r="1152" spans="14:18" x14ac:dyDescent="0.3">
      <c r="N1152" s="26"/>
      <c r="O1152" s="26"/>
      <c r="P1152" s="26"/>
      <c r="Q1152" s="26"/>
      <c r="R1152" s="26"/>
    </row>
    <row r="1153" spans="14:18" x14ac:dyDescent="0.3">
      <c r="N1153" s="26"/>
      <c r="O1153" s="26"/>
      <c r="P1153" s="26"/>
      <c r="Q1153" s="26"/>
      <c r="R1153" s="26"/>
    </row>
    <row r="1154" spans="14:18" x14ac:dyDescent="0.3">
      <c r="N1154" s="26"/>
      <c r="O1154" s="26"/>
      <c r="P1154" s="26"/>
      <c r="Q1154" s="26"/>
      <c r="R1154" s="26"/>
    </row>
    <row r="1155" spans="14:18" x14ac:dyDescent="0.3">
      <c r="N1155" s="26"/>
      <c r="O1155" s="26"/>
      <c r="P1155" s="26"/>
      <c r="Q1155" s="26"/>
      <c r="R1155" s="26"/>
    </row>
    <row r="1156" spans="14:18" x14ac:dyDescent="0.3">
      <c r="N1156" s="26"/>
      <c r="O1156" s="26"/>
      <c r="P1156" s="26"/>
      <c r="Q1156" s="26"/>
      <c r="R1156" s="26"/>
    </row>
    <row r="1157" spans="14:18" x14ac:dyDescent="0.3">
      <c r="N1157" s="26"/>
      <c r="O1157" s="26"/>
      <c r="P1157" s="26"/>
      <c r="Q1157" s="26"/>
      <c r="R1157" s="26"/>
    </row>
    <row r="1158" spans="14:18" x14ac:dyDescent="0.3">
      <c r="N1158" s="26"/>
      <c r="O1158" s="26"/>
      <c r="P1158" s="26"/>
      <c r="Q1158" s="26"/>
      <c r="R1158" s="26"/>
    </row>
    <row r="1159" spans="14:18" x14ac:dyDescent="0.3">
      <c r="N1159" s="26"/>
      <c r="O1159" s="26"/>
      <c r="P1159" s="26"/>
      <c r="Q1159" s="26"/>
      <c r="R1159" s="26"/>
    </row>
    <row r="1160" spans="14:18" x14ac:dyDescent="0.3">
      <c r="N1160" s="26"/>
      <c r="O1160" s="26"/>
      <c r="P1160" s="26"/>
      <c r="Q1160" s="26"/>
      <c r="R1160" s="26"/>
    </row>
    <row r="1161" spans="14:18" x14ac:dyDescent="0.3">
      <c r="N1161" s="26"/>
      <c r="O1161" s="26"/>
      <c r="P1161" s="26"/>
      <c r="Q1161" s="26"/>
      <c r="R1161" s="26"/>
    </row>
    <row r="1162" spans="14:18" x14ac:dyDescent="0.3">
      <c r="N1162" s="26"/>
      <c r="O1162" s="26"/>
      <c r="P1162" s="26"/>
      <c r="Q1162" s="26"/>
      <c r="R1162" s="26"/>
    </row>
    <row r="1163" spans="14:18" x14ac:dyDescent="0.3">
      <c r="N1163" s="26"/>
      <c r="O1163" s="26"/>
      <c r="P1163" s="26"/>
      <c r="Q1163" s="26"/>
      <c r="R1163" s="26"/>
    </row>
    <row r="1164" spans="14:18" x14ac:dyDescent="0.3">
      <c r="N1164" s="26"/>
      <c r="O1164" s="26"/>
      <c r="P1164" s="26"/>
      <c r="Q1164" s="26"/>
      <c r="R1164" s="26"/>
    </row>
    <row r="1165" spans="14:18" x14ac:dyDescent="0.3">
      <c r="N1165" s="26"/>
      <c r="O1165" s="26"/>
      <c r="P1165" s="26"/>
      <c r="Q1165" s="26"/>
      <c r="R1165" s="26"/>
    </row>
    <row r="1166" spans="14:18" x14ac:dyDescent="0.3">
      <c r="N1166" s="26"/>
      <c r="O1166" s="26"/>
      <c r="P1166" s="26"/>
      <c r="Q1166" s="26"/>
      <c r="R1166" s="26"/>
    </row>
    <row r="1167" spans="14:18" x14ac:dyDescent="0.3">
      <c r="N1167" s="26"/>
      <c r="O1167" s="26"/>
      <c r="P1167" s="26"/>
      <c r="Q1167" s="26"/>
      <c r="R1167" s="26"/>
    </row>
    <row r="1168" spans="14:18" x14ac:dyDescent="0.3">
      <c r="N1168" s="26"/>
      <c r="O1168" s="26"/>
      <c r="P1168" s="26"/>
      <c r="Q1168" s="26"/>
      <c r="R1168" s="26"/>
    </row>
    <row r="1169" spans="14:18" x14ac:dyDescent="0.3">
      <c r="N1169" s="26"/>
      <c r="O1169" s="26"/>
      <c r="P1169" s="26"/>
      <c r="Q1169" s="26"/>
      <c r="R1169" s="26"/>
    </row>
    <row r="1170" spans="14:18" x14ac:dyDescent="0.3">
      <c r="N1170" s="26"/>
      <c r="O1170" s="26"/>
      <c r="P1170" s="26"/>
      <c r="Q1170" s="26"/>
      <c r="R1170" s="26"/>
    </row>
    <row r="1171" spans="14:18" x14ac:dyDescent="0.3">
      <c r="N1171" s="26"/>
      <c r="O1171" s="26"/>
      <c r="P1171" s="26"/>
      <c r="Q1171" s="26"/>
      <c r="R1171" s="26"/>
    </row>
    <row r="1172" spans="14:18" x14ac:dyDescent="0.3">
      <c r="N1172" s="26"/>
      <c r="O1172" s="26"/>
      <c r="P1172" s="26"/>
      <c r="Q1172" s="26"/>
      <c r="R1172" s="26"/>
    </row>
    <row r="1173" spans="14:18" x14ac:dyDescent="0.3">
      <c r="N1173" s="26"/>
      <c r="O1173" s="26"/>
      <c r="P1173" s="26"/>
      <c r="Q1173" s="26"/>
      <c r="R1173" s="26"/>
    </row>
    <row r="1174" spans="14:18" x14ac:dyDescent="0.3">
      <c r="N1174" s="26"/>
      <c r="O1174" s="26"/>
      <c r="P1174" s="26"/>
      <c r="Q1174" s="26"/>
      <c r="R1174" s="26"/>
    </row>
    <row r="1175" spans="14:18" x14ac:dyDescent="0.3">
      <c r="N1175" s="26"/>
      <c r="O1175" s="26"/>
      <c r="P1175" s="26"/>
      <c r="Q1175" s="26"/>
      <c r="R1175" s="26"/>
    </row>
    <row r="1176" spans="14:18" x14ac:dyDescent="0.3">
      <c r="N1176" s="26"/>
      <c r="O1176" s="26"/>
      <c r="P1176" s="26"/>
      <c r="Q1176" s="26"/>
      <c r="R1176" s="26"/>
    </row>
    <row r="1177" spans="14:18" x14ac:dyDescent="0.3">
      <c r="N1177" s="26"/>
      <c r="O1177" s="26"/>
      <c r="P1177" s="26"/>
      <c r="Q1177" s="26"/>
      <c r="R1177" s="26"/>
    </row>
    <row r="1178" spans="14:18" x14ac:dyDescent="0.3">
      <c r="N1178" s="26"/>
      <c r="O1178" s="26"/>
      <c r="P1178" s="26"/>
      <c r="Q1178" s="26"/>
      <c r="R1178" s="26"/>
    </row>
    <row r="1179" spans="14:18" x14ac:dyDescent="0.3">
      <c r="N1179" s="26"/>
      <c r="O1179" s="26"/>
      <c r="P1179" s="26"/>
      <c r="Q1179" s="26"/>
      <c r="R1179" s="26"/>
    </row>
    <row r="1180" spans="14:18" x14ac:dyDescent="0.3">
      <c r="N1180" s="26"/>
      <c r="O1180" s="26"/>
      <c r="P1180" s="26"/>
      <c r="Q1180" s="26"/>
      <c r="R1180" s="26"/>
    </row>
    <row r="1181" spans="14:18" x14ac:dyDescent="0.3">
      <c r="N1181" s="26"/>
      <c r="O1181" s="26"/>
      <c r="P1181" s="26"/>
      <c r="Q1181" s="26"/>
      <c r="R1181" s="26"/>
    </row>
    <row r="1182" spans="14:18" x14ac:dyDescent="0.3">
      <c r="N1182" s="26"/>
      <c r="O1182" s="26"/>
      <c r="P1182" s="26"/>
      <c r="Q1182" s="26"/>
      <c r="R1182" s="26"/>
    </row>
    <row r="1183" spans="14:18" x14ac:dyDescent="0.3">
      <c r="N1183" s="26"/>
      <c r="O1183" s="26"/>
      <c r="P1183" s="26"/>
      <c r="Q1183" s="26"/>
      <c r="R1183" s="26"/>
    </row>
    <row r="1184" spans="14:18" x14ac:dyDescent="0.3">
      <c r="N1184" s="26"/>
      <c r="O1184" s="26"/>
      <c r="P1184" s="26"/>
      <c r="Q1184" s="26"/>
      <c r="R1184" s="26"/>
    </row>
    <row r="1185" spans="14:18" x14ac:dyDescent="0.3">
      <c r="N1185" s="26"/>
      <c r="O1185" s="26"/>
      <c r="P1185" s="26"/>
      <c r="Q1185" s="26"/>
      <c r="R1185" s="26"/>
    </row>
    <row r="1186" spans="14:18" x14ac:dyDescent="0.3">
      <c r="N1186" s="26"/>
      <c r="O1186" s="26"/>
      <c r="P1186" s="26"/>
      <c r="Q1186" s="26"/>
      <c r="R1186" s="26"/>
    </row>
    <row r="1187" spans="14:18" x14ac:dyDescent="0.3">
      <c r="N1187" s="26"/>
      <c r="O1187" s="26"/>
      <c r="P1187" s="26"/>
      <c r="Q1187" s="26"/>
      <c r="R1187" s="26"/>
    </row>
    <row r="1188" spans="14:18" x14ac:dyDescent="0.3">
      <c r="N1188" s="26"/>
      <c r="O1188" s="26"/>
      <c r="P1188" s="26"/>
      <c r="Q1188" s="26"/>
      <c r="R1188" s="26"/>
    </row>
    <row r="1189" spans="14:18" x14ac:dyDescent="0.3">
      <c r="N1189" s="26"/>
      <c r="O1189" s="26"/>
      <c r="P1189" s="26"/>
      <c r="Q1189" s="26"/>
      <c r="R1189" s="26"/>
    </row>
    <row r="1190" spans="14:18" x14ac:dyDescent="0.3">
      <c r="N1190" s="26"/>
      <c r="O1190" s="26"/>
      <c r="P1190" s="26"/>
      <c r="Q1190" s="26"/>
      <c r="R1190" s="26"/>
    </row>
    <row r="1191" spans="14:18" x14ac:dyDescent="0.3">
      <c r="N1191" s="26"/>
      <c r="O1191" s="26"/>
      <c r="P1191" s="26"/>
      <c r="Q1191" s="26"/>
      <c r="R1191" s="26"/>
    </row>
    <row r="1192" spans="14:18" x14ac:dyDescent="0.3">
      <c r="N1192" s="26"/>
      <c r="O1192" s="26"/>
      <c r="P1192" s="26"/>
      <c r="Q1192" s="26"/>
      <c r="R1192" s="26"/>
    </row>
    <row r="1193" spans="14:18" x14ac:dyDescent="0.3">
      <c r="N1193" s="26"/>
      <c r="O1193" s="26"/>
      <c r="P1193" s="26"/>
      <c r="Q1193" s="26"/>
      <c r="R1193" s="26"/>
    </row>
    <row r="1194" spans="14:18" x14ac:dyDescent="0.3">
      <c r="N1194" s="26"/>
      <c r="O1194" s="26"/>
      <c r="P1194" s="26"/>
      <c r="Q1194" s="26"/>
      <c r="R1194" s="26"/>
    </row>
    <row r="1195" spans="14:18" x14ac:dyDescent="0.3">
      <c r="N1195" s="26"/>
      <c r="O1195" s="26"/>
      <c r="P1195" s="26"/>
      <c r="Q1195" s="26"/>
      <c r="R1195" s="26"/>
    </row>
    <row r="1196" spans="14:18" x14ac:dyDescent="0.3">
      <c r="N1196" s="26"/>
      <c r="O1196" s="26"/>
      <c r="P1196" s="26"/>
      <c r="Q1196" s="26"/>
      <c r="R1196" s="26"/>
    </row>
    <row r="1197" spans="14:18" x14ac:dyDescent="0.3">
      <c r="N1197" s="26"/>
      <c r="O1197" s="26"/>
      <c r="P1197" s="26"/>
      <c r="Q1197" s="26"/>
      <c r="R1197" s="26"/>
    </row>
    <row r="1198" spans="14:18" x14ac:dyDescent="0.3">
      <c r="N1198" s="26"/>
      <c r="O1198" s="26"/>
      <c r="P1198" s="26"/>
      <c r="Q1198" s="26"/>
      <c r="R1198" s="26"/>
    </row>
    <row r="1199" spans="14:18" x14ac:dyDescent="0.3">
      <c r="N1199" s="26"/>
      <c r="O1199" s="26"/>
      <c r="P1199" s="26"/>
      <c r="Q1199" s="26"/>
      <c r="R1199" s="26"/>
    </row>
    <row r="1200" spans="14:18" x14ac:dyDescent="0.3">
      <c r="N1200" s="26"/>
      <c r="O1200" s="26"/>
      <c r="P1200" s="26"/>
      <c r="Q1200" s="26"/>
      <c r="R1200" s="26"/>
    </row>
    <row r="1201" spans="14:18" x14ac:dyDescent="0.3">
      <c r="N1201" s="26"/>
      <c r="O1201" s="26"/>
      <c r="P1201" s="26"/>
      <c r="Q1201" s="26"/>
      <c r="R1201" s="26"/>
    </row>
    <row r="1202" spans="14:18" x14ac:dyDescent="0.3">
      <c r="N1202" s="26"/>
      <c r="O1202" s="26"/>
      <c r="P1202" s="26"/>
      <c r="Q1202" s="26"/>
      <c r="R1202" s="26"/>
    </row>
    <row r="1203" spans="14:18" x14ac:dyDescent="0.3">
      <c r="N1203" s="26"/>
      <c r="O1203" s="26"/>
      <c r="P1203" s="26"/>
      <c r="Q1203" s="26"/>
      <c r="R1203" s="26"/>
    </row>
    <row r="1204" spans="14:18" x14ac:dyDescent="0.3">
      <c r="N1204" s="26"/>
      <c r="O1204" s="26"/>
      <c r="P1204" s="26"/>
      <c r="Q1204" s="26"/>
      <c r="R1204" s="26"/>
    </row>
    <row r="1205" spans="14:18" x14ac:dyDescent="0.3">
      <c r="N1205" s="26"/>
      <c r="O1205" s="26"/>
      <c r="P1205" s="26"/>
      <c r="Q1205" s="26"/>
      <c r="R1205" s="26"/>
    </row>
    <row r="1206" spans="14:18" x14ac:dyDescent="0.3">
      <c r="N1206" s="26"/>
      <c r="O1206" s="26"/>
      <c r="P1206" s="26"/>
      <c r="Q1206" s="26"/>
      <c r="R1206" s="26"/>
    </row>
    <row r="1207" spans="14:18" x14ac:dyDescent="0.3">
      <c r="N1207" s="26"/>
      <c r="O1207" s="26"/>
      <c r="P1207" s="26"/>
      <c r="Q1207" s="26"/>
      <c r="R1207" s="26"/>
    </row>
    <row r="1208" spans="14:18" x14ac:dyDescent="0.3">
      <c r="N1208" s="26"/>
      <c r="O1208" s="26"/>
      <c r="P1208" s="26"/>
      <c r="Q1208" s="26"/>
      <c r="R1208" s="26"/>
    </row>
    <row r="1209" spans="14:18" x14ac:dyDescent="0.3">
      <c r="N1209" s="26"/>
      <c r="O1209" s="26"/>
      <c r="P1209" s="26"/>
      <c r="Q1209" s="26"/>
      <c r="R1209" s="26"/>
    </row>
    <row r="1210" spans="14:18" x14ac:dyDescent="0.3">
      <c r="N1210" s="26"/>
      <c r="O1210" s="26"/>
      <c r="P1210" s="26"/>
      <c r="Q1210" s="26"/>
      <c r="R1210" s="26"/>
    </row>
    <row r="1211" spans="14:18" x14ac:dyDescent="0.3">
      <c r="N1211" s="26"/>
      <c r="O1211" s="26"/>
      <c r="P1211" s="26"/>
      <c r="Q1211" s="26"/>
      <c r="R1211" s="26"/>
    </row>
    <row r="1212" spans="14:18" x14ac:dyDescent="0.3">
      <c r="N1212" s="26"/>
      <c r="O1212" s="26"/>
      <c r="P1212" s="26"/>
      <c r="Q1212" s="26"/>
      <c r="R1212" s="26"/>
    </row>
    <row r="1213" spans="14:18" x14ac:dyDescent="0.3">
      <c r="N1213" s="26"/>
      <c r="O1213" s="26"/>
      <c r="P1213" s="26"/>
      <c r="Q1213" s="26"/>
      <c r="R1213" s="26"/>
    </row>
    <row r="1214" spans="14:18" x14ac:dyDescent="0.3">
      <c r="N1214" s="26"/>
      <c r="O1214" s="26"/>
      <c r="P1214" s="26"/>
      <c r="Q1214" s="26"/>
      <c r="R1214" s="26"/>
    </row>
    <row r="1215" spans="14:18" x14ac:dyDescent="0.3">
      <c r="N1215" s="26"/>
      <c r="O1215" s="26"/>
      <c r="P1215" s="26"/>
      <c r="Q1215" s="26"/>
      <c r="R1215" s="26"/>
    </row>
    <row r="1216" spans="14:18" x14ac:dyDescent="0.3">
      <c r="N1216" s="26"/>
      <c r="O1216" s="26"/>
      <c r="P1216" s="26"/>
      <c r="Q1216" s="26"/>
      <c r="R1216" s="26"/>
    </row>
    <row r="1217" spans="14:18" x14ac:dyDescent="0.3">
      <c r="N1217" s="26"/>
      <c r="O1217" s="26"/>
      <c r="P1217" s="26"/>
      <c r="Q1217" s="26"/>
      <c r="R1217" s="26"/>
    </row>
    <row r="1218" spans="14:18" x14ac:dyDescent="0.3">
      <c r="N1218" s="26"/>
      <c r="O1218" s="26"/>
      <c r="P1218" s="26"/>
      <c r="Q1218" s="26"/>
      <c r="R1218" s="26"/>
    </row>
    <row r="1219" spans="14:18" x14ac:dyDescent="0.3">
      <c r="N1219" s="26"/>
      <c r="O1219" s="26"/>
      <c r="P1219" s="26"/>
      <c r="Q1219" s="26"/>
      <c r="R1219" s="26"/>
    </row>
    <row r="1220" spans="14:18" x14ac:dyDescent="0.3">
      <c r="N1220" s="26"/>
      <c r="O1220" s="26"/>
      <c r="P1220" s="26"/>
      <c r="Q1220" s="26"/>
      <c r="R1220" s="26"/>
    </row>
    <row r="1221" spans="14:18" x14ac:dyDescent="0.3">
      <c r="N1221" s="26"/>
      <c r="O1221" s="26"/>
      <c r="P1221" s="26"/>
      <c r="Q1221" s="26"/>
      <c r="R1221" s="26"/>
    </row>
    <row r="1222" spans="14:18" x14ac:dyDescent="0.3">
      <c r="N1222" s="26"/>
      <c r="O1222" s="26"/>
      <c r="P1222" s="26"/>
      <c r="Q1222" s="26"/>
      <c r="R1222" s="26"/>
    </row>
    <row r="1223" spans="14:18" x14ac:dyDescent="0.3">
      <c r="N1223" s="26"/>
      <c r="O1223" s="26"/>
      <c r="P1223" s="26"/>
      <c r="Q1223" s="26"/>
      <c r="R1223" s="26"/>
    </row>
    <row r="1224" spans="14:18" x14ac:dyDescent="0.3">
      <c r="N1224" s="26"/>
      <c r="O1224" s="26"/>
      <c r="P1224" s="26"/>
      <c r="Q1224" s="26"/>
      <c r="R1224" s="26"/>
    </row>
    <row r="1225" spans="14:18" x14ac:dyDescent="0.3">
      <c r="N1225" s="26"/>
      <c r="O1225" s="26"/>
      <c r="P1225" s="26"/>
      <c r="Q1225" s="26"/>
      <c r="R1225" s="26"/>
    </row>
    <row r="1226" spans="14:18" x14ac:dyDescent="0.3">
      <c r="N1226" s="26"/>
      <c r="O1226" s="26"/>
      <c r="P1226" s="26"/>
      <c r="Q1226" s="26"/>
      <c r="R1226" s="26"/>
    </row>
    <row r="1227" spans="14:18" x14ac:dyDescent="0.3">
      <c r="N1227" s="26"/>
      <c r="O1227" s="26"/>
      <c r="P1227" s="26"/>
      <c r="Q1227" s="26"/>
      <c r="R1227" s="26"/>
    </row>
    <row r="1228" spans="14:18" x14ac:dyDescent="0.3">
      <c r="N1228" s="26"/>
      <c r="O1228" s="26"/>
      <c r="P1228" s="26"/>
      <c r="Q1228" s="26"/>
      <c r="R1228" s="26"/>
    </row>
    <row r="1229" spans="14:18" x14ac:dyDescent="0.3">
      <c r="N1229" s="26"/>
      <c r="O1229" s="26"/>
      <c r="P1229" s="26"/>
      <c r="Q1229" s="26"/>
      <c r="R1229" s="26"/>
    </row>
    <row r="1230" spans="14:18" x14ac:dyDescent="0.3">
      <c r="N1230" s="26"/>
      <c r="O1230" s="26"/>
      <c r="P1230" s="26"/>
      <c r="Q1230" s="26"/>
      <c r="R1230" s="26"/>
    </row>
    <row r="1231" spans="14:18" x14ac:dyDescent="0.3">
      <c r="N1231" s="26"/>
      <c r="O1231" s="26"/>
      <c r="P1231" s="26"/>
      <c r="Q1231" s="26"/>
      <c r="R1231" s="26"/>
    </row>
    <row r="1232" spans="14:18" x14ac:dyDescent="0.3">
      <c r="N1232" s="26"/>
      <c r="O1232" s="26"/>
      <c r="P1232" s="26"/>
      <c r="Q1232" s="26"/>
      <c r="R1232" s="26"/>
    </row>
    <row r="1233" spans="14:18" x14ac:dyDescent="0.3">
      <c r="N1233" s="26"/>
      <c r="O1233" s="26"/>
      <c r="P1233" s="26"/>
      <c r="Q1233" s="26"/>
      <c r="R1233" s="26"/>
    </row>
    <row r="1234" spans="14:18" x14ac:dyDescent="0.3">
      <c r="N1234" s="26"/>
      <c r="O1234" s="26"/>
      <c r="P1234" s="26"/>
      <c r="Q1234" s="26"/>
      <c r="R1234" s="26"/>
    </row>
    <row r="1235" spans="14:18" x14ac:dyDescent="0.3">
      <c r="N1235" s="26"/>
      <c r="O1235" s="26"/>
      <c r="P1235" s="26"/>
      <c r="Q1235" s="26"/>
      <c r="R1235" s="26"/>
    </row>
    <row r="1236" spans="14:18" x14ac:dyDescent="0.3">
      <c r="N1236" s="26"/>
      <c r="O1236" s="26"/>
      <c r="P1236" s="26"/>
      <c r="Q1236" s="26"/>
      <c r="R1236" s="26"/>
    </row>
    <row r="1237" spans="14:18" x14ac:dyDescent="0.3">
      <c r="N1237" s="26"/>
      <c r="O1237" s="26"/>
      <c r="P1237" s="26"/>
      <c r="Q1237" s="26"/>
      <c r="R1237" s="26"/>
    </row>
    <row r="1238" spans="14:18" x14ac:dyDescent="0.3">
      <c r="N1238" s="26"/>
      <c r="O1238" s="26"/>
      <c r="P1238" s="26"/>
      <c r="Q1238" s="26"/>
      <c r="R1238" s="26"/>
    </row>
    <row r="1239" spans="14:18" x14ac:dyDescent="0.3">
      <c r="N1239" s="26"/>
      <c r="O1239" s="26"/>
      <c r="P1239" s="26"/>
      <c r="Q1239" s="26"/>
      <c r="R1239" s="26"/>
    </row>
    <row r="1240" spans="14:18" x14ac:dyDescent="0.3">
      <c r="N1240" s="26"/>
      <c r="O1240" s="26"/>
      <c r="P1240" s="26"/>
      <c r="Q1240" s="26"/>
      <c r="R1240" s="26"/>
    </row>
    <row r="1241" spans="14:18" x14ac:dyDescent="0.3">
      <c r="N1241" s="26"/>
      <c r="O1241" s="26"/>
      <c r="P1241" s="26"/>
      <c r="Q1241" s="26"/>
      <c r="R1241" s="26"/>
    </row>
    <row r="1242" spans="14:18" x14ac:dyDescent="0.3">
      <c r="N1242" s="26"/>
      <c r="O1242" s="26"/>
      <c r="P1242" s="26"/>
      <c r="Q1242" s="26"/>
      <c r="R1242" s="26"/>
    </row>
    <row r="1243" spans="14:18" x14ac:dyDescent="0.3">
      <c r="N1243" s="26"/>
      <c r="O1243" s="26"/>
      <c r="P1243" s="26"/>
      <c r="Q1243" s="26"/>
      <c r="R1243" s="26"/>
    </row>
    <row r="1244" spans="14:18" x14ac:dyDescent="0.3">
      <c r="N1244" s="26"/>
      <c r="O1244" s="26"/>
      <c r="P1244" s="26"/>
      <c r="Q1244" s="26"/>
      <c r="R1244" s="26"/>
    </row>
    <row r="1245" spans="14:18" x14ac:dyDescent="0.3">
      <c r="N1245" s="26"/>
      <c r="O1245" s="26"/>
      <c r="P1245" s="26"/>
      <c r="Q1245" s="26"/>
      <c r="R1245" s="26"/>
    </row>
    <row r="1246" spans="14:18" x14ac:dyDescent="0.3">
      <c r="N1246" s="26"/>
      <c r="O1246" s="26"/>
      <c r="P1246" s="26"/>
      <c r="Q1246" s="26"/>
      <c r="R1246" s="26"/>
    </row>
    <row r="1247" spans="14:18" x14ac:dyDescent="0.3">
      <c r="N1247" s="26"/>
      <c r="O1247" s="26"/>
      <c r="P1247" s="26"/>
      <c r="Q1247" s="26"/>
      <c r="R1247" s="26"/>
    </row>
    <row r="1248" spans="14:18" x14ac:dyDescent="0.3">
      <c r="N1248" s="26"/>
      <c r="O1248" s="26"/>
      <c r="P1248" s="26"/>
      <c r="Q1248" s="26"/>
      <c r="R1248" s="26"/>
    </row>
    <row r="1249" spans="14:18" x14ac:dyDescent="0.3">
      <c r="N1249" s="26"/>
      <c r="O1249" s="26"/>
      <c r="P1249" s="26"/>
      <c r="Q1249" s="26"/>
      <c r="R1249" s="26"/>
    </row>
    <row r="1250" spans="14:18" x14ac:dyDescent="0.3">
      <c r="N1250" s="26"/>
      <c r="O1250" s="26"/>
      <c r="P1250" s="26"/>
      <c r="Q1250" s="26"/>
      <c r="R1250" s="26"/>
    </row>
    <row r="1251" spans="14:18" x14ac:dyDescent="0.3">
      <c r="N1251" s="26"/>
      <c r="O1251" s="26"/>
      <c r="P1251" s="26"/>
      <c r="Q1251" s="26"/>
      <c r="R1251" s="26"/>
    </row>
    <row r="1252" spans="14:18" x14ac:dyDescent="0.3">
      <c r="N1252" s="26"/>
      <c r="O1252" s="26"/>
      <c r="P1252" s="26"/>
      <c r="Q1252" s="26"/>
      <c r="R1252" s="26"/>
    </row>
    <row r="1253" spans="14:18" x14ac:dyDescent="0.3">
      <c r="N1253" s="26"/>
      <c r="O1253" s="26"/>
      <c r="P1253" s="26"/>
      <c r="Q1253" s="26"/>
      <c r="R1253" s="26"/>
    </row>
    <row r="1254" spans="14:18" x14ac:dyDescent="0.3">
      <c r="N1254" s="26"/>
      <c r="O1254" s="26"/>
      <c r="P1254" s="26"/>
      <c r="Q1254" s="26"/>
      <c r="R1254" s="26"/>
    </row>
    <row r="1255" spans="14:18" x14ac:dyDescent="0.3">
      <c r="N1255" s="26"/>
      <c r="O1255" s="26"/>
      <c r="P1255" s="26"/>
      <c r="Q1255" s="26"/>
      <c r="R1255" s="26"/>
    </row>
    <row r="1256" spans="14:18" x14ac:dyDescent="0.3">
      <c r="N1256" s="26"/>
      <c r="O1256" s="26"/>
      <c r="P1256" s="26"/>
      <c r="Q1256" s="26"/>
      <c r="R1256" s="26"/>
    </row>
    <row r="1257" spans="14:18" x14ac:dyDescent="0.3">
      <c r="N1257" s="26"/>
      <c r="O1257" s="26"/>
      <c r="P1257" s="26"/>
      <c r="Q1257" s="26"/>
      <c r="R1257" s="26"/>
    </row>
    <row r="1258" spans="14:18" x14ac:dyDescent="0.3">
      <c r="N1258" s="26"/>
      <c r="O1258" s="26"/>
      <c r="P1258" s="26"/>
      <c r="Q1258" s="26"/>
      <c r="R1258" s="26"/>
    </row>
    <row r="1259" spans="14:18" x14ac:dyDescent="0.3">
      <c r="N1259" s="26"/>
      <c r="O1259" s="26"/>
      <c r="P1259" s="26"/>
      <c r="Q1259" s="26"/>
      <c r="R1259" s="26"/>
    </row>
    <row r="1260" spans="14:18" x14ac:dyDescent="0.3">
      <c r="N1260" s="26"/>
      <c r="O1260" s="26"/>
      <c r="P1260" s="26"/>
      <c r="Q1260" s="26"/>
      <c r="R1260" s="26"/>
    </row>
    <row r="1261" spans="14:18" x14ac:dyDescent="0.3">
      <c r="N1261" s="26"/>
      <c r="O1261" s="26"/>
      <c r="P1261" s="26"/>
      <c r="Q1261" s="26"/>
      <c r="R1261" s="26"/>
    </row>
    <row r="1262" spans="14:18" x14ac:dyDescent="0.3">
      <c r="N1262" s="26"/>
      <c r="O1262" s="26"/>
      <c r="P1262" s="26"/>
      <c r="Q1262" s="26"/>
      <c r="R1262" s="26"/>
    </row>
    <row r="1263" spans="14:18" x14ac:dyDescent="0.3">
      <c r="N1263" s="26"/>
      <c r="O1263" s="26"/>
      <c r="P1263" s="26"/>
      <c r="Q1263" s="26"/>
      <c r="R1263" s="26"/>
    </row>
    <row r="1264" spans="14:18" x14ac:dyDescent="0.3">
      <c r="N1264" s="26"/>
      <c r="O1264" s="26"/>
      <c r="P1264" s="26"/>
      <c r="Q1264" s="26"/>
      <c r="R1264" s="26"/>
    </row>
    <row r="1265" spans="14:18" x14ac:dyDescent="0.3">
      <c r="N1265" s="26"/>
      <c r="O1265" s="26"/>
      <c r="P1265" s="26"/>
      <c r="Q1265" s="26"/>
      <c r="R1265" s="26"/>
    </row>
    <row r="1266" spans="14:18" x14ac:dyDescent="0.3">
      <c r="N1266" s="26"/>
      <c r="O1266" s="26"/>
      <c r="P1266" s="26"/>
      <c r="Q1266" s="26"/>
      <c r="R1266" s="26"/>
    </row>
    <row r="1267" spans="14:18" x14ac:dyDescent="0.3">
      <c r="N1267" s="26"/>
      <c r="O1267" s="26"/>
      <c r="P1267" s="26"/>
      <c r="Q1267" s="26"/>
      <c r="R1267" s="26"/>
    </row>
    <row r="1268" spans="14:18" x14ac:dyDescent="0.3">
      <c r="N1268" s="26"/>
      <c r="O1268" s="26"/>
      <c r="P1268" s="26"/>
      <c r="Q1268" s="26"/>
      <c r="R1268" s="26"/>
    </row>
    <row r="1269" spans="14:18" x14ac:dyDescent="0.3">
      <c r="N1269" s="26"/>
      <c r="O1269" s="26"/>
      <c r="P1269" s="26"/>
      <c r="Q1269" s="26"/>
      <c r="R1269" s="26"/>
    </row>
    <row r="1270" spans="14:18" x14ac:dyDescent="0.3">
      <c r="N1270" s="26"/>
      <c r="O1270" s="26"/>
      <c r="P1270" s="26"/>
      <c r="Q1270" s="26"/>
      <c r="R1270" s="26"/>
    </row>
    <row r="1271" spans="14:18" x14ac:dyDescent="0.3">
      <c r="N1271" s="26"/>
      <c r="O1271" s="26"/>
      <c r="P1271" s="26"/>
      <c r="Q1271" s="26"/>
      <c r="R1271" s="26"/>
    </row>
    <row r="1272" spans="14:18" x14ac:dyDescent="0.3">
      <c r="N1272" s="26"/>
      <c r="O1272" s="26"/>
      <c r="P1272" s="26"/>
      <c r="Q1272" s="26"/>
      <c r="R1272" s="26"/>
    </row>
    <row r="1273" spans="14:18" x14ac:dyDescent="0.3">
      <c r="N1273" s="26"/>
      <c r="O1273" s="26"/>
      <c r="P1273" s="26"/>
      <c r="Q1273" s="26"/>
      <c r="R1273" s="26"/>
    </row>
    <row r="1274" spans="14:18" x14ac:dyDescent="0.3">
      <c r="N1274" s="26"/>
      <c r="O1274" s="26"/>
      <c r="P1274" s="26"/>
      <c r="Q1274" s="26"/>
      <c r="R1274" s="26"/>
    </row>
    <row r="1275" spans="14:18" x14ac:dyDescent="0.3">
      <c r="N1275" s="26"/>
      <c r="O1275" s="26"/>
      <c r="P1275" s="26"/>
      <c r="Q1275" s="26"/>
      <c r="R1275" s="26"/>
    </row>
    <row r="1276" spans="14:18" x14ac:dyDescent="0.3">
      <c r="N1276" s="26"/>
      <c r="O1276" s="26"/>
      <c r="P1276" s="26"/>
      <c r="Q1276" s="26"/>
      <c r="R1276" s="26"/>
    </row>
    <row r="1277" spans="14:18" x14ac:dyDescent="0.3">
      <c r="N1277" s="26"/>
      <c r="O1277" s="26"/>
      <c r="P1277" s="26"/>
      <c r="Q1277" s="26"/>
      <c r="R1277" s="26"/>
    </row>
    <row r="1278" spans="14:18" x14ac:dyDescent="0.3">
      <c r="N1278" s="26"/>
      <c r="O1278" s="26"/>
      <c r="P1278" s="26"/>
      <c r="Q1278" s="26"/>
      <c r="R1278" s="26"/>
    </row>
    <row r="1279" spans="14:18" x14ac:dyDescent="0.3">
      <c r="N1279" s="26"/>
      <c r="O1279" s="26"/>
      <c r="P1279" s="26"/>
      <c r="Q1279" s="26"/>
      <c r="R1279" s="26"/>
    </row>
    <row r="1280" spans="14:18" x14ac:dyDescent="0.3">
      <c r="N1280" s="26"/>
      <c r="O1280" s="26"/>
      <c r="P1280" s="26"/>
      <c r="Q1280" s="26"/>
      <c r="R1280" s="26"/>
    </row>
    <row r="1281" spans="14:18" x14ac:dyDescent="0.3">
      <c r="N1281" s="26"/>
      <c r="O1281" s="26"/>
      <c r="P1281" s="26"/>
      <c r="Q1281" s="26"/>
      <c r="R1281" s="26"/>
    </row>
    <row r="1282" spans="14:18" x14ac:dyDescent="0.3">
      <c r="N1282" s="26"/>
      <c r="O1282" s="26"/>
      <c r="P1282" s="26"/>
      <c r="Q1282" s="26"/>
      <c r="R1282" s="26"/>
    </row>
    <row r="1283" spans="14:18" ht="15" thickBot="1" x14ac:dyDescent="0.35">
      <c r="N1283" s="27"/>
      <c r="O1283" s="27"/>
      <c r="P1283" s="27"/>
      <c r="Q1283" s="27"/>
      <c r="R1283" s="27"/>
    </row>
    <row r="2670" spans="1:3" x14ac:dyDescent="0.3">
      <c r="A2670" s="16"/>
      <c r="B2670" s="17"/>
      <c r="C2670" s="18"/>
    </row>
    <row r="2671" spans="1:3" x14ac:dyDescent="0.3">
      <c r="A2671" s="19"/>
      <c r="B2671" s="20"/>
      <c r="C2671" s="21"/>
    </row>
    <row r="2672" spans="1:3" x14ac:dyDescent="0.3">
      <c r="A2672" s="19"/>
      <c r="B2672" s="20"/>
      <c r="C2672" s="21"/>
    </row>
    <row r="2673" spans="1:3" x14ac:dyDescent="0.3">
      <c r="A2673" s="19"/>
      <c r="B2673" s="20"/>
      <c r="C2673" s="21"/>
    </row>
    <row r="2674" spans="1:3" x14ac:dyDescent="0.3">
      <c r="A2674" s="19"/>
      <c r="B2674" s="20"/>
      <c r="C2674" s="21"/>
    </row>
    <row r="2675" spans="1:3" x14ac:dyDescent="0.3">
      <c r="A2675" s="19"/>
      <c r="B2675" s="20"/>
      <c r="C2675" s="21"/>
    </row>
    <row r="2676" spans="1:3" x14ac:dyDescent="0.3">
      <c r="A2676" s="19"/>
      <c r="B2676" s="20"/>
      <c r="C2676" s="21"/>
    </row>
    <row r="2677" spans="1:3" x14ac:dyDescent="0.3">
      <c r="A2677" s="19"/>
      <c r="B2677" s="20"/>
      <c r="C2677" s="21"/>
    </row>
    <row r="2678" spans="1:3" x14ac:dyDescent="0.3">
      <c r="A2678" s="19"/>
      <c r="B2678" s="20"/>
      <c r="C2678" s="21"/>
    </row>
    <row r="2679" spans="1:3" x14ac:dyDescent="0.3">
      <c r="A2679" s="19"/>
      <c r="B2679" s="20"/>
      <c r="C2679" s="21"/>
    </row>
    <row r="2680" spans="1:3" x14ac:dyDescent="0.3">
      <c r="A2680" s="19"/>
      <c r="B2680" s="20"/>
      <c r="C2680" s="21"/>
    </row>
    <row r="2681" spans="1:3" x14ac:dyDescent="0.3">
      <c r="A2681" s="19"/>
      <c r="B2681" s="20"/>
      <c r="C2681" s="21"/>
    </row>
    <row r="2682" spans="1:3" x14ac:dyDescent="0.3">
      <c r="A2682" s="19"/>
      <c r="B2682" s="20"/>
      <c r="C2682" s="21"/>
    </row>
    <row r="2683" spans="1:3" x14ac:dyDescent="0.3">
      <c r="A2683" s="19"/>
      <c r="B2683" s="20"/>
      <c r="C2683" s="21"/>
    </row>
    <row r="2684" spans="1:3" x14ac:dyDescent="0.3">
      <c r="A2684" s="19"/>
      <c r="B2684" s="20"/>
      <c r="C2684" s="21"/>
    </row>
    <row r="2685" spans="1:3" x14ac:dyDescent="0.3">
      <c r="A2685" s="19"/>
      <c r="B2685" s="20"/>
      <c r="C2685" s="21"/>
    </row>
    <row r="2686" spans="1:3" x14ac:dyDescent="0.3">
      <c r="A2686" s="19"/>
      <c r="B2686" s="20"/>
      <c r="C2686" s="21"/>
    </row>
    <row r="2687" spans="1:3" x14ac:dyDescent="0.3">
      <c r="A2687" s="22"/>
      <c r="B2687" s="23"/>
      <c r="C2687" s="24"/>
    </row>
  </sheetData>
  <mergeCells count="5">
    <mergeCell ref="F31:J31"/>
    <mergeCell ref="A1:B1"/>
    <mergeCell ref="A10:B10"/>
    <mergeCell ref="A29:F29"/>
    <mergeCell ref="A16:B16"/>
  </mergeCell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Charts</vt:lpstr>
      <vt:lpstr>Analysis Report</vt:lpstr>
      <vt:lpstr>shopping_behavior_updated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91996</dc:creator>
  <cp:lastModifiedBy>91996</cp:lastModifiedBy>
  <cp:lastPrinted>2026-01-28T08:56:17Z</cp:lastPrinted>
  <dcterms:created xsi:type="dcterms:W3CDTF">2026-01-27T07:18:26Z</dcterms:created>
  <dcterms:modified xsi:type="dcterms:W3CDTF">2026-01-28T09:05:16Z</dcterms:modified>
</cp:coreProperties>
</file>